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5" i="7" l="1"/>
  <c r="AT6" i="7"/>
  <c r="AT7" i="7"/>
  <c r="AT8" i="7"/>
  <c r="AT9" i="7"/>
  <c r="AT10" i="7"/>
  <c r="AT11" i="7"/>
  <c r="AL5" i="7"/>
  <c r="AL6" i="7"/>
  <c r="AL7" i="7"/>
  <c r="AL8" i="7"/>
  <c r="AL9" i="7"/>
  <c r="AL10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9" i="7"/>
  <c r="AN5" i="7"/>
  <c r="AN6" i="7"/>
  <c r="AN7" i="7"/>
  <c r="AN8" i="7"/>
  <c r="AN9" i="7"/>
  <c r="AN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<sst xmlns="http://schemas.openxmlformats.org/spreadsheetml/2006/main" count="313" uniqueCount="148">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</sst>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D33" sqref="D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5789.9999999997599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45.960000000000036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6120.000000000553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35.039999999999964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2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37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9.9999999999909051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900.0000000001229</v>
      </c>
      <c r="F9" s="32">
        <f>'FS Desroches Daily'!F11</f>
        <v>1199.9999999998679</v>
      </c>
      <c r="G9" s="31">
        <f>'FS Desroches Daily'!H11</f>
        <v>2099.9999999999909</v>
      </c>
      <c r="H9" s="32">
        <f>'FS Desroches Daily'!J11</f>
        <v>1199.9999999998679</v>
      </c>
      <c r="I9" s="31">
        <f>'FS Desroches Daily'!L11</f>
        <v>2000.0000000002237</v>
      </c>
      <c r="J9" s="32">
        <f>'FS Desroches Daily'!N11</f>
        <v>899.99999999990087</v>
      </c>
      <c r="K9" s="13">
        <f>'FS Desroches Daily'!P11</f>
        <v>0</v>
      </c>
      <c r="L9" s="31">
        <f>'FS Desroches Daily'!R11</f>
        <v>5</v>
      </c>
      <c r="M9" s="31">
        <f>'FS Desroches Daily'!T11</f>
        <v>487.59999999997672</v>
      </c>
      <c r="N9" s="31">
        <f>'FS Desroches Daily'!V11</f>
        <v>310</v>
      </c>
      <c r="O9" s="31">
        <f>'FS Desroches Daily'!X11</f>
        <v>110.00000000001364</v>
      </c>
      <c r="P9" s="31">
        <f>'FS Desroches Daily'!Z11</f>
        <v>999.99999999988984</v>
      </c>
      <c r="Q9" s="31">
        <f>'FS Desroches Daily'!AB11</f>
        <v>300.00000000001137</v>
      </c>
      <c r="R9" s="31">
        <f>'FS Desroches Daily'!AD11</f>
        <v>169.99999999995907</v>
      </c>
      <c r="S9" s="31">
        <f>'FS Desroches Daily'!AF11</f>
        <v>240.00000000000909</v>
      </c>
      <c r="T9" s="31">
        <f>'FS Desroches Daily'!AH11</f>
        <v>32</v>
      </c>
      <c r="U9" s="35">
        <f>'FS Desroches Daily'!AJ11</f>
        <v>269.99999999998181</v>
      </c>
      <c r="V9" s="35">
        <f>'FS Desroches Daily'!AL11</f>
        <v>80.000000000012506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50.000000000011369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39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10.000000000019327</v>
      </c>
      <c r="AJ9" s="32">
        <f>'FS Desroches Daily'!BN11</f>
        <v>49.999999999982947</v>
      </c>
      <c r="AK9" s="32">
        <f>'FS Desroches Daily'!BP11</f>
        <v>30.000000000029559</v>
      </c>
      <c r="AL9" s="32">
        <f>'FS Desroches Daily'!BR11</f>
        <v>38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19.99999999998181</v>
      </c>
      <c r="AP9" s="32">
        <f>'FS Desroches Daily'!BZ11</f>
        <v>40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37.599999999998545</v>
      </c>
      <c r="AU9" s="31">
        <f>'FS Desroches Daily'!CJ11</f>
        <v>181</v>
      </c>
      <c r="AV9" s="31">
        <f>'FS Desroches Daily'!CL11</f>
        <v>509.99999999999091</v>
      </c>
      <c r="AW9" s="31">
        <f>'FS Desroches Daily'!CM11</f>
        <v>45.960000000000036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900.0000000001229</v>
      </c>
      <c r="F10" s="32">
        <f>'FS Desroches Daily'!F12</f>
        <v>1600.0000000002678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2199.9999999997576</v>
      </c>
      <c r="J10" s="32">
        <f>'FS Desroches Daily'!N12</f>
        <v>700.00000000014495</v>
      </c>
      <c r="K10" s="13">
        <f>'FS Desroches Daily'!P12</f>
        <v>0</v>
      </c>
      <c r="L10" s="31">
        <f>'FS Desroches Daily'!R12</f>
        <v>6</v>
      </c>
      <c r="M10" s="31">
        <f>'FS Desroches Daily'!T12</f>
        <v>443.20000000006985</v>
      </c>
      <c r="N10" s="31">
        <f>'FS Desroches Daily'!V12</f>
        <v>280.39999999996508</v>
      </c>
      <c r="O10" s="31">
        <f>'FS Desroches Daily'!X12</f>
        <v>99.999999999965894</v>
      </c>
      <c r="P10" s="31">
        <f>'FS Desroches Daily'!Z12</f>
        <v>1500.0000000000568</v>
      </c>
      <c r="Q10" s="31">
        <f>'FS Desroches Daily'!AB12</f>
        <v>259.99999999999091</v>
      </c>
      <c r="R10" s="31">
        <f>'FS Desroches Daily'!AD12</f>
        <v>170.00000000001592</v>
      </c>
      <c r="S10" s="31">
        <f>'FS Desroches Daily'!AF12</f>
        <v>189.99999999994088</v>
      </c>
      <c r="T10" s="31">
        <f>'FS Desroches Daily'!AH12</f>
        <v>31</v>
      </c>
      <c r="U10" s="35">
        <f>'FS Desroches Daily'!AJ12</f>
        <v>320.00000000005002</v>
      </c>
      <c r="V10" s="35">
        <f>'FS Desroches Daily'!AL12</f>
        <v>49.999999999982947</v>
      </c>
      <c r="W10" s="35">
        <f>'FS Desroches Daily'!AN12</f>
        <v>20.000000000010232</v>
      </c>
      <c r="X10" s="35">
        <f>'FS Desroches Daily'!AP12</f>
        <v>20.000000000010232</v>
      </c>
      <c r="Y10" s="35">
        <f>'FS Desroches Daily'!AR12</f>
        <v>39.999999999992042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20.000000000038654</v>
      </c>
      <c r="AC10" s="35">
        <f>'FS Desroches Daily'!AZ12</f>
        <v>9.9999999999909051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25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9.9999999999909051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38</v>
      </c>
      <c r="AM10" s="32">
        <f>'FS Desroches Daily'!BT12</f>
        <v>30.000000000001137</v>
      </c>
      <c r="AN10" s="32">
        <f>'FS Desroches Daily'!BV12</f>
        <v>23</v>
      </c>
      <c r="AO10" s="32">
        <f>'FS Desroches Daily'!BX12</f>
        <v>30.000000000001137</v>
      </c>
      <c r="AP10" s="32">
        <f>'FS Desroches Daily'!BZ12</f>
        <v>45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39.599999999998545</v>
      </c>
      <c r="AU10" s="31">
        <f>'FS Desroches Daily'!CJ12</f>
        <v>188</v>
      </c>
      <c r="AV10" s="31">
        <f>'FS Desroches Daily'!CL12</f>
        <v>580.00000000004093</v>
      </c>
      <c r="AW10" s="31">
        <f>'FS Desroches Daily'!CM12</f>
        <v>35.039999999999964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7099.9999999998836</v>
      </c>
      <c r="F33" s="17">
        <f t="shared" ref="F33:BC33" si="1">SUM(F2:F32)</f>
        <v>10899.999999999911</v>
      </c>
      <c r="G33" s="17">
        <f t="shared" si="1"/>
        <v>17599.999999999836</v>
      </c>
      <c r="H33" s="17">
        <f t="shared" si="1"/>
        <v>9600.0000000000528</v>
      </c>
      <c r="I33" s="17">
        <f t="shared" si="1"/>
        <v>18100.000000000004</v>
      </c>
      <c r="J33" s="17">
        <f t="shared" si="1"/>
        <v>6199.9999999999827</v>
      </c>
      <c r="K33" s="17">
        <f t="shared" si="1"/>
        <v>3</v>
      </c>
      <c r="L33" s="17">
        <f t="shared" si="1"/>
        <v>47</v>
      </c>
      <c r="M33" s="17">
        <f t="shared" si="1"/>
        <v>2887.5999999999767</v>
      </c>
      <c r="N33" s="17">
        <f t="shared" si="1"/>
        <v>2057.6999999999534</v>
      </c>
      <c r="O33" s="17">
        <f t="shared" si="1"/>
        <v>900.00000000003411</v>
      </c>
      <c r="P33" s="17">
        <f t="shared" si="1"/>
        <v>9599.9999999998308</v>
      </c>
      <c r="Q33" s="17">
        <f t="shared" si="1"/>
        <v>1990.0000000000091</v>
      </c>
      <c r="R33" s="17">
        <f t="shared" si="1"/>
        <v>1420.0000000000159</v>
      </c>
      <c r="S33" s="17">
        <f t="shared" si="1"/>
        <v>1789.9999999999636</v>
      </c>
      <c r="T33" s="17">
        <f t="shared" si="1"/>
        <v>284</v>
      </c>
      <c r="U33" s="35">
        <f t="shared" si="1"/>
        <v>2552.5500000000047</v>
      </c>
      <c r="V33" s="35">
        <f t="shared" si="1"/>
        <v>530.00000000000114</v>
      </c>
      <c r="W33" s="35">
        <f t="shared" si="1"/>
        <v>240.00000000000909</v>
      </c>
      <c r="X33" s="35">
        <f t="shared" si="1"/>
        <v>210.00000000000796</v>
      </c>
      <c r="Y33" s="35">
        <f t="shared" si="1"/>
        <v>300.00000000001137</v>
      </c>
      <c r="Z33" s="35">
        <f t="shared" si="1"/>
        <v>379.99999999999545</v>
      </c>
      <c r="AA33" s="35">
        <f t="shared" si="1"/>
        <v>379.99999999999545</v>
      </c>
      <c r="AB33" s="35">
        <f t="shared" si="1"/>
        <v>180.00000000000682</v>
      </c>
      <c r="AC33" s="35">
        <f t="shared" si="1"/>
        <v>129.99999999999545</v>
      </c>
      <c r="AD33" s="35">
        <f t="shared" si="1"/>
        <v>149.99999999997726</v>
      </c>
      <c r="AE33" s="35">
        <f t="shared" si="1"/>
        <v>99.999999999994316</v>
      </c>
      <c r="AF33" s="17">
        <f t="shared" si="1"/>
        <v>309</v>
      </c>
      <c r="AG33" s="32">
        <f t="shared" si="1"/>
        <v>360.00000000001364</v>
      </c>
      <c r="AH33" s="32">
        <f t="shared" si="1"/>
        <v>329.99999999998408</v>
      </c>
      <c r="AI33" s="32">
        <f t="shared" si="1"/>
        <v>90.000000000003411</v>
      </c>
      <c r="AJ33" s="32">
        <f t="shared" si="1"/>
        <v>379.99999999999545</v>
      </c>
      <c r="AK33" s="32">
        <f t="shared" si="1"/>
        <v>300.00000000001137</v>
      </c>
      <c r="AL33" s="32">
        <f t="shared" si="1"/>
        <v>289</v>
      </c>
      <c r="AM33" s="32">
        <f t="shared" si="1"/>
        <v>259.99999999999091</v>
      </c>
      <c r="AN33" s="32">
        <f t="shared" si="1"/>
        <v>243</v>
      </c>
      <c r="AO33" s="32">
        <f t="shared" si="1"/>
        <v>199.99999999998863</v>
      </c>
      <c r="AP33" s="32">
        <f t="shared" si="1"/>
        <v>332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329</v>
      </c>
      <c r="AU33" s="17">
        <f t="shared" si="1"/>
        <v>1632</v>
      </c>
      <c r="AV33" s="17">
        <f t="shared" si="1"/>
        <v>4389.9999999999864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0.16690958672245845</v>
      </c>
      <c r="G35" s="29">
        <f>G33-M36</f>
        <v>12654.699999999906</v>
      </c>
      <c r="AE35" s="35">
        <f>SUM(U33:AE33)</f>
        <v>5152.5499999999993</v>
      </c>
      <c r="AG35" s="32">
        <f>SUM(AG33:AP33)</f>
        <v>2783.9999999999877</v>
      </c>
    </row>
    <row r="36" spans="5:55" x14ac:dyDescent="0.25">
      <c r="G36" s="29">
        <f>G35-633*14</f>
        <v>3792.6999999999061</v>
      </c>
      <c r="M36" s="29">
        <f>M33+N33</f>
        <v>4945.2999999999302</v>
      </c>
    </row>
    <row r="37" spans="5:55" x14ac:dyDescent="0.25">
      <c r="E37" s="17">
        <f>E33+F33+G33+H33+J33-633*14</f>
        <v>42537.999999999673</v>
      </c>
      <c r="G37" s="37">
        <f>M36/E37</f>
        <v>0.116256053411067</v>
      </c>
      <c r="M37" s="35">
        <f>AE35</f>
        <v>5152.5499999999993</v>
      </c>
    </row>
    <row r="38" spans="5:55" x14ac:dyDescent="0.25">
      <c r="L38" s="27">
        <f>M38/E37</f>
        <v>6.54473647092014E-2</v>
      </c>
      <c r="M38" s="29">
        <f>AG35</f>
        <v>2783.9999999999877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X1" zoomScale="77" zoomScaleNormal="77" workbookViewId="0">
      <pane ySplit="1" topLeftCell="A11" activePane="bottomLeft" state="frozen"/>
      <selection pane="bottomLeft" activeCell="BG19" sqref="BG19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12747</v>
      </c>
      <c r="P7" s="67">
        <f t="shared" si="5"/>
        <v>2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12747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>
        <v>2.0693999999999999</v>
      </c>
      <c r="D9" s="64">
        <f t="shared" si="0"/>
        <v>799.99999999991189</v>
      </c>
      <c r="E9" s="58">
        <v>2.9411</v>
      </c>
      <c r="F9" s="64">
        <f t="shared" si="1"/>
        <v>1199.9999999998679</v>
      </c>
      <c r="G9" s="58">
        <v>3.0259999999999998</v>
      </c>
      <c r="H9" s="64">
        <f t="shared" si="2"/>
        <v>1999.9999999997797</v>
      </c>
      <c r="I9" s="58">
        <v>1.4803999999999999</v>
      </c>
      <c r="J9" s="64">
        <f t="shared" si="3"/>
        <v>999.99999999988984</v>
      </c>
      <c r="K9" s="58">
        <v>2.4036</v>
      </c>
      <c r="L9" s="64">
        <f t="shared" si="39"/>
        <v>1900.0000000000127</v>
      </c>
      <c r="M9" s="58">
        <v>1.3517999999999999</v>
      </c>
      <c r="N9" s="64">
        <f t="shared" si="4"/>
        <v>699.99999999992292</v>
      </c>
      <c r="O9" s="58">
        <v>12747</v>
      </c>
      <c r="P9" s="67">
        <f t="shared" si="5"/>
        <v>0</v>
      </c>
      <c r="Q9" s="58">
        <v>432</v>
      </c>
      <c r="R9" s="67">
        <f t="shared" si="6"/>
        <v>5</v>
      </c>
      <c r="S9" s="58">
        <v>905094.2</v>
      </c>
      <c r="T9" s="67">
        <f t="shared" si="7"/>
        <v>273.39999999990687</v>
      </c>
      <c r="U9" s="58">
        <v>377179.6</v>
      </c>
      <c r="V9" s="67">
        <f t="shared" si="8"/>
        <v>220.5</v>
      </c>
      <c r="W9" s="58">
        <v>364.47</v>
      </c>
      <c r="X9" s="65">
        <f t="shared" si="9"/>
        <v>90.000000000031832</v>
      </c>
      <c r="Y9" s="58">
        <v>2.5636000000000001</v>
      </c>
      <c r="Z9" s="65">
        <f t="shared" si="10"/>
        <v>999.99999999988984</v>
      </c>
      <c r="AA9" s="58">
        <v>359.16</v>
      </c>
      <c r="AB9" s="65">
        <f t="shared" si="11"/>
        <v>280.00000000002956</v>
      </c>
      <c r="AC9" s="58">
        <v>345.7</v>
      </c>
      <c r="AD9" s="65">
        <f t="shared" si="12"/>
        <v>159.99999999996817</v>
      </c>
      <c r="AE9" s="58">
        <v>534.17999999999995</v>
      </c>
      <c r="AF9" s="65">
        <f t="shared" si="13"/>
        <v>169.99999999995907</v>
      </c>
      <c r="AG9" s="58">
        <v>581</v>
      </c>
      <c r="AH9" s="67">
        <f t="shared" si="14"/>
        <v>29</v>
      </c>
      <c r="AI9" s="58">
        <v>536.29999999999995</v>
      </c>
      <c r="AJ9" s="65">
        <f t="shared" si="15"/>
        <v>319.99999999993634</v>
      </c>
      <c r="AK9" s="58">
        <v>182.61</v>
      </c>
      <c r="AL9" s="65">
        <f t="shared" si="15"/>
        <v>30.000000000001137</v>
      </c>
      <c r="AM9" s="58">
        <v>179.99</v>
      </c>
      <c r="AN9" s="65">
        <f t="shared" si="15"/>
        <v>60.000000000002274</v>
      </c>
      <c r="AO9" s="58">
        <v>171.61</v>
      </c>
      <c r="AP9" s="65">
        <f t="shared" si="15"/>
        <v>20.000000000010232</v>
      </c>
      <c r="AQ9" s="58">
        <v>229.86</v>
      </c>
      <c r="AR9" s="65">
        <f t="shared" si="16"/>
        <v>30.000000000001137</v>
      </c>
      <c r="AS9" s="58">
        <v>357.63</v>
      </c>
      <c r="AT9" s="65">
        <f t="shared" si="17"/>
        <v>40.000000000020464</v>
      </c>
      <c r="AU9" s="58">
        <v>276.10000000000002</v>
      </c>
      <c r="AV9" s="65">
        <f t="shared" si="18"/>
        <v>20.000000000038654</v>
      </c>
      <c r="AW9" s="58">
        <v>312.33</v>
      </c>
      <c r="AX9" s="65">
        <f t="shared" si="19"/>
        <v>19.99999999998181</v>
      </c>
      <c r="AY9" s="58">
        <v>357.32</v>
      </c>
      <c r="AZ9" s="65">
        <f t="shared" si="20"/>
        <v>9.9999999999909051</v>
      </c>
      <c r="BA9" s="58">
        <v>378.65</v>
      </c>
      <c r="BB9" s="65">
        <f t="shared" si="21"/>
        <v>9.9999999999909051</v>
      </c>
      <c r="BC9" s="58">
        <v>237</v>
      </c>
      <c r="BD9" s="65">
        <f t="shared" si="22"/>
        <v>9.9999999999909051</v>
      </c>
      <c r="BE9" s="59">
        <v>36129</v>
      </c>
      <c r="BF9" s="67">
        <f t="shared" si="40"/>
        <v>37</v>
      </c>
      <c r="BG9" s="60">
        <v>229.54</v>
      </c>
      <c r="BH9" s="65">
        <f t="shared" si="23"/>
        <v>39.999999999992042</v>
      </c>
      <c r="BI9" s="60">
        <v>288.89999999999998</v>
      </c>
      <c r="BJ9" s="65">
        <f t="shared" si="41"/>
        <v>29.999999999972715</v>
      </c>
      <c r="BK9" s="60">
        <v>233.24</v>
      </c>
      <c r="BL9" s="65">
        <f t="shared" si="24"/>
        <v>0</v>
      </c>
      <c r="BM9" s="60">
        <v>219.17</v>
      </c>
      <c r="BN9" s="65">
        <f t="shared" si="25"/>
        <v>39.999999999992042</v>
      </c>
      <c r="BO9" s="60">
        <v>284.16000000000003</v>
      </c>
      <c r="BP9" s="65">
        <f t="shared" si="26"/>
        <v>30.000000000029559</v>
      </c>
      <c r="BQ9" s="60">
        <v>42115</v>
      </c>
      <c r="BR9" s="65">
        <f t="shared" si="27"/>
        <v>31</v>
      </c>
      <c r="BS9" s="60">
        <v>197.35</v>
      </c>
      <c r="BT9" s="65">
        <f t="shared" si="42"/>
        <v>30.000000000001137</v>
      </c>
      <c r="BU9" s="60">
        <v>35771</v>
      </c>
      <c r="BV9" s="65">
        <f t="shared" si="28"/>
        <v>24</v>
      </c>
      <c r="BW9" s="60">
        <v>228.84</v>
      </c>
      <c r="BX9" s="65">
        <f t="shared" si="29"/>
        <v>20.000000000010232</v>
      </c>
      <c r="BY9" s="60">
        <v>54700</v>
      </c>
      <c r="BZ9" s="67">
        <f t="shared" si="30"/>
        <v>34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55707.7</v>
      </c>
      <c r="CH9" s="67">
        <f t="shared" si="34"/>
        <v>40.5</v>
      </c>
      <c r="CI9" s="60">
        <v>915339</v>
      </c>
      <c r="CJ9" s="67">
        <f t="shared" si="35"/>
        <v>176</v>
      </c>
      <c r="CK9" s="60">
        <v>687.39</v>
      </c>
      <c r="CL9" s="64">
        <f t="shared" si="36"/>
        <v>539.99999999996362</v>
      </c>
      <c r="CM9" s="65">
        <f t="shared" si="37"/>
        <v>34.149999999999636</v>
      </c>
      <c r="CN9" s="62">
        <v>0</v>
      </c>
      <c r="CO9" s="62">
        <v>0</v>
      </c>
      <c r="CP9" s="68">
        <v>4297.83</v>
      </c>
      <c r="CQ9" s="67">
        <f t="shared" si="38"/>
        <v>26.149999999999636</v>
      </c>
      <c r="CR9" s="68">
        <v>12147</v>
      </c>
      <c r="CS9" s="67">
        <f t="shared" si="38"/>
        <v>8</v>
      </c>
      <c r="CT9" s="75">
        <v>4980</v>
      </c>
      <c r="CU9" s="67">
        <f t="shared" si="38"/>
        <v>9</v>
      </c>
      <c r="CV9" s="68">
        <v>12708</v>
      </c>
      <c r="CW9" s="67">
        <f t="shared" si="38"/>
        <v>36</v>
      </c>
    </row>
    <row r="10" spans="1:102" ht="25.5" customHeight="1" thickBot="1" x14ac:dyDescent="0.45">
      <c r="A10" s="63">
        <v>44262</v>
      </c>
      <c r="B10" s="44"/>
      <c r="C10" s="58">
        <v>2.0699999999999998</v>
      </c>
      <c r="D10" s="64">
        <f t="shared" si="0"/>
        <v>599.99999999993395</v>
      </c>
      <c r="E10" s="58">
        <v>2.9419</v>
      </c>
      <c r="F10" s="64">
        <f t="shared" si="1"/>
        <v>799.99999999991189</v>
      </c>
      <c r="G10" s="58">
        <v>3.0276999999999998</v>
      </c>
      <c r="H10" s="64">
        <f t="shared" si="2"/>
        <v>1700.0000000000348</v>
      </c>
      <c r="I10" s="58">
        <v>1.4815</v>
      </c>
      <c r="J10" s="64">
        <f t="shared" si="3"/>
        <v>1100.000000000101</v>
      </c>
      <c r="K10" s="58">
        <v>2.4056999999999999</v>
      </c>
      <c r="L10" s="64">
        <f t="shared" si="39"/>
        <v>2099.9999999999909</v>
      </c>
      <c r="M10" s="58">
        <v>1.3525</v>
      </c>
      <c r="N10" s="64">
        <f t="shared" si="4"/>
        <v>700.00000000014495</v>
      </c>
      <c r="O10" s="58">
        <v>12748</v>
      </c>
      <c r="P10" s="67">
        <f t="shared" si="5"/>
        <v>1</v>
      </c>
      <c r="Q10" s="58">
        <v>438</v>
      </c>
      <c r="R10" s="67">
        <f t="shared" si="6"/>
        <v>6</v>
      </c>
      <c r="S10" s="58">
        <v>905197.6</v>
      </c>
      <c r="T10" s="67">
        <f t="shared" si="7"/>
        <v>103.40000000002328</v>
      </c>
      <c r="U10" s="58">
        <v>377253.2</v>
      </c>
      <c r="V10" s="67">
        <f t="shared" si="8"/>
        <v>73.600000000034925</v>
      </c>
      <c r="W10" s="58">
        <v>364.56</v>
      </c>
      <c r="X10" s="65">
        <f t="shared" si="9"/>
        <v>89.999999999974989</v>
      </c>
      <c r="Y10" s="58">
        <v>2.5644</v>
      </c>
      <c r="Z10" s="65">
        <f t="shared" si="10"/>
        <v>799.99999999991189</v>
      </c>
      <c r="AA10" s="58">
        <v>359.43</v>
      </c>
      <c r="AB10" s="65">
        <f t="shared" si="11"/>
        <v>269.99999999998181</v>
      </c>
      <c r="AC10" s="58">
        <v>345.85</v>
      </c>
      <c r="AD10" s="65">
        <f t="shared" si="12"/>
        <v>150.00000000003411</v>
      </c>
      <c r="AE10" s="58">
        <v>534.36</v>
      </c>
      <c r="AF10" s="65">
        <f t="shared" si="13"/>
        <v>180.00000000006366</v>
      </c>
      <c r="AG10" s="58">
        <v>611</v>
      </c>
      <c r="AH10" s="67">
        <f t="shared" si="14"/>
        <v>30</v>
      </c>
      <c r="AI10" s="58">
        <v>536.61</v>
      </c>
      <c r="AJ10" s="65">
        <f t="shared" si="15"/>
        <v>310.00000000005912</v>
      </c>
      <c r="AK10" s="58">
        <v>182.63</v>
      </c>
      <c r="AL10" s="65">
        <f t="shared" si="15"/>
        <v>19.99999999998181</v>
      </c>
      <c r="AM10" s="58">
        <v>180</v>
      </c>
      <c r="AN10" s="65">
        <f t="shared" si="15"/>
        <v>9.9999999999909051</v>
      </c>
      <c r="AO10" s="58">
        <v>171.63</v>
      </c>
      <c r="AP10" s="65">
        <f t="shared" si="15"/>
        <v>19.99999999998181</v>
      </c>
      <c r="AQ10" s="58">
        <v>229.88</v>
      </c>
      <c r="AR10" s="65">
        <f t="shared" si="16"/>
        <v>19.99999999998181</v>
      </c>
      <c r="AS10" s="58">
        <v>357.66</v>
      </c>
      <c r="AT10" s="65">
        <f t="shared" si="17"/>
        <v>30.000000000029559</v>
      </c>
      <c r="AU10" s="58">
        <v>276.11</v>
      </c>
      <c r="AV10" s="65">
        <f t="shared" si="18"/>
        <v>9.9999999999909051</v>
      </c>
      <c r="AW10" s="58">
        <v>312.33999999999997</v>
      </c>
      <c r="AX10" s="65">
        <f t="shared" si="19"/>
        <v>9.9999999999909051</v>
      </c>
      <c r="AY10" s="58">
        <v>357.33</v>
      </c>
      <c r="AZ10" s="65">
        <f t="shared" si="20"/>
        <v>9.9999999999909051</v>
      </c>
      <c r="BA10" s="58">
        <v>378.66</v>
      </c>
      <c r="BB10" s="65">
        <f t="shared" si="21"/>
        <v>10.000000000047748</v>
      </c>
      <c r="BC10" s="58">
        <v>237.01</v>
      </c>
      <c r="BD10" s="65">
        <f t="shared" si="22"/>
        <v>9.9999999999909051</v>
      </c>
      <c r="BE10" s="59">
        <v>36167</v>
      </c>
      <c r="BF10" s="67">
        <f t="shared" si="40"/>
        <v>38</v>
      </c>
      <c r="BG10" s="60">
        <v>229.59</v>
      </c>
      <c r="BH10" s="65">
        <f t="shared" si="23"/>
        <v>50.000000000011369</v>
      </c>
      <c r="BI10" s="60">
        <v>288.94</v>
      </c>
      <c r="BJ10" s="65">
        <f t="shared" si="41"/>
        <v>40.000000000020464</v>
      </c>
      <c r="BK10" s="60">
        <v>233.26</v>
      </c>
      <c r="BL10" s="65">
        <f t="shared" si="24"/>
        <v>19.99999999998181</v>
      </c>
      <c r="BM10" s="60">
        <v>219.21</v>
      </c>
      <c r="BN10" s="65">
        <f t="shared" si="25"/>
        <v>40.000000000020464</v>
      </c>
      <c r="BO10" s="60">
        <v>284.19</v>
      </c>
      <c r="BP10" s="65">
        <f t="shared" si="26"/>
        <v>29.999999999972715</v>
      </c>
      <c r="BQ10" s="60">
        <v>42149</v>
      </c>
      <c r="BR10" s="65">
        <f t="shared" si="27"/>
        <v>34</v>
      </c>
      <c r="BS10" s="60">
        <v>197.38</v>
      </c>
      <c r="BT10" s="65">
        <f t="shared" si="42"/>
        <v>30.000000000001137</v>
      </c>
      <c r="BU10" s="60">
        <v>35801</v>
      </c>
      <c r="BV10" s="65">
        <f t="shared" si="28"/>
        <v>30</v>
      </c>
      <c r="BW10" s="60">
        <v>228.87</v>
      </c>
      <c r="BX10" s="65">
        <f t="shared" si="29"/>
        <v>30.000000000001137</v>
      </c>
      <c r="BY10" s="60">
        <v>54735</v>
      </c>
      <c r="BZ10" s="67">
        <f t="shared" si="30"/>
        <v>35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55754.9</v>
      </c>
      <c r="CH10" s="67">
        <f t="shared" si="34"/>
        <v>47.200000000004366</v>
      </c>
      <c r="CI10" s="60">
        <v>915518</v>
      </c>
      <c r="CJ10" s="67">
        <f t="shared" si="35"/>
        <v>179</v>
      </c>
      <c r="CK10" s="60">
        <v>687.89</v>
      </c>
      <c r="CL10" s="64">
        <f t="shared" si="36"/>
        <v>500</v>
      </c>
      <c r="CM10" s="65">
        <f t="shared" si="37"/>
        <v>23.770000000000437</v>
      </c>
      <c r="CN10" s="62">
        <v>0</v>
      </c>
      <c r="CO10" s="62">
        <v>0</v>
      </c>
      <c r="CP10" s="68">
        <v>4315.6000000000004</v>
      </c>
      <c r="CQ10" s="67">
        <f>IF((CP10-CP9&lt;0), "",CP10-CP9)</f>
        <v>17.770000000000437</v>
      </c>
      <c r="CR10" s="68">
        <v>12153</v>
      </c>
      <c r="CS10" s="67">
        <f t="shared" si="38"/>
        <v>6</v>
      </c>
      <c r="CT10" s="75">
        <v>4992</v>
      </c>
      <c r="CU10" s="67">
        <f t="shared" si="38"/>
        <v>12</v>
      </c>
      <c r="CV10" s="68">
        <v>12733</v>
      </c>
      <c r="CW10" s="67">
        <f t="shared" si="38"/>
        <v>25</v>
      </c>
    </row>
    <row r="11" spans="1:102" ht="25.5" customHeight="1" thickBot="1" x14ac:dyDescent="0.45">
      <c r="A11" s="63">
        <v>44263</v>
      </c>
      <c r="B11" s="44"/>
      <c r="C11" s="58">
        <v>2.0709</v>
      </c>
      <c r="D11" s="64">
        <f t="shared" si="0"/>
        <v>900.0000000001229</v>
      </c>
      <c r="E11" s="58">
        <v>2.9430999999999998</v>
      </c>
      <c r="F11" s="64">
        <f t="shared" si="1"/>
        <v>1199.9999999998679</v>
      </c>
      <c r="G11" s="58">
        <v>3.0297999999999998</v>
      </c>
      <c r="H11" s="64">
        <f t="shared" si="2"/>
        <v>2099.9999999999909</v>
      </c>
      <c r="I11" s="58">
        <v>1.4826999999999999</v>
      </c>
      <c r="J11" s="64">
        <f t="shared" si="3"/>
        <v>1199.9999999998679</v>
      </c>
      <c r="K11" s="58">
        <v>2.4077000000000002</v>
      </c>
      <c r="L11" s="64">
        <f t="shared" si="39"/>
        <v>2000.0000000002237</v>
      </c>
      <c r="M11" s="58">
        <v>1.3533999999999999</v>
      </c>
      <c r="N11" s="64">
        <f t="shared" si="4"/>
        <v>899.99999999990087</v>
      </c>
      <c r="O11" s="58">
        <v>12748</v>
      </c>
      <c r="P11" s="67">
        <f t="shared" ref="P11:P34" si="43">IF((O11-O10&lt;0), "",O11-O10)</f>
        <v>0</v>
      </c>
      <c r="Q11" s="58">
        <v>443</v>
      </c>
      <c r="R11" s="67">
        <f t="shared" si="6"/>
        <v>5</v>
      </c>
      <c r="S11" s="58">
        <v>905685.2</v>
      </c>
      <c r="T11" s="67">
        <f t="shared" si="7"/>
        <v>487.59999999997672</v>
      </c>
      <c r="U11" s="58">
        <v>377563.2</v>
      </c>
      <c r="V11" s="67">
        <f t="shared" si="8"/>
        <v>310</v>
      </c>
      <c r="W11" s="58">
        <v>364.67</v>
      </c>
      <c r="X11" s="65">
        <f t="shared" si="9"/>
        <v>110.00000000001364</v>
      </c>
      <c r="Y11" s="58">
        <v>2.5653999999999999</v>
      </c>
      <c r="Z11" s="65">
        <f t="shared" si="10"/>
        <v>999.99999999988984</v>
      </c>
      <c r="AA11" s="58">
        <v>359.73</v>
      </c>
      <c r="AB11" s="65">
        <f t="shared" si="11"/>
        <v>300.00000000001137</v>
      </c>
      <c r="AC11" s="58">
        <v>346.02</v>
      </c>
      <c r="AD11" s="65">
        <f t="shared" si="12"/>
        <v>169.99999999995907</v>
      </c>
      <c r="AE11" s="58">
        <v>534.6</v>
      </c>
      <c r="AF11" s="65">
        <f t="shared" si="13"/>
        <v>240.00000000000909</v>
      </c>
      <c r="AG11" s="58">
        <v>643</v>
      </c>
      <c r="AH11" s="67">
        <f t="shared" si="14"/>
        <v>32</v>
      </c>
      <c r="AI11" s="58">
        <v>536.88</v>
      </c>
      <c r="AJ11" s="65">
        <f t="shared" si="15"/>
        <v>269.99999999998181</v>
      </c>
      <c r="AK11" s="58">
        <v>182.71</v>
      </c>
      <c r="AL11" s="65">
        <f t="shared" si="15"/>
        <v>80.000000000012506</v>
      </c>
      <c r="AM11" s="58">
        <v>180.03</v>
      </c>
      <c r="AN11" s="65">
        <f t="shared" si="15"/>
        <v>30.000000000001137</v>
      </c>
      <c r="AO11" s="58">
        <v>171.66</v>
      </c>
      <c r="AP11" s="65">
        <f t="shared" si="15"/>
        <v>30.000000000001137</v>
      </c>
      <c r="AQ11" s="58">
        <v>229.93</v>
      </c>
      <c r="AR11" s="65">
        <f t="shared" si="16"/>
        <v>50.000000000011369</v>
      </c>
      <c r="AS11" s="58">
        <v>357.74</v>
      </c>
      <c r="AT11" s="65">
        <f t="shared" si="17"/>
        <v>79.999999999984084</v>
      </c>
      <c r="AU11" s="58">
        <v>276.14</v>
      </c>
      <c r="AV11" s="65">
        <f t="shared" si="18"/>
        <v>29.999999999972715</v>
      </c>
      <c r="AW11" s="58">
        <v>312.37</v>
      </c>
      <c r="AX11" s="65">
        <f t="shared" si="19"/>
        <v>30.000000000029559</v>
      </c>
      <c r="AY11" s="58">
        <v>357.35</v>
      </c>
      <c r="AZ11" s="65">
        <f t="shared" si="20"/>
        <v>20.000000000038654</v>
      </c>
      <c r="BA11" s="58">
        <v>378.68</v>
      </c>
      <c r="BB11" s="65">
        <f t="shared" si="21"/>
        <v>19.99999999998181</v>
      </c>
      <c r="BC11" s="58">
        <v>237.02</v>
      </c>
      <c r="BD11" s="65">
        <f>IF((BC11-BC10&lt;0), "",(BC11-BC10)*1000)</f>
        <v>10.000000000019327</v>
      </c>
      <c r="BE11" s="59">
        <v>36206</v>
      </c>
      <c r="BF11" s="67">
        <f t="shared" si="40"/>
        <v>39</v>
      </c>
      <c r="BG11" s="60">
        <v>229.64</v>
      </c>
      <c r="BH11" s="65">
        <f t="shared" si="23"/>
        <v>49.999999999982947</v>
      </c>
      <c r="BI11" s="60">
        <v>288.98</v>
      </c>
      <c r="BJ11" s="65">
        <f t="shared" si="41"/>
        <v>40.000000000020464</v>
      </c>
      <c r="BK11" s="60">
        <v>233.27</v>
      </c>
      <c r="BL11" s="65">
        <f t="shared" si="24"/>
        <v>10.000000000019327</v>
      </c>
      <c r="BM11" s="60">
        <v>219.26</v>
      </c>
      <c r="BN11" s="65">
        <f t="shared" si="25"/>
        <v>49.999999999982947</v>
      </c>
      <c r="BO11" s="60">
        <v>284.22000000000003</v>
      </c>
      <c r="BP11" s="65">
        <f t="shared" si="26"/>
        <v>30.000000000029559</v>
      </c>
      <c r="BQ11" s="60">
        <v>42187</v>
      </c>
      <c r="BR11" s="65">
        <f t="shared" si="27"/>
        <v>38</v>
      </c>
      <c r="BS11" s="60">
        <v>197.41</v>
      </c>
      <c r="BT11" s="65">
        <f t="shared" si="42"/>
        <v>30.000000000001137</v>
      </c>
      <c r="BU11" s="60">
        <v>35828</v>
      </c>
      <c r="BV11" s="65">
        <f t="shared" si="28"/>
        <v>27</v>
      </c>
      <c r="BW11" s="60">
        <v>228.89</v>
      </c>
      <c r="BX11" s="65">
        <f t="shared" si="29"/>
        <v>19.99999999998181</v>
      </c>
      <c r="BY11" s="60">
        <v>54775</v>
      </c>
      <c r="BZ11" s="67">
        <f t="shared" si="30"/>
        <v>40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55792.5</v>
      </c>
      <c r="CH11" s="67">
        <f t="shared" si="34"/>
        <v>37.599999999998545</v>
      </c>
      <c r="CI11" s="60">
        <v>915699</v>
      </c>
      <c r="CJ11" s="67">
        <f t="shared" si="35"/>
        <v>181</v>
      </c>
      <c r="CK11" s="60">
        <v>688.4</v>
      </c>
      <c r="CL11" s="64">
        <f t="shared" si="36"/>
        <v>509.99999999999091</v>
      </c>
      <c r="CM11" s="65">
        <f t="shared" si="37"/>
        <v>45.960000000000036</v>
      </c>
      <c r="CN11" s="62">
        <v>0</v>
      </c>
      <c r="CO11" s="62">
        <v>0</v>
      </c>
      <c r="CP11" s="68">
        <v>4350.5600000000004</v>
      </c>
      <c r="CQ11" s="67">
        <f>IF((CP11-CP10&lt;0), "",CP11-CP10)</f>
        <v>34.960000000000036</v>
      </c>
      <c r="CR11" s="68">
        <v>12164</v>
      </c>
      <c r="CS11" s="67">
        <f t="shared" si="38"/>
        <v>11</v>
      </c>
      <c r="CT11" s="75">
        <v>5004</v>
      </c>
      <c r="CU11" s="67">
        <f t="shared" si="38"/>
        <v>12</v>
      </c>
      <c r="CV11" s="68">
        <v>12758</v>
      </c>
      <c r="CW11" s="67">
        <f t="shared" si="38"/>
        <v>25</v>
      </c>
    </row>
    <row r="12" spans="1:102" ht="25.5" customHeight="1" thickBot="1" x14ac:dyDescent="0.45">
      <c r="A12" s="63">
        <v>44264</v>
      </c>
      <c r="B12" s="44"/>
      <c r="C12" s="58">
        <v>2.0718000000000001</v>
      </c>
      <c r="D12" s="64">
        <f t="shared" si="0"/>
        <v>900.0000000001229</v>
      </c>
      <c r="E12" s="58">
        <v>2.9447000000000001</v>
      </c>
      <c r="F12" s="64">
        <f t="shared" si="1"/>
        <v>1600.0000000002678</v>
      </c>
      <c r="G12" s="58">
        <v>3.0320999999999998</v>
      </c>
      <c r="H12" s="64">
        <f t="shared" si="2"/>
        <v>2299.9999999999686</v>
      </c>
      <c r="I12" s="58">
        <v>1.4839</v>
      </c>
      <c r="J12" s="64">
        <f t="shared" si="3"/>
        <v>1200.0000000000898</v>
      </c>
      <c r="K12" s="58">
        <v>2.4098999999999999</v>
      </c>
      <c r="L12" s="64">
        <f t="shared" si="39"/>
        <v>2199.9999999997576</v>
      </c>
      <c r="M12" s="58">
        <v>1.3541000000000001</v>
      </c>
      <c r="N12" s="64">
        <f t="shared" si="4"/>
        <v>700.00000000014495</v>
      </c>
      <c r="O12" s="58">
        <v>12748</v>
      </c>
      <c r="P12" s="67">
        <f t="shared" si="43"/>
        <v>0</v>
      </c>
      <c r="Q12" s="58">
        <v>449</v>
      </c>
      <c r="R12" s="67">
        <f t="shared" si="6"/>
        <v>6</v>
      </c>
      <c r="S12" s="58">
        <v>906128.4</v>
      </c>
      <c r="T12" s="67">
        <f t="shared" si="7"/>
        <v>443.20000000006985</v>
      </c>
      <c r="U12" s="58">
        <v>377843.6</v>
      </c>
      <c r="V12" s="67">
        <f t="shared" si="8"/>
        <v>280.39999999996508</v>
      </c>
      <c r="W12" s="58">
        <v>364.77</v>
      </c>
      <c r="X12" s="65">
        <f t="shared" si="9"/>
        <v>99.999999999965894</v>
      </c>
      <c r="Y12" s="58">
        <v>2.5669</v>
      </c>
      <c r="Z12" s="65">
        <f t="shared" si="10"/>
        <v>1500.0000000000568</v>
      </c>
      <c r="AA12" s="58">
        <v>359.99</v>
      </c>
      <c r="AB12" s="65">
        <f t="shared" si="11"/>
        <v>259.99999999999091</v>
      </c>
      <c r="AC12" s="58">
        <v>346.19</v>
      </c>
      <c r="AD12" s="65">
        <f t="shared" si="12"/>
        <v>170.00000000001592</v>
      </c>
      <c r="AE12" s="58">
        <v>534.79</v>
      </c>
      <c r="AF12" s="65">
        <f t="shared" si="13"/>
        <v>189.99999999994088</v>
      </c>
      <c r="AG12" s="58">
        <v>674</v>
      </c>
      <c r="AH12" s="67">
        <f t="shared" si="14"/>
        <v>31</v>
      </c>
      <c r="AI12" s="58">
        <v>537.20000000000005</v>
      </c>
      <c r="AJ12" s="65">
        <f t="shared" si="15"/>
        <v>320.00000000005002</v>
      </c>
      <c r="AK12" s="58">
        <v>182.76</v>
      </c>
      <c r="AL12" s="65">
        <f t="shared" si="15"/>
        <v>49.999999999982947</v>
      </c>
      <c r="AM12" s="58">
        <v>180.05</v>
      </c>
      <c r="AN12" s="65">
        <f t="shared" si="15"/>
        <v>20.000000000010232</v>
      </c>
      <c r="AO12" s="58">
        <v>171.68</v>
      </c>
      <c r="AP12" s="65">
        <f t="shared" si="15"/>
        <v>20.000000000010232</v>
      </c>
      <c r="AQ12" s="58">
        <v>229.97</v>
      </c>
      <c r="AR12" s="65">
        <f t="shared" si="16"/>
        <v>39.999999999992042</v>
      </c>
      <c r="AS12" s="58">
        <v>357.85</v>
      </c>
      <c r="AT12" s="65">
        <f t="shared" si="17"/>
        <v>110.00000000001364</v>
      </c>
      <c r="AU12" s="58">
        <v>276.16000000000003</v>
      </c>
      <c r="AV12" s="65">
        <f t="shared" si="18"/>
        <v>20.000000000038654</v>
      </c>
      <c r="AW12" s="58">
        <v>312.39</v>
      </c>
      <c r="AX12" s="65">
        <f t="shared" si="19"/>
        <v>19.99999999998181</v>
      </c>
      <c r="AY12" s="58">
        <v>357.36</v>
      </c>
      <c r="AZ12" s="65">
        <f t="shared" si="20"/>
        <v>9.9999999999909051</v>
      </c>
      <c r="BA12" s="58">
        <v>378.7</v>
      </c>
      <c r="BB12" s="65">
        <f t="shared" si="21"/>
        <v>19.99999999998181</v>
      </c>
      <c r="BC12" s="58">
        <v>237.03</v>
      </c>
      <c r="BD12" s="65">
        <f t="shared" si="22"/>
        <v>9.9999999999909051</v>
      </c>
      <c r="BE12" s="59">
        <v>36231</v>
      </c>
      <c r="BF12" s="67">
        <f t="shared" si="40"/>
        <v>25</v>
      </c>
      <c r="BG12" s="60">
        <v>229.68</v>
      </c>
      <c r="BH12" s="65">
        <f t="shared" si="23"/>
        <v>40.000000000020464</v>
      </c>
      <c r="BI12" s="60">
        <v>289.02</v>
      </c>
      <c r="BJ12" s="65">
        <f t="shared" si="41"/>
        <v>39.99999999996362</v>
      </c>
      <c r="BK12" s="60">
        <v>233.28</v>
      </c>
      <c r="BL12" s="65">
        <f t="shared" si="24"/>
        <v>9.9999999999909051</v>
      </c>
      <c r="BM12" s="60">
        <v>219.31</v>
      </c>
      <c r="BN12" s="65">
        <f t="shared" si="25"/>
        <v>50.000000000011369</v>
      </c>
      <c r="BO12" s="60">
        <v>284.26</v>
      </c>
      <c r="BP12" s="65">
        <f t="shared" si="26"/>
        <v>39.99999999996362</v>
      </c>
      <c r="BQ12" s="60">
        <v>42225</v>
      </c>
      <c r="BR12" s="65">
        <f t="shared" si="27"/>
        <v>38</v>
      </c>
      <c r="BS12" s="60">
        <v>197.44</v>
      </c>
      <c r="BT12" s="65">
        <f t="shared" si="42"/>
        <v>30.000000000001137</v>
      </c>
      <c r="BU12" s="60">
        <v>35851</v>
      </c>
      <c r="BV12" s="65">
        <f t="shared" si="28"/>
        <v>23</v>
      </c>
      <c r="BW12" s="60">
        <v>228.92</v>
      </c>
      <c r="BX12" s="65">
        <f t="shared" si="29"/>
        <v>30.000000000001137</v>
      </c>
      <c r="BY12" s="60">
        <v>54820</v>
      </c>
      <c r="BZ12" s="67">
        <f t="shared" si="30"/>
        <v>45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55832.1</v>
      </c>
      <c r="CH12" s="67">
        <f t="shared" si="34"/>
        <v>39.599999999998545</v>
      </c>
      <c r="CI12" s="60">
        <v>915887</v>
      </c>
      <c r="CJ12" s="67">
        <f t="shared" si="35"/>
        <v>188</v>
      </c>
      <c r="CK12" s="60">
        <v>688.98</v>
      </c>
      <c r="CL12" s="64">
        <f t="shared" si="36"/>
        <v>580.00000000004093</v>
      </c>
      <c r="CM12" s="65">
        <f t="shared" si="37"/>
        <v>35.039999999999964</v>
      </c>
      <c r="CN12" s="62">
        <v>0</v>
      </c>
      <c r="CO12" s="62">
        <v>0</v>
      </c>
      <c r="CP12" s="68">
        <v>4373.6000000000004</v>
      </c>
      <c r="CQ12" s="67">
        <f>IF((CP12-CP11&lt;0), "",CP12-CP11)</f>
        <v>23.039999999999964</v>
      </c>
      <c r="CR12" s="68">
        <v>12176</v>
      </c>
      <c r="CS12" s="67">
        <f t="shared" si="38"/>
        <v>12</v>
      </c>
      <c r="CT12" s="75">
        <v>5016</v>
      </c>
      <c r="CU12" s="67">
        <f t="shared" si="38"/>
        <v>12</v>
      </c>
      <c r="CV12" s="68">
        <v>12781</v>
      </c>
      <c r="CW12" s="67">
        <f t="shared" si="38"/>
        <v>23</v>
      </c>
    </row>
    <row r="13" spans="1:102" ht="25.5" customHeight="1" thickBot="1" x14ac:dyDescent="0.45">
      <c r="A13" s="63">
        <v>44265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39"/>
        <v>0</v>
      </c>
      <c r="M13" s="58"/>
      <c r="N13" s="64" t="str">
        <f t="shared" si="4"/>
        <v/>
      </c>
      <c r="O13" s="58"/>
      <c r="P13" s="67" t="str">
        <f t="shared" si="43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40"/>
        <v/>
      </c>
      <c r="BG13" s="60"/>
      <c r="BH13" s="65" t="str">
        <f t="shared" si="23"/>
        <v/>
      </c>
      <c r="BI13" s="60"/>
      <c r="BJ13" s="65" t="str">
        <f t="shared" si="41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2"/>
        <v/>
      </c>
      <c r="BU13" s="60"/>
      <c r="BV13" s="65" t="str">
        <f t="shared" si="28"/>
        <v/>
      </c>
      <c r="BW13" s="60"/>
      <c r="BX13" s="65" t="str">
        <f t="shared" si="29"/>
        <v/>
      </c>
      <c r="BY13" s="60"/>
      <c r="BZ13" s="67" t="str">
        <f t="shared" si="30"/>
        <v/>
      </c>
      <c r="CA13" s="60"/>
      <c r="CB13" s="67" t="str">
        <f t="shared" si="31"/>
        <v/>
      </c>
      <c r="CC13" s="60"/>
      <c r="CD13" s="67" t="str">
        <f t="shared" si="32"/>
        <v/>
      </c>
      <c r="CE13" s="60"/>
      <c r="CF13" s="67" t="str">
        <f t="shared" si="33"/>
        <v/>
      </c>
      <c r="CG13" s="60"/>
      <c r="CH13" s="67" t="str">
        <f t="shared" si="34"/>
        <v/>
      </c>
      <c r="CI13" s="60"/>
      <c r="CJ13" s="67" t="str">
        <f t="shared" si="35"/>
        <v/>
      </c>
      <c r="CK13" s="60"/>
      <c r="CL13" s="64" t="str">
        <f t="shared" si="36"/>
        <v/>
      </c>
      <c r="CM13" s="65" t="e">
        <f t="shared" si="37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8"/>
        <v/>
      </c>
      <c r="CT13" s="75"/>
      <c r="CU13" s="67" t="str">
        <f t="shared" si="38"/>
        <v/>
      </c>
      <c r="CV13" s="68"/>
      <c r="CW13" s="67" t="str">
        <f t="shared" si="38"/>
        <v/>
      </c>
    </row>
    <row r="14" spans="1:102" ht="25.5" customHeight="1" thickBot="1" x14ac:dyDescent="0.45">
      <c r="A14" s="63">
        <v>44266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44267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W16" sqref="W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8">
        <v>79</v>
      </c>
      <c r="S13" s="78">
        <v>197</v>
      </c>
      <c r="T13">
        <f t="shared" si="1"/>
        <v>0</v>
      </c>
    </row>
    <row r="14" spans="1:20" x14ac:dyDescent="0.25">
      <c r="A14" s="73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8">
        <v>79</v>
      </c>
      <c r="S14" s="78">
        <v>197</v>
      </c>
      <c r="T14">
        <f t="shared" si="1"/>
        <v>0</v>
      </c>
    </row>
    <row r="15" spans="1:20" x14ac:dyDescent="0.25">
      <c r="A15" s="73">
        <v>44264</v>
      </c>
      <c r="B15" s="40">
        <v>0</v>
      </c>
      <c r="C15" s="40">
        <v>0</v>
      </c>
      <c r="D15" s="40">
        <v>0</v>
      </c>
      <c r="E15" s="41">
        <v>85</v>
      </c>
      <c r="F15" s="41">
        <v>4857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85</v>
      </c>
      <c r="M15" s="42">
        <v>1173</v>
      </c>
      <c r="N15" s="39">
        <v>65</v>
      </c>
      <c r="O15" s="39">
        <v>1</v>
      </c>
      <c r="P15" s="39">
        <v>1</v>
      </c>
      <c r="Q15" s="39">
        <v>3381</v>
      </c>
      <c r="R15" s="78">
        <v>79</v>
      </c>
      <c r="S15" s="78">
        <v>197</v>
      </c>
      <c r="T15">
        <f t="shared" si="1"/>
        <v>0</v>
      </c>
    </row>
    <row r="16" spans="1:20" x14ac:dyDescent="0.25">
      <c r="A16" s="73">
        <v>44265</v>
      </c>
      <c r="B16" s="40">
        <v>0</v>
      </c>
      <c r="C16" s="40">
        <v>0</v>
      </c>
      <c r="D16" s="40">
        <v>0</v>
      </c>
      <c r="E16" s="41">
        <v>85</v>
      </c>
      <c r="F16" s="41">
        <v>4857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85</v>
      </c>
      <c r="M16" s="42">
        <v>1173</v>
      </c>
      <c r="N16" s="39">
        <v>63</v>
      </c>
      <c r="O16" s="39">
        <v>1</v>
      </c>
      <c r="P16" s="39">
        <v>1</v>
      </c>
      <c r="Q16" s="39">
        <v>3385</v>
      </c>
      <c r="R16" s="78">
        <v>79</v>
      </c>
      <c r="S16" s="78">
        <v>197</v>
      </c>
      <c r="T16">
        <f t="shared" si="1"/>
        <v>0</v>
      </c>
    </row>
    <row r="17" spans="1:20" x14ac:dyDescent="0.25">
      <c r="A17" s="73">
        <v>44266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1"/>
        <v>-197</v>
      </c>
    </row>
    <row r="18" spans="1:20" x14ac:dyDescent="0.25">
      <c r="A18" s="73">
        <v>44267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1"/>
        <v>0</v>
      </c>
    </row>
    <row r="19" spans="1:20" x14ac:dyDescent="0.25">
      <c r="A19" s="73">
        <v>44268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0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2021-03-10T06:46:45Z</dcterms:modified>
</cp:coreProperties>
</file>