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9" i="7" l="1"/>
  <c r="S32" i="9" l="1"/>
  <c r="B32" i="9"/>
  <c r="B32" i="5"/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l="1"/>
  <c r="R32" i="9"/>
  <c r="AW7" i="7"/>
  <c r="AX7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AX29" i="7" l="1"/>
  <c r="X36" i="7" l="1"/>
  <c r="X37" i="7"/>
  <c r="L32" i="9" s="1"/>
  <c r="AB34" i="7" l="1"/>
  <c r="AB35" i="7"/>
  <c r="AB36" i="7"/>
  <c r="AB37" i="7"/>
  <c r="P32" i="9" s="1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<sst xmlns="http://schemas.openxmlformats.org/spreadsheetml/2006/main" count="129" uniqueCount="50">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</sst>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J32" sqref="J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64380</v>
      </c>
      <c r="F2" s="11">
        <v>5.0000000000000001E-3</v>
      </c>
      <c r="G2" s="12">
        <f>Submetering!R2</f>
        <v>542.82779400000004</v>
      </c>
      <c r="H2" s="11">
        <v>0.52800000000000002</v>
      </c>
      <c r="I2" s="12">
        <f>Hotel!B7</f>
        <v>65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0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x14ac:dyDescent="0.25">
      <c r="A32" s="21" t="s">
        <v>31</v>
      </c>
      <c r="B32" s="14">
        <f t="shared" si="0"/>
        <v>31</v>
      </c>
      <c r="C32" s="3">
        <v>11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2022</v>
      </c>
      <c r="E2" s="4">
        <f>Hotel!Q7</f>
        <v>10610</v>
      </c>
      <c r="F2" s="4">
        <f>Hotel!R7</f>
        <v>3420</v>
      </c>
      <c r="G2" s="4">
        <f>Hotel!S7</f>
        <v>2710</v>
      </c>
      <c r="H2" s="4">
        <f>Hotel!T7</f>
        <v>1640</v>
      </c>
      <c r="I2" s="4">
        <f>Hotel!U7</f>
        <v>4560</v>
      </c>
      <c r="J2" s="4">
        <f>Hotel!V7</f>
        <v>3900</v>
      </c>
      <c r="K2" s="4">
        <f>Hotel!W7</f>
        <v>2830</v>
      </c>
      <c r="L2" s="4">
        <f>Hotel!X7</f>
        <v>4360</v>
      </c>
      <c r="M2" s="4">
        <f>Hotel!Y7</f>
        <v>5540</v>
      </c>
      <c r="N2" s="4">
        <f>Hotel!Z7</f>
        <v>2500</v>
      </c>
      <c r="O2" s="4">
        <f>Hotel!AA7</f>
        <v>2740</v>
      </c>
      <c r="P2" s="4">
        <f>Hotel!AB7</f>
        <v>8040</v>
      </c>
      <c r="Q2" s="4">
        <f>Hotel!AC7</f>
        <v>11530</v>
      </c>
      <c r="R2" s="4">
        <f>Hotel!AV7*0.00378541*100</f>
        <v>542.82779400000004</v>
      </c>
      <c r="S2" s="4">
        <f>Hotel!B7</f>
        <v>65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2022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Hotel!AV8*0.00378541*100</f>
        <v>0</v>
      </c>
      <c r="S3" s="4">
        <f>Hotel!B8</f>
        <v>0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2022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2022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2022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2022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2022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2022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2022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2022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2022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2022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2022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2022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2022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2022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" zoomScale="93" zoomScaleNormal="93" workbookViewId="0">
      <selection activeCell="AK29" sqref="AK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44865</v>
      </c>
      <c r="B2" s="40">
        <v>80</v>
      </c>
      <c r="C2" s="24">
        <v>8554300</v>
      </c>
      <c r="D2" s="24">
        <v>20947360</v>
      </c>
      <c r="E2" s="24">
        <v>3728660</v>
      </c>
      <c r="F2" s="24">
        <v>4328650</v>
      </c>
      <c r="G2" s="24">
        <v>12753490</v>
      </c>
      <c r="H2" s="24">
        <v>7536930</v>
      </c>
      <c r="I2" s="24">
        <v>6536470</v>
      </c>
      <c r="J2" s="24">
        <v>8134370</v>
      </c>
      <c r="K2" s="24">
        <v>11830570</v>
      </c>
      <c r="L2" s="24">
        <v>5159970</v>
      </c>
      <c r="M2" s="24">
        <v>9473770</v>
      </c>
      <c r="N2" s="24">
        <v>15672980</v>
      </c>
      <c r="O2" s="24">
        <v>21923120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298410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5" t="s">
        <v>23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Q4" s="67" t="s">
        <v>24</v>
      </c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9"/>
      <c r="AD4" s="28" t="s">
        <v>25</v>
      </c>
      <c r="AF4" s="70" t="s">
        <v>26</v>
      </c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29" t="s">
        <v>27</v>
      </c>
      <c r="AU4" s="61" t="s">
        <v>28</v>
      </c>
      <c r="AV4" s="62" t="s">
        <v>29</v>
      </c>
      <c r="AW4" s="62" t="s">
        <v>48</v>
      </c>
      <c r="AX4" s="64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1"/>
      <c r="AV5" s="63"/>
      <c r="AW5" s="63"/>
      <c r="AX5" s="64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298410</v>
      </c>
    </row>
    <row r="7" spans="1:50" x14ac:dyDescent="0.25">
      <c r="A7" s="23">
        <v>44866</v>
      </c>
      <c r="B7" s="40">
        <v>65</v>
      </c>
      <c r="C7" s="51">
        <v>8564910</v>
      </c>
      <c r="D7" s="51">
        <v>20950780</v>
      </c>
      <c r="E7" s="51">
        <v>3731370</v>
      </c>
      <c r="F7" s="51">
        <v>4330290</v>
      </c>
      <c r="G7" s="51">
        <v>12758050</v>
      </c>
      <c r="H7" s="51">
        <v>7540830</v>
      </c>
      <c r="I7" s="51">
        <v>6539300</v>
      </c>
      <c r="J7" s="51">
        <v>8138730</v>
      </c>
      <c r="K7" s="51">
        <v>11836110</v>
      </c>
      <c r="L7" s="51">
        <v>5162470</v>
      </c>
      <c r="M7" s="51">
        <v>9476510</v>
      </c>
      <c r="N7" s="51">
        <v>15681020</v>
      </c>
      <c r="O7" s="51">
        <v>21934650</v>
      </c>
      <c r="Q7" s="37">
        <f t="shared" ref="Q7:AC7" si="0">IF((C7-C2&lt;0), "0",C7-C2)</f>
        <v>10610</v>
      </c>
      <c r="R7" s="37">
        <f t="shared" si="0"/>
        <v>3420</v>
      </c>
      <c r="S7" s="37">
        <f t="shared" si="0"/>
        <v>2710</v>
      </c>
      <c r="T7" s="37">
        <f t="shared" si="0"/>
        <v>1640</v>
      </c>
      <c r="U7" s="37">
        <f t="shared" si="0"/>
        <v>4560</v>
      </c>
      <c r="V7" s="37">
        <f t="shared" si="0"/>
        <v>3900</v>
      </c>
      <c r="W7" s="37">
        <f t="shared" si="0"/>
        <v>2830</v>
      </c>
      <c r="X7" s="37">
        <f t="shared" si="0"/>
        <v>4360</v>
      </c>
      <c r="Y7" s="37">
        <f t="shared" si="0"/>
        <v>5540</v>
      </c>
      <c r="Z7" s="37">
        <f t="shared" si="0"/>
        <v>2500</v>
      </c>
      <c r="AA7" s="37">
        <f t="shared" si="0"/>
        <v>2740</v>
      </c>
      <c r="AB7" s="37">
        <f t="shared" si="0"/>
        <v>8040</v>
      </c>
      <c r="AC7" s="37">
        <f t="shared" si="0"/>
        <v>11530</v>
      </c>
      <c r="AD7" s="34">
        <f>SUM(Q7:AC7)</f>
        <v>64380</v>
      </c>
      <c r="AF7" s="20">
        <f t="shared" ref="AF7:AF36" si="1">Q7*$D$39</f>
        <v>53.050000000000004</v>
      </c>
      <c r="AG7" s="20">
        <f t="shared" ref="AG7:AG36" si="2">R7*$D$39</f>
        <v>17.100000000000001</v>
      </c>
      <c r="AH7" s="20">
        <f t="shared" ref="AH7:AH36" si="3">S7*$D$39</f>
        <v>13.55</v>
      </c>
      <c r="AI7" s="20">
        <f t="shared" ref="AI7:AI36" si="4">T7*$D$39</f>
        <v>8.1999999999999993</v>
      </c>
      <c r="AJ7" s="20">
        <f t="shared" ref="AJ7:AJ36" si="5">U7*$D$39</f>
        <v>22.8</v>
      </c>
      <c r="AK7" s="20">
        <f t="shared" ref="AK7:AK36" si="6">V7*$D$39</f>
        <v>19.5</v>
      </c>
      <c r="AL7" s="20">
        <f t="shared" ref="AL7:AL36" si="7">W7*$D$39</f>
        <v>14.15</v>
      </c>
      <c r="AM7" s="20">
        <f t="shared" ref="AM7:AM36" si="8">X7*$D$39</f>
        <v>21.8</v>
      </c>
      <c r="AN7" s="20">
        <f t="shared" ref="AN7:AN36" si="9">Y7*$D$39</f>
        <v>27.7</v>
      </c>
      <c r="AO7" s="20">
        <f t="shared" ref="AO7:AO36" si="10">Z7*$D$39</f>
        <v>12.5</v>
      </c>
      <c r="AP7" s="20">
        <f t="shared" ref="AP7:AP36" si="11">AA7*$D$39</f>
        <v>13.700000000000001</v>
      </c>
      <c r="AQ7" s="20">
        <f t="shared" ref="AQ7:AQ36" si="12">AB7*$D$39</f>
        <v>40.200000000000003</v>
      </c>
      <c r="AR7" s="20">
        <f t="shared" ref="AR7:AR36" si="13">AC7*$D$39</f>
        <v>57.65</v>
      </c>
      <c r="AS7" s="35">
        <f>SUM(AF7:AR7)</f>
        <v>321.89999999999998</v>
      </c>
      <c r="AU7" s="54">
        <v>299844</v>
      </c>
      <c r="AV7" s="37">
        <f>IF((AU7-AU6&lt;0),"0",AU7-AU6)</f>
        <v>1434</v>
      </c>
      <c r="AW7" s="37">
        <f>AV7*100*AV44</f>
        <v>542.82779400000004</v>
      </c>
      <c r="AX7" s="35">
        <f t="shared" ref="AX7:AX35" si="14">AV7*$D$40</f>
        <v>2.8679999999999999</v>
      </c>
    </row>
    <row r="8" spans="1:50" x14ac:dyDescent="0.25">
      <c r="A8" s="23">
        <v>44867</v>
      </c>
      <c r="B8" s="40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Q8" s="37" t="str">
        <f>IF((C8-C7&lt;0), "0",C8-C7)</f>
        <v>0</v>
      </c>
      <c r="R8" s="37" t="str">
        <f t="shared" ref="R8:AC8" si="15">IF((D8-D7&lt;0), "0",D8-D7)</f>
        <v>0</v>
      </c>
      <c r="S8" s="37" t="str">
        <f t="shared" ref="S8:S35" si="16">IF((E8-E7&lt;0), "0",E8-E7)</f>
        <v>0</v>
      </c>
      <c r="T8" s="37" t="str">
        <f t="shared" si="15"/>
        <v>0</v>
      </c>
      <c r="U8" s="37" t="str">
        <f t="shared" si="15"/>
        <v>0</v>
      </c>
      <c r="V8" s="37" t="str">
        <f t="shared" si="15"/>
        <v>0</v>
      </c>
      <c r="W8" s="37" t="str">
        <f t="shared" si="15"/>
        <v>0</v>
      </c>
      <c r="X8" s="37" t="str">
        <f t="shared" si="15"/>
        <v>0</v>
      </c>
      <c r="Y8" s="37" t="str">
        <f t="shared" si="15"/>
        <v>0</v>
      </c>
      <c r="Z8" s="37" t="str">
        <f t="shared" si="15"/>
        <v>0</v>
      </c>
      <c r="AA8" s="37" t="str">
        <f t="shared" si="15"/>
        <v>0</v>
      </c>
      <c r="AB8" s="37" t="str">
        <f t="shared" si="15"/>
        <v>0</v>
      </c>
      <c r="AC8" s="37" t="str">
        <f t="shared" si="15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U8" s="55"/>
      <c r="AV8" s="37" t="str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25">
      <c r="A9" s="23">
        <v>44868</v>
      </c>
      <c r="B9" s="4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Q9" s="37">
        <f t="shared" ref="Q9:Q30" si="17">IF((C9-C8&lt;0), "0",C9-C8)</f>
        <v>0</v>
      </c>
      <c r="R9" s="37">
        <f t="shared" ref="R9:R37" si="18">IF((D9-D8&lt;0), "0",D9-D8)</f>
        <v>0</v>
      </c>
      <c r="S9" s="37">
        <f t="shared" si="16"/>
        <v>0</v>
      </c>
      <c r="T9" s="37">
        <f t="shared" ref="T9:T35" si="19">IF((F9-F8&lt;0), "0",F9-F8)</f>
        <v>0</v>
      </c>
      <c r="U9" s="37">
        <f t="shared" ref="U9:U35" si="20">IF((G9-G8&lt;0), "0",G9-G8)</f>
        <v>0</v>
      </c>
      <c r="V9" s="37">
        <f t="shared" ref="V9:V35" si="21">IF((H9-H8&lt;0), "0",H9-H8)</f>
        <v>0</v>
      </c>
      <c r="W9" s="37">
        <f t="shared" ref="W9:W35" si="22">IF((I9-I8&lt;0), "0",I9-I8)</f>
        <v>0</v>
      </c>
      <c r="X9" s="37">
        <f t="shared" ref="X9:X37" si="23">IF((J9-J8&lt;0), "0",J9-J8)</f>
        <v>0</v>
      </c>
      <c r="Y9" s="37">
        <f t="shared" ref="Y9:Y35" si="24">IF((K9-K8&lt;0), "0",K9-K8)</f>
        <v>0</v>
      </c>
      <c r="Z9" s="37">
        <f t="shared" ref="Z9:Z35" si="25">IF((L9-L8&lt;0), "0",L9-L8)</f>
        <v>0</v>
      </c>
      <c r="AA9" s="37">
        <f t="shared" ref="AA9:AA35" si="26">IF((M9-M8&lt;0), "0",M9-M8)</f>
        <v>0</v>
      </c>
      <c r="AB9" s="37">
        <f t="shared" ref="AB9:AB37" si="27">IF((N9-N8&lt;0), "0",N9-N8)</f>
        <v>0</v>
      </c>
      <c r="AC9" s="37">
        <f t="shared" ref="AC9:AC37" si="28">IF((O9-O8&lt;0), "0",O9-O8)</f>
        <v>0</v>
      </c>
      <c r="AD9" s="35">
        <f t="shared" ref="AD9:AD37" si="29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0">SUM(AF9:AR9)</f>
        <v>0</v>
      </c>
      <c r="AU9" s="58"/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25">
      <c r="A10" s="23">
        <v>44869</v>
      </c>
      <c r="B10" s="40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Q10" s="37">
        <f t="shared" si="17"/>
        <v>0</v>
      </c>
      <c r="R10" s="37">
        <f t="shared" si="18"/>
        <v>0</v>
      </c>
      <c r="S10" s="37">
        <f t="shared" si="16"/>
        <v>0</v>
      </c>
      <c r="T10" s="37">
        <f t="shared" si="19"/>
        <v>0</v>
      </c>
      <c r="U10" s="37">
        <f t="shared" si="20"/>
        <v>0</v>
      </c>
      <c r="V10" s="37">
        <f t="shared" si="21"/>
        <v>0</v>
      </c>
      <c r="W10" s="37">
        <f t="shared" si="22"/>
        <v>0</v>
      </c>
      <c r="X10" s="37">
        <f t="shared" si="23"/>
        <v>0</v>
      </c>
      <c r="Y10" s="37">
        <f t="shared" si="24"/>
        <v>0</v>
      </c>
      <c r="Z10" s="37">
        <f t="shared" si="25"/>
        <v>0</v>
      </c>
      <c r="AA10" s="37">
        <f t="shared" si="26"/>
        <v>0</v>
      </c>
      <c r="AB10" s="37">
        <f t="shared" si="27"/>
        <v>0</v>
      </c>
      <c r="AC10" s="37">
        <f t="shared" si="28"/>
        <v>0</v>
      </c>
      <c r="AD10" s="35">
        <f t="shared" si="29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0"/>
        <v>0</v>
      </c>
      <c r="AU10" s="55"/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25">
      <c r="A11" s="23">
        <v>44870</v>
      </c>
      <c r="B11" s="4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Q11" s="37">
        <f t="shared" si="17"/>
        <v>0</v>
      </c>
      <c r="R11" s="37">
        <f t="shared" si="18"/>
        <v>0</v>
      </c>
      <c r="S11" s="37">
        <f t="shared" si="16"/>
        <v>0</v>
      </c>
      <c r="T11" s="37">
        <f t="shared" si="19"/>
        <v>0</v>
      </c>
      <c r="U11" s="37">
        <f t="shared" si="20"/>
        <v>0</v>
      </c>
      <c r="V11" s="37">
        <f t="shared" si="21"/>
        <v>0</v>
      </c>
      <c r="W11" s="37">
        <f t="shared" si="22"/>
        <v>0</v>
      </c>
      <c r="X11" s="37">
        <f t="shared" si="23"/>
        <v>0</v>
      </c>
      <c r="Y11" s="37">
        <f t="shared" si="24"/>
        <v>0</v>
      </c>
      <c r="Z11" s="37">
        <f t="shared" si="25"/>
        <v>0</v>
      </c>
      <c r="AA11" s="37">
        <f t="shared" si="26"/>
        <v>0</v>
      </c>
      <c r="AB11" s="37">
        <f t="shared" si="27"/>
        <v>0</v>
      </c>
      <c r="AC11" s="37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54"/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25">
      <c r="A12" s="23">
        <v>44871</v>
      </c>
      <c r="B12" s="40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55"/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25">
      <c r="A13" s="23">
        <v>44872</v>
      </c>
      <c r="B13" s="4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60"/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25">
      <c r="A14" s="23">
        <v>44873</v>
      </c>
      <c r="B14" s="40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49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5"/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25">
      <c r="A15" s="23">
        <v>44874</v>
      </c>
      <c r="B15" s="4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4"/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25">
      <c r="A16" s="23">
        <v>44875</v>
      </c>
      <c r="B16" s="4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5"/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25">
      <c r="A17" s="23">
        <v>44876</v>
      </c>
      <c r="B17" s="40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8"/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25">
      <c r="A18" s="23">
        <v>44877</v>
      </c>
      <c r="B18" s="40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5"/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25">
      <c r="A19" s="23">
        <v>44878</v>
      </c>
      <c r="B19" s="4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4"/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25">
      <c r="A20" s="23">
        <v>44879</v>
      </c>
      <c r="B20" s="40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5"/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25">
      <c r="A21" s="23">
        <v>44880</v>
      </c>
      <c r="B21" s="4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4"/>
      <c r="AV21" s="37">
        <f>IF((AU21-AU20&lt;0),"0",AU21-AU20)</f>
        <v>0</v>
      </c>
      <c r="AW21" s="37">
        <f>AV21*100*AV44</f>
        <v>0</v>
      </c>
      <c r="AX21" s="35">
        <f t="shared" si="14"/>
        <v>0</v>
      </c>
    </row>
    <row r="22" spans="1:50" x14ac:dyDescent="0.25">
      <c r="A22" s="23">
        <v>44881</v>
      </c>
      <c r="B22" s="40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5"/>
      <c r="AV22" s="37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44883</v>
      </c>
      <c r="B24" s="4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44885</v>
      </c>
      <c r="B26" s="40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44888</v>
      </c>
      <c r="B29" s="40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60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44889</v>
      </c>
      <c r="B30" s="4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5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44890</v>
      </c>
      <c r="B31" s="4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8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44891</v>
      </c>
      <c r="B32" s="40"/>
      <c r="C32" s="24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5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44892</v>
      </c>
      <c r="B33" s="40"/>
      <c r="C33" s="24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4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44893</v>
      </c>
      <c r="B34" s="48"/>
      <c r="C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5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44894</v>
      </c>
      <c r="B35" s="40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60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44895</v>
      </c>
      <c r="B36" s="40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53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10610</v>
      </c>
      <c r="R38" s="38">
        <f t="shared" ref="R38:AD38" si="60">SUM(R7:R37)</f>
        <v>3420</v>
      </c>
      <c r="S38" s="38">
        <f t="shared" si="60"/>
        <v>2710</v>
      </c>
      <c r="T38" s="38">
        <f t="shared" si="60"/>
        <v>1640</v>
      </c>
      <c r="U38" s="38">
        <f t="shared" si="60"/>
        <v>4560</v>
      </c>
      <c r="V38" s="38">
        <f t="shared" si="60"/>
        <v>3900</v>
      </c>
      <c r="W38" s="38">
        <f t="shared" si="60"/>
        <v>2830</v>
      </c>
      <c r="X38" s="38">
        <f t="shared" si="60"/>
        <v>4360</v>
      </c>
      <c r="Y38" s="38">
        <f t="shared" si="60"/>
        <v>5540</v>
      </c>
      <c r="Z38" s="38">
        <f t="shared" si="60"/>
        <v>2500</v>
      </c>
      <c r="AA38" s="38">
        <f t="shared" si="60"/>
        <v>2740</v>
      </c>
      <c r="AB38" s="38">
        <f t="shared" si="60"/>
        <v>8040</v>
      </c>
      <c r="AC38" s="38">
        <f t="shared" si="60"/>
        <v>11530</v>
      </c>
      <c r="AD38" s="38">
        <f t="shared" si="60"/>
        <v>64380</v>
      </c>
      <c r="AF38" s="35">
        <f>SUM(AF7:AF37)</f>
        <v>53.050000000000004</v>
      </c>
      <c r="AG38" s="35">
        <f t="shared" ref="AG38:AS38" si="61">SUM(AG7:AG37)</f>
        <v>17.100000000000001</v>
      </c>
      <c r="AH38" s="35">
        <f t="shared" si="61"/>
        <v>13.55</v>
      </c>
      <c r="AI38" s="35">
        <f t="shared" si="61"/>
        <v>8.1999999999999993</v>
      </c>
      <c r="AJ38" s="35">
        <f t="shared" si="61"/>
        <v>22.8</v>
      </c>
      <c r="AK38" s="35">
        <f t="shared" si="61"/>
        <v>19.5</v>
      </c>
      <c r="AL38" s="35">
        <f t="shared" si="61"/>
        <v>14.15</v>
      </c>
      <c r="AM38" s="35">
        <f t="shared" si="61"/>
        <v>21.8</v>
      </c>
      <c r="AN38" s="35">
        <f t="shared" si="61"/>
        <v>27.7</v>
      </c>
      <c r="AO38" s="35">
        <f t="shared" si="61"/>
        <v>12.5</v>
      </c>
      <c r="AP38" s="35">
        <f t="shared" si="61"/>
        <v>13.700000000000001</v>
      </c>
      <c r="AQ38" s="35">
        <f t="shared" si="61"/>
        <v>40.200000000000003</v>
      </c>
      <c r="AR38" s="35">
        <f t="shared" si="61"/>
        <v>57.65</v>
      </c>
      <c r="AS38" s="35">
        <f t="shared" si="61"/>
        <v>321.89999999999998</v>
      </c>
      <c r="AU38" s="46"/>
      <c r="AV38" s="34">
        <f>SUM(AV7:AV37)</f>
        <v>1434</v>
      </c>
      <c r="AW38" s="34">
        <f>SUM(AW7:AW37)</f>
        <v>542.82779400000004</v>
      </c>
      <c r="AX38" s="35">
        <f>SUM(AX7:AX37)</f>
        <v>2.8679999999999999</v>
      </c>
    </row>
    <row r="39" spans="1:50" x14ac:dyDescent="0.25">
      <c r="B39" s="39">
        <f>SUM(B7:B37)</f>
        <v>65</v>
      </c>
      <c r="D39">
        <v>5.0000000000000001E-3</v>
      </c>
      <c r="AV39" s="36"/>
      <c r="AW39" s="50">
        <f>AW38/31</f>
        <v>17.510574000000002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2022-11-02T13:22:33Z</dcterms:modified>
</cp:coreProperties>
</file>