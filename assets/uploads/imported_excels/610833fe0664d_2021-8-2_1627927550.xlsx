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odeName="ThisWorkbook" defaultThemeVersion="124226"/>
  <mc:AlternateContent xmlns:mc="http://schemas.openxmlformats.org/markup-compatibility/2006">
    <mc:Choice Requires="x15">
      <x15ac:absPath xmlns:x15ac="http://schemas.microsoft.com/office/spreadsheetml/2010/11/ac" url="https://fshr.sharepoint.com/teams/HFS_Engineering_O365/Shared Documents/General/HEP Utility Reporting/"/>
    </mc:Choice>
  </mc:AlternateContent>
  <xr:revisionPtr revIDLastSave="0" documentId="8_{2D67B2E7-3EB6-432B-8A44-52DD19F54AEF}" xr6:coauthVersionLast="47" xr6:coauthVersionMax="47" xr10:uidLastSave="{00000000-0000-0000-0000-000000000000}"/>
  <bookViews>
    <workbookView xWindow="3630" yWindow="975" windowWidth="14400" windowHeight="10755" tabRatio="602" firstSheet="19" activeTab="20" xr2:uid="{00000000-000D-0000-FFFF-FFFF00000000}"/>
  </bookViews>
  <sheets>
    <sheet name="Dec 19" sheetId="11" r:id="rId1"/>
    <sheet name="Annual Consumption" sheetId="39" r:id="rId2"/>
    <sheet name="Jan" sheetId="26" r:id="rId3"/>
    <sheet name="Feb" sheetId="27" r:id="rId4"/>
    <sheet name="Mar" sheetId="28" r:id="rId5"/>
    <sheet name="Apr" sheetId="29" r:id="rId6"/>
    <sheet name="May" sheetId="30" r:id="rId7"/>
    <sheet name="Jun" sheetId="31" r:id="rId8"/>
    <sheet name="Jul" sheetId="32" r:id="rId9"/>
    <sheet name="Aug" sheetId="33" r:id="rId10"/>
    <sheet name="Sep" sheetId="34" r:id="rId11"/>
    <sheet name="Oct" sheetId="35" r:id="rId12"/>
    <sheet name="Dec" sheetId="37" r:id="rId13"/>
    <sheet name="Nov" sheetId="36" r:id="rId14"/>
    <sheet name="Jan 21" sheetId="46" r:id="rId15"/>
    <sheet name="Feb 21" sheetId="47" r:id="rId16"/>
    <sheet name="March21" sheetId="48" r:id="rId17"/>
    <sheet name="April 2021 (2)" sheetId="50" r:id="rId18"/>
    <sheet name="May 2021" sheetId="49" r:id="rId19"/>
    <sheet name="June 2021" sheetId="51" r:id="rId20"/>
    <sheet name="July 2021" sheetId="52" r:id="rId21"/>
  </sheets>
  <externalReferences>
    <externalReference r:id="rId22"/>
  </externalReferences>
  <definedNames>
    <definedName name="_xlnm.Print_Area" localSheetId="1">'Annual Consumption'!$A$1:$V$20</definedName>
    <definedName name="_xlnm.Print_Area" localSheetId="5">Apr!$A$1:$V$36</definedName>
    <definedName name="_xlnm.Print_Area" localSheetId="9">Aug!$A$1:$L$36</definedName>
    <definedName name="_xlnm.Print_Area" localSheetId="12">Dec!$A$1:$L$36</definedName>
    <definedName name="_xlnm.Print_Area" localSheetId="0">'Dec 19'!$A$1:$V$36</definedName>
    <definedName name="_xlnm.Print_Area" localSheetId="3">Feb!$A$1:$AO$51</definedName>
    <definedName name="_xlnm.Print_Area" localSheetId="2">Jan!$A$1:$V$36</definedName>
    <definedName name="_xlnm.Print_Area" localSheetId="14">'Jan 21'!$A$1:$V$36</definedName>
    <definedName name="_xlnm.Print_Area" localSheetId="8">Jul!$A$1:$L$36</definedName>
    <definedName name="_xlnm.Print_Area" localSheetId="7">Jun!$A$1:$V$36</definedName>
    <definedName name="_xlnm.Print_Area" localSheetId="4">Mar!$A$1:$V$36</definedName>
    <definedName name="_xlnm.Print_Area" localSheetId="6">May!$A$1:$V$36</definedName>
    <definedName name="_xlnm.Print_Area" localSheetId="13">Nov!$A$1:$L$36</definedName>
    <definedName name="_xlnm.Print_Area" localSheetId="11">Oct!$A$1:$L$36</definedName>
    <definedName name="_xlnm.Print_Area" localSheetId="10">Sep!$A$1:$L$36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44" i="52" l="1"/>
  <c r="AK44" i="52"/>
  <c r="AI44" i="52"/>
  <c r="AH44" i="52"/>
  <c r="AG44" i="52"/>
  <c r="AF44" i="52"/>
  <c r="AD44" i="52"/>
  <c r="AC44" i="52"/>
  <c r="AB44" i="52"/>
  <c r="AA44" i="52"/>
  <c r="Z44" i="52"/>
  <c r="Y44" i="52"/>
  <c r="AN43" i="52"/>
  <c r="AM43" i="52"/>
  <c r="AL43" i="52"/>
  <c r="AK43" i="52"/>
  <c r="AI43" i="52"/>
  <c r="AH43" i="52"/>
  <c r="AG43" i="52"/>
  <c r="AF43" i="52"/>
  <c r="AD43" i="52"/>
  <c r="AC43" i="52"/>
  <c r="AB43" i="52"/>
  <c r="AA43" i="52"/>
  <c r="Z43" i="52"/>
  <c r="Y43" i="52"/>
  <c r="V39" i="52"/>
  <c r="V42" i="52" s="1"/>
  <c r="U39" i="52"/>
  <c r="U42" i="52" s="1"/>
  <c r="T39" i="52"/>
  <c r="T42" i="52" s="1"/>
  <c r="N39" i="52"/>
  <c r="N42" i="52" s="1"/>
  <c r="J39" i="52"/>
  <c r="J42" i="52" s="1"/>
  <c r="I39" i="52"/>
  <c r="I42" i="52" s="1"/>
  <c r="B39" i="52"/>
  <c r="B42" i="52" s="1"/>
  <c r="AN33" i="52"/>
  <c r="AM33" i="52"/>
  <c r="AL33" i="52"/>
  <c r="AK33" i="52"/>
  <c r="AI33" i="52"/>
  <c r="AH33" i="52"/>
  <c r="AG33" i="52"/>
  <c r="AF33" i="52"/>
  <c r="AD33" i="52"/>
  <c r="AC33" i="52"/>
  <c r="AB33" i="52"/>
  <c r="AA33" i="52"/>
  <c r="Z33" i="52"/>
  <c r="Y33" i="52"/>
  <c r="R33" i="52"/>
  <c r="AN32" i="52"/>
  <c r="AM32" i="52"/>
  <c r="AL32" i="52"/>
  <c r="AK32" i="52"/>
  <c r="AI32" i="52"/>
  <c r="AH32" i="52"/>
  <c r="AG32" i="52"/>
  <c r="AF32" i="52"/>
  <c r="AD32" i="52"/>
  <c r="AC32" i="52"/>
  <c r="AB32" i="52"/>
  <c r="AA32" i="52"/>
  <c r="Z32" i="52"/>
  <c r="Y32" i="52"/>
  <c r="R32" i="52"/>
  <c r="AN31" i="52"/>
  <c r="AM31" i="52"/>
  <c r="AL31" i="52"/>
  <c r="AK31" i="52"/>
  <c r="AI31" i="52"/>
  <c r="AH31" i="52"/>
  <c r="AG31" i="52"/>
  <c r="AF31" i="52"/>
  <c r="AD31" i="52"/>
  <c r="AC31" i="52"/>
  <c r="AB31" i="52"/>
  <c r="AA31" i="52"/>
  <c r="Z31" i="52"/>
  <c r="Y31" i="52"/>
  <c r="R31" i="52"/>
  <c r="AN30" i="52"/>
  <c r="AM30" i="52"/>
  <c r="AL30" i="52"/>
  <c r="AK30" i="52"/>
  <c r="AI30" i="52"/>
  <c r="AH30" i="52"/>
  <c r="AG30" i="52"/>
  <c r="AF30" i="52"/>
  <c r="AD30" i="52"/>
  <c r="AC30" i="52"/>
  <c r="AB30" i="52"/>
  <c r="AA30" i="52"/>
  <c r="Z30" i="52"/>
  <c r="Y30" i="52"/>
  <c r="R30" i="52"/>
  <c r="AN29" i="52"/>
  <c r="AM29" i="52"/>
  <c r="AL29" i="52"/>
  <c r="AK29" i="52"/>
  <c r="AI29" i="52"/>
  <c r="AH29" i="52"/>
  <c r="AG29" i="52"/>
  <c r="AF29" i="52"/>
  <c r="AD29" i="52"/>
  <c r="AC29" i="52"/>
  <c r="AB29" i="52"/>
  <c r="AA29" i="52"/>
  <c r="Z29" i="52"/>
  <c r="Y29" i="52"/>
  <c r="R29" i="52"/>
  <c r="AN28" i="52"/>
  <c r="AM28" i="52"/>
  <c r="AL28" i="52"/>
  <c r="AK28" i="52"/>
  <c r="AI28" i="52"/>
  <c r="AH28" i="52"/>
  <c r="AG28" i="52"/>
  <c r="AF28" i="52"/>
  <c r="AD28" i="52"/>
  <c r="AC28" i="52"/>
  <c r="AB28" i="52"/>
  <c r="AA28" i="52"/>
  <c r="Z28" i="52"/>
  <c r="Y28" i="52"/>
  <c r="R28" i="52"/>
  <c r="AN27" i="52"/>
  <c r="AM27" i="52"/>
  <c r="AL27" i="52"/>
  <c r="AK27" i="52"/>
  <c r="AI27" i="52"/>
  <c r="AH27" i="52"/>
  <c r="AG27" i="52"/>
  <c r="AF27" i="52"/>
  <c r="AD27" i="52"/>
  <c r="AC27" i="52"/>
  <c r="AB27" i="52"/>
  <c r="AA27" i="52"/>
  <c r="Z27" i="52"/>
  <c r="Y27" i="52"/>
  <c r="R27" i="52"/>
  <c r="AN26" i="52"/>
  <c r="AM26" i="52"/>
  <c r="AL26" i="52"/>
  <c r="AK26" i="52"/>
  <c r="AI26" i="52"/>
  <c r="AH26" i="52"/>
  <c r="AG26" i="52"/>
  <c r="AF26" i="52"/>
  <c r="AD26" i="52"/>
  <c r="AC26" i="52"/>
  <c r="AB26" i="52"/>
  <c r="AA26" i="52"/>
  <c r="Z26" i="52"/>
  <c r="Y26" i="52"/>
  <c r="R26" i="52"/>
  <c r="AN25" i="52"/>
  <c r="AM25" i="52"/>
  <c r="AL25" i="52"/>
  <c r="AK25" i="52"/>
  <c r="AI25" i="52"/>
  <c r="AH25" i="52"/>
  <c r="AG25" i="52"/>
  <c r="AF25" i="52"/>
  <c r="AD25" i="52"/>
  <c r="AC25" i="52"/>
  <c r="AB25" i="52"/>
  <c r="AA25" i="52"/>
  <c r="Z25" i="52"/>
  <c r="Y25" i="52"/>
  <c r="R25" i="52"/>
  <c r="AN24" i="52"/>
  <c r="AM24" i="52"/>
  <c r="AL24" i="52"/>
  <c r="AK24" i="52"/>
  <c r="AI24" i="52"/>
  <c r="AH24" i="52"/>
  <c r="AG24" i="52"/>
  <c r="AF24" i="52"/>
  <c r="AD24" i="52"/>
  <c r="AC24" i="52"/>
  <c r="AB24" i="52"/>
  <c r="AA24" i="52"/>
  <c r="Z24" i="52"/>
  <c r="Y24" i="52"/>
  <c r="R24" i="52"/>
  <c r="AN23" i="52"/>
  <c r="AM23" i="52"/>
  <c r="AL23" i="52"/>
  <c r="AK23" i="52"/>
  <c r="AI23" i="52"/>
  <c r="AH23" i="52"/>
  <c r="AG23" i="52"/>
  <c r="AF23" i="52"/>
  <c r="AD23" i="52"/>
  <c r="AC23" i="52"/>
  <c r="AB23" i="52"/>
  <c r="AA23" i="52"/>
  <c r="Z23" i="52"/>
  <c r="Y23" i="52"/>
  <c r="R23" i="52"/>
  <c r="AN22" i="52"/>
  <c r="AM22" i="52"/>
  <c r="AL22" i="52"/>
  <c r="AK22" i="52"/>
  <c r="AI22" i="52"/>
  <c r="AH22" i="52"/>
  <c r="AG22" i="52"/>
  <c r="AF22" i="52"/>
  <c r="AD22" i="52"/>
  <c r="AC22" i="52"/>
  <c r="AB22" i="52"/>
  <c r="AA22" i="52"/>
  <c r="Z22" i="52"/>
  <c r="Y22" i="52"/>
  <c r="R22" i="52"/>
  <c r="AN21" i="52"/>
  <c r="AM21" i="52"/>
  <c r="AL21" i="52"/>
  <c r="AK21" i="52"/>
  <c r="AI21" i="52"/>
  <c r="AH21" i="52"/>
  <c r="AG21" i="52"/>
  <c r="AF21" i="52"/>
  <c r="AD21" i="52"/>
  <c r="AC21" i="52"/>
  <c r="AB21" i="52"/>
  <c r="AA21" i="52"/>
  <c r="Z21" i="52"/>
  <c r="Y21" i="52"/>
  <c r="R21" i="52"/>
  <c r="AN20" i="52"/>
  <c r="AM20" i="52"/>
  <c r="AL20" i="52"/>
  <c r="AK20" i="52"/>
  <c r="AI20" i="52"/>
  <c r="AH20" i="52"/>
  <c r="AG20" i="52"/>
  <c r="AF20" i="52"/>
  <c r="AD20" i="52"/>
  <c r="AC20" i="52"/>
  <c r="AB20" i="52"/>
  <c r="AA20" i="52"/>
  <c r="Z20" i="52"/>
  <c r="Y20" i="52"/>
  <c r="R20" i="52"/>
  <c r="AN19" i="52"/>
  <c r="AM19" i="52"/>
  <c r="AL19" i="52"/>
  <c r="AK19" i="52"/>
  <c r="AI19" i="52"/>
  <c r="AH19" i="52"/>
  <c r="AG19" i="52"/>
  <c r="AF19" i="52"/>
  <c r="AD19" i="52"/>
  <c r="AC19" i="52"/>
  <c r="AB19" i="52"/>
  <c r="AA19" i="52"/>
  <c r="Z19" i="52"/>
  <c r="Y19" i="52"/>
  <c r="R19" i="52"/>
  <c r="AN18" i="52"/>
  <c r="AM18" i="52"/>
  <c r="AL18" i="52"/>
  <c r="AK18" i="52"/>
  <c r="AI18" i="52"/>
  <c r="AH18" i="52"/>
  <c r="AG18" i="52"/>
  <c r="AF18" i="52"/>
  <c r="AD18" i="52"/>
  <c r="AC18" i="52"/>
  <c r="AB18" i="52"/>
  <c r="AA18" i="52"/>
  <c r="Z18" i="52"/>
  <c r="Y18" i="52"/>
  <c r="R18" i="52"/>
  <c r="AN17" i="52"/>
  <c r="AM17" i="52"/>
  <c r="AL17" i="52"/>
  <c r="AK17" i="52"/>
  <c r="AI17" i="52"/>
  <c r="AH17" i="52"/>
  <c r="AG17" i="52"/>
  <c r="AF17" i="52"/>
  <c r="AD17" i="52"/>
  <c r="AC17" i="52"/>
  <c r="AB17" i="52"/>
  <c r="AA17" i="52"/>
  <c r="Z17" i="52"/>
  <c r="Y17" i="52"/>
  <c r="R17" i="52"/>
  <c r="AN16" i="52"/>
  <c r="AM16" i="52"/>
  <c r="AL16" i="52"/>
  <c r="AK16" i="52"/>
  <c r="AI16" i="52"/>
  <c r="AH16" i="52"/>
  <c r="AG16" i="52"/>
  <c r="AF16" i="52"/>
  <c r="AD16" i="52"/>
  <c r="AC16" i="52"/>
  <c r="AB16" i="52"/>
  <c r="AA16" i="52"/>
  <c r="Z16" i="52"/>
  <c r="Y16" i="52"/>
  <c r="R16" i="52"/>
  <c r="AN15" i="52"/>
  <c r="AM15" i="52"/>
  <c r="AL15" i="52"/>
  <c r="AK15" i="52"/>
  <c r="AI15" i="52"/>
  <c r="AH15" i="52"/>
  <c r="AG15" i="52"/>
  <c r="AF15" i="52"/>
  <c r="AD15" i="52"/>
  <c r="AC15" i="52"/>
  <c r="AB15" i="52"/>
  <c r="AA15" i="52"/>
  <c r="Z15" i="52"/>
  <c r="Y15" i="52"/>
  <c r="R15" i="52"/>
  <c r="AN14" i="52"/>
  <c r="AM14" i="52"/>
  <c r="AL14" i="52"/>
  <c r="AK14" i="52"/>
  <c r="AI14" i="52"/>
  <c r="AH14" i="52"/>
  <c r="AG14" i="52"/>
  <c r="AF14" i="52"/>
  <c r="AD14" i="52"/>
  <c r="AC14" i="52"/>
  <c r="AB14" i="52"/>
  <c r="AA14" i="52"/>
  <c r="Z14" i="52"/>
  <c r="Y14" i="52"/>
  <c r="R14" i="52"/>
  <c r="AN13" i="52"/>
  <c r="AM13" i="52"/>
  <c r="AL13" i="52"/>
  <c r="AK13" i="52"/>
  <c r="AI13" i="52"/>
  <c r="AH13" i="52"/>
  <c r="AG13" i="52"/>
  <c r="AF13" i="52"/>
  <c r="AD13" i="52"/>
  <c r="AC13" i="52"/>
  <c r="AB13" i="52"/>
  <c r="AA13" i="52"/>
  <c r="Z13" i="52"/>
  <c r="Y13" i="52"/>
  <c r="R13" i="52"/>
  <c r="AN12" i="52"/>
  <c r="AM12" i="52"/>
  <c r="AL12" i="52"/>
  <c r="AK12" i="52"/>
  <c r="AI12" i="52"/>
  <c r="AH12" i="52"/>
  <c r="AG12" i="52"/>
  <c r="AF12" i="52"/>
  <c r="AD12" i="52"/>
  <c r="AC12" i="52"/>
  <c r="AB12" i="52"/>
  <c r="AA12" i="52"/>
  <c r="Z12" i="52"/>
  <c r="Y12" i="52"/>
  <c r="R12" i="52"/>
  <c r="AN11" i="52"/>
  <c r="AM11" i="52"/>
  <c r="AL11" i="52"/>
  <c r="AK11" i="52"/>
  <c r="AI11" i="52"/>
  <c r="AH11" i="52"/>
  <c r="AG11" i="52"/>
  <c r="AF11" i="52"/>
  <c r="AD11" i="52"/>
  <c r="AC11" i="52"/>
  <c r="AB11" i="52"/>
  <c r="AA11" i="52"/>
  <c r="Z11" i="52"/>
  <c r="Y11" i="52"/>
  <c r="R11" i="52"/>
  <c r="AN10" i="52"/>
  <c r="AM10" i="52"/>
  <c r="AL10" i="52"/>
  <c r="AK10" i="52"/>
  <c r="AI10" i="52"/>
  <c r="AH10" i="52"/>
  <c r="AG10" i="52"/>
  <c r="AF10" i="52"/>
  <c r="AD10" i="52"/>
  <c r="AC10" i="52"/>
  <c r="AB10" i="52"/>
  <c r="AA10" i="52"/>
  <c r="Z10" i="52"/>
  <c r="Y10" i="52"/>
  <c r="R10" i="52"/>
  <c r="AN9" i="52"/>
  <c r="AM9" i="52"/>
  <c r="AL9" i="52"/>
  <c r="AK9" i="52"/>
  <c r="AI9" i="52"/>
  <c r="AH9" i="52"/>
  <c r="AG9" i="52"/>
  <c r="AF9" i="52"/>
  <c r="AD9" i="52"/>
  <c r="AC9" i="52"/>
  <c r="AB9" i="52"/>
  <c r="AA9" i="52"/>
  <c r="Z9" i="52"/>
  <c r="Y9" i="52"/>
  <c r="R9" i="52"/>
  <c r="AN8" i="52"/>
  <c r="AM8" i="52"/>
  <c r="AL8" i="52"/>
  <c r="AK8" i="52"/>
  <c r="AI8" i="52"/>
  <c r="AH8" i="52"/>
  <c r="AG8" i="52"/>
  <c r="AF8" i="52"/>
  <c r="AD8" i="52"/>
  <c r="AC8" i="52"/>
  <c r="AB8" i="52"/>
  <c r="AA8" i="52"/>
  <c r="Z8" i="52"/>
  <c r="Y8" i="52"/>
  <c r="R8" i="52"/>
  <c r="AN7" i="52"/>
  <c r="AM7" i="52"/>
  <c r="AL7" i="52"/>
  <c r="AK7" i="52"/>
  <c r="AI7" i="52"/>
  <c r="AH7" i="52"/>
  <c r="AG7" i="52"/>
  <c r="AF7" i="52"/>
  <c r="AD7" i="52"/>
  <c r="AC7" i="52"/>
  <c r="AB7" i="52"/>
  <c r="AA7" i="52"/>
  <c r="Z7" i="52"/>
  <c r="Y7" i="52"/>
  <c r="R7" i="52"/>
  <c r="AK6" i="52"/>
  <c r="AK39" i="52" s="1"/>
  <c r="AG6" i="52"/>
  <c r="AG39" i="52" s="1"/>
  <c r="AF6" i="52"/>
  <c r="AF39" i="52" s="1"/>
  <c r="Y6" i="52"/>
  <c r="Y39" i="52" s="1"/>
  <c r="Q5" i="52"/>
  <c r="P5" i="52"/>
  <c r="O5" i="52"/>
  <c r="L5" i="52"/>
  <c r="K5" i="52"/>
  <c r="G5" i="52"/>
  <c r="F5" i="52"/>
  <c r="E5" i="52"/>
  <c r="D5" i="52"/>
  <c r="C5" i="52"/>
  <c r="Y33" i="51"/>
  <c r="AL43" i="51"/>
  <c r="AK43" i="51"/>
  <c r="AI43" i="51"/>
  <c r="AH43" i="51"/>
  <c r="AG43" i="51"/>
  <c r="AF43" i="51"/>
  <c r="AD43" i="51"/>
  <c r="AC43" i="51"/>
  <c r="AB43" i="51"/>
  <c r="AA43" i="51"/>
  <c r="Z43" i="51"/>
  <c r="Y43" i="51"/>
  <c r="AN42" i="51"/>
  <c r="AM42" i="51"/>
  <c r="AL42" i="51"/>
  <c r="AK42" i="51"/>
  <c r="AI42" i="51"/>
  <c r="AH42" i="51"/>
  <c r="AG42" i="51"/>
  <c r="AF42" i="51"/>
  <c r="AD42" i="51"/>
  <c r="AC42" i="51"/>
  <c r="AB42" i="51"/>
  <c r="AA42" i="51"/>
  <c r="Z42" i="51"/>
  <c r="Y42" i="51"/>
  <c r="V38" i="51"/>
  <c r="V41" i="51" s="1"/>
  <c r="U38" i="51"/>
  <c r="U41" i="51" s="1"/>
  <c r="T38" i="51"/>
  <c r="T41" i="51" s="1"/>
  <c r="N38" i="51"/>
  <c r="N41" i="51" s="1"/>
  <c r="J38" i="51"/>
  <c r="J41" i="51" s="1"/>
  <c r="I38" i="51"/>
  <c r="I41" i="51" s="1"/>
  <c r="B41" i="51"/>
  <c r="AN33" i="51"/>
  <c r="AM33" i="51"/>
  <c r="AL33" i="51"/>
  <c r="AK33" i="51"/>
  <c r="AI33" i="51"/>
  <c r="AH33" i="51"/>
  <c r="AG33" i="51"/>
  <c r="AF33" i="51"/>
  <c r="AD33" i="51"/>
  <c r="AC33" i="51"/>
  <c r="AB33" i="51"/>
  <c r="AA33" i="51"/>
  <c r="Z33" i="51"/>
  <c r="R33" i="51"/>
  <c r="AN32" i="51"/>
  <c r="AM32" i="51"/>
  <c r="AL32" i="51"/>
  <c r="AK32" i="51"/>
  <c r="AI32" i="51"/>
  <c r="AH32" i="51"/>
  <c r="AG32" i="51"/>
  <c r="AF32" i="51"/>
  <c r="AD32" i="51"/>
  <c r="AC32" i="51"/>
  <c r="AB32" i="51"/>
  <c r="AA32" i="51"/>
  <c r="Z32" i="51"/>
  <c r="Y32" i="51"/>
  <c r="R32" i="51"/>
  <c r="AN31" i="51"/>
  <c r="AM31" i="51"/>
  <c r="AL31" i="51"/>
  <c r="AK31" i="51"/>
  <c r="AI31" i="51"/>
  <c r="AH31" i="51"/>
  <c r="AG31" i="51"/>
  <c r="AF31" i="51"/>
  <c r="AD31" i="51"/>
  <c r="AC31" i="51"/>
  <c r="AB31" i="51"/>
  <c r="AA31" i="51"/>
  <c r="Z31" i="51"/>
  <c r="Y31" i="51"/>
  <c r="R31" i="51"/>
  <c r="AN30" i="51"/>
  <c r="AM30" i="51"/>
  <c r="AL30" i="51"/>
  <c r="AK30" i="51"/>
  <c r="AI30" i="51"/>
  <c r="AH30" i="51"/>
  <c r="AG30" i="51"/>
  <c r="AF30" i="51"/>
  <c r="AD30" i="51"/>
  <c r="AC30" i="51"/>
  <c r="AB30" i="51"/>
  <c r="AA30" i="51"/>
  <c r="Z30" i="51"/>
  <c r="Y30" i="51"/>
  <c r="R30" i="51"/>
  <c r="AN29" i="51"/>
  <c r="AM29" i="51"/>
  <c r="AL29" i="51"/>
  <c r="AK29" i="51"/>
  <c r="AI29" i="51"/>
  <c r="AH29" i="51"/>
  <c r="AG29" i="51"/>
  <c r="AF29" i="51"/>
  <c r="AD29" i="51"/>
  <c r="AC29" i="51"/>
  <c r="AB29" i="51"/>
  <c r="AA29" i="51"/>
  <c r="Z29" i="51"/>
  <c r="Y29" i="51"/>
  <c r="R29" i="51"/>
  <c r="AN28" i="51"/>
  <c r="AM28" i="51"/>
  <c r="AL28" i="51"/>
  <c r="AK28" i="51"/>
  <c r="AI28" i="51"/>
  <c r="AH28" i="51"/>
  <c r="AG28" i="51"/>
  <c r="AF28" i="51"/>
  <c r="AD28" i="51"/>
  <c r="AC28" i="51"/>
  <c r="AB28" i="51"/>
  <c r="AA28" i="51"/>
  <c r="Z28" i="51"/>
  <c r="Y28" i="51"/>
  <c r="R28" i="51"/>
  <c r="AN27" i="51"/>
  <c r="AM27" i="51"/>
  <c r="AL27" i="51"/>
  <c r="AK27" i="51"/>
  <c r="AI27" i="51"/>
  <c r="AH27" i="51"/>
  <c r="AG27" i="51"/>
  <c r="AF27" i="51"/>
  <c r="AD27" i="51"/>
  <c r="AC27" i="51"/>
  <c r="AB27" i="51"/>
  <c r="AA27" i="51"/>
  <c r="Z27" i="51"/>
  <c r="Y27" i="51"/>
  <c r="R27" i="51"/>
  <c r="AN26" i="51"/>
  <c r="AM26" i="51"/>
  <c r="AL26" i="51"/>
  <c r="AK26" i="51"/>
  <c r="AI26" i="51"/>
  <c r="AH26" i="51"/>
  <c r="AG26" i="51"/>
  <c r="AF26" i="51"/>
  <c r="AD26" i="51"/>
  <c r="AC26" i="51"/>
  <c r="AB26" i="51"/>
  <c r="AA26" i="51"/>
  <c r="Z26" i="51"/>
  <c r="Y26" i="51"/>
  <c r="R26" i="51"/>
  <c r="AN25" i="51"/>
  <c r="AM25" i="51"/>
  <c r="AL25" i="51"/>
  <c r="AK25" i="51"/>
  <c r="AI25" i="51"/>
  <c r="AH25" i="51"/>
  <c r="AG25" i="51"/>
  <c r="AF25" i="51"/>
  <c r="AD25" i="51"/>
  <c r="AC25" i="51"/>
  <c r="AB25" i="51"/>
  <c r="AA25" i="51"/>
  <c r="Z25" i="51"/>
  <c r="Y25" i="51"/>
  <c r="R25" i="51"/>
  <c r="AN24" i="51"/>
  <c r="AM24" i="51"/>
  <c r="AL24" i="51"/>
  <c r="AK24" i="51"/>
  <c r="AI24" i="51"/>
  <c r="AH24" i="51"/>
  <c r="AG24" i="51"/>
  <c r="AF24" i="51"/>
  <c r="AD24" i="51"/>
  <c r="AC24" i="51"/>
  <c r="AB24" i="51"/>
  <c r="AA24" i="51"/>
  <c r="Z24" i="51"/>
  <c r="Y24" i="51"/>
  <c r="R24" i="51"/>
  <c r="AN23" i="51"/>
  <c r="AM23" i="51"/>
  <c r="AL23" i="51"/>
  <c r="AK23" i="51"/>
  <c r="AI23" i="51"/>
  <c r="AH23" i="51"/>
  <c r="AG23" i="51"/>
  <c r="AF23" i="51"/>
  <c r="AD23" i="51"/>
  <c r="AC23" i="51"/>
  <c r="AB23" i="51"/>
  <c r="AA23" i="51"/>
  <c r="Z23" i="51"/>
  <c r="Y23" i="51"/>
  <c r="R23" i="51"/>
  <c r="AN22" i="51"/>
  <c r="AM22" i="51"/>
  <c r="AL22" i="51"/>
  <c r="AK22" i="51"/>
  <c r="AI22" i="51"/>
  <c r="AH22" i="51"/>
  <c r="AG22" i="51"/>
  <c r="AF22" i="51"/>
  <c r="AD22" i="51"/>
  <c r="AC22" i="51"/>
  <c r="AB22" i="51"/>
  <c r="AA22" i="51"/>
  <c r="Z22" i="51"/>
  <c r="Y22" i="51"/>
  <c r="R22" i="51"/>
  <c r="AN21" i="51"/>
  <c r="AM21" i="51"/>
  <c r="AL21" i="51"/>
  <c r="AK21" i="51"/>
  <c r="AI21" i="51"/>
  <c r="AH21" i="51"/>
  <c r="AG21" i="51"/>
  <c r="AF21" i="51"/>
  <c r="AD21" i="51"/>
  <c r="AC21" i="51"/>
  <c r="AB21" i="51"/>
  <c r="AA21" i="51"/>
  <c r="Z21" i="51"/>
  <c r="Y21" i="51"/>
  <c r="R21" i="51"/>
  <c r="AN20" i="51"/>
  <c r="AM20" i="51"/>
  <c r="AL20" i="51"/>
  <c r="AK20" i="51"/>
  <c r="AI20" i="51"/>
  <c r="AH20" i="51"/>
  <c r="AG20" i="51"/>
  <c r="AF20" i="51"/>
  <c r="AD20" i="51"/>
  <c r="AC20" i="51"/>
  <c r="AB20" i="51"/>
  <c r="AA20" i="51"/>
  <c r="Z20" i="51"/>
  <c r="Y20" i="51"/>
  <c r="R20" i="51"/>
  <c r="AN19" i="51"/>
  <c r="AM19" i="51"/>
  <c r="AL19" i="51"/>
  <c r="AK19" i="51"/>
  <c r="AI19" i="51"/>
  <c r="AH19" i="51"/>
  <c r="AG19" i="51"/>
  <c r="AF19" i="51"/>
  <c r="AD19" i="51"/>
  <c r="AC19" i="51"/>
  <c r="AB19" i="51"/>
  <c r="AA19" i="51"/>
  <c r="Z19" i="51"/>
  <c r="Y19" i="51"/>
  <c r="R19" i="51"/>
  <c r="AN18" i="51"/>
  <c r="AM18" i="51"/>
  <c r="AL18" i="51"/>
  <c r="AK18" i="51"/>
  <c r="AI18" i="51"/>
  <c r="AH18" i="51"/>
  <c r="AG18" i="51"/>
  <c r="AF18" i="51"/>
  <c r="AD18" i="51"/>
  <c r="AC18" i="51"/>
  <c r="AB18" i="51"/>
  <c r="AA18" i="51"/>
  <c r="Z18" i="51"/>
  <c r="Y18" i="51"/>
  <c r="R18" i="51"/>
  <c r="AN17" i="51"/>
  <c r="AM17" i="51"/>
  <c r="AL17" i="51"/>
  <c r="AK17" i="51"/>
  <c r="AI17" i="51"/>
  <c r="AH17" i="51"/>
  <c r="AG17" i="51"/>
  <c r="AF17" i="51"/>
  <c r="AD17" i="51"/>
  <c r="AC17" i="51"/>
  <c r="AB17" i="51"/>
  <c r="AA17" i="51"/>
  <c r="Z17" i="51"/>
  <c r="Y17" i="51"/>
  <c r="R17" i="51"/>
  <c r="AN16" i="51"/>
  <c r="AM16" i="51"/>
  <c r="AL16" i="51"/>
  <c r="AK16" i="51"/>
  <c r="AI16" i="51"/>
  <c r="AH16" i="51"/>
  <c r="AG16" i="51"/>
  <c r="AF16" i="51"/>
  <c r="AD16" i="51"/>
  <c r="AC16" i="51"/>
  <c r="AB16" i="51"/>
  <c r="AA16" i="51"/>
  <c r="Z16" i="51"/>
  <c r="Y16" i="51"/>
  <c r="R16" i="51"/>
  <c r="AN15" i="51"/>
  <c r="AM15" i="51"/>
  <c r="AL15" i="51"/>
  <c r="AK15" i="51"/>
  <c r="AI15" i="51"/>
  <c r="AH15" i="51"/>
  <c r="AG15" i="51"/>
  <c r="AF15" i="51"/>
  <c r="AD15" i="51"/>
  <c r="AC15" i="51"/>
  <c r="AB15" i="51"/>
  <c r="AA15" i="51"/>
  <c r="Z15" i="51"/>
  <c r="Y15" i="51"/>
  <c r="R15" i="51"/>
  <c r="AN14" i="51"/>
  <c r="AM14" i="51"/>
  <c r="AL14" i="51"/>
  <c r="AK14" i="51"/>
  <c r="AI14" i="51"/>
  <c r="AH14" i="51"/>
  <c r="AG14" i="51"/>
  <c r="AF14" i="51"/>
  <c r="AD14" i="51"/>
  <c r="AC14" i="51"/>
  <c r="AB14" i="51"/>
  <c r="AA14" i="51"/>
  <c r="Z14" i="51"/>
  <c r="Y14" i="51"/>
  <c r="R14" i="51"/>
  <c r="AN13" i="51"/>
  <c r="AM13" i="51"/>
  <c r="AL13" i="51"/>
  <c r="AK13" i="51"/>
  <c r="AI13" i="51"/>
  <c r="AH13" i="51"/>
  <c r="AG13" i="51"/>
  <c r="AF13" i="51"/>
  <c r="AD13" i="51"/>
  <c r="AC13" i="51"/>
  <c r="AB13" i="51"/>
  <c r="AA13" i="51"/>
  <c r="Z13" i="51"/>
  <c r="Y13" i="51"/>
  <c r="R13" i="51"/>
  <c r="AN12" i="51"/>
  <c r="AM12" i="51"/>
  <c r="AL12" i="51"/>
  <c r="AK12" i="51"/>
  <c r="AI12" i="51"/>
  <c r="AH12" i="51"/>
  <c r="AG12" i="51"/>
  <c r="AF12" i="51"/>
  <c r="AD12" i="51"/>
  <c r="AC12" i="51"/>
  <c r="AB12" i="51"/>
  <c r="AA12" i="51"/>
  <c r="Z12" i="51"/>
  <c r="Y12" i="51"/>
  <c r="R12" i="51"/>
  <c r="AN11" i="51"/>
  <c r="AM11" i="51"/>
  <c r="AL11" i="51"/>
  <c r="AK11" i="51"/>
  <c r="AI11" i="51"/>
  <c r="AH11" i="51"/>
  <c r="AG11" i="51"/>
  <c r="AF11" i="51"/>
  <c r="AD11" i="51"/>
  <c r="AC11" i="51"/>
  <c r="AB11" i="51"/>
  <c r="AA11" i="51"/>
  <c r="Z11" i="51"/>
  <c r="Y11" i="51"/>
  <c r="R11" i="51"/>
  <c r="AN10" i="51"/>
  <c r="AM10" i="51"/>
  <c r="AL10" i="51"/>
  <c r="AK10" i="51"/>
  <c r="AI10" i="51"/>
  <c r="AH10" i="51"/>
  <c r="AG10" i="51"/>
  <c r="AF10" i="51"/>
  <c r="AD10" i="51"/>
  <c r="AC10" i="51"/>
  <c r="AB10" i="51"/>
  <c r="AA10" i="51"/>
  <c r="Z10" i="51"/>
  <c r="Y10" i="51"/>
  <c r="R10" i="51"/>
  <c r="AN9" i="51"/>
  <c r="AM9" i="51"/>
  <c r="AL9" i="51"/>
  <c r="AK9" i="51"/>
  <c r="AI9" i="51"/>
  <c r="AH9" i="51"/>
  <c r="AG9" i="51"/>
  <c r="AF9" i="51"/>
  <c r="AD9" i="51"/>
  <c r="AC9" i="51"/>
  <c r="AB9" i="51"/>
  <c r="AA9" i="51"/>
  <c r="Z9" i="51"/>
  <c r="Y9" i="51"/>
  <c r="R9" i="51"/>
  <c r="AN8" i="51"/>
  <c r="AM8" i="51"/>
  <c r="AL8" i="51"/>
  <c r="AK8" i="51"/>
  <c r="AI8" i="51"/>
  <c r="AH8" i="51"/>
  <c r="AG8" i="51"/>
  <c r="AF8" i="51"/>
  <c r="AD8" i="51"/>
  <c r="AC8" i="51"/>
  <c r="AB8" i="51"/>
  <c r="AA8" i="51"/>
  <c r="Z8" i="51"/>
  <c r="Y8" i="51"/>
  <c r="R8" i="51"/>
  <c r="AN7" i="51"/>
  <c r="AM7" i="51"/>
  <c r="AL7" i="51"/>
  <c r="AK7" i="51"/>
  <c r="AI7" i="51"/>
  <c r="AH7" i="51"/>
  <c r="AG7" i="51"/>
  <c r="AF7" i="51"/>
  <c r="AD7" i="51"/>
  <c r="AC7" i="51"/>
  <c r="AB7" i="51"/>
  <c r="AA7" i="51"/>
  <c r="Z7" i="51"/>
  <c r="Y7" i="51"/>
  <c r="R7" i="51"/>
  <c r="AK6" i="51"/>
  <c r="AK38" i="51" s="1"/>
  <c r="AG6" i="51"/>
  <c r="AG38" i="51" s="1"/>
  <c r="AF6" i="51"/>
  <c r="AF38" i="51" s="1"/>
  <c r="Y6" i="51"/>
  <c r="Y38" i="51" s="1"/>
  <c r="Q5" i="51"/>
  <c r="P5" i="51"/>
  <c r="O5" i="51"/>
  <c r="L5" i="51"/>
  <c r="K5" i="51"/>
  <c r="G5" i="51"/>
  <c r="F5" i="51"/>
  <c r="E5" i="51"/>
  <c r="D5" i="51"/>
  <c r="C5" i="51"/>
  <c r="AL44" i="50"/>
  <c r="AK44" i="50"/>
  <c r="AI44" i="50"/>
  <c r="AH44" i="50"/>
  <c r="AG44" i="50"/>
  <c r="AF44" i="50"/>
  <c r="AD44" i="50"/>
  <c r="AC44" i="50"/>
  <c r="AB44" i="50"/>
  <c r="AA44" i="50"/>
  <c r="Z44" i="50"/>
  <c r="Y44" i="50"/>
  <c r="AN43" i="50"/>
  <c r="AM43" i="50"/>
  <c r="AL43" i="50"/>
  <c r="AK43" i="50"/>
  <c r="AI43" i="50"/>
  <c r="AH43" i="50"/>
  <c r="AG43" i="50"/>
  <c r="AF43" i="50"/>
  <c r="AD43" i="50"/>
  <c r="AC43" i="50"/>
  <c r="AB43" i="50"/>
  <c r="AA43" i="50"/>
  <c r="Z43" i="50"/>
  <c r="Y43" i="50"/>
  <c r="V39" i="50"/>
  <c r="V42" i="50" s="1"/>
  <c r="U39" i="50"/>
  <c r="U42" i="50" s="1"/>
  <c r="T39" i="50"/>
  <c r="T42" i="50" s="1"/>
  <c r="AN33" i="50"/>
  <c r="AM33" i="50"/>
  <c r="AL33" i="50"/>
  <c r="AK33" i="50"/>
  <c r="AI33" i="50"/>
  <c r="AH33" i="50"/>
  <c r="AG33" i="50"/>
  <c r="AF33" i="50"/>
  <c r="AD33" i="50"/>
  <c r="AC33" i="50"/>
  <c r="AB33" i="50"/>
  <c r="AA33" i="50"/>
  <c r="Z33" i="50"/>
  <c r="Y33" i="50"/>
  <c r="R33" i="50"/>
  <c r="AN32" i="50"/>
  <c r="AM32" i="50"/>
  <c r="AL32" i="50"/>
  <c r="AK32" i="50"/>
  <c r="AI32" i="50"/>
  <c r="AH32" i="50"/>
  <c r="AG32" i="50"/>
  <c r="AF32" i="50"/>
  <c r="AD32" i="50"/>
  <c r="AC32" i="50"/>
  <c r="AB32" i="50"/>
  <c r="AA32" i="50"/>
  <c r="Z32" i="50"/>
  <c r="Y32" i="50"/>
  <c r="R32" i="50"/>
  <c r="AN31" i="50"/>
  <c r="AM31" i="50"/>
  <c r="AL31" i="50"/>
  <c r="AK31" i="50"/>
  <c r="AI31" i="50"/>
  <c r="AH31" i="50"/>
  <c r="AG31" i="50"/>
  <c r="AF31" i="50"/>
  <c r="AD31" i="50"/>
  <c r="AC31" i="50"/>
  <c r="AB31" i="50"/>
  <c r="AA31" i="50"/>
  <c r="Z31" i="50"/>
  <c r="Y31" i="50"/>
  <c r="R31" i="50"/>
  <c r="AN30" i="50"/>
  <c r="AM30" i="50"/>
  <c r="AL30" i="50"/>
  <c r="AK30" i="50"/>
  <c r="AI30" i="50"/>
  <c r="AH30" i="50"/>
  <c r="AG30" i="50"/>
  <c r="AF30" i="50"/>
  <c r="AD30" i="50"/>
  <c r="AC30" i="50"/>
  <c r="AB30" i="50"/>
  <c r="AA30" i="50"/>
  <c r="Z30" i="50"/>
  <c r="Y30" i="50"/>
  <c r="R30" i="50"/>
  <c r="AN29" i="50"/>
  <c r="AM29" i="50"/>
  <c r="AL29" i="50"/>
  <c r="AK29" i="50"/>
  <c r="AI29" i="50"/>
  <c r="AH29" i="50"/>
  <c r="AG29" i="50"/>
  <c r="AF29" i="50"/>
  <c r="AD29" i="50"/>
  <c r="AC29" i="50"/>
  <c r="AB29" i="50"/>
  <c r="AA29" i="50"/>
  <c r="Z29" i="50"/>
  <c r="Y29" i="50"/>
  <c r="R29" i="50"/>
  <c r="AN28" i="50"/>
  <c r="AM28" i="50"/>
  <c r="AL28" i="50"/>
  <c r="AK28" i="50"/>
  <c r="AI28" i="50"/>
  <c r="AH28" i="50"/>
  <c r="AG28" i="50"/>
  <c r="AF28" i="50"/>
  <c r="AD28" i="50"/>
  <c r="AC28" i="50"/>
  <c r="AB28" i="50"/>
  <c r="AA28" i="50"/>
  <c r="Z28" i="50"/>
  <c r="Y28" i="50"/>
  <c r="R28" i="50"/>
  <c r="AN27" i="50"/>
  <c r="AM27" i="50"/>
  <c r="AL27" i="50"/>
  <c r="AK27" i="50"/>
  <c r="AI27" i="50"/>
  <c r="AH27" i="50"/>
  <c r="AG27" i="50"/>
  <c r="AF27" i="50"/>
  <c r="AD27" i="50"/>
  <c r="AC27" i="50"/>
  <c r="AB27" i="50"/>
  <c r="AA27" i="50"/>
  <c r="Z27" i="50"/>
  <c r="Y27" i="50"/>
  <c r="R27" i="50"/>
  <c r="AN26" i="50"/>
  <c r="AM26" i="50"/>
  <c r="AL26" i="50"/>
  <c r="AK26" i="50"/>
  <c r="AI26" i="50"/>
  <c r="AH26" i="50"/>
  <c r="AG26" i="50"/>
  <c r="AF26" i="50"/>
  <c r="AD26" i="50"/>
  <c r="AC26" i="50"/>
  <c r="AB26" i="50"/>
  <c r="AA26" i="50"/>
  <c r="Z26" i="50"/>
  <c r="Y26" i="50"/>
  <c r="R26" i="50"/>
  <c r="AN25" i="50"/>
  <c r="AM25" i="50"/>
  <c r="AL25" i="50"/>
  <c r="AK25" i="50"/>
  <c r="AI25" i="50"/>
  <c r="AH25" i="50"/>
  <c r="AG25" i="50"/>
  <c r="AF25" i="50"/>
  <c r="AD25" i="50"/>
  <c r="AC25" i="50"/>
  <c r="AB25" i="50"/>
  <c r="AA25" i="50"/>
  <c r="Z25" i="50"/>
  <c r="Y25" i="50"/>
  <c r="R25" i="50"/>
  <c r="AN24" i="50"/>
  <c r="AM24" i="50"/>
  <c r="AL24" i="50"/>
  <c r="AK24" i="50"/>
  <c r="AI24" i="50"/>
  <c r="AH24" i="50"/>
  <c r="AG24" i="50"/>
  <c r="AF24" i="50"/>
  <c r="AD24" i="50"/>
  <c r="AC24" i="50"/>
  <c r="AB24" i="50"/>
  <c r="AA24" i="50"/>
  <c r="Z24" i="50"/>
  <c r="Y24" i="50"/>
  <c r="R24" i="50"/>
  <c r="AN23" i="50"/>
  <c r="AM23" i="50"/>
  <c r="AL23" i="50"/>
  <c r="AK23" i="50"/>
  <c r="AI23" i="50"/>
  <c r="AH23" i="50"/>
  <c r="AG23" i="50"/>
  <c r="AF23" i="50"/>
  <c r="AD23" i="50"/>
  <c r="AC23" i="50"/>
  <c r="AB23" i="50"/>
  <c r="AA23" i="50"/>
  <c r="Z23" i="50"/>
  <c r="Y23" i="50"/>
  <c r="R23" i="50"/>
  <c r="AN22" i="50"/>
  <c r="AM22" i="50"/>
  <c r="AL22" i="50"/>
  <c r="AK22" i="50"/>
  <c r="AI22" i="50"/>
  <c r="AH22" i="50"/>
  <c r="AG22" i="50"/>
  <c r="AF22" i="50"/>
  <c r="AD22" i="50"/>
  <c r="AC22" i="50"/>
  <c r="AB22" i="50"/>
  <c r="AA22" i="50"/>
  <c r="Z22" i="50"/>
  <c r="Y22" i="50"/>
  <c r="R22" i="50"/>
  <c r="AN21" i="50"/>
  <c r="AM21" i="50"/>
  <c r="AL21" i="50"/>
  <c r="AK21" i="50"/>
  <c r="AI21" i="50"/>
  <c r="AH21" i="50"/>
  <c r="AG21" i="50"/>
  <c r="AF21" i="50"/>
  <c r="AD21" i="50"/>
  <c r="AC21" i="50"/>
  <c r="AB21" i="50"/>
  <c r="AA21" i="50"/>
  <c r="Z21" i="50"/>
  <c r="Y21" i="50"/>
  <c r="R21" i="50"/>
  <c r="AN20" i="50"/>
  <c r="AM20" i="50"/>
  <c r="AL20" i="50"/>
  <c r="AK20" i="50"/>
  <c r="AI20" i="50"/>
  <c r="AH20" i="50"/>
  <c r="AG20" i="50"/>
  <c r="AF20" i="50"/>
  <c r="AD20" i="50"/>
  <c r="AC20" i="50"/>
  <c r="AB20" i="50"/>
  <c r="AA20" i="50"/>
  <c r="Z20" i="50"/>
  <c r="Y20" i="50"/>
  <c r="R20" i="50"/>
  <c r="AN19" i="50"/>
  <c r="AM19" i="50"/>
  <c r="AL19" i="50"/>
  <c r="AK19" i="50"/>
  <c r="AI19" i="50"/>
  <c r="AH19" i="50"/>
  <c r="AG19" i="50"/>
  <c r="AF19" i="50"/>
  <c r="AD19" i="50"/>
  <c r="AC19" i="50"/>
  <c r="AB19" i="50"/>
  <c r="AA19" i="50"/>
  <c r="Z19" i="50"/>
  <c r="Y19" i="50"/>
  <c r="R19" i="50"/>
  <c r="AN18" i="50"/>
  <c r="AM18" i="50"/>
  <c r="AL18" i="50"/>
  <c r="AK18" i="50"/>
  <c r="AI18" i="50"/>
  <c r="AH18" i="50"/>
  <c r="AG18" i="50"/>
  <c r="AF18" i="50"/>
  <c r="AD18" i="50"/>
  <c r="AC18" i="50"/>
  <c r="AB18" i="50"/>
  <c r="AA18" i="50"/>
  <c r="Z18" i="50"/>
  <c r="Y18" i="50"/>
  <c r="R18" i="50"/>
  <c r="AN17" i="50"/>
  <c r="AM17" i="50"/>
  <c r="AL17" i="50"/>
  <c r="AK17" i="50"/>
  <c r="AI17" i="50"/>
  <c r="AH17" i="50"/>
  <c r="AG17" i="50"/>
  <c r="AF17" i="50"/>
  <c r="AD17" i="50"/>
  <c r="AC17" i="50"/>
  <c r="AB17" i="50"/>
  <c r="AA17" i="50"/>
  <c r="Z17" i="50"/>
  <c r="Y17" i="50"/>
  <c r="R17" i="50"/>
  <c r="AN16" i="50"/>
  <c r="AM16" i="50"/>
  <c r="AL16" i="50"/>
  <c r="AK16" i="50"/>
  <c r="AI16" i="50"/>
  <c r="AH16" i="50"/>
  <c r="AG16" i="50"/>
  <c r="AF16" i="50"/>
  <c r="AD16" i="50"/>
  <c r="AC16" i="50"/>
  <c r="AB16" i="50"/>
  <c r="AA16" i="50"/>
  <c r="Z16" i="50"/>
  <c r="Y16" i="50"/>
  <c r="R16" i="50"/>
  <c r="AN15" i="50"/>
  <c r="AM15" i="50"/>
  <c r="AL15" i="50"/>
  <c r="AK15" i="50"/>
  <c r="AI15" i="50"/>
  <c r="AH15" i="50"/>
  <c r="AG15" i="50"/>
  <c r="AF15" i="50"/>
  <c r="AD15" i="50"/>
  <c r="AC15" i="50"/>
  <c r="AB15" i="50"/>
  <c r="AA15" i="50"/>
  <c r="Z15" i="50"/>
  <c r="Y15" i="50"/>
  <c r="R15" i="50"/>
  <c r="AN14" i="50"/>
  <c r="AM14" i="50"/>
  <c r="AL14" i="50"/>
  <c r="AK14" i="50"/>
  <c r="AI14" i="50"/>
  <c r="AH14" i="50"/>
  <c r="AG14" i="50"/>
  <c r="AF14" i="50"/>
  <c r="AD14" i="50"/>
  <c r="AC14" i="50"/>
  <c r="AB14" i="50"/>
  <c r="AA14" i="50"/>
  <c r="Z14" i="50"/>
  <c r="Y14" i="50"/>
  <c r="R14" i="50"/>
  <c r="AN13" i="50"/>
  <c r="AM13" i="50"/>
  <c r="AL13" i="50"/>
  <c r="AK13" i="50"/>
  <c r="AI13" i="50"/>
  <c r="AH13" i="50"/>
  <c r="AG13" i="50"/>
  <c r="AF13" i="50"/>
  <c r="AD13" i="50"/>
  <c r="AC13" i="50"/>
  <c r="AB13" i="50"/>
  <c r="AA13" i="50"/>
  <c r="Z13" i="50"/>
  <c r="Y13" i="50"/>
  <c r="R13" i="50"/>
  <c r="AN12" i="50"/>
  <c r="AM12" i="50"/>
  <c r="AL12" i="50"/>
  <c r="AK12" i="50"/>
  <c r="AI12" i="50"/>
  <c r="AH12" i="50"/>
  <c r="AG12" i="50"/>
  <c r="AF12" i="50"/>
  <c r="AD12" i="50"/>
  <c r="AC12" i="50"/>
  <c r="AB12" i="50"/>
  <c r="AA12" i="50"/>
  <c r="Z12" i="50"/>
  <c r="Y12" i="50"/>
  <c r="R12" i="50"/>
  <c r="AN11" i="50"/>
  <c r="AM11" i="50"/>
  <c r="AL11" i="50"/>
  <c r="AK11" i="50"/>
  <c r="AI11" i="50"/>
  <c r="AH11" i="50"/>
  <c r="AG11" i="50"/>
  <c r="AF11" i="50"/>
  <c r="AD11" i="50"/>
  <c r="AC11" i="50"/>
  <c r="AB11" i="50"/>
  <c r="AA11" i="50"/>
  <c r="Z11" i="50"/>
  <c r="Y11" i="50"/>
  <c r="R11" i="50"/>
  <c r="AN10" i="50"/>
  <c r="AM10" i="50"/>
  <c r="AL10" i="50"/>
  <c r="AK10" i="50"/>
  <c r="AI10" i="50"/>
  <c r="AH10" i="50"/>
  <c r="AG10" i="50"/>
  <c r="AF10" i="50"/>
  <c r="AD10" i="50"/>
  <c r="AC10" i="50"/>
  <c r="AB10" i="50"/>
  <c r="AA10" i="50"/>
  <c r="Z10" i="50"/>
  <c r="Y10" i="50"/>
  <c r="R10" i="50"/>
  <c r="AN9" i="50"/>
  <c r="AM9" i="50"/>
  <c r="AL9" i="50"/>
  <c r="AK9" i="50"/>
  <c r="AI9" i="50"/>
  <c r="AH9" i="50"/>
  <c r="AG9" i="50"/>
  <c r="AF9" i="50"/>
  <c r="AD9" i="50"/>
  <c r="AC9" i="50"/>
  <c r="AB9" i="50"/>
  <c r="AA9" i="50"/>
  <c r="Z9" i="50"/>
  <c r="Y9" i="50"/>
  <c r="R9" i="50"/>
  <c r="AN8" i="50"/>
  <c r="AM8" i="50"/>
  <c r="AL8" i="50"/>
  <c r="AK8" i="50"/>
  <c r="AI8" i="50"/>
  <c r="AH8" i="50"/>
  <c r="AG8" i="50"/>
  <c r="AF8" i="50"/>
  <c r="AD8" i="50"/>
  <c r="AC8" i="50"/>
  <c r="AB8" i="50"/>
  <c r="AA8" i="50"/>
  <c r="Z8" i="50"/>
  <c r="Y8" i="50"/>
  <c r="R8" i="50"/>
  <c r="AN7" i="50"/>
  <c r="AM7" i="50"/>
  <c r="AL7" i="50"/>
  <c r="AK7" i="50"/>
  <c r="AI7" i="50"/>
  <c r="AH7" i="50"/>
  <c r="AG7" i="50"/>
  <c r="AF7" i="50"/>
  <c r="AD7" i="50"/>
  <c r="AC7" i="50"/>
  <c r="AB7" i="50"/>
  <c r="AA7" i="50"/>
  <c r="Z7" i="50"/>
  <c r="Y7" i="50"/>
  <c r="R7" i="50"/>
  <c r="Q5" i="50"/>
  <c r="P5" i="50"/>
  <c r="O5" i="50"/>
  <c r="N5" i="50"/>
  <c r="L5" i="50"/>
  <c r="K5" i="50"/>
  <c r="J5" i="50"/>
  <c r="I5" i="50"/>
  <c r="G5" i="50"/>
  <c r="F5" i="50"/>
  <c r="E5" i="50"/>
  <c r="D5" i="50"/>
  <c r="C5" i="50"/>
  <c r="B5" i="50"/>
  <c r="G42" i="48"/>
  <c r="N39" i="49"/>
  <c r="N42" i="49" s="1"/>
  <c r="B39" i="49"/>
  <c r="H6" i="47"/>
  <c r="H7" i="47"/>
  <c r="H8" i="47"/>
  <c r="H9" i="47"/>
  <c r="H10" i="47"/>
  <c r="H11" i="47"/>
  <c r="H12" i="47"/>
  <c r="H13" i="47"/>
  <c r="H14" i="47"/>
  <c r="H15" i="47"/>
  <c r="H16" i="47"/>
  <c r="H17" i="47"/>
  <c r="H18" i="47"/>
  <c r="H19" i="47"/>
  <c r="H20" i="47"/>
  <c r="H21" i="47"/>
  <c r="H22" i="47"/>
  <c r="H23" i="47"/>
  <c r="H24" i="47"/>
  <c r="H25" i="47"/>
  <c r="H26" i="47"/>
  <c r="H27" i="47"/>
  <c r="H28" i="47"/>
  <c r="H29" i="47"/>
  <c r="H30" i="47"/>
  <c r="H31" i="47"/>
  <c r="H32" i="47"/>
  <c r="H33" i="47"/>
  <c r="J36" i="47"/>
  <c r="K36" i="47"/>
  <c r="J39" i="47"/>
  <c r="K39" i="47"/>
  <c r="H42" i="47"/>
  <c r="H48" i="47"/>
  <c r="AL44" i="49"/>
  <c r="AK44" i="49"/>
  <c r="AI44" i="49"/>
  <c r="AH44" i="49"/>
  <c r="AG44" i="49"/>
  <c r="AF44" i="49"/>
  <c r="AD44" i="49"/>
  <c r="AC44" i="49"/>
  <c r="AB44" i="49"/>
  <c r="AA44" i="49"/>
  <c r="Z44" i="49"/>
  <c r="Y44" i="49"/>
  <c r="AN43" i="49"/>
  <c r="AM43" i="49"/>
  <c r="AL43" i="49"/>
  <c r="AK43" i="49"/>
  <c r="AI43" i="49"/>
  <c r="AH43" i="49"/>
  <c r="AG43" i="49"/>
  <c r="AF43" i="49"/>
  <c r="AD43" i="49"/>
  <c r="AC43" i="49"/>
  <c r="AB43" i="49"/>
  <c r="AA43" i="49"/>
  <c r="Z43" i="49"/>
  <c r="Y43" i="49"/>
  <c r="V39" i="49"/>
  <c r="V42" i="49" s="1"/>
  <c r="U39" i="49"/>
  <c r="U42" i="49" s="1"/>
  <c r="T39" i="49"/>
  <c r="T42" i="49" s="1"/>
  <c r="AN33" i="49"/>
  <c r="AM33" i="49"/>
  <c r="AL33" i="49"/>
  <c r="AK33" i="49"/>
  <c r="AI33" i="49"/>
  <c r="AH33" i="49"/>
  <c r="AG33" i="49"/>
  <c r="AF33" i="49"/>
  <c r="AD33" i="49"/>
  <c r="AC33" i="49"/>
  <c r="AB33" i="49"/>
  <c r="AA33" i="49"/>
  <c r="Z33" i="49"/>
  <c r="Y33" i="49"/>
  <c r="R33" i="49"/>
  <c r="AN32" i="49"/>
  <c r="AM32" i="49"/>
  <c r="AL32" i="49"/>
  <c r="AK32" i="49"/>
  <c r="AI32" i="49"/>
  <c r="AH32" i="49"/>
  <c r="AG32" i="49"/>
  <c r="AF32" i="49"/>
  <c r="AD32" i="49"/>
  <c r="AC32" i="49"/>
  <c r="AB32" i="49"/>
  <c r="AA32" i="49"/>
  <c r="Z32" i="49"/>
  <c r="Y32" i="49"/>
  <c r="R32" i="49"/>
  <c r="AN31" i="49"/>
  <c r="AM31" i="49"/>
  <c r="AL31" i="49"/>
  <c r="AK31" i="49"/>
  <c r="AI31" i="49"/>
  <c r="AH31" i="49"/>
  <c r="AG31" i="49"/>
  <c r="AF31" i="49"/>
  <c r="AD31" i="49"/>
  <c r="AC31" i="49"/>
  <c r="AB31" i="49"/>
  <c r="AA31" i="49"/>
  <c r="Z31" i="49"/>
  <c r="Y31" i="49"/>
  <c r="R31" i="49"/>
  <c r="AN30" i="49"/>
  <c r="AM30" i="49"/>
  <c r="AL30" i="49"/>
  <c r="AK30" i="49"/>
  <c r="AI30" i="49"/>
  <c r="AH30" i="49"/>
  <c r="AG30" i="49"/>
  <c r="AF30" i="49"/>
  <c r="AD30" i="49"/>
  <c r="AC30" i="49"/>
  <c r="AB30" i="49"/>
  <c r="AA30" i="49"/>
  <c r="Z30" i="49"/>
  <c r="Y30" i="49"/>
  <c r="R30" i="49"/>
  <c r="AN29" i="49"/>
  <c r="AM29" i="49"/>
  <c r="AL29" i="49"/>
  <c r="AK29" i="49"/>
  <c r="AI29" i="49"/>
  <c r="AH29" i="49"/>
  <c r="AG29" i="49"/>
  <c r="AF29" i="49"/>
  <c r="AD29" i="49"/>
  <c r="AC29" i="49"/>
  <c r="AB29" i="49"/>
  <c r="AA29" i="49"/>
  <c r="Z29" i="49"/>
  <c r="Y29" i="49"/>
  <c r="R29" i="49"/>
  <c r="AN28" i="49"/>
  <c r="AM28" i="49"/>
  <c r="AL28" i="49"/>
  <c r="AK28" i="49"/>
  <c r="AI28" i="49"/>
  <c r="AH28" i="49"/>
  <c r="AG28" i="49"/>
  <c r="AF28" i="49"/>
  <c r="AD28" i="49"/>
  <c r="AC28" i="49"/>
  <c r="AB28" i="49"/>
  <c r="AA28" i="49"/>
  <c r="Z28" i="49"/>
  <c r="Y28" i="49"/>
  <c r="R28" i="49"/>
  <c r="AN27" i="49"/>
  <c r="AM27" i="49"/>
  <c r="AL27" i="49"/>
  <c r="AK27" i="49"/>
  <c r="AI27" i="49"/>
  <c r="AH27" i="49"/>
  <c r="AG27" i="49"/>
  <c r="AF27" i="49"/>
  <c r="AD27" i="49"/>
  <c r="AC27" i="49"/>
  <c r="AB27" i="49"/>
  <c r="AA27" i="49"/>
  <c r="Z27" i="49"/>
  <c r="Y27" i="49"/>
  <c r="R27" i="49"/>
  <c r="AN26" i="49"/>
  <c r="AM26" i="49"/>
  <c r="AL26" i="49"/>
  <c r="AK26" i="49"/>
  <c r="AI26" i="49"/>
  <c r="AH26" i="49"/>
  <c r="AG26" i="49"/>
  <c r="AF26" i="49"/>
  <c r="AD26" i="49"/>
  <c r="AC26" i="49"/>
  <c r="AB26" i="49"/>
  <c r="AA26" i="49"/>
  <c r="Z26" i="49"/>
  <c r="Y26" i="49"/>
  <c r="R26" i="49"/>
  <c r="AN25" i="49"/>
  <c r="AM25" i="49"/>
  <c r="AL25" i="49"/>
  <c r="AK25" i="49"/>
  <c r="AI25" i="49"/>
  <c r="AH25" i="49"/>
  <c r="AG25" i="49"/>
  <c r="AF25" i="49"/>
  <c r="AD25" i="49"/>
  <c r="AC25" i="49"/>
  <c r="AB25" i="49"/>
  <c r="AA25" i="49"/>
  <c r="Z25" i="49"/>
  <c r="Y25" i="49"/>
  <c r="R25" i="49"/>
  <c r="AN24" i="49"/>
  <c r="AM24" i="49"/>
  <c r="AL24" i="49"/>
  <c r="AK24" i="49"/>
  <c r="AI24" i="49"/>
  <c r="AH24" i="49"/>
  <c r="AG24" i="49"/>
  <c r="AF24" i="49"/>
  <c r="AD24" i="49"/>
  <c r="AC24" i="49"/>
  <c r="AB24" i="49"/>
  <c r="AA24" i="49"/>
  <c r="Z24" i="49"/>
  <c r="Y24" i="49"/>
  <c r="R24" i="49"/>
  <c r="AN23" i="49"/>
  <c r="AM23" i="49"/>
  <c r="AL23" i="49"/>
  <c r="AK23" i="49"/>
  <c r="AI23" i="49"/>
  <c r="AH23" i="49"/>
  <c r="AG23" i="49"/>
  <c r="AF23" i="49"/>
  <c r="AD23" i="49"/>
  <c r="AC23" i="49"/>
  <c r="AB23" i="49"/>
  <c r="AA23" i="49"/>
  <c r="Z23" i="49"/>
  <c r="Y23" i="49"/>
  <c r="R23" i="49"/>
  <c r="AN22" i="49"/>
  <c r="AM22" i="49"/>
  <c r="AL22" i="49"/>
  <c r="AK22" i="49"/>
  <c r="AI22" i="49"/>
  <c r="AH22" i="49"/>
  <c r="AG22" i="49"/>
  <c r="AF22" i="49"/>
  <c r="AD22" i="49"/>
  <c r="AC22" i="49"/>
  <c r="AB22" i="49"/>
  <c r="AA22" i="49"/>
  <c r="Z22" i="49"/>
  <c r="Y22" i="49"/>
  <c r="R22" i="49"/>
  <c r="AN21" i="49"/>
  <c r="AM21" i="49"/>
  <c r="AL21" i="49"/>
  <c r="AK21" i="49"/>
  <c r="AI21" i="49"/>
  <c r="AH21" i="49"/>
  <c r="AG21" i="49"/>
  <c r="AF21" i="49"/>
  <c r="AD21" i="49"/>
  <c r="AC21" i="49"/>
  <c r="AB21" i="49"/>
  <c r="AA21" i="49"/>
  <c r="Z21" i="49"/>
  <c r="Y21" i="49"/>
  <c r="R21" i="49"/>
  <c r="AN20" i="49"/>
  <c r="AM20" i="49"/>
  <c r="AL20" i="49"/>
  <c r="AK20" i="49"/>
  <c r="AI20" i="49"/>
  <c r="AH20" i="49"/>
  <c r="AG20" i="49"/>
  <c r="AF20" i="49"/>
  <c r="AD20" i="49"/>
  <c r="AC20" i="49"/>
  <c r="AB20" i="49"/>
  <c r="AA20" i="49"/>
  <c r="Z20" i="49"/>
  <c r="Y20" i="49"/>
  <c r="R20" i="49"/>
  <c r="AN19" i="49"/>
  <c r="AM19" i="49"/>
  <c r="AL19" i="49"/>
  <c r="AK19" i="49"/>
  <c r="AI19" i="49"/>
  <c r="AH19" i="49"/>
  <c r="AG19" i="49"/>
  <c r="AF19" i="49"/>
  <c r="AD19" i="49"/>
  <c r="AC19" i="49"/>
  <c r="AB19" i="49"/>
  <c r="AA19" i="49"/>
  <c r="Z19" i="49"/>
  <c r="Y19" i="49"/>
  <c r="R19" i="49"/>
  <c r="AN18" i="49"/>
  <c r="AM18" i="49"/>
  <c r="AL18" i="49"/>
  <c r="AK18" i="49"/>
  <c r="AI18" i="49"/>
  <c r="AH18" i="49"/>
  <c r="AG18" i="49"/>
  <c r="AF18" i="49"/>
  <c r="AD18" i="49"/>
  <c r="AC18" i="49"/>
  <c r="AB18" i="49"/>
  <c r="AA18" i="49"/>
  <c r="Z18" i="49"/>
  <c r="Y18" i="49"/>
  <c r="R18" i="49"/>
  <c r="AN17" i="49"/>
  <c r="AM17" i="49"/>
  <c r="AL17" i="49"/>
  <c r="AK17" i="49"/>
  <c r="AI17" i="49"/>
  <c r="AH17" i="49"/>
  <c r="AG17" i="49"/>
  <c r="AF17" i="49"/>
  <c r="AD17" i="49"/>
  <c r="AC17" i="49"/>
  <c r="AB17" i="49"/>
  <c r="AA17" i="49"/>
  <c r="Z17" i="49"/>
  <c r="Y17" i="49"/>
  <c r="R17" i="49"/>
  <c r="AN16" i="49"/>
  <c r="AM16" i="49"/>
  <c r="AL16" i="49"/>
  <c r="AK16" i="49"/>
  <c r="AI16" i="49"/>
  <c r="AH16" i="49"/>
  <c r="AG16" i="49"/>
  <c r="AF16" i="49"/>
  <c r="AD16" i="49"/>
  <c r="AC16" i="49"/>
  <c r="AB16" i="49"/>
  <c r="AA16" i="49"/>
  <c r="Z16" i="49"/>
  <c r="Y16" i="49"/>
  <c r="R16" i="49"/>
  <c r="AN15" i="49"/>
  <c r="AM15" i="49"/>
  <c r="AL15" i="49"/>
  <c r="AK15" i="49"/>
  <c r="AI15" i="49"/>
  <c r="AH15" i="49"/>
  <c r="AG15" i="49"/>
  <c r="AF15" i="49"/>
  <c r="AD15" i="49"/>
  <c r="AC15" i="49"/>
  <c r="AB15" i="49"/>
  <c r="AA15" i="49"/>
  <c r="Z15" i="49"/>
  <c r="Y15" i="49"/>
  <c r="R15" i="49"/>
  <c r="AN14" i="49"/>
  <c r="AM14" i="49"/>
  <c r="AL14" i="49"/>
  <c r="AK14" i="49"/>
  <c r="AI14" i="49"/>
  <c r="AH14" i="49"/>
  <c r="AG14" i="49"/>
  <c r="AF14" i="49"/>
  <c r="AD14" i="49"/>
  <c r="AC14" i="49"/>
  <c r="AB14" i="49"/>
  <c r="AA14" i="49"/>
  <c r="Z14" i="49"/>
  <c r="Y14" i="49"/>
  <c r="R14" i="49"/>
  <c r="AN13" i="49"/>
  <c r="AM13" i="49"/>
  <c r="AL13" i="49"/>
  <c r="AK13" i="49"/>
  <c r="AI13" i="49"/>
  <c r="AH13" i="49"/>
  <c r="AG13" i="49"/>
  <c r="AF13" i="49"/>
  <c r="AD13" i="49"/>
  <c r="AC13" i="49"/>
  <c r="AB13" i="49"/>
  <c r="AA13" i="49"/>
  <c r="Z13" i="49"/>
  <c r="Y13" i="49"/>
  <c r="R13" i="49"/>
  <c r="AN12" i="49"/>
  <c r="AM12" i="49"/>
  <c r="AL12" i="49"/>
  <c r="AK12" i="49"/>
  <c r="AI12" i="49"/>
  <c r="AH12" i="49"/>
  <c r="AG12" i="49"/>
  <c r="AF12" i="49"/>
  <c r="AD12" i="49"/>
  <c r="AC12" i="49"/>
  <c r="AB12" i="49"/>
  <c r="AA12" i="49"/>
  <c r="Z12" i="49"/>
  <c r="Y12" i="49"/>
  <c r="R12" i="49"/>
  <c r="AN11" i="49"/>
  <c r="AM11" i="49"/>
  <c r="AL11" i="49"/>
  <c r="AK11" i="49"/>
  <c r="AI11" i="49"/>
  <c r="AH11" i="49"/>
  <c r="AG11" i="49"/>
  <c r="AF11" i="49"/>
  <c r="AD11" i="49"/>
  <c r="AC11" i="49"/>
  <c r="AB11" i="49"/>
  <c r="AA11" i="49"/>
  <c r="Z11" i="49"/>
  <c r="Y11" i="49"/>
  <c r="R11" i="49"/>
  <c r="AN10" i="49"/>
  <c r="AM10" i="49"/>
  <c r="AL10" i="49"/>
  <c r="AK10" i="49"/>
  <c r="AI10" i="49"/>
  <c r="AH10" i="49"/>
  <c r="AG10" i="49"/>
  <c r="AF10" i="49"/>
  <c r="AD10" i="49"/>
  <c r="AC10" i="49"/>
  <c r="AB10" i="49"/>
  <c r="AA10" i="49"/>
  <c r="Z10" i="49"/>
  <c r="Y10" i="49"/>
  <c r="R10" i="49"/>
  <c r="AN9" i="49"/>
  <c r="AM9" i="49"/>
  <c r="AL9" i="49"/>
  <c r="AK9" i="49"/>
  <c r="AI9" i="49"/>
  <c r="AH9" i="49"/>
  <c r="AG9" i="49"/>
  <c r="AF9" i="49"/>
  <c r="AD9" i="49"/>
  <c r="AC9" i="49"/>
  <c r="AB9" i="49"/>
  <c r="AA9" i="49"/>
  <c r="Z9" i="49"/>
  <c r="Y9" i="49"/>
  <c r="R9" i="49"/>
  <c r="AN8" i="49"/>
  <c r="AM8" i="49"/>
  <c r="AL8" i="49"/>
  <c r="AK8" i="49"/>
  <c r="AI8" i="49"/>
  <c r="AH8" i="49"/>
  <c r="AG8" i="49"/>
  <c r="AF8" i="49"/>
  <c r="AD8" i="49"/>
  <c r="AC8" i="49"/>
  <c r="AB8" i="49"/>
  <c r="AA8" i="49"/>
  <c r="Z8" i="49"/>
  <c r="Y8" i="49"/>
  <c r="R8" i="49"/>
  <c r="AN7" i="49"/>
  <c r="AM7" i="49"/>
  <c r="AL7" i="49"/>
  <c r="AK7" i="49"/>
  <c r="AI7" i="49"/>
  <c r="AH7" i="49"/>
  <c r="AG7" i="49"/>
  <c r="AF7" i="49"/>
  <c r="AD7" i="49"/>
  <c r="AC7" i="49"/>
  <c r="AB7" i="49"/>
  <c r="AA7" i="49"/>
  <c r="Z7" i="49"/>
  <c r="Y7" i="49"/>
  <c r="R7" i="49"/>
  <c r="Q5" i="49"/>
  <c r="P5" i="49"/>
  <c r="O5" i="49"/>
  <c r="L5" i="49"/>
  <c r="K5" i="49"/>
  <c r="G5" i="49"/>
  <c r="F5" i="49"/>
  <c r="E5" i="49"/>
  <c r="D5" i="49"/>
  <c r="C5" i="49"/>
  <c r="AB44" i="48"/>
  <c r="AA44" i="48"/>
  <c r="Y44" i="48"/>
  <c r="X44" i="48"/>
  <c r="W44" i="48"/>
  <c r="V44" i="48"/>
  <c r="T44" i="48"/>
  <c r="S44" i="48"/>
  <c r="R44" i="48"/>
  <c r="Q44" i="48"/>
  <c r="P44" i="48"/>
  <c r="O44" i="48"/>
  <c r="AD43" i="48"/>
  <c r="AC43" i="48"/>
  <c r="AB43" i="48"/>
  <c r="AA43" i="48"/>
  <c r="Y43" i="48"/>
  <c r="X43" i="48"/>
  <c r="W43" i="48"/>
  <c r="V43" i="48"/>
  <c r="T43" i="48"/>
  <c r="S43" i="48"/>
  <c r="R43" i="48"/>
  <c r="Q43" i="48"/>
  <c r="P43" i="48"/>
  <c r="O43" i="48"/>
  <c r="L39" i="48"/>
  <c r="L42" i="48" s="1"/>
  <c r="K39" i="48"/>
  <c r="K42" i="48" s="1"/>
  <c r="J39" i="48"/>
  <c r="J42" i="48" s="1"/>
  <c r="AD33" i="48"/>
  <c r="AC33" i="48"/>
  <c r="AB33" i="48"/>
  <c r="AA33" i="48"/>
  <c r="Y33" i="48"/>
  <c r="X33" i="48"/>
  <c r="W33" i="48"/>
  <c r="V33" i="48"/>
  <c r="T33" i="48"/>
  <c r="S33" i="48"/>
  <c r="R33" i="48"/>
  <c r="Q33" i="48"/>
  <c r="P33" i="48"/>
  <c r="O33" i="48"/>
  <c r="H33" i="48"/>
  <c r="AD32" i="48"/>
  <c r="AC32" i="48"/>
  <c r="AB32" i="48"/>
  <c r="AA32" i="48"/>
  <c r="Y32" i="48"/>
  <c r="X32" i="48"/>
  <c r="W32" i="48"/>
  <c r="V32" i="48"/>
  <c r="T32" i="48"/>
  <c r="S32" i="48"/>
  <c r="R32" i="48"/>
  <c r="Q32" i="48"/>
  <c r="P32" i="48"/>
  <c r="O32" i="48"/>
  <c r="H32" i="48"/>
  <c r="AD31" i="48"/>
  <c r="AC31" i="48"/>
  <c r="AB31" i="48"/>
  <c r="AA31" i="48"/>
  <c r="Y31" i="48"/>
  <c r="X31" i="48"/>
  <c r="W31" i="48"/>
  <c r="V31" i="48"/>
  <c r="T31" i="48"/>
  <c r="S31" i="48"/>
  <c r="R31" i="48"/>
  <c r="Q31" i="48"/>
  <c r="P31" i="48"/>
  <c r="O31" i="48"/>
  <c r="H31" i="48"/>
  <c r="AD30" i="48"/>
  <c r="AC30" i="48"/>
  <c r="AB30" i="48"/>
  <c r="AA30" i="48"/>
  <c r="Y30" i="48"/>
  <c r="X30" i="48"/>
  <c r="W30" i="48"/>
  <c r="V30" i="48"/>
  <c r="T30" i="48"/>
  <c r="S30" i="48"/>
  <c r="R30" i="48"/>
  <c r="Q30" i="48"/>
  <c r="P30" i="48"/>
  <c r="O30" i="48"/>
  <c r="H30" i="48"/>
  <c r="AD29" i="48"/>
  <c r="AC29" i="48"/>
  <c r="AB29" i="48"/>
  <c r="AA29" i="48"/>
  <c r="Y29" i="48"/>
  <c r="X29" i="48"/>
  <c r="W29" i="48"/>
  <c r="V29" i="48"/>
  <c r="T29" i="48"/>
  <c r="S29" i="48"/>
  <c r="R29" i="48"/>
  <c r="Q29" i="48"/>
  <c r="P29" i="48"/>
  <c r="O29" i="48"/>
  <c r="H29" i="48"/>
  <c r="AD28" i="48"/>
  <c r="AC28" i="48"/>
  <c r="AB28" i="48"/>
  <c r="AA28" i="48"/>
  <c r="Y28" i="48"/>
  <c r="X28" i="48"/>
  <c r="W28" i="48"/>
  <c r="V28" i="48"/>
  <c r="T28" i="48"/>
  <c r="S28" i="48"/>
  <c r="R28" i="48"/>
  <c r="Q28" i="48"/>
  <c r="P28" i="48"/>
  <c r="O28" i="48"/>
  <c r="H28" i="48"/>
  <c r="AD27" i="48"/>
  <c r="AC27" i="48"/>
  <c r="AB27" i="48"/>
  <c r="AA27" i="48"/>
  <c r="Y27" i="48"/>
  <c r="X27" i="48"/>
  <c r="W27" i="48"/>
  <c r="V27" i="48"/>
  <c r="T27" i="48"/>
  <c r="S27" i="48"/>
  <c r="R27" i="48"/>
  <c r="Q27" i="48"/>
  <c r="P27" i="48"/>
  <c r="O27" i="48"/>
  <c r="H27" i="48"/>
  <c r="AD26" i="48"/>
  <c r="AC26" i="48"/>
  <c r="AB26" i="48"/>
  <c r="AA26" i="48"/>
  <c r="Y26" i="48"/>
  <c r="X26" i="48"/>
  <c r="W26" i="48"/>
  <c r="V26" i="48"/>
  <c r="T26" i="48"/>
  <c r="S26" i="48"/>
  <c r="R26" i="48"/>
  <c r="Q26" i="48"/>
  <c r="P26" i="48"/>
  <c r="O26" i="48"/>
  <c r="H26" i="48"/>
  <c r="AD25" i="48"/>
  <c r="AC25" i="48"/>
  <c r="AB25" i="48"/>
  <c r="AA25" i="48"/>
  <c r="Y25" i="48"/>
  <c r="X25" i="48"/>
  <c r="W25" i="48"/>
  <c r="V25" i="48"/>
  <c r="T25" i="48"/>
  <c r="S25" i="48"/>
  <c r="R25" i="48"/>
  <c r="Q25" i="48"/>
  <c r="P25" i="48"/>
  <c r="O25" i="48"/>
  <c r="H25" i="48"/>
  <c r="AD24" i="48"/>
  <c r="AC24" i="48"/>
  <c r="AB24" i="48"/>
  <c r="AA24" i="48"/>
  <c r="Y24" i="48"/>
  <c r="X24" i="48"/>
  <c r="W24" i="48"/>
  <c r="V24" i="48"/>
  <c r="T24" i="48"/>
  <c r="S24" i="48"/>
  <c r="R24" i="48"/>
  <c r="Q24" i="48"/>
  <c r="P24" i="48"/>
  <c r="O24" i="48"/>
  <c r="H24" i="48"/>
  <c r="AD23" i="48"/>
  <c r="AC23" i="48"/>
  <c r="AB23" i="48"/>
  <c r="AA23" i="48"/>
  <c r="Y23" i="48"/>
  <c r="X23" i="48"/>
  <c r="W23" i="48"/>
  <c r="V23" i="48"/>
  <c r="T23" i="48"/>
  <c r="S23" i="48"/>
  <c r="R23" i="48"/>
  <c r="Q23" i="48"/>
  <c r="P23" i="48"/>
  <c r="O23" i="48"/>
  <c r="H23" i="48"/>
  <c r="AD22" i="48"/>
  <c r="AC22" i="48"/>
  <c r="AB22" i="48"/>
  <c r="AA22" i="48"/>
  <c r="Y22" i="48"/>
  <c r="X22" i="48"/>
  <c r="W22" i="48"/>
  <c r="V22" i="48"/>
  <c r="T22" i="48"/>
  <c r="S22" i="48"/>
  <c r="R22" i="48"/>
  <c r="Q22" i="48"/>
  <c r="P22" i="48"/>
  <c r="O22" i="48"/>
  <c r="H22" i="48"/>
  <c r="AD21" i="48"/>
  <c r="AC21" i="48"/>
  <c r="AB21" i="48"/>
  <c r="AA21" i="48"/>
  <c r="Y21" i="48"/>
  <c r="X21" i="48"/>
  <c r="W21" i="48"/>
  <c r="V21" i="48"/>
  <c r="T21" i="48"/>
  <c r="S21" i="48"/>
  <c r="R21" i="48"/>
  <c r="Q21" i="48"/>
  <c r="P21" i="48"/>
  <c r="O21" i="48"/>
  <c r="H21" i="48"/>
  <c r="AD20" i="48"/>
  <c r="AC20" i="48"/>
  <c r="AB20" i="48"/>
  <c r="AA20" i="48"/>
  <c r="Y20" i="48"/>
  <c r="X20" i="48"/>
  <c r="W20" i="48"/>
  <c r="V20" i="48"/>
  <c r="T20" i="48"/>
  <c r="S20" i="48"/>
  <c r="R20" i="48"/>
  <c r="Q20" i="48"/>
  <c r="P20" i="48"/>
  <c r="O20" i="48"/>
  <c r="H20" i="48"/>
  <c r="AD19" i="48"/>
  <c r="AC19" i="48"/>
  <c r="AB19" i="48"/>
  <c r="AA19" i="48"/>
  <c r="Y19" i="48"/>
  <c r="X19" i="48"/>
  <c r="W19" i="48"/>
  <c r="V19" i="48"/>
  <c r="T19" i="48"/>
  <c r="S19" i="48"/>
  <c r="R19" i="48"/>
  <c r="Q19" i="48"/>
  <c r="P19" i="48"/>
  <c r="O19" i="48"/>
  <c r="H19" i="48"/>
  <c r="AD18" i="48"/>
  <c r="AC18" i="48"/>
  <c r="AB18" i="48"/>
  <c r="AA18" i="48"/>
  <c r="Y18" i="48"/>
  <c r="X18" i="48"/>
  <c r="W18" i="48"/>
  <c r="V18" i="48"/>
  <c r="T18" i="48"/>
  <c r="S18" i="48"/>
  <c r="R18" i="48"/>
  <c r="Q18" i="48"/>
  <c r="P18" i="48"/>
  <c r="O18" i="48"/>
  <c r="H18" i="48"/>
  <c r="AD17" i="48"/>
  <c r="AC17" i="48"/>
  <c r="AB17" i="48"/>
  <c r="AA17" i="48"/>
  <c r="Y17" i="48"/>
  <c r="X17" i="48"/>
  <c r="W17" i="48"/>
  <c r="V17" i="48"/>
  <c r="T17" i="48"/>
  <c r="S17" i="48"/>
  <c r="R17" i="48"/>
  <c r="Q17" i="48"/>
  <c r="P17" i="48"/>
  <c r="O17" i="48"/>
  <c r="H17" i="48"/>
  <c r="AD16" i="48"/>
  <c r="AC16" i="48"/>
  <c r="AB16" i="48"/>
  <c r="AA16" i="48"/>
  <c r="Y16" i="48"/>
  <c r="X16" i="48"/>
  <c r="W16" i="48"/>
  <c r="V16" i="48"/>
  <c r="T16" i="48"/>
  <c r="S16" i="48"/>
  <c r="R16" i="48"/>
  <c r="Q16" i="48"/>
  <c r="P16" i="48"/>
  <c r="O16" i="48"/>
  <c r="H16" i="48"/>
  <c r="AD15" i="48"/>
  <c r="AC15" i="48"/>
  <c r="AB15" i="48"/>
  <c r="AA15" i="48"/>
  <c r="Y15" i="48"/>
  <c r="X15" i="48"/>
  <c r="W15" i="48"/>
  <c r="V15" i="48"/>
  <c r="T15" i="48"/>
  <c r="S15" i="48"/>
  <c r="R15" i="48"/>
  <c r="Q15" i="48"/>
  <c r="P15" i="48"/>
  <c r="O15" i="48"/>
  <c r="H15" i="48"/>
  <c r="AD14" i="48"/>
  <c r="AC14" i="48"/>
  <c r="AB14" i="48"/>
  <c r="AA14" i="48"/>
  <c r="Y14" i="48"/>
  <c r="X14" i="48"/>
  <c r="W14" i="48"/>
  <c r="V14" i="48"/>
  <c r="T14" i="48"/>
  <c r="S14" i="48"/>
  <c r="R14" i="48"/>
  <c r="Q14" i="48"/>
  <c r="P14" i="48"/>
  <c r="O14" i="48"/>
  <c r="H14" i="48"/>
  <c r="AD13" i="48"/>
  <c r="AC13" i="48"/>
  <c r="AB13" i="48"/>
  <c r="AA13" i="48"/>
  <c r="Y13" i="48"/>
  <c r="X13" i="48"/>
  <c r="W13" i="48"/>
  <c r="V13" i="48"/>
  <c r="T13" i="48"/>
  <c r="S13" i="48"/>
  <c r="R13" i="48"/>
  <c r="Q13" i="48"/>
  <c r="P13" i="48"/>
  <c r="O13" i="48"/>
  <c r="H13" i="48"/>
  <c r="AD12" i="48"/>
  <c r="AC12" i="48"/>
  <c r="AB12" i="48"/>
  <c r="AA12" i="48"/>
  <c r="Y12" i="48"/>
  <c r="X12" i="48"/>
  <c r="W12" i="48"/>
  <c r="V12" i="48"/>
  <c r="T12" i="48"/>
  <c r="S12" i="48"/>
  <c r="R12" i="48"/>
  <c r="Q12" i="48"/>
  <c r="P12" i="48"/>
  <c r="O12" i="48"/>
  <c r="H12" i="48"/>
  <c r="AD11" i="48"/>
  <c r="AC11" i="48"/>
  <c r="AB11" i="48"/>
  <c r="AA11" i="48"/>
  <c r="Y11" i="48"/>
  <c r="X11" i="48"/>
  <c r="W11" i="48"/>
  <c r="V11" i="48"/>
  <c r="T11" i="48"/>
  <c r="S11" i="48"/>
  <c r="R11" i="48"/>
  <c r="Q11" i="48"/>
  <c r="P11" i="48"/>
  <c r="O11" i="48"/>
  <c r="H11" i="48"/>
  <c r="AD10" i="48"/>
  <c r="AC10" i="48"/>
  <c r="AB10" i="48"/>
  <c r="AA10" i="48"/>
  <c r="Y10" i="48"/>
  <c r="X10" i="48"/>
  <c r="W10" i="48"/>
  <c r="V10" i="48"/>
  <c r="T10" i="48"/>
  <c r="S10" i="48"/>
  <c r="R10" i="48"/>
  <c r="Q10" i="48"/>
  <c r="P10" i="48"/>
  <c r="O10" i="48"/>
  <c r="H10" i="48"/>
  <c r="AD9" i="48"/>
  <c r="AC9" i="48"/>
  <c r="AB9" i="48"/>
  <c r="AA9" i="48"/>
  <c r="Y9" i="48"/>
  <c r="X9" i="48"/>
  <c r="W9" i="48"/>
  <c r="V9" i="48"/>
  <c r="T9" i="48"/>
  <c r="S9" i="48"/>
  <c r="R9" i="48"/>
  <c r="Q9" i="48"/>
  <c r="P9" i="48"/>
  <c r="O9" i="48"/>
  <c r="H9" i="48"/>
  <c r="AD8" i="48"/>
  <c r="AC8" i="48"/>
  <c r="AB8" i="48"/>
  <c r="AA8" i="48"/>
  <c r="Y8" i="48"/>
  <c r="X8" i="48"/>
  <c r="W8" i="48"/>
  <c r="V8" i="48"/>
  <c r="T8" i="48"/>
  <c r="S8" i="48"/>
  <c r="R8" i="48"/>
  <c r="Q8" i="48"/>
  <c r="P8" i="48"/>
  <c r="O8" i="48"/>
  <c r="H8" i="48"/>
  <c r="AD7" i="48"/>
  <c r="AC7" i="48"/>
  <c r="AB7" i="48"/>
  <c r="AA7" i="48"/>
  <c r="Y7" i="48"/>
  <c r="X7" i="48"/>
  <c r="W7" i="48"/>
  <c r="V7" i="48"/>
  <c r="T7" i="48"/>
  <c r="S7" i="48"/>
  <c r="R7" i="48"/>
  <c r="Q7" i="48"/>
  <c r="P7" i="48"/>
  <c r="O7" i="48"/>
  <c r="H7" i="48"/>
  <c r="G5" i="48"/>
  <c r="E5" i="48"/>
  <c r="D5" i="48"/>
  <c r="B5" i="48"/>
  <c r="AB41" i="47"/>
  <c r="AA41" i="47"/>
  <c r="Y41" i="47"/>
  <c r="X41" i="47"/>
  <c r="W41" i="47"/>
  <c r="V41" i="47"/>
  <c r="T41" i="47"/>
  <c r="S41" i="47"/>
  <c r="R41" i="47"/>
  <c r="Q41" i="47"/>
  <c r="P41" i="47"/>
  <c r="O41" i="47"/>
  <c r="AD40" i="47"/>
  <c r="AC40" i="47"/>
  <c r="AB40" i="47"/>
  <c r="AA40" i="47"/>
  <c r="Y40" i="47"/>
  <c r="X40" i="47"/>
  <c r="W40" i="47"/>
  <c r="V40" i="47"/>
  <c r="T40" i="47"/>
  <c r="S40" i="47"/>
  <c r="R40" i="47"/>
  <c r="Q40" i="47"/>
  <c r="P40" i="47"/>
  <c r="O40" i="47"/>
  <c r="L36" i="47"/>
  <c r="L39" i="47" s="1"/>
  <c r="AD33" i="47"/>
  <c r="AC33" i="47"/>
  <c r="AB33" i="47"/>
  <c r="AA33" i="47"/>
  <c r="Y33" i="47"/>
  <c r="X33" i="47"/>
  <c r="W33" i="47"/>
  <c r="V33" i="47"/>
  <c r="T33" i="47"/>
  <c r="S33" i="47"/>
  <c r="R33" i="47"/>
  <c r="Q33" i="47"/>
  <c r="P33" i="47"/>
  <c r="O33" i="47"/>
  <c r="AD32" i="47"/>
  <c r="AC32" i="47"/>
  <c r="AB32" i="47"/>
  <c r="AA32" i="47"/>
  <c r="Y32" i="47"/>
  <c r="X32" i="47"/>
  <c r="W32" i="47"/>
  <c r="V32" i="47"/>
  <c r="T32" i="47"/>
  <c r="S32" i="47"/>
  <c r="R32" i="47"/>
  <c r="Q32" i="47"/>
  <c r="P32" i="47"/>
  <c r="O32" i="47"/>
  <c r="AD31" i="47"/>
  <c r="AC31" i="47"/>
  <c r="AB31" i="47"/>
  <c r="AA31" i="47"/>
  <c r="Y31" i="47"/>
  <c r="X31" i="47"/>
  <c r="W31" i="47"/>
  <c r="V31" i="47"/>
  <c r="T31" i="47"/>
  <c r="S31" i="47"/>
  <c r="R31" i="47"/>
  <c r="Q31" i="47"/>
  <c r="P31" i="47"/>
  <c r="O31" i="47"/>
  <c r="AD30" i="47"/>
  <c r="AC30" i="47"/>
  <c r="AB30" i="47"/>
  <c r="AA30" i="47"/>
  <c r="Y30" i="47"/>
  <c r="X30" i="47"/>
  <c r="W30" i="47"/>
  <c r="V30" i="47"/>
  <c r="T30" i="47"/>
  <c r="S30" i="47"/>
  <c r="R30" i="47"/>
  <c r="Q30" i="47"/>
  <c r="P30" i="47"/>
  <c r="O30" i="47"/>
  <c r="AD29" i="47"/>
  <c r="AC29" i="47"/>
  <c r="AB29" i="47"/>
  <c r="AA29" i="47"/>
  <c r="Y29" i="47"/>
  <c r="X29" i="47"/>
  <c r="W29" i="47"/>
  <c r="V29" i="47"/>
  <c r="T29" i="47"/>
  <c r="S29" i="47"/>
  <c r="R29" i="47"/>
  <c r="Q29" i="47"/>
  <c r="P29" i="47"/>
  <c r="O29" i="47"/>
  <c r="AD28" i="47"/>
  <c r="AC28" i="47"/>
  <c r="AB28" i="47"/>
  <c r="AA28" i="47"/>
  <c r="Y28" i="47"/>
  <c r="X28" i="47"/>
  <c r="W28" i="47"/>
  <c r="V28" i="47"/>
  <c r="T28" i="47"/>
  <c r="S28" i="47"/>
  <c r="R28" i="47"/>
  <c r="Q28" i="47"/>
  <c r="P28" i="47"/>
  <c r="O28" i="47"/>
  <c r="AD27" i="47"/>
  <c r="AC27" i="47"/>
  <c r="AB27" i="47"/>
  <c r="AA27" i="47"/>
  <c r="Y27" i="47"/>
  <c r="X27" i="47"/>
  <c r="W27" i="47"/>
  <c r="V27" i="47"/>
  <c r="T27" i="47"/>
  <c r="S27" i="47"/>
  <c r="R27" i="47"/>
  <c r="Q27" i="47"/>
  <c r="P27" i="47"/>
  <c r="O27" i="47"/>
  <c r="AD26" i="47"/>
  <c r="AC26" i="47"/>
  <c r="AB26" i="47"/>
  <c r="AA26" i="47"/>
  <c r="Y26" i="47"/>
  <c r="X26" i="47"/>
  <c r="W26" i="47"/>
  <c r="V26" i="47"/>
  <c r="T26" i="47"/>
  <c r="S26" i="47"/>
  <c r="R26" i="47"/>
  <c r="Q26" i="47"/>
  <c r="P26" i="47"/>
  <c r="O26" i="47"/>
  <c r="AD25" i="47"/>
  <c r="AC25" i="47"/>
  <c r="AB25" i="47"/>
  <c r="AA25" i="47"/>
  <c r="Y25" i="47"/>
  <c r="X25" i="47"/>
  <c r="W25" i="47"/>
  <c r="V25" i="47"/>
  <c r="T25" i="47"/>
  <c r="S25" i="47"/>
  <c r="R25" i="47"/>
  <c r="Q25" i="47"/>
  <c r="P25" i="47"/>
  <c r="O25" i="47"/>
  <c r="AD24" i="47"/>
  <c r="AC24" i="47"/>
  <c r="AB24" i="47"/>
  <c r="AA24" i="47"/>
  <c r="Y24" i="47"/>
  <c r="X24" i="47"/>
  <c r="W24" i="47"/>
  <c r="V24" i="47"/>
  <c r="T24" i="47"/>
  <c r="S24" i="47"/>
  <c r="R24" i="47"/>
  <c r="Q24" i="47"/>
  <c r="P24" i="47"/>
  <c r="O24" i="47"/>
  <c r="AD23" i="47"/>
  <c r="AC23" i="47"/>
  <c r="AB23" i="47"/>
  <c r="AA23" i="47"/>
  <c r="Y23" i="47"/>
  <c r="X23" i="47"/>
  <c r="W23" i="47"/>
  <c r="V23" i="47"/>
  <c r="T23" i="47"/>
  <c r="S23" i="47"/>
  <c r="R23" i="47"/>
  <c r="Q23" i="47"/>
  <c r="P23" i="47"/>
  <c r="O23" i="47"/>
  <c r="AD22" i="47"/>
  <c r="AC22" i="47"/>
  <c r="AB22" i="47"/>
  <c r="AA22" i="47"/>
  <c r="Y22" i="47"/>
  <c r="X22" i="47"/>
  <c r="W22" i="47"/>
  <c r="V22" i="47"/>
  <c r="T22" i="47"/>
  <c r="S22" i="47"/>
  <c r="R22" i="47"/>
  <c r="Q22" i="47"/>
  <c r="P22" i="47"/>
  <c r="O22" i="47"/>
  <c r="AD21" i="47"/>
  <c r="AC21" i="47"/>
  <c r="AB21" i="47"/>
  <c r="AA21" i="47"/>
  <c r="Y21" i="47"/>
  <c r="X21" i="47"/>
  <c r="W21" i="47"/>
  <c r="V21" i="47"/>
  <c r="T21" i="47"/>
  <c r="S21" i="47"/>
  <c r="R21" i="47"/>
  <c r="Q21" i="47"/>
  <c r="P21" i="47"/>
  <c r="O21" i="47"/>
  <c r="AD20" i="47"/>
  <c r="AC20" i="47"/>
  <c r="AB20" i="47"/>
  <c r="AA20" i="47"/>
  <c r="Y20" i="47"/>
  <c r="X20" i="47"/>
  <c r="W20" i="47"/>
  <c r="V20" i="47"/>
  <c r="T20" i="47"/>
  <c r="S20" i="47"/>
  <c r="R20" i="47"/>
  <c r="Q20" i="47"/>
  <c r="P20" i="47"/>
  <c r="O20" i="47"/>
  <c r="AD19" i="47"/>
  <c r="AC19" i="47"/>
  <c r="AB19" i="47"/>
  <c r="AA19" i="47"/>
  <c r="Y19" i="47"/>
  <c r="X19" i="47"/>
  <c r="W19" i="47"/>
  <c r="V19" i="47"/>
  <c r="T19" i="47"/>
  <c r="S19" i="47"/>
  <c r="R19" i="47"/>
  <c r="Q19" i="47"/>
  <c r="P19" i="47"/>
  <c r="O19" i="47"/>
  <c r="AD18" i="47"/>
  <c r="AC18" i="47"/>
  <c r="AB18" i="47"/>
  <c r="AA18" i="47"/>
  <c r="Y18" i="47"/>
  <c r="X18" i="47"/>
  <c r="W18" i="47"/>
  <c r="V18" i="47"/>
  <c r="T18" i="47"/>
  <c r="S18" i="47"/>
  <c r="R18" i="47"/>
  <c r="Q18" i="47"/>
  <c r="P18" i="47"/>
  <c r="O18" i="47"/>
  <c r="AD17" i="47"/>
  <c r="AC17" i="47"/>
  <c r="AB17" i="47"/>
  <c r="AA17" i="47"/>
  <c r="Y17" i="47"/>
  <c r="X17" i="47"/>
  <c r="W17" i="47"/>
  <c r="V17" i="47"/>
  <c r="T17" i="47"/>
  <c r="S17" i="47"/>
  <c r="R17" i="47"/>
  <c r="Q17" i="47"/>
  <c r="P17" i="47"/>
  <c r="O17" i="47"/>
  <c r="AD16" i="47"/>
  <c r="AC16" i="47"/>
  <c r="AB16" i="47"/>
  <c r="AA16" i="47"/>
  <c r="Y16" i="47"/>
  <c r="X16" i="47"/>
  <c r="W16" i="47"/>
  <c r="V16" i="47"/>
  <c r="T16" i="47"/>
  <c r="S16" i="47"/>
  <c r="R16" i="47"/>
  <c r="Q16" i="47"/>
  <c r="P16" i="47"/>
  <c r="O16" i="47"/>
  <c r="AD15" i="47"/>
  <c r="AC15" i="47"/>
  <c r="AB15" i="47"/>
  <c r="AA15" i="47"/>
  <c r="Y15" i="47"/>
  <c r="X15" i="47"/>
  <c r="W15" i="47"/>
  <c r="V15" i="47"/>
  <c r="T15" i="47"/>
  <c r="S15" i="47"/>
  <c r="R15" i="47"/>
  <c r="Q15" i="47"/>
  <c r="P15" i="47"/>
  <c r="O15" i="47"/>
  <c r="AD14" i="47"/>
  <c r="AC14" i="47"/>
  <c r="AB14" i="47"/>
  <c r="AA14" i="47"/>
  <c r="Y14" i="47"/>
  <c r="X14" i="47"/>
  <c r="W14" i="47"/>
  <c r="V14" i="47"/>
  <c r="T14" i="47"/>
  <c r="S14" i="47"/>
  <c r="R14" i="47"/>
  <c r="Q14" i="47"/>
  <c r="P14" i="47"/>
  <c r="O14" i="47"/>
  <c r="AD13" i="47"/>
  <c r="AC13" i="47"/>
  <c r="AB13" i="47"/>
  <c r="AA13" i="47"/>
  <c r="Y13" i="47"/>
  <c r="X13" i="47"/>
  <c r="W13" i="47"/>
  <c r="V13" i="47"/>
  <c r="T13" i="47"/>
  <c r="S13" i="47"/>
  <c r="R13" i="47"/>
  <c r="Q13" i="47"/>
  <c r="P13" i="47"/>
  <c r="O13" i="47"/>
  <c r="AD12" i="47"/>
  <c r="AC12" i="47"/>
  <c r="AB12" i="47"/>
  <c r="AA12" i="47"/>
  <c r="Y12" i="47"/>
  <c r="X12" i="47"/>
  <c r="W12" i="47"/>
  <c r="V12" i="47"/>
  <c r="T12" i="47"/>
  <c r="S12" i="47"/>
  <c r="R12" i="47"/>
  <c r="Q12" i="47"/>
  <c r="P12" i="47"/>
  <c r="O12" i="47"/>
  <c r="AD11" i="47"/>
  <c r="AC11" i="47"/>
  <c r="AB11" i="47"/>
  <c r="AA11" i="47"/>
  <c r="Y11" i="47"/>
  <c r="X11" i="47"/>
  <c r="W11" i="47"/>
  <c r="V11" i="47"/>
  <c r="T11" i="47"/>
  <c r="S11" i="47"/>
  <c r="R11" i="47"/>
  <c r="Q11" i="47"/>
  <c r="P11" i="47"/>
  <c r="O11" i="47"/>
  <c r="AD10" i="47"/>
  <c r="AC10" i="47"/>
  <c r="AB10" i="47"/>
  <c r="AA10" i="47"/>
  <c r="Y10" i="47"/>
  <c r="X10" i="47"/>
  <c r="W10" i="47"/>
  <c r="V10" i="47"/>
  <c r="T10" i="47"/>
  <c r="S10" i="47"/>
  <c r="R10" i="47"/>
  <c r="Q10" i="47"/>
  <c r="P10" i="47"/>
  <c r="O10" i="47"/>
  <c r="AD9" i="47"/>
  <c r="AC9" i="47"/>
  <c r="AB9" i="47"/>
  <c r="AA9" i="47"/>
  <c r="Y9" i="47"/>
  <c r="X9" i="47"/>
  <c r="W9" i="47"/>
  <c r="V9" i="47"/>
  <c r="T9" i="47"/>
  <c r="S9" i="47"/>
  <c r="R9" i="47"/>
  <c r="Q9" i="47"/>
  <c r="P9" i="47"/>
  <c r="O9" i="47"/>
  <c r="AD8" i="47"/>
  <c r="AC8" i="47"/>
  <c r="AB8" i="47"/>
  <c r="AA8" i="47"/>
  <c r="Y8" i="47"/>
  <c r="X8" i="47"/>
  <c r="W8" i="47"/>
  <c r="V8" i="47"/>
  <c r="T8" i="47"/>
  <c r="S8" i="47"/>
  <c r="R8" i="47"/>
  <c r="Q8" i="47"/>
  <c r="P8" i="47"/>
  <c r="O8" i="47"/>
  <c r="AD7" i="47"/>
  <c r="AC7" i="47"/>
  <c r="AB7" i="47"/>
  <c r="AA7" i="47"/>
  <c r="Y7" i="47"/>
  <c r="X7" i="47"/>
  <c r="W7" i="47"/>
  <c r="V7" i="47"/>
  <c r="T7" i="47"/>
  <c r="S7" i="47"/>
  <c r="R7" i="47"/>
  <c r="Q7" i="47"/>
  <c r="P7" i="47"/>
  <c r="O7" i="47"/>
  <c r="T6" i="47"/>
  <c r="T36" i="47" s="1"/>
  <c r="P6" i="47"/>
  <c r="P36" i="47" s="1"/>
  <c r="AD27" i="39"/>
  <c r="AF27" i="39" s="1"/>
  <c r="AF22" i="39"/>
  <c r="AE22" i="39"/>
  <c r="AF21" i="39"/>
  <c r="AE21" i="39"/>
  <c r="AF20" i="39"/>
  <c r="AE20" i="39"/>
  <c r="AF7" i="39"/>
  <c r="AE7" i="39"/>
  <c r="AF8" i="39"/>
  <c r="AF9" i="39"/>
  <c r="AE9" i="39"/>
  <c r="AE8" i="39"/>
  <c r="C39" i="52" l="1"/>
  <c r="C42" i="52" s="1"/>
  <c r="Z6" i="52"/>
  <c r="Z39" i="52" s="1"/>
  <c r="D39" i="52"/>
  <c r="D42" i="52" s="1"/>
  <c r="AA6" i="52"/>
  <c r="AA39" i="52" s="1"/>
  <c r="E39" i="52"/>
  <c r="E42" i="52" s="1"/>
  <c r="AB6" i="52"/>
  <c r="AB39" i="52" s="1"/>
  <c r="F39" i="52"/>
  <c r="F42" i="52" s="1"/>
  <c r="AC6" i="52"/>
  <c r="AC39" i="52" s="1"/>
  <c r="G39" i="52"/>
  <c r="G42" i="52" s="1"/>
  <c r="AD6" i="52"/>
  <c r="AD39" i="52" s="1"/>
  <c r="K39" i="52"/>
  <c r="K42" i="52" s="1"/>
  <c r="AH6" i="52"/>
  <c r="AH39" i="52" s="1"/>
  <c r="L39" i="52"/>
  <c r="L42" i="52" s="1"/>
  <c r="AI6" i="52"/>
  <c r="AI39" i="52" s="1"/>
  <c r="O39" i="52"/>
  <c r="O42" i="52" s="1"/>
  <c r="AL6" i="52"/>
  <c r="AL39" i="52" s="1"/>
  <c r="P39" i="52"/>
  <c r="P42" i="52" s="1"/>
  <c r="AM6" i="52"/>
  <c r="AM39" i="52" s="1"/>
  <c r="Q39" i="52"/>
  <c r="Q42" i="52" s="1"/>
  <c r="AN6" i="52"/>
  <c r="AN39" i="52" s="1"/>
  <c r="R6" i="52"/>
  <c r="R45" i="52" s="1"/>
  <c r="C38" i="51"/>
  <c r="C41" i="51" s="1"/>
  <c r="Z6" i="51"/>
  <c r="Z38" i="51" s="1"/>
  <c r="D38" i="51"/>
  <c r="D41" i="51" s="1"/>
  <c r="AA6" i="51"/>
  <c r="AA38" i="51" s="1"/>
  <c r="E38" i="51"/>
  <c r="E41" i="51" s="1"/>
  <c r="AB6" i="51"/>
  <c r="AB38" i="51" s="1"/>
  <c r="F38" i="51"/>
  <c r="F41" i="51" s="1"/>
  <c r="AC6" i="51"/>
  <c r="AC38" i="51" s="1"/>
  <c r="G38" i="51"/>
  <c r="G41" i="51" s="1"/>
  <c r="AD6" i="51"/>
  <c r="AD38" i="51" s="1"/>
  <c r="K38" i="51"/>
  <c r="K41" i="51" s="1"/>
  <c r="AH6" i="51"/>
  <c r="AH38" i="51" s="1"/>
  <c r="L38" i="51"/>
  <c r="L41" i="51" s="1"/>
  <c r="AI6" i="51"/>
  <c r="AI38" i="51" s="1"/>
  <c r="O38" i="51"/>
  <c r="O41" i="51" s="1"/>
  <c r="AL6" i="51"/>
  <c r="AL38" i="51" s="1"/>
  <c r="P38" i="51"/>
  <c r="P41" i="51" s="1"/>
  <c r="AM6" i="51"/>
  <c r="AM38" i="51" s="1"/>
  <c r="Q38" i="51"/>
  <c r="Q41" i="51" s="1"/>
  <c r="AN6" i="51"/>
  <c r="AN38" i="51" s="1"/>
  <c r="R6" i="51"/>
  <c r="R44" i="51" s="1"/>
  <c r="B39" i="50"/>
  <c r="B42" i="50" s="1"/>
  <c r="Y6" i="50"/>
  <c r="Y39" i="50" s="1"/>
  <c r="C39" i="50"/>
  <c r="C42" i="50" s="1"/>
  <c r="Z6" i="50"/>
  <c r="Z39" i="50" s="1"/>
  <c r="D39" i="50"/>
  <c r="D42" i="50" s="1"/>
  <c r="AA6" i="50"/>
  <c r="AA39" i="50" s="1"/>
  <c r="E39" i="50"/>
  <c r="E42" i="50" s="1"/>
  <c r="AB6" i="50"/>
  <c r="AB39" i="50" s="1"/>
  <c r="F39" i="50"/>
  <c r="F42" i="50" s="1"/>
  <c r="AC6" i="50"/>
  <c r="AC39" i="50" s="1"/>
  <c r="G39" i="50"/>
  <c r="G42" i="50" s="1"/>
  <c r="AD6" i="50"/>
  <c r="AD39" i="50" s="1"/>
  <c r="I39" i="50"/>
  <c r="I42" i="50" s="1"/>
  <c r="AF6" i="50"/>
  <c r="AF39" i="50" s="1"/>
  <c r="J39" i="50"/>
  <c r="J42" i="50" s="1"/>
  <c r="AG6" i="50"/>
  <c r="AG39" i="50" s="1"/>
  <c r="K39" i="50"/>
  <c r="K42" i="50" s="1"/>
  <c r="AH6" i="50"/>
  <c r="AH39" i="50" s="1"/>
  <c r="L39" i="50"/>
  <c r="L42" i="50" s="1"/>
  <c r="AI6" i="50"/>
  <c r="AI39" i="50" s="1"/>
  <c r="N39" i="50"/>
  <c r="N42" i="50" s="1"/>
  <c r="AK6" i="50"/>
  <c r="AK39" i="50" s="1"/>
  <c r="O39" i="50"/>
  <c r="O42" i="50" s="1"/>
  <c r="AL6" i="50"/>
  <c r="AL39" i="50" s="1"/>
  <c r="P39" i="50"/>
  <c r="P42" i="50" s="1"/>
  <c r="AM6" i="50"/>
  <c r="AM39" i="50" s="1"/>
  <c r="Q39" i="50"/>
  <c r="Q42" i="50" s="1"/>
  <c r="AN6" i="50"/>
  <c r="AN39" i="50" s="1"/>
  <c r="R6" i="50"/>
  <c r="R45" i="50" s="1"/>
  <c r="B42" i="49"/>
  <c r="Y6" i="49"/>
  <c r="Y39" i="49" s="1"/>
  <c r="C39" i="49"/>
  <c r="C42" i="49" s="1"/>
  <c r="Z6" i="49"/>
  <c r="Z39" i="49" s="1"/>
  <c r="D39" i="49"/>
  <c r="D42" i="49" s="1"/>
  <c r="AA6" i="49"/>
  <c r="AA39" i="49" s="1"/>
  <c r="E39" i="49"/>
  <c r="E42" i="49" s="1"/>
  <c r="AB6" i="49"/>
  <c r="AB39" i="49" s="1"/>
  <c r="F39" i="49"/>
  <c r="F42" i="49" s="1"/>
  <c r="AC6" i="49"/>
  <c r="AC39" i="49" s="1"/>
  <c r="G39" i="49"/>
  <c r="G42" i="49" s="1"/>
  <c r="AD6" i="49"/>
  <c r="AD39" i="49" s="1"/>
  <c r="I39" i="49"/>
  <c r="I42" i="49" s="1"/>
  <c r="AF6" i="49"/>
  <c r="AF39" i="49" s="1"/>
  <c r="J39" i="49"/>
  <c r="J42" i="49" s="1"/>
  <c r="AG6" i="49"/>
  <c r="AG39" i="49" s="1"/>
  <c r="K39" i="49"/>
  <c r="K42" i="49" s="1"/>
  <c r="AH6" i="49"/>
  <c r="AH39" i="49" s="1"/>
  <c r="L39" i="49"/>
  <c r="L42" i="49" s="1"/>
  <c r="AI6" i="49"/>
  <c r="AI39" i="49" s="1"/>
  <c r="AK6" i="49"/>
  <c r="AK39" i="49" s="1"/>
  <c r="O39" i="49"/>
  <c r="O42" i="49" s="1"/>
  <c r="AL6" i="49"/>
  <c r="AL39" i="49" s="1"/>
  <c r="P39" i="49"/>
  <c r="P42" i="49" s="1"/>
  <c r="AM6" i="49"/>
  <c r="AM39" i="49" s="1"/>
  <c r="Q39" i="49"/>
  <c r="Q42" i="49" s="1"/>
  <c r="AN6" i="49"/>
  <c r="AN39" i="49" s="1"/>
  <c r="R6" i="49"/>
  <c r="R45" i="49" s="1"/>
  <c r="B39" i="48"/>
  <c r="B42" i="48" s="1"/>
  <c r="O6" i="48"/>
  <c r="O39" i="48" s="1"/>
  <c r="P6" i="48"/>
  <c r="P39" i="48" s="1"/>
  <c r="Q6" i="48"/>
  <c r="Q39" i="48" s="1"/>
  <c r="R6" i="48"/>
  <c r="R39" i="48" s="1"/>
  <c r="S6" i="48"/>
  <c r="S39" i="48" s="1"/>
  <c r="T6" i="48"/>
  <c r="T39" i="48" s="1"/>
  <c r="D39" i="48"/>
  <c r="D42" i="48" s="1"/>
  <c r="V6" i="48"/>
  <c r="V39" i="48" s="1"/>
  <c r="E39" i="48"/>
  <c r="E42" i="48" s="1"/>
  <c r="W6" i="48"/>
  <c r="W39" i="48" s="1"/>
  <c r="X6" i="48"/>
  <c r="X39" i="48" s="1"/>
  <c r="Y6" i="48"/>
  <c r="Y39" i="48" s="1"/>
  <c r="G39" i="48"/>
  <c r="AA6" i="48"/>
  <c r="AA39" i="48" s="1"/>
  <c r="AB6" i="48"/>
  <c r="AB39" i="48" s="1"/>
  <c r="AC6" i="48"/>
  <c r="AC39" i="48" s="1"/>
  <c r="AD6" i="48"/>
  <c r="AD39" i="48" s="1"/>
  <c r="H6" i="48"/>
  <c r="H45" i="48" s="1"/>
  <c r="X6" i="47"/>
  <c r="X36" i="47" s="1"/>
  <c r="R6" i="47"/>
  <c r="R36" i="47" s="1"/>
  <c r="Y6" i="47"/>
  <c r="Y36" i="47" s="1"/>
  <c r="S6" i="47"/>
  <c r="S36" i="47" s="1"/>
  <c r="Q6" i="47"/>
  <c r="Q36" i="47" s="1"/>
  <c r="AB6" i="47"/>
  <c r="AB36" i="47" s="1"/>
  <c r="AC6" i="47"/>
  <c r="AC36" i="47" s="1"/>
  <c r="AD6" i="47"/>
  <c r="AD36" i="47" s="1"/>
  <c r="AG7" i="39"/>
  <c r="AG8" i="39"/>
  <c r="AG9" i="39"/>
  <c r="AE27" i="39"/>
  <c r="AG27" i="39" s="1"/>
  <c r="AG21" i="39"/>
  <c r="AG20" i="39"/>
  <c r="AG22" i="39"/>
  <c r="N36" i="11" l="1"/>
  <c r="J36" i="11"/>
  <c r="I36" i="11"/>
  <c r="B36" i="11"/>
  <c r="N6" i="11"/>
  <c r="J6" i="11"/>
  <c r="I6" i="11"/>
  <c r="B6" i="11"/>
  <c r="J5" i="11"/>
  <c r="I5" i="11"/>
  <c r="B5" i="11"/>
  <c r="Y34" i="27" l="1"/>
  <c r="A35" i="39" l="1"/>
  <c r="AL43" i="46"/>
  <c r="AK43" i="46"/>
  <c r="AN43" i="46"/>
  <c r="AM43" i="46"/>
  <c r="AL44" i="46"/>
  <c r="AK44" i="46"/>
  <c r="AI43" i="46"/>
  <c r="AH43" i="46"/>
  <c r="V39" i="46"/>
  <c r="V42" i="46" s="1"/>
  <c r="AN36" i="46"/>
  <c r="AM36" i="46"/>
  <c r="AL36" i="46"/>
  <c r="AK36" i="46"/>
  <c r="AI36" i="46"/>
  <c r="AH36" i="46"/>
  <c r="AG36" i="46"/>
  <c r="AF36" i="46"/>
  <c r="AD36" i="46"/>
  <c r="AC36" i="46"/>
  <c r="AB36" i="46"/>
  <c r="AA36" i="46"/>
  <c r="Z36" i="46"/>
  <c r="Y36" i="46"/>
  <c r="R36" i="46"/>
  <c r="AN35" i="46"/>
  <c r="AM35" i="46"/>
  <c r="AL35" i="46"/>
  <c r="AK35" i="46"/>
  <c r="AI35" i="46"/>
  <c r="AH35" i="46"/>
  <c r="AG35" i="46"/>
  <c r="AF35" i="46"/>
  <c r="AD35" i="46"/>
  <c r="AC35" i="46"/>
  <c r="AB35" i="46"/>
  <c r="AA35" i="46"/>
  <c r="Z35" i="46"/>
  <c r="Y35" i="46"/>
  <c r="R35" i="46"/>
  <c r="AN34" i="46"/>
  <c r="AM34" i="46"/>
  <c r="AL34" i="46"/>
  <c r="AK34" i="46"/>
  <c r="AI34" i="46"/>
  <c r="AH34" i="46"/>
  <c r="AG34" i="46"/>
  <c r="AF34" i="46"/>
  <c r="AD34" i="46"/>
  <c r="AC34" i="46"/>
  <c r="AB34" i="46"/>
  <c r="AA34" i="46"/>
  <c r="Z34" i="46"/>
  <c r="Y34" i="46"/>
  <c r="R34" i="46"/>
  <c r="AN33" i="46"/>
  <c r="AM33" i="46"/>
  <c r="AL33" i="46"/>
  <c r="AK33" i="46"/>
  <c r="AI33" i="46"/>
  <c r="AH33" i="46"/>
  <c r="AG33" i="46"/>
  <c r="AF33" i="46"/>
  <c r="AD33" i="46"/>
  <c r="AC33" i="46"/>
  <c r="AB33" i="46"/>
  <c r="AA33" i="46"/>
  <c r="Z33" i="46"/>
  <c r="Y33" i="46"/>
  <c r="R33" i="46"/>
  <c r="AN32" i="46"/>
  <c r="AM32" i="46"/>
  <c r="AL32" i="46"/>
  <c r="AK32" i="46"/>
  <c r="AI32" i="46"/>
  <c r="AH32" i="46"/>
  <c r="AG32" i="46"/>
  <c r="AF32" i="46"/>
  <c r="AD32" i="46"/>
  <c r="AC32" i="46"/>
  <c r="AB32" i="46"/>
  <c r="AA32" i="46"/>
  <c r="Z32" i="46"/>
  <c r="Y32" i="46"/>
  <c r="R32" i="46"/>
  <c r="AN31" i="46"/>
  <c r="AM31" i="46"/>
  <c r="AL31" i="46"/>
  <c r="AK31" i="46"/>
  <c r="AI31" i="46"/>
  <c r="AH31" i="46"/>
  <c r="AG31" i="46"/>
  <c r="AF31" i="46"/>
  <c r="AD31" i="46"/>
  <c r="AC31" i="46"/>
  <c r="AB31" i="46"/>
  <c r="AA31" i="46"/>
  <c r="Z31" i="46"/>
  <c r="Y31" i="46"/>
  <c r="R31" i="46"/>
  <c r="AN30" i="46"/>
  <c r="AM30" i="46"/>
  <c r="AL30" i="46"/>
  <c r="AK30" i="46"/>
  <c r="AI30" i="46"/>
  <c r="AH30" i="46"/>
  <c r="AG30" i="46"/>
  <c r="AF30" i="46"/>
  <c r="AD30" i="46"/>
  <c r="AC30" i="46"/>
  <c r="AB30" i="46"/>
  <c r="AA30" i="46"/>
  <c r="Z30" i="46"/>
  <c r="Y30" i="46"/>
  <c r="R30" i="46"/>
  <c r="AN29" i="46"/>
  <c r="AM29" i="46"/>
  <c r="AL29" i="46"/>
  <c r="AK29" i="46"/>
  <c r="AI29" i="46"/>
  <c r="AH29" i="46"/>
  <c r="AG29" i="46"/>
  <c r="AF29" i="46"/>
  <c r="AD29" i="46"/>
  <c r="AC29" i="46"/>
  <c r="AB29" i="46"/>
  <c r="AA29" i="46"/>
  <c r="Z29" i="46"/>
  <c r="Y29" i="46"/>
  <c r="R29" i="46"/>
  <c r="AN28" i="46"/>
  <c r="AM28" i="46"/>
  <c r="AL28" i="46"/>
  <c r="AK28" i="46"/>
  <c r="AI28" i="46"/>
  <c r="AH28" i="46"/>
  <c r="AG28" i="46"/>
  <c r="AF28" i="46"/>
  <c r="AD28" i="46"/>
  <c r="AC28" i="46"/>
  <c r="AB28" i="46"/>
  <c r="AA28" i="46"/>
  <c r="Z28" i="46"/>
  <c r="Y28" i="46"/>
  <c r="R28" i="46"/>
  <c r="AN27" i="46"/>
  <c r="AM27" i="46"/>
  <c r="AL27" i="46"/>
  <c r="AK27" i="46"/>
  <c r="AI27" i="46"/>
  <c r="AH27" i="46"/>
  <c r="AG27" i="46"/>
  <c r="AF27" i="46"/>
  <c r="AD27" i="46"/>
  <c r="AC27" i="46"/>
  <c r="AB27" i="46"/>
  <c r="AA27" i="46"/>
  <c r="Z27" i="46"/>
  <c r="Y27" i="46"/>
  <c r="R27" i="46"/>
  <c r="AN26" i="46"/>
  <c r="AM26" i="46"/>
  <c r="AL26" i="46"/>
  <c r="AK26" i="46"/>
  <c r="AI26" i="46"/>
  <c r="AH26" i="46"/>
  <c r="AG26" i="46"/>
  <c r="AF26" i="46"/>
  <c r="AD26" i="46"/>
  <c r="AC26" i="46"/>
  <c r="AB26" i="46"/>
  <c r="AA26" i="46"/>
  <c r="Z26" i="46"/>
  <c r="Y26" i="46"/>
  <c r="R26" i="46"/>
  <c r="AN25" i="46"/>
  <c r="AM25" i="46"/>
  <c r="AL25" i="46"/>
  <c r="AK25" i="46"/>
  <c r="AI25" i="46"/>
  <c r="AH25" i="46"/>
  <c r="AG25" i="46"/>
  <c r="AF25" i="46"/>
  <c r="AD25" i="46"/>
  <c r="AC25" i="46"/>
  <c r="AB25" i="46"/>
  <c r="AA25" i="46"/>
  <c r="Z25" i="46"/>
  <c r="Y25" i="46"/>
  <c r="R25" i="46"/>
  <c r="AN24" i="46"/>
  <c r="AM24" i="46"/>
  <c r="AL24" i="46"/>
  <c r="AK24" i="46"/>
  <c r="AI24" i="46"/>
  <c r="AH24" i="46"/>
  <c r="AG24" i="46"/>
  <c r="AF24" i="46"/>
  <c r="AD24" i="46"/>
  <c r="AC24" i="46"/>
  <c r="AB24" i="46"/>
  <c r="AA24" i="46"/>
  <c r="Z24" i="46"/>
  <c r="Y24" i="46"/>
  <c r="R24" i="46"/>
  <c r="AN23" i="46"/>
  <c r="AM23" i="46"/>
  <c r="AL23" i="46"/>
  <c r="AK23" i="46"/>
  <c r="AI23" i="46"/>
  <c r="AH23" i="46"/>
  <c r="AG23" i="46"/>
  <c r="AF23" i="46"/>
  <c r="AD23" i="46"/>
  <c r="AC23" i="46"/>
  <c r="AB23" i="46"/>
  <c r="AA23" i="46"/>
  <c r="Z23" i="46"/>
  <c r="Y23" i="46"/>
  <c r="R23" i="46"/>
  <c r="AN22" i="46"/>
  <c r="AM22" i="46"/>
  <c r="AL22" i="46"/>
  <c r="AK22" i="46"/>
  <c r="AI22" i="46"/>
  <c r="AH22" i="46"/>
  <c r="AG22" i="46"/>
  <c r="AF22" i="46"/>
  <c r="AD22" i="46"/>
  <c r="AC22" i="46"/>
  <c r="AB22" i="46"/>
  <c r="AA22" i="46"/>
  <c r="Z22" i="46"/>
  <c r="Y22" i="46"/>
  <c r="R22" i="46"/>
  <c r="AN21" i="46"/>
  <c r="AM21" i="46"/>
  <c r="AL21" i="46"/>
  <c r="AK21" i="46"/>
  <c r="AI21" i="46"/>
  <c r="AH21" i="46"/>
  <c r="AG21" i="46"/>
  <c r="AF21" i="46"/>
  <c r="AD21" i="46"/>
  <c r="AC21" i="46"/>
  <c r="AB21" i="46"/>
  <c r="AA21" i="46"/>
  <c r="Z21" i="46"/>
  <c r="Y21" i="46"/>
  <c r="R21" i="46"/>
  <c r="AN20" i="46"/>
  <c r="AM20" i="46"/>
  <c r="AL20" i="46"/>
  <c r="AK20" i="46"/>
  <c r="AI20" i="46"/>
  <c r="AH20" i="46"/>
  <c r="AG20" i="46"/>
  <c r="AF20" i="46"/>
  <c r="AD20" i="46"/>
  <c r="AC20" i="46"/>
  <c r="AB20" i="46"/>
  <c r="AA20" i="46"/>
  <c r="Z20" i="46"/>
  <c r="Y20" i="46"/>
  <c r="R20" i="46"/>
  <c r="AN19" i="46"/>
  <c r="AM19" i="46"/>
  <c r="AL19" i="46"/>
  <c r="AK19" i="46"/>
  <c r="AI19" i="46"/>
  <c r="AH19" i="46"/>
  <c r="AG19" i="46"/>
  <c r="AF19" i="46"/>
  <c r="AD19" i="46"/>
  <c r="AC19" i="46"/>
  <c r="AB19" i="46"/>
  <c r="AA19" i="46"/>
  <c r="Z19" i="46"/>
  <c r="Y19" i="46"/>
  <c r="R19" i="46"/>
  <c r="AN18" i="46"/>
  <c r="AM18" i="46"/>
  <c r="AL18" i="46"/>
  <c r="AK18" i="46"/>
  <c r="AI18" i="46"/>
  <c r="AH18" i="46"/>
  <c r="AG18" i="46"/>
  <c r="AF18" i="46"/>
  <c r="AD18" i="46"/>
  <c r="AC18" i="46"/>
  <c r="AB18" i="46"/>
  <c r="AA18" i="46"/>
  <c r="Z18" i="46"/>
  <c r="Y18" i="46"/>
  <c r="R18" i="46"/>
  <c r="AN17" i="46"/>
  <c r="AM17" i="46"/>
  <c r="AL17" i="46"/>
  <c r="AK17" i="46"/>
  <c r="AI17" i="46"/>
  <c r="AH17" i="46"/>
  <c r="AG17" i="46"/>
  <c r="AF17" i="46"/>
  <c r="AD17" i="46"/>
  <c r="AC17" i="46"/>
  <c r="AB17" i="46"/>
  <c r="AA17" i="46"/>
  <c r="Z17" i="46"/>
  <c r="Y17" i="46"/>
  <c r="R17" i="46"/>
  <c r="AN16" i="46"/>
  <c r="AM16" i="46"/>
  <c r="AL16" i="46"/>
  <c r="AK16" i="46"/>
  <c r="AI16" i="46"/>
  <c r="AH16" i="46"/>
  <c r="AG16" i="46"/>
  <c r="AF16" i="46"/>
  <c r="AD16" i="46"/>
  <c r="AC16" i="46"/>
  <c r="AB16" i="46"/>
  <c r="AA16" i="46"/>
  <c r="Z16" i="46"/>
  <c r="Y16" i="46"/>
  <c r="R16" i="46"/>
  <c r="AN15" i="46"/>
  <c r="AM15" i="46"/>
  <c r="AL15" i="46"/>
  <c r="AK15" i="46"/>
  <c r="AI15" i="46"/>
  <c r="AH15" i="46"/>
  <c r="AG15" i="46"/>
  <c r="AF15" i="46"/>
  <c r="AD15" i="46"/>
  <c r="AC15" i="46"/>
  <c r="AB15" i="46"/>
  <c r="AA15" i="46"/>
  <c r="Z15" i="46"/>
  <c r="Y15" i="46"/>
  <c r="R15" i="46"/>
  <c r="AN14" i="46"/>
  <c r="AM14" i="46"/>
  <c r="AL14" i="46"/>
  <c r="AK14" i="46"/>
  <c r="AI14" i="46"/>
  <c r="AH14" i="46"/>
  <c r="AG14" i="46"/>
  <c r="AF14" i="46"/>
  <c r="AD14" i="46"/>
  <c r="AC14" i="46"/>
  <c r="AB14" i="46"/>
  <c r="AA14" i="46"/>
  <c r="Z14" i="46"/>
  <c r="Y14" i="46"/>
  <c r="R14" i="46"/>
  <c r="AN13" i="46"/>
  <c r="AM13" i="46"/>
  <c r="AL13" i="46"/>
  <c r="AK13" i="46"/>
  <c r="AI13" i="46"/>
  <c r="AH13" i="46"/>
  <c r="AG13" i="46"/>
  <c r="AF13" i="46"/>
  <c r="AD13" i="46"/>
  <c r="AC13" i="46"/>
  <c r="AB13" i="46"/>
  <c r="AA13" i="46"/>
  <c r="Z13" i="46"/>
  <c r="Y13" i="46"/>
  <c r="R13" i="46"/>
  <c r="AN12" i="46"/>
  <c r="AM12" i="46"/>
  <c r="AL12" i="46"/>
  <c r="AK12" i="46"/>
  <c r="AI12" i="46"/>
  <c r="AH12" i="46"/>
  <c r="AG12" i="46"/>
  <c r="AF12" i="46"/>
  <c r="AD12" i="46"/>
  <c r="AC12" i="46"/>
  <c r="AB12" i="46"/>
  <c r="AA12" i="46"/>
  <c r="Z12" i="46"/>
  <c r="Y12" i="46"/>
  <c r="R12" i="46"/>
  <c r="AN11" i="46"/>
  <c r="AM11" i="46"/>
  <c r="AL11" i="46"/>
  <c r="AK11" i="46"/>
  <c r="AI11" i="46"/>
  <c r="AH11" i="46"/>
  <c r="AG11" i="46"/>
  <c r="AF11" i="46"/>
  <c r="AD11" i="46"/>
  <c r="AC11" i="46"/>
  <c r="AB11" i="46"/>
  <c r="AA11" i="46"/>
  <c r="Z11" i="46"/>
  <c r="Y11" i="46"/>
  <c r="R11" i="46"/>
  <c r="AN10" i="46"/>
  <c r="AM10" i="46"/>
  <c r="AL10" i="46"/>
  <c r="AK10" i="46"/>
  <c r="AI10" i="46"/>
  <c r="AH10" i="46"/>
  <c r="AG10" i="46"/>
  <c r="AF10" i="46"/>
  <c r="AD10" i="46"/>
  <c r="AC10" i="46"/>
  <c r="AB10" i="46"/>
  <c r="AA10" i="46"/>
  <c r="Z10" i="46"/>
  <c r="Y10" i="46"/>
  <c r="R10" i="46"/>
  <c r="AN9" i="46"/>
  <c r="AM9" i="46"/>
  <c r="AL9" i="46"/>
  <c r="AK9" i="46"/>
  <c r="AI9" i="46"/>
  <c r="AH9" i="46"/>
  <c r="AG9" i="46"/>
  <c r="AF9" i="46"/>
  <c r="AD9" i="46"/>
  <c r="AC9" i="46"/>
  <c r="AB9" i="46"/>
  <c r="AA9" i="46"/>
  <c r="Z9" i="46"/>
  <c r="Y9" i="46"/>
  <c r="R9" i="46"/>
  <c r="AN8" i="46"/>
  <c r="AM8" i="46"/>
  <c r="AL8" i="46"/>
  <c r="AK8" i="46"/>
  <c r="AI8" i="46"/>
  <c r="AH8" i="46"/>
  <c r="AG8" i="46"/>
  <c r="AF8" i="46"/>
  <c r="AD8" i="46"/>
  <c r="AC8" i="46"/>
  <c r="AB8" i="46"/>
  <c r="AA8" i="46"/>
  <c r="Z8" i="46"/>
  <c r="Y8" i="46"/>
  <c r="R8" i="46"/>
  <c r="AN7" i="46"/>
  <c r="AM7" i="46"/>
  <c r="AL7" i="46"/>
  <c r="AK7" i="46"/>
  <c r="AI7" i="46"/>
  <c r="AH7" i="46"/>
  <c r="AG7" i="46"/>
  <c r="AF7" i="46"/>
  <c r="AD7" i="46"/>
  <c r="AC7" i="46"/>
  <c r="AB7" i="46"/>
  <c r="AA7" i="46"/>
  <c r="Z7" i="46"/>
  <c r="Y7" i="46"/>
  <c r="R7" i="46"/>
  <c r="U39" i="46"/>
  <c r="U42" i="46" s="1"/>
  <c r="T39" i="46"/>
  <c r="T42" i="46" s="1"/>
  <c r="AH18" i="11"/>
  <c r="K39" i="11"/>
  <c r="AH44" i="46" l="1"/>
  <c r="AI44" i="46"/>
  <c r="V39" i="11"/>
  <c r="U39" i="11"/>
  <c r="U5" i="26" s="1"/>
  <c r="U39" i="26" s="1"/>
  <c r="T39" i="11"/>
  <c r="T5" i="26" s="1"/>
  <c r="T39" i="26" s="1"/>
  <c r="T5" i="27" s="1"/>
  <c r="T39" i="27" s="1"/>
  <c r="AB30" i="26"/>
  <c r="D39" i="11"/>
  <c r="C39" i="11"/>
  <c r="Y36" i="26"/>
  <c r="AM25" i="30"/>
  <c r="AM24" i="30"/>
  <c r="AM23" i="30"/>
  <c r="AM22" i="30"/>
  <c r="AM21" i="30"/>
  <c r="K39" i="26"/>
  <c r="Y7" i="27"/>
  <c r="Z7" i="27"/>
  <c r="AA7" i="27"/>
  <c r="AB7" i="27"/>
  <c r="AC7" i="27"/>
  <c r="AD7" i="27"/>
  <c r="AF7" i="27"/>
  <c r="AG7" i="27"/>
  <c r="AH7" i="27"/>
  <c r="AI7" i="27"/>
  <c r="AK7" i="27"/>
  <c r="AL7" i="27"/>
  <c r="AM7" i="27"/>
  <c r="AN7" i="27"/>
  <c r="Y8" i="27"/>
  <c r="Z8" i="27"/>
  <c r="AA8" i="27"/>
  <c r="AB8" i="27"/>
  <c r="AC8" i="27"/>
  <c r="AD8" i="27"/>
  <c r="AF8" i="27"/>
  <c r="AG8" i="27"/>
  <c r="AH8" i="27"/>
  <c r="AI8" i="27"/>
  <c r="AK8" i="27"/>
  <c r="AL8" i="27"/>
  <c r="AM8" i="27"/>
  <c r="AN8" i="27"/>
  <c r="Y9" i="27"/>
  <c r="Z9" i="27"/>
  <c r="AA9" i="27"/>
  <c r="AB9" i="27"/>
  <c r="AC9" i="27"/>
  <c r="AD9" i="27"/>
  <c r="AF9" i="27"/>
  <c r="AG9" i="27"/>
  <c r="AH9" i="27"/>
  <c r="AI9" i="27"/>
  <c r="AK9" i="27"/>
  <c r="AL9" i="27"/>
  <c r="AM9" i="27"/>
  <c r="AN9" i="27"/>
  <c r="Y10" i="27"/>
  <c r="Z10" i="27"/>
  <c r="AA10" i="27"/>
  <c r="AB10" i="27"/>
  <c r="AC10" i="27"/>
  <c r="AD10" i="27"/>
  <c r="AF10" i="27"/>
  <c r="AG10" i="27"/>
  <c r="AH10" i="27"/>
  <c r="AI10" i="27"/>
  <c r="AK10" i="27"/>
  <c r="AL10" i="27"/>
  <c r="AM10" i="27"/>
  <c r="AN10" i="27"/>
  <c r="Y11" i="27"/>
  <c r="Z11" i="27"/>
  <c r="AA11" i="27"/>
  <c r="AB11" i="27"/>
  <c r="AC11" i="27"/>
  <c r="AD11" i="27"/>
  <c r="AF11" i="27"/>
  <c r="AG11" i="27"/>
  <c r="AH11" i="27"/>
  <c r="AI11" i="27"/>
  <c r="AK11" i="27"/>
  <c r="AL11" i="27"/>
  <c r="AM11" i="27"/>
  <c r="AN11" i="27"/>
  <c r="Y12" i="27"/>
  <c r="Z12" i="27"/>
  <c r="AA12" i="27"/>
  <c r="AB12" i="27"/>
  <c r="AC12" i="27"/>
  <c r="AD12" i="27"/>
  <c r="AF12" i="27"/>
  <c r="AG12" i="27"/>
  <c r="AH12" i="27"/>
  <c r="AI12" i="27"/>
  <c r="AK12" i="27"/>
  <c r="AL12" i="27"/>
  <c r="AM12" i="27"/>
  <c r="AN12" i="27"/>
  <c r="Y13" i="27"/>
  <c r="Z13" i="27"/>
  <c r="AA13" i="27"/>
  <c r="AB13" i="27"/>
  <c r="AC13" i="27"/>
  <c r="AD13" i="27"/>
  <c r="AF13" i="27"/>
  <c r="AG13" i="27"/>
  <c r="AH13" i="27"/>
  <c r="AI13" i="27"/>
  <c r="AK13" i="27"/>
  <c r="AL13" i="27"/>
  <c r="AM13" i="27"/>
  <c r="AN13" i="27"/>
  <c r="Y14" i="27"/>
  <c r="Z14" i="27"/>
  <c r="AA14" i="27"/>
  <c r="AB14" i="27"/>
  <c r="AC14" i="27"/>
  <c r="AD14" i="27"/>
  <c r="AF14" i="27"/>
  <c r="AG14" i="27"/>
  <c r="AH14" i="27"/>
  <c r="AI14" i="27"/>
  <c r="AK14" i="27"/>
  <c r="AL14" i="27"/>
  <c r="AM14" i="27"/>
  <c r="AN14" i="27"/>
  <c r="Y15" i="27"/>
  <c r="Z15" i="27"/>
  <c r="AA15" i="27"/>
  <c r="AB15" i="27"/>
  <c r="AC15" i="27"/>
  <c r="AD15" i="27"/>
  <c r="AF15" i="27"/>
  <c r="AG15" i="27"/>
  <c r="AH15" i="27"/>
  <c r="AI15" i="27"/>
  <c r="AK15" i="27"/>
  <c r="AL15" i="27"/>
  <c r="AM15" i="27"/>
  <c r="AN15" i="27"/>
  <c r="Y16" i="27"/>
  <c r="Z16" i="27"/>
  <c r="AA16" i="27"/>
  <c r="AB16" i="27"/>
  <c r="AC16" i="27"/>
  <c r="AD16" i="27"/>
  <c r="AF16" i="27"/>
  <c r="AG16" i="27"/>
  <c r="AH16" i="27"/>
  <c r="AI16" i="27"/>
  <c r="AK16" i="27"/>
  <c r="AL16" i="27"/>
  <c r="AM16" i="27"/>
  <c r="AN16" i="27"/>
  <c r="Y17" i="27"/>
  <c r="Z17" i="27"/>
  <c r="AA17" i="27"/>
  <c r="AB17" i="27"/>
  <c r="AC17" i="27"/>
  <c r="AD17" i="27"/>
  <c r="AF17" i="27"/>
  <c r="AG17" i="27"/>
  <c r="AH17" i="27"/>
  <c r="AI17" i="27"/>
  <c r="AK17" i="27"/>
  <c r="AL17" i="27"/>
  <c r="AM17" i="27"/>
  <c r="AN17" i="27"/>
  <c r="Y18" i="27"/>
  <c r="Z18" i="27"/>
  <c r="AA18" i="27"/>
  <c r="AB18" i="27"/>
  <c r="AC18" i="27"/>
  <c r="AD18" i="27"/>
  <c r="AF18" i="27"/>
  <c r="AG18" i="27"/>
  <c r="AH18" i="27"/>
  <c r="AI18" i="27"/>
  <c r="AK18" i="27"/>
  <c r="AL18" i="27"/>
  <c r="AM18" i="27"/>
  <c r="AN18" i="27"/>
  <c r="Y19" i="27"/>
  <c r="Z19" i="27"/>
  <c r="AA19" i="27"/>
  <c r="AB19" i="27"/>
  <c r="AC19" i="27"/>
  <c r="AD19" i="27"/>
  <c r="AF19" i="27"/>
  <c r="AG19" i="27"/>
  <c r="AH19" i="27"/>
  <c r="AI19" i="27"/>
  <c r="AK19" i="27"/>
  <c r="AL19" i="27"/>
  <c r="AM19" i="27"/>
  <c r="AN19" i="27"/>
  <c r="Y20" i="27"/>
  <c r="Z20" i="27"/>
  <c r="AA20" i="27"/>
  <c r="AB20" i="27"/>
  <c r="AC20" i="27"/>
  <c r="AD20" i="27"/>
  <c r="AF20" i="27"/>
  <c r="AG20" i="27"/>
  <c r="AH20" i="27"/>
  <c r="AI20" i="27"/>
  <c r="AK20" i="27"/>
  <c r="AL20" i="27"/>
  <c r="AM20" i="27"/>
  <c r="AN20" i="27"/>
  <c r="Y21" i="27"/>
  <c r="Z21" i="27"/>
  <c r="AA21" i="27"/>
  <c r="AB21" i="27"/>
  <c r="AC21" i="27"/>
  <c r="AD21" i="27"/>
  <c r="AF21" i="27"/>
  <c r="AG21" i="27"/>
  <c r="AH21" i="27"/>
  <c r="AI21" i="27"/>
  <c r="AK21" i="27"/>
  <c r="AL21" i="27"/>
  <c r="AM21" i="27"/>
  <c r="AN21" i="27"/>
  <c r="Y22" i="27"/>
  <c r="Z22" i="27"/>
  <c r="AA22" i="27"/>
  <c r="AB22" i="27"/>
  <c r="AC22" i="27"/>
  <c r="AD22" i="27"/>
  <c r="AF22" i="27"/>
  <c r="AG22" i="27"/>
  <c r="AH22" i="27"/>
  <c r="AI22" i="27"/>
  <c r="AK22" i="27"/>
  <c r="AL22" i="27"/>
  <c r="AM22" i="27"/>
  <c r="AN22" i="27"/>
  <c r="Y23" i="27"/>
  <c r="Z23" i="27"/>
  <c r="AA23" i="27"/>
  <c r="AB23" i="27"/>
  <c r="AC23" i="27"/>
  <c r="AD23" i="27"/>
  <c r="AF23" i="27"/>
  <c r="AG23" i="27"/>
  <c r="AH23" i="27"/>
  <c r="AI23" i="27"/>
  <c r="AK23" i="27"/>
  <c r="AL23" i="27"/>
  <c r="AM23" i="27"/>
  <c r="AN23" i="27"/>
  <c r="Y24" i="27"/>
  <c r="Z24" i="27"/>
  <c r="AA24" i="27"/>
  <c r="AB24" i="27"/>
  <c r="AC24" i="27"/>
  <c r="AD24" i="27"/>
  <c r="AF24" i="27"/>
  <c r="AG24" i="27"/>
  <c r="AH24" i="27"/>
  <c r="AI24" i="27"/>
  <c r="AK24" i="27"/>
  <c r="AL24" i="27"/>
  <c r="AM24" i="27"/>
  <c r="AN24" i="27"/>
  <c r="Y25" i="27"/>
  <c r="Z25" i="27"/>
  <c r="AA25" i="27"/>
  <c r="AB25" i="27"/>
  <c r="AC25" i="27"/>
  <c r="AD25" i="27"/>
  <c r="AF25" i="27"/>
  <c r="AG25" i="27"/>
  <c r="AH25" i="27"/>
  <c r="AI25" i="27"/>
  <c r="AK25" i="27"/>
  <c r="AL25" i="27"/>
  <c r="AM25" i="27"/>
  <c r="AN25" i="27"/>
  <c r="Y26" i="27"/>
  <c r="Z26" i="27"/>
  <c r="AA26" i="27"/>
  <c r="AB26" i="27"/>
  <c r="AC26" i="27"/>
  <c r="AD26" i="27"/>
  <c r="AF26" i="27"/>
  <c r="AG26" i="27"/>
  <c r="AH26" i="27"/>
  <c r="AI26" i="27"/>
  <c r="AK26" i="27"/>
  <c r="AL26" i="27"/>
  <c r="AM26" i="27"/>
  <c r="AN26" i="27"/>
  <c r="Y27" i="27"/>
  <c r="Z27" i="27"/>
  <c r="AA27" i="27"/>
  <c r="AB27" i="27"/>
  <c r="AC27" i="27"/>
  <c r="AD27" i="27"/>
  <c r="AF27" i="27"/>
  <c r="AG27" i="27"/>
  <c r="AH27" i="27"/>
  <c r="AI27" i="27"/>
  <c r="AK27" i="27"/>
  <c r="AL27" i="27"/>
  <c r="AM27" i="27"/>
  <c r="AN27" i="27"/>
  <c r="Y28" i="27"/>
  <c r="Z28" i="27"/>
  <c r="AA28" i="27"/>
  <c r="AB28" i="27"/>
  <c r="AC28" i="27"/>
  <c r="AD28" i="27"/>
  <c r="AF28" i="27"/>
  <c r="AG28" i="27"/>
  <c r="AH28" i="27"/>
  <c r="AI28" i="27"/>
  <c r="AK28" i="27"/>
  <c r="AL28" i="27"/>
  <c r="AM28" i="27"/>
  <c r="AN28" i="27"/>
  <c r="Y29" i="27"/>
  <c r="Z29" i="27"/>
  <c r="AA29" i="27"/>
  <c r="AB29" i="27"/>
  <c r="AC29" i="27"/>
  <c r="AD29" i="27"/>
  <c r="AF29" i="27"/>
  <c r="AG29" i="27"/>
  <c r="AH29" i="27"/>
  <c r="AI29" i="27"/>
  <c r="AK29" i="27"/>
  <c r="AL29" i="27"/>
  <c r="AM29" i="27"/>
  <c r="AN29" i="27"/>
  <c r="Y30" i="27"/>
  <c r="Z30" i="27"/>
  <c r="AA30" i="27"/>
  <c r="AB30" i="27"/>
  <c r="AC30" i="27"/>
  <c r="AD30" i="27"/>
  <c r="AF30" i="27"/>
  <c r="AG30" i="27"/>
  <c r="AH30" i="27"/>
  <c r="AI30" i="27"/>
  <c r="AK30" i="27"/>
  <c r="AL30" i="27"/>
  <c r="AM30" i="27"/>
  <c r="AN30" i="27"/>
  <c r="Y31" i="27"/>
  <c r="Z31" i="27"/>
  <c r="AA31" i="27"/>
  <c r="AB31" i="27"/>
  <c r="AC31" i="27"/>
  <c r="AD31" i="27"/>
  <c r="AF31" i="27"/>
  <c r="AG31" i="27"/>
  <c r="AH31" i="27"/>
  <c r="AI31" i="27"/>
  <c r="AK31" i="27"/>
  <c r="AL31" i="27"/>
  <c r="AM31" i="27"/>
  <c r="AN31" i="27"/>
  <c r="Y32" i="27"/>
  <c r="Z32" i="27"/>
  <c r="AA32" i="27"/>
  <c r="AB32" i="27"/>
  <c r="AC32" i="27"/>
  <c r="AD32" i="27"/>
  <c r="AF32" i="27"/>
  <c r="AG32" i="27"/>
  <c r="AH32" i="27"/>
  <c r="AI32" i="27"/>
  <c r="AK32" i="27"/>
  <c r="AL32" i="27"/>
  <c r="AM32" i="27"/>
  <c r="AN32" i="27"/>
  <c r="Y33" i="27"/>
  <c r="Z33" i="27"/>
  <c r="AA33" i="27"/>
  <c r="AB33" i="27"/>
  <c r="AC33" i="27"/>
  <c r="AD33" i="27"/>
  <c r="AF33" i="27"/>
  <c r="AG33" i="27"/>
  <c r="AH33" i="27"/>
  <c r="AI33" i="27"/>
  <c r="AK33" i="27"/>
  <c r="AL33" i="27"/>
  <c r="AM33" i="27"/>
  <c r="AN33" i="27"/>
  <c r="Z34" i="27"/>
  <c r="AA34" i="27"/>
  <c r="AB34" i="27"/>
  <c r="AC34" i="27"/>
  <c r="AD34" i="27"/>
  <c r="AF34" i="27"/>
  <c r="AG34" i="27"/>
  <c r="AH34" i="27"/>
  <c r="AI34" i="27"/>
  <c r="AK34" i="27"/>
  <c r="AL34" i="27"/>
  <c r="AM34" i="27"/>
  <c r="AN34" i="27"/>
  <c r="Y35" i="27"/>
  <c r="Z35" i="27"/>
  <c r="AA35" i="27"/>
  <c r="AB35" i="27"/>
  <c r="AC35" i="27"/>
  <c r="AD35" i="27"/>
  <c r="AF35" i="27"/>
  <c r="AG35" i="27"/>
  <c r="AH35" i="27"/>
  <c r="AI35" i="27"/>
  <c r="AK35" i="27"/>
  <c r="AL35" i="27"/>
  <c r="AM35" i="27"/>
  <c r="AN35" i="27"/>
  <c r="Y36" i="27"/>
  <c r="Z36" i="27"/>
  <c r="AA36" i="27"/>
  <c r="AB36" i="27"/>
  <c r="AC36" i="27"/>
  <c r="AD36" i="27"/>
  <c r="AF36" i="27"/>
  <c r="AG36" i="27"/>
  <c r="AH36" i="27"/>
  <c r="AI36" i="27"/>
  <c r="AK36" i="27"/>
  <c r="AL36" i="27"/>
  <c r="AM36" i="27"/>
  <c r="AN36" i="27"/>
  <c r="O7" i="36"/>
  <c r="Q7" i="36"/>
  <c r="R7" i="36"/>
  <c r="T7" i="36"/>
  <c r="O8" i="36"/>
  <c r="Q8" i="36"/>
  <c r="R8" i="36"/>
  <c r="T8" i="36"/>
  <c r="O9" i="36"/>
  <c r="Q9" i="36"/>
  <c r="R9" i="36"/>
  <c r="T9" i="36"/>
  <c r="O10" i="36"/>
  <c r="Q10" i="36"/>
  <c r="R10" i="36"/>
  <c r="T10" i="36"/>
  <c r="O11" i="36"/>
  <c r="Q11" i="36"/>
  <c r="R11" i="36"/>
  <c r="T11" i="36"/>
  <c r="O12" i="36"/>
  <c r="Q12" i="36"/>
  <c r="R12" i="36"/>
  <c r="T12" i="36"/>
  <c r="O13" i="36"/>
  <c r="Q13" i="36"/>
  <c r="R13" i="36"/>
  <c r="T13" i="36"/>
  <c r="O14" i="36"/>
  <c r="Q14" i="36"/>
  <c r="R14" i="36"/>
  <c r="T14" i="36"/>
  <c r="O15" i="36"/>
  <c r="Q15" i="36"/>
  <c r="R15" i="36"/>
  <c r="T15" i="36"/>
  <c r="O16" i="36"/>
  <c r="Q16" i="36"/>
  <c r="R16" i="36"/>
  <c r="T16" i="36"/>
  <c r="O17" i="36"/>
  <c r="Q17" i="36"/>
  <c r="R17" i="36"/>
  <c r="T17" i="36"/>
  <c r="O18" i="36"/>
  <c r="Q18" i="36"/>
  <c r="R18" i="36"/>
  <c r="T18" i="36"/>
  <c r="O19" i="36"/>
  <c r="Q19" i="36"/>
  <c r="R19" i="36"/>
  <c r="T19" i="36"/>
  <c r="O20" i="36"/>
  <c r="Q20" i="36"/>
  <c r="R20" i="36"/>
  <c r="T20" i="36"/>
  <c r="O21" i="36"/>
  <c r="Q21" i="36"/>
  <c r="R21" i="36"/>
  <c r="T21" i="36"/>
  <c r="O22" i="36"/>
  <c r="Q22" i="36"/>
  <c r="R22" i="36"/>
  <c r="T22" i="36"/>
  <c r="O23" i="36"/>
  <c r="Q23" i="36"/>
  <c r="R23" i="36"/>
  <c r="T23" i="36"/>
  <c r="O24" i="36"/>
  <c r="Q24" i="36"/>
  <c r="R24" i="36"/>
  <c r="T24" i="36"/>
  <c r="O25" i="36"/>
  <c r="Q25" i="36"/>
  <c r="R25" i="36"/>
  <c r="T25" i="36"/>
  <c r="O26" i="36"/>
  <c r="Q26" i="36"/>
  <c r="R26" i="36"/>
  <c r="T26" i="36"/>
  <c r="O27" i="36"/>
  <c r="Q27" i="36"/>
  <c r="R27" i="36"/>
  <c r="T27" i="36"/>
  <c r="O28" i="36"/>
  <c r="Q28" i="36"/>
  <c r="R28" i="36"/>
  <c r="T28" i="36"/>
  <c r="O29" i="36"/>
  <c r="Q29" i="36"/>
  <c r="R29" i="36"/>
  <c r="T29" i="36"/>
  <c r="O30" i="36"/>
  <c r="Q30" i="36"/>
  <c r="R30" i="36"/>
  <c r="T30" i="36"/>
  <c r="O31" i="36"/>
  <c r="Q31" i="36"/>
  <c r="R31" i="36"/>
  <c r="T31" i="36"/>
  <c r="O32" i="36"/>
  <c r="Q32" i="36"/>
  <c r="R32" i="36"/>
  <c r="T32" i="36"/>
  <c r="O33" i="36"/>
  <c r="Q33" i="36"/>
  <c r="R33" i="36"/>
  <c r="T33" i="36"/>
  <c r="O34" i="36"/>
  <c r="Q34" i="36"/>
  <c r="R34" i="36"/>
  <c r="T34" i="36"/>
  <c r="O35" i="36"/>
  <c r="Q35" i="36"/>
  <c r="R35" i="36"/>
  <c r="T35" i="36"/>
  <c r="O36" i="36"/>
  <c r="Q36" i="36"/>
  <c r="R36" i="36"/>
  <c r="T36" i="36"/>
  <c r="Y7" i="31"/>
  <c r="Z7" i="31"/>
  <c r="AA7" i="31"/>
  <c r="AB7" i="31"/>
  <c r="AC7" i="31"/>
  <c r="AD7" i="31"/>
  <c r="AF7" i="31"/>
  <c r="AG7" i="31"/>
  <c r="AH7" i="31"/>
  <c r="AI7" i="31"/>
  <c r="AK7" i="31"/>
  <c r="AL7" i="31"/>
  <c r="AM7" i="31"/>
  <c r="AN7" i="31"/>
  <c r="Y8" i="31"/>
  <c r="Z8" i="31"/>
  <c r="AA8" i="31"/>
  <c r="AB8" i="31"/>
  <c r="AC8" i="31"/>
  <c r="AD8" i="31"/>
  <c r="AF8" i="31"/>
  <c r="AG8" i="31"/>
  <c r="AH8" i="31"/>
  <c r="AI8" i="31"/>
  <c r="AK8" i="31"/>
  <c r="AL8" i="31"/>
  <c r="AM8" i="31"/>
  <c r="AN8" i="31"/>
  <c r="Y9" i="31"/>
  <c r="Z9" i="31"/>
  <c r="AA9" i="31"/>
  <c r="AB9" i="31"/>
  <c r="AC9" i="31"/>
  <c r="AD9" i="31"/>
  <c r="AF9" i="31"/>
  <c r="AG9" i="31"/>
  <c r="AH9" i="31"/>
  <c r="AI9" i="31"/>
  <c r="AK9" i="31"/>
  <c r="AL9" i="31"/>
  <c r="AM9" i="31"/>
  <c r="AN9" i="31"/>
  <c r="Y10" i="31"/>
  <c r="Z10" i="31"/>
  <c r="AA10" i="31"/>
  <c r="AB10" i="31"/>
  <c r="AC10" i="31"/>
  <c r="AD10" i="31"/>
  <c r="AF10" i="31"/>
  <c r="AG10" i="31"/>
  <c r="AH10" i="31"/>
  <c r="AI10" i="31"/>
  <c r="AK10" i="31"/>
  <c r="AL10" i="31"/>
  <c r="AM10" i="31"/>
  <c r="AN10" i="31"/>
  <c r="Y11" i="31"/>
  <c r="Z11" i="31"/>
  <c r="AA11" i="31"/>
  <c r="AB11" i="31"/>
  <c r="AC11" i="31"/>
  <c r="AD11" i="31"/>
  <c r="AF11" i="31"/>
  <c r="AG11" i="31"/>
  <c r="AH11" i="31"/>
  <c r="AI11" i="31"/>
  <c r="AK11" i="31"/>
  <c r="AL11" i="31"/>
  <c r="AM11" i="31"/>
  <c r="AN11" i="31"/>
  <c r="Y12" i="31"/>
  <c r="Z12" i="31"/>
  <c r="AA12" i="31"/>
  <c r="AB12" i="31"/>
  <c r="AC12" i="31"/>
  <c r="AD12" i="31"/>
  <c r="AF12" i="31"/>
  <c r="AG12" i="31"/>
  <c r="AH12" i="31"/>
  <c r="AI12" i="31"/>
  <c r="AK12" i="31"/>
  <c r="AL12" i="31"/>
  <c r="AM12" i="31"/>
  <c r="AN12" i="31"/>
  <c r="Y13" i="31"/>
  <c r="Z13" i="31"/>
  <c r="AA13" i="31"/>
  <c r="AB13" i="31"/>
  <c r="AC13" i="31"/>
  <c r="AD13" i="31"/>
  <c r="AF13" i="31"/>
  <c r="AG13" i="31"/>
  <c r="AH13" i="31"/>
  <c r="AI13" i="31"/>
  <c r="AK13" i="31"/>
  <c r="AL13" i="31"/>
  <c r="AM13" i="31"/>
  <c r="AN13" i="31"/>
  <c r="Y14" i="31"/>
  <c r="Z14" i="31"/>
  <c r="AA14" i="31"/>
  <c r="AB14" i="31"/>
  <c r="AC14" i="31"/>
  <c r="AD14" i="31"/>
  <c r="AF14" i="31"/>
  <c r="AG14" i="31"/>
  <c r="AH14" i="31"/>
  <c r="AI14" i="31"/>
  <c r="AK14" i="31"/>
  <c r="AL14" i="31"/>
  <c r="AM14" i="31"/>
  <c r="AN14" i="31"/>
  <c r="Y15" i="31"/>
  <c r="Z15" i="31"/>
  <c r="AA15" i="31"/>
  <c r="AB15" i="31"/>
  <c r="AC15" i="31"/>
  <c r="AD15" i="31"/>
  <c r="AF15" i="31"/>
  <c r="AG15" i="31"/>
  <c r="AH15" i="31"/>
  <c r="AI15" i="31"/>
  <c r="AK15" i="31"/>
  <c r="AL15" i="31"/>
  <c r="AM15" i="31"/>
  <c r="AN15" i="31"/>
  <c r="Y16" i="31"/>
  <c r="Z16" i="31"/>
  <c r="AA16" i="31"/>
  <c r="AB16" i="31"/>
  <c r="AC16" i="31"/>
  <c r="AD16" i="31"/>
  <c r="AF16" i="31"/>
  <c r="AG16" i="31"/>
  <c r="AH16" i="31"/>
  <c r="AI16" i="31"/>
  <c r="AK16" i="31"/>
  <c r="AL16" i="31"/>
  <c r="AM16" i="31"/>
  <c r="AN16" i="31"/>
  <c r="Y17" i="31"/>
  <c r="Z17" i="31"/>
  <c r="AA17" i="31"/>
  <c r="AB17" i="31"/>
  <c r="AC17" i="31"/>
  <c r="AD17" i="31"/>
  <c r="AF17" i="31"/>
  <c r="AG17" i="31"/>
  <c r="AH17" i="31"/>
  <c r="AI17" i="31"/>
  <c r="AK17" i="31"/>
  <c r="AL17" i="31"/>
  <c r="AM17" i="31"/>
  <c r="AN17" i="31"/>
  <c r="Y18" i="31"/>
  <c r="Z18" i="31"/>
  <c r="AA18" i="31"/>
  <c r="AB18" i="31"/>
  <c r="AC18" i="31"/>
  <c r="AD18" i="31"/>
  <c r="AF18" i="31"/>
  <c r="AG18" i="31"/>
  <c r="AH18" i="31"/>
  <c r="AI18" i="31"/>
  <c r="AK18" i="31"/>
  <c r="AL18" i="31"/>
  <c r="AM18" i="31"/>
  <c r="AN18" i="31"/>
  <c r="Y19" i="31"/>
  <c r="Z19" i="31"/>
  <c r="AA19" i="31"/>
  <c r="AB19" i="31"/>
  <c r="AC19" i="31"/>
  <c r="AD19" i="31"/>
  <c r="AF19" i="31"/>
  <c r="AG19" i="31"/>
  <c r="AH19" i="31"/>
  <c r="AI19" i="31"/>
  <c r="AK19" i="31"/>
  <c r="AL19" i="31"/>
  <c r="AM19" i="31"/>
  <c r="AN19" i="31"/>
  <c r="Y20" i="31"/>
  <c r="Z20" i="31"/>
  <c r="AA20" i="31"/>
  <c r="AB20" i="31"/>
  <c r="AC20" i="31"/>
  <c r="AD20" i="31"/>
  <c r="AF20" i="31"/>
  <c r="AG20" i="31"/>
  <c r="AH20" i="31"/>
  <c r="AI20" i="31"/>
  <c r="AK20" i="31"/>
  <c r="AL20" i="31"/>
  <c r="AM20" i="31"/>
  <c r="AN20" i="31"/>
  <c r="Y21" i="31"/>
  <c r="Z21" i="31"/>
  <c r="AA21" i="31"/>
  <c r="AB21" i="31"/>
  <c r="AC21" i="31"/>
  <c r="AD21" i="31"/>
  <c r="AF21" i="31"/>
  <c r="AG21" i="31"/>
  <c r="AH21" i="31"/>
  <c r="AI21" i="31"/>
  <c r="AK21" i="31"/>
  <c r="AL21" i="31"/>
  <c r="AM21" i="31"/>
  <c r="AN21" i="31"/>
  <c r="Y22" i="31"/>
  <c r="Z22" i="31"/>
  <c r="AA22" i="31"/>
  <c r="AB22" i="31"/>
  <c r="AC22" i="31"/>
  <c r="AD22" i="31"/>
  <c r="AF22" i="31"/>
  <c r="AG22" i="31"/>
  <c r="AH22" i="31"/>
  <c r="AI22" i="31"/>
  <c r="AK22" i="31"/>
  <c r="AL22" i="31"/>
  <c r="AM22" i="31"/>
  <c r="AN22" i="31"/>
  <c r="Y23" i="31"/>
  <c r="Z23" i="31"/>
  <c r="AA23" i="31"/>
  <c r="AB23" i="31"/>
  <c r="AC23" i="31"/>
  <c r="AD23" i="31"/>
  <c r="AF23" i="31"/>
  <c r="AG23" i="31"/>
  <c r="AH23" i="31"/>
  <c r="AI23" i="31"/>
  <c r="AK23" i="31"/>
  <c r="AL23" i="31"/>
  <c r="AM23" i="31"/>
  <c r="AN23" i="31"/>
  <c r="Y24" i="31"/>
  <c r="Z24" i="31"/>
  <c r="AA24" i="31"/>
  <c r="AB24" i="31"/>
  <c r="AC24" i="31"/>
  <c r="AD24" i="31"/>
  <c r="AF24" i="31"/>
  <c r="AG24" i="31"/>
  <c r="AH24" i="31"/>
  <c r="AI24" i="31"/>
  <c r="AK24" i="31"/>
  <c r="AL24" i="31"/>
  <c r="AM24" i="31"/>
  <c r="AN24" i="31"/>
  <c r="Y25" i="31"/>
  <c r="Z25" i="31"/>
  <c r="AA25" i="31"/>
  <c r="AB25" i="31"/>
  <c r="AC25" i="31"/>
  <c r="AD25" i="31"/>
  <c r="AF25" i="31"/>
  <c r="AG25" i="31"/>
  <c r="AH25" i="31"/>
  <c r="AI25" i="31"/>
  <c r="AK25" i="31"/>
  <c r="AL25" i="31"/>
  <c r="AM25" i="31"/>
  <c r="AN25" i="31"/>
  <c r="Y26" i="31"/>
  <c r="Z26" i="31"/>
  <c r="AA26" i="31"/>
  <c r="AB26" i="31"/>
  <c r="AC26" i="31"/>
  <c r="AD26" i="31"/>
  <c r="AF26" i="31"/>
  <c r="AG26" i="31"/>
  <c r="AH26" i="31"/>
  <c r="AI26" i="31"/>
  <c r="AK26" i="31"/>
  <c r="AL26" i="31"/>
  <c r="AM26" i="31"/>
  <c r="AN26" i="31"/>
  <c r="Y27" i="31"/>
  <c r="Z27" i="31"/>
  <c r="AA27" i="31"/>
  <c r="AB27" i="31"/>
  <c r="AC27" i="31"/>
  <c r="AD27" i="31"/>
  <c r="AF27" i="31"/>
  <c r="AG27" i="31"/>
  <c r="AH27" i="31"/>
  <c r="AI27" i="31"/>
  <c r="AK27" i="31"/>
  <c r="AL27" i="31"/>
  <c r="AM27" i="31"/>
  <c r="AN27" i="31"/>
  <c r="Y28" i="31"/>
  <c r="Z28" i="31"/>
  <c r="AA28" i="31"/>
  <c r="AB28" i="31"/>
  <c r="AC28" i="31"/>
  <c r="AD28" i="31"/>
  <c r="AF28" i="31"/>
  <c r="AG28" i="31"/>
  <c r="AH28" i="31"/>
  <c r="AI28" i="31"/>
  <c r="AK28" i="31"/>
  <c r="AL28" i="31"/>
  <c r="AM28" i="31"/>
  <c r="AN28" i="31"/>
  <c r="Y29" i="31"/>
  <c r="Z29" i="31"/>
  <c r="AA29" i="31"/>
  <c r="AB29" i="31"/>
  <c r="AC29" i="31"/>
  <c r="AD29" i="31"/>
  <c r="AF29" i="31"/>
  <c r="AG29" i="31"/>
  <c r="AH29" i="31"/>
  <c r="AI29" i="31"/>
  <c r="AK29" i="31"/>
  <c r="AL29" i="31"/>
  <c r="AM29" i="31"/>
  <c r="AN29" i="31"/>
  <c r="Y30" i="31"/>
  <c r="Z30" i="31"/>
  <c r="AA30" i="31"/>
  <c r="AB30" i="31"/>
  <c r="AC30" i="31"/>
  <c r="AD30" i="31"/>
  <c r="AF30" i="31"/>
  <c r="AG30" i="31"/>
  <c r="AH30" i="31"/>
  <c r="AI30" i="31"/>
  <c r="AK30" i="31"/>
  <c r="AL30" i="31"/>
  <c r="AM30" i="31"/>
  <c r="AN30" i="31"/>
  <c r="Y31" i="31"/>
  <c r="Z31" i="31"/>
  <c r="AA31" i="31"/>
  <c r="AB31" i="31"/>
  <c r="AC31" i="31"/>
  <c r="AD31" i="31"/>
  <c r="AF31" i="31"/>
  <c r="AG31" i="31"/>
  <c r="AH31" i="31"/>
  <c r="AI31" i="31"/>
  <c r="AK31" i="31"/>
  <c r="AL31" i="31"/>
  <c r="AM31" i="31"/>
  <c r="AN31" i="31"/>
  <c r="Y32" i="31"/>
  <c r="Z32" i="31"/>
  <c r="AA32" i="31"/>
  <c r="AB32" i="31"/>
  <c r="AC32" i="31"/>
  <c r="AD32" i="31"/>
  <c r="AF32" i="31"/>
  <c r="AG32" i="31"/>
  <c r="AH32" i="31"/>
  <c r="AI32" i="31"/>
  <c r="AK32" i="31"/>
  <c r="AL32" i="31"/>
  <c r="AM32" i="31"/>
  <c r="AN32" i="31"/>
  <c r="Y33" i="31"/>
  <c r="Z33" i="31"/>
  <c r="AA33" i="31"/>
  <c r="AB33" i="31"/>
  <c r="AC33" i="31"/>
  <c r="AD33" i="31"/>
  <c r="AF33" i="31"/>
  <c r="AG33" i="31"/>
  <c r="AH33" i="31"/>
  <c r="AI33" i="31"/>
  <c r="AK33" i="31"/>
  <c r="AL33" i="31"/>
  <c r="AM33" i="31"/>
  <c r="AN33" i="31"/>
  <c r="Y34" i="31"/>
  <c r="Z34" i="31"/>
  <c r="AA34" i="31"/>
  <c r="AB34" i="31"/>
  <c r="AC34" i="31"/>
  <c r="AD34" i="31"/>
  <c r="AF34" i="31"/>
  <c r="AG34" i="31"/>
  <c r="AH34" i="31"/>
  <c r="AI34" i="31"/>
  <c r="AK34" i="31"/>
  <c r="AL34" i="31"/>
  <c r="AM34" i="31"/>
  <c r="AN34" i="31"/>
  <c r="Y35" i="31"/>
  <c r="Z35" i="31"/>
  <c r="AA35" i="31"/>
  <c r="AB35" i="31"/>
  <c r="AC35" i="31"/>
  <c r="AD35" i="31"/>
  <c r="AF35" i="31"/>
  <c r="AG35" i="31"/>
  <c r="AH35" i="31"/>
  <c r="AI35" i="31"/>
  <c r="AK35" i="31"/>
  <c r="AL35" i="31"/>
  <c r="AM35" i="31"/>
  <c r="AN35" i="31"/>
  <c r="Y36" i="31"/>
  <c r="Z36" i="31"/>
  <c r="AA36" i="31"/>
  <c r="AB36" i="31"/>
  <c r="AC36" i="31"/>
  <c r="AD36" i="31"/>
  <c r="AF36" i="31"/>
  <c r="AG36" i="31"/>
  <c r="AH36" i="31"/>
  <c r="AI36" i="31"/>
  <c r="AK36" i="31"/>
  <c r="AL36" i="31"/>
  <c r="AM36" i="31"/>
  <c r="AN36" i="31"/>
  <c r="A36" i="39"/>
  <c r="A34" i="39"/>
  <c r="A33" i="39"/>
  <c r="A32" i="39"/>
  <c r="A31" i="39"/>
  <c r="A30" i="39"/>
  <c r="A29" i="39"/>
  <c r="A28" i="39"/>
  <c r="A27" i="39"/>
  <c r="A26" i="39"/>
  <c r="A25" i="39"/>
  <c r="AH6" i="26"/>
  <c r="AH7" i="26"/>
  <c r="AH8" i="26"/>
  <c r="AH9" i="26"/>
  <c r="AH10" i="26"/>
  <c r="AH11" i="26"/>
  <c r="AH12" i="26"/>
  <c r="AH13" i="26"/>
  <c r="AH14" i="26"/>
  <c r="AH15" i="26"/>
  <c r="AH16" i="26"/>
  <c r="AH17" i="26"/>
  <c r="AH18" i="26"/>
  <c r="AH19" i="26"/>
  <c r="AH20" i="26"/>
  <c r="AH21" i="26"/>
  <c r="AH22" i="26"/>
  <c r="AH23" i="26"/>
  <c r="AH24" i="26"/>
  <c r="AH25" i="26"/>
  <c r="AH26" i="26"/>
  <c r="AH27" i="26"/>
  <c r="AH28" i="26"/>
  <c r="AH29" i="26"/>
  <c r="AH30" i="26"/>
  <c r="AH31" i="26"/>
  <c r="AH32" i="26"/>
  <c r="AH33" i="26"/>
  <c r="AH34" i="26"/>
  <c r="AH35" i="26"/>
  <c r="AH36" i="26"/>
  <c r="AA39" i="26"/>
  <c r="AA42" i="27" s="1"/>
  <c r="Z39" i="26"/>
  <c r="Z42" i="27" s="1"/>
  <c r="N36" i="39"/>
  <c r="I36" i="39"/>
  <c r="N35" i="39"/>
  <c r="I35" i="39"/>
  <c r="N34" i="39"/>
  <c r="I34" i="39"/>
  <c r="N33" i="39"/>
  <c r="I33" i="39"/>
  <c r="N32" i="39"/>
  <c r="I32" i="39"/>
  <c r="N31" i="39"/>
  <c r="I31" i="39"/>
  <c r="N30" i="39"/>
  <c r="I30" i="39"/>
  <c r="N29" i="39"/>
  <c r="I29" i="39"/>
  <c r="N28" i="39"/>
  <c r="I28" i="39"/>
  <c r="N27" i="39"/>
  <c r="I27" i="39"/>
  <c r="N26" i="39"/>
  <c r="I26" i="39"/>
  <c r="N25" i="39"/>
  <c r="I25" i="39"/>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Y33" i="26"/>
  <c r="Y32" i="26"/>
  <c r="Y31" i="26"/>
  <c r="Y26" i="26"/>
  <c r="AL32" i="26"/>
  <c r="AL31" i="26"/>
  <c r="AL30" i="26"/>
  <c r="AK32" i="26"/>
  <c r="AK31" i="26"/>
  <c r="AI34" i="26"/>
  <c r="Y36" i="28"/>
  <c r="Y35" i="28"/>
  <c r="Y34" i="28"/>
  <c r="Y33" i="28"/>
  <c r="Y32" i="28"/>
  <c r="Y31" i="28"/>
  <c r="Y30" i="28"/>
  <c r="Y29" i="28"/>
  <c r="Y28" i="28"/>
  <c r="Y27" i="28"/>
  <c r="Y26" i="28"/>
  <c r="Y25" i="28"/>
  <c r="Y36" i="29"/>
  <c r="Y35" i="29"/>
  <c r="Y34" i="29"/>
  <c r="Y33" i="29"/>
  <c r="Y32" i="29"/>
  <c r="Y31" i="29"/>
  <c r="Y30" i="29"/>
  <c r="Y29" i="29"/>
  <c r="Y28" i="29"/>
  <c r="Y27" i="29"/>
  <c r="Y26" i="29"/>
  <c r="Y36" i="30"/>
  <c r="Y35" i="30"/>
  <c r="Y34" i="30"/>
  <c r="Y33" i="30"/>
  <c r="Y32" i="30"/>
  <c r="Y31" i="30"/>
  <c r="Y30" i="30"/>
  <c r="Y29" i="30"/>
  <c r="Y28" i="30"/>
  <c r="Y27" i="30"/>
  <c r="Y26" i="30"/>
  <c r="Y25" i="30"/>
  <c r="O36" i="32"/>
  <c r="O35" i="32"/>
  <c r="O34" i="32"/>
  <c r="O33" i="32"/>
  <c r="O32" i="32"/>
  <c r="O31" i="32"/>
  <c r="O30" i="32"/>
  <c r="O29" i="32"/>
  <c r="O28" i="32"/>
  <c r="O27" i="32"/>
  <c r="O26" i="32"/>
  <c r="O25" i="32"/>
  <c r="O24" i="32"/>
  <c r="O36" i="33"/>
  <c r="O35" i="33"/>
  <c r="O34" i="33"/>
  <c r="O33" i="33"/>
  <c r="O32" i="33"/>
  <c r="O31" i="33"/>
  <c r="O30" i="33"/>
  <c r="O29" i="33"/>
  <c r="O28" i="33"/>
  <c r="O27" i="33"/>
  <c r="O36" i="34"/>
  <c r="O35" i="34"/>
  <c r="O34" i="34"/>
  <c r="O33" i="34"/>
  <c r="O32" i="34"/>
  <c r="O31" i="34"/>
  <c r="O30" i="34"/>
  <c r="O29" i="34"/>
  <c r="O28" i="34"/>
  <c r="O27" i="34"/>
  <c r="O26" i="34"/>
  <c r="O25" i="34"/>
  <c r="O36" i="35"/>
  <c r="O35" i="35"/>
  <c r="O34" i="35"/>
  <c r="O33" i="35"/>
  <c r="O32" i="35"/>
  <c r="O31" i="35"/>
  <c r="O30" i="35"/>
  <c r="O29" i="35"/>
  <c r="O28" i="35"/>
  <c r="O27" i="35"/>
  <c r="O26" i="35"/>
  <c r="O36" i="37"/>
  <c r="O35" i="37"/>
  <c r="O34" i="37"/>
  <c r="O33" i="37"/>
  <c r="O32" i="37"/>
  <c r="O31" i="37"/>
  <c r="O30" i="37"/>
  <c r="O29" i="37"/>
  <c r="O28" i="37"/>
  <c r="O27" i="37"/>
  <c r="O26" i="37"/>
  <c r="T7" i="37"/>
  <c r="T8" i="37"/>
  <c r="T9" i="37"/>
  <c r="T10" i="37"/>
  <c r="T11" i="37"/>
  <c r="T12" i="37"/>
  <c r="T13" i="37"/>
  <c r="T14" i="37"/>
  <c r="T15" i="37"/>
  <c r="T16" i="37"/>
  <c r="T17" i="37"/>
  <c r="T18" i="37"/>
  <c r="T19" i="37"/>
  <c r="T20" i="37"/>
  <c r="T21" i="37"/>
  <c r="T22" i="37"/>
  <c r="T23" i="37"/>
  <c r="T24" i="37"/>
  <c r="T25" i="37"/>
  <c r="T26" i="37"/>
  <c r="T27" i="37"/>
  <c r="T28" i="37"/>
  <c r="T29" i="37"/>
  <c r="T30" i="37"/>
  <c r="T31" i="37"/>
  <c r="T32" i="37"/>
  <c r="T33" i="37"/>
  <c r="T34" i="37"/>
  <c r="T35" i="37"/>
  <c r="T36" i="37"/>
  <c r="R7" i="37"/>
  <c r="R8" i="37"/>
  <c r="R9" i="37"/>
  <c r="R10" i="37"/>
  <c r="R11" i="37"/>
  <c r="R12" i="37"/>
  <c r="R13" i="37"/>
  <c r="R14" i="37"/>
  <c r="R15" i="37"/>
  <c r="R16" i="37"/>
  <c r="R17" i="37"/>
  <c r="R18" i="37"/>
  <c r="R19" i="37"/>
  <c r="R20" i="37"/>
  <c r="R21" i="37"/>
  <c r="R22" i="37"/>
  <c r="R23" i="37"/>
  <c r="R24" i="37"/>
  <c r="R25" i="37"/>
  <c r="R26" i="37"/>
  <c r="R27" i="37"/>
  <c r="R28" i="37"/>
  <c r="R29" i="37"/>
  <c r="R30" i="37"/>
  <c r="R31" i="37"/>
  <c r="R32" i="37"/>
  <c r="R33" i="37"/>
  <c r="R34" i="37"/>
  <c r="R35" i="37"/>
  <c r="R36" i="37"/>
  <c r="Q7"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O7" i="37"/>
  <c r="O8" i="37"/>
  <c r="O9" i="37"/>
  <c r="O10" i="37"/>
  <c r="O11" i="37"/>
  <c r="O12" i="37"/>
  <c r="O13" i="37"/>
  <c r="O14" i="37"/>
  <c r="O15" i="37"/>
  <c r="O16" i="37"/>
  <c r="O17" i="37"/>
  <c r="O18" i="37"/>
  <c r="O19" i="37"/>
  <c r="O20" i="37"/>
  <c r="O21" i="37"/>
  <c r="O22" i="37"/>
  <c r="O23" i="37"/>
  <c r="O24" i="37"/>
  <c r="O25" i="37"/>
  <c r="T7" i="35"/>
  <c r="T8" i="35"/>
  <c r="T9" i="35"/>
  <c r="T10" i="35"/>
  <c r="T11" i="35"/>
  <c r="T12" i="35"/>
  <c r="T13" i="35"/>
  <c r="T14" i="35"/>
  <c r="T15" i="35"/>
  <c r="T16" i="35"/>
  <c r="T17" i="35"/>
  <c r="T18" i="35"/>
  <c r="T19" i="35"/>
  <c r="T20" i="35"/>
  <c r="T21" i="35"/>
  <c r="T22" i="35"/>
  <c r="T23" i="35"/>
  <c r="T24" i="35"/>
  <c r="T25" i="35"/>
  <c r="T26" i="35"/>
  <c r="T27" i="35"/>
  <c r="T28" i="35"/>
  <c r="T29" i="35"/>
  <c r="T30" i="35"/>
  <c r="T31" i="35"/>
  <c r="T32" i="35"/>
  <c r="T33" i="35"/>
  <c r="T34" i="35"/>
  <c r="T35" i="35"/>
  <c r="T36" i="35"/>
  <c r="R7" i="35"/>
  <c r="R8" i="35"/>
  <c r="R9" i="35"/>
  <c r="R10" i="35"/>
  <c r="R11" i="35"/>
  <c r="R12" i="35"/>
  <c r="R13" i="35"/>
  <c r="R14" i="35"/>
  <c r="R15" i="35"/>
  <c r="R16" i="35"/>
  <c r="R17" i="35"/>
  <c r="R18" i="35"/>
  <c r="R19" i="35"/>
  <c r="R20" i="35"/>
  <c r="R21" i="35"/>
  <c r="R22" i="35"/>
  <c r="R23" i="35"/>
  <c r="R24" i="35"/>
  <c r="R25" i="35"/>
  <c r="R26" i="35"/>
  <c r="R27" i="35"/>
  <c r="R28" i="35"/>
  <c r="R29" i="35"/>
  <c r="R30" i="35"/>
  <c r="R31" i="35"/>
  <c r="R32" i="35"/>
  <c r="R33" i="35"/>
  <c r="R34" i="35"/>
  <c r="R35" i="35"/>
  <c r="R36" i="35"/>
  <c r="Q7" i="35"/>
  <c r="Q8" i="35"/>
  <c r="Q9" i="35"/>
  <c r="Q10" i="35"/>
  <c r="Q11" i="35"/>
  <c r="Q12" i="35"/>
  <c r="Q13" i="35"/>
  <c r="Q14" i="35"/>
  <c r="Q15" i="35"/>
  <c r="Q16" i="35"/>
  <c r="Q17" i="35"/>
  <c r="Q18" i="35"/>
  <c r="Q19" i="35"/>
  <c r="Q20" i="35"/>
  <c r="Q21" i="35"/>
  <c r="Q22" i="35"/>
  <c r="Q23" i="35"/>
  <c r="Q24" i="35"/>
  <c r="Q25" i="35"/>
  <c r="Q26" i="35"/>
  <c r="Q27" i="35"/>
  <c r="Q28" i="35"/>
  <c r="Q29" i="35"/>
  <c r="Q30" i="35"/>
  <c r="Q31" i="35"/>
  <c r="Q32" i="35"/>
  <c r="Q33" i="35"/>
  <c r="Q34" i="35"/>
  <c r="Q35" i="35"/>
  <c r="Q36" i="35"/>
  <c r="O7" i="35"/>
  <c r="O8" i="35"/>
  <c r="O9" i="35"/>
  <c r="O10" i="35"/>
  <c r="O11" i="35"/>
  <c r="O12" i="35"/>
  <c r="O13" i="35"/>
  <c r="O14" i="35"/>
  <c r="O15" i="35"/>
  <c r="O16" i="35"/>
  <c r="O17" i="35"/>
  <c r="O18" i="35"/>
  <c r="O19" i="35"/>
  <c r="O20" i="35"/>
  <c r="O21" i="35"/>
  <c r="O22" i="35"/>
  <c r="O23" i="35"/>
  <c r="O24" i="35"/>
  <c r="O25" i="35"/>
  <c r="T7" i="34"/>
  <c r="T8" i="34"/>
  <c r="T9" i="34"/>
  <c r="T10" i="34"/>
  <c r="T11" i="34"/>
  <c r="T12" i="34"/>
  <c r="T13" i="34"/>
  <c r="T14" i="34"/>
  <c r="T15" i="34"/>
  <c r="T16" i="34"/>
  <c r="T17" i="34"/>
  <c r="T18" i="34"/>
  <c r="T19" i="34"/>
  <c r="T20" i="34"/>
  <c r="T21" i="34"/>
  <c r="T22" i="34"/>
  <c r="T23" i="34"/>
  <c r="T24" i="34"/>
  <c r="T25" i="34"/>
  <c r="T26" i="34"/>
  <c r="T27" i="34"/>
  <c r="T28" i="34"/>
  <c r="T29" i="34"/>
  <c r="T30" i="34"/>
  <c r="T31" i="34"/>
  <c r="T32" i="34"/>
  <c r="T33" i="34"/>
  <c r="T34" i="34"/>
  <c r="T35" i="34"/>
  <c r="T36" i="34"/>
  <c r="R7" i="34"/>
  <c r="R8" i="34"/>
  <c r="R9" i="34"/>
  <c r="R10" i="34"/>
  <c r="R11" i="34"/>
  <c r="R12" i="34"/>
  <c r="R13" i="34"/>
  <c r="R14" i="34"/>
  <c r="R15" i="34"/>
  <c r="R16" i="34"/>
  <c r="R17" i="34"/>
  <c r="R18" i="34"/>
  <c r="R19" i="34"/>
  <c r="R20" i="34"/>
  <c r="R21" i="34"/>
  <c r="R22" i="34"/>
  <c r="R23" i="34"/>
  <c r="R24" i="34"/>
  <c r="R25" i="34"/>
  <c r="R26" i="34"/>
  <c r="R27" i="34"/>
  <c r="R28" i="34"/>
  <c r="R29" i="34"/>
  <c r="R30" i="34"/>
  <c r="R31" i="34"/>
  <c r="R32" i="34"/>
  <c r="R33" i="34"/>
  <c r="R34" i="34"/>
  <c r="R35" i="34"/>
  <c r="R36" i="34"/>
  <c r="Q7" i="34"/>
  <c r="Q8" i="34"/>
  <c r="Q9" i="34"/>
  <c r="Q10" i="34"/>
  <c r="Q11" i="34"/>
  <c r="Q12" i="34"/>
  <c r="Q13" i="34"/>
  <c r="Q14" i="34"/>
  <c r="Q15" i="34"/>
  <c r="Q16" i="34"/>
  <c r="Q17" i="34"/>
  <c r="Q18" i="34"/>
  <c r="Q19" i="34"/>
  <c r="Q20" i="34"/>
  <c r="Q21" i="34"/>
  <c r="Q22" i="34"/>
  <c r="Q23" i="34"/>
  <c r="Q24" i="34"/>
  <c r="Q25" i="34"/>
  <c r="Q26" i="34"/>
  <c r="Q27" i="34"/>
  <c r="Q28" i="34"/>
  <c r="Q29" i="34"/>
  <c r="Q30" i="34"/>
  <c r="Q31" i="34"/>
  <c r="Q32" i="34"/>
  <c r="Q33" i="34"/>
  <c r="Q34" i="34"/>
  <c r="Q35" i="34"/>
  <c r="Q36" i="34"/>
  <c r="O7" i="34"/>
  <c r="O8" i="34"/>
  <c r="O9" i="34"/>
  <c r="O10" i="34"/>
  <c r="O11" i="34"/>
  <c r="O12" i="34"/>
  <c r="O13" i="34"/>
  <c r="O14" i="34"/>
  <c r="O15" i="34"/>
  <c r="O16" i="34"/>
  <c r="O17" i="34"/>
  <c r="O18" i="34"/>
  <c r="O19" i="34"/>
  <c r="O20" i="34"/>
  <c r="O21" i="34"/>
  <c r="O22" i="34"/>
  <c r="O23" i="34"/>
  <c r="O24" i="34"/>
  <c r="T7" i="33"/>
  <c r="T8" i="33"/>
  <c r="T9" i="33"/>
  <c r="T10" i="33"/>
  <c r="T11" i="33"/>
  <c r="T12" i="33"/>
  <c r="T13" i="33"/>
  <c r="T14" i="33"/>
  <c r="T15" i="33"/>
  <c r="T16" i="33"/>
  <c r="T17" i="33"/>
  <c r="T18" i="33"/>
  <c r="T19" i="33"/>
  <c r="T20" i="33"/>
  <c r="T21" i="33"/>
  <c r="T22" i="33"/>
  <c r="T23" i="33"/>
  <c r="T24" i="33"/>
  <c r="T25" i="33"/>
  <c r="T26" i="33"/>
  <c r="T27" i="33"/>
  <c r="T28" i="33"/>
  <c r="T29" i="33"/>
  <c r="T30" i="33"/>
  <c r="T31" i="33"/>
  <c r="T32" i="33"/>
  <c r="T33" i="33"/>
  <c r="T34" i="33"/>
  <c r="T35" i="33"/>
  <c r="T3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Q7"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O7" i="33"/>
  <c r="O8" i="33"/>
  <c r="O9" i="33"/>
  <c r="O10" i="33"/>
  <c r="O11" i="33"/>
  <c r="O12" i="33"/>
  <c r="O13" i="33"/>
  <c r="O14" i="33"/>
  <c r="O15" i="33"/>
  <c r="O16" i="33"/>
  <c r="O17" i="33"/>
  <c r="O18" i="33"/>
  <c r="O19" i="33"/>
  <c r="O20" i="33"/>
  <c r="O21" i="33"/>
  <c r="O22" i="33"/>
  <c r="O23" i="33"/>
  <c r="O24" i="33"/>
  <c r="O25" i="33"/>
  <c r="O26" i="33"/>
  <c r="T7" i="32"/>
  <c r="T8" i="32"/>
  <c r="T9" i="32"/>
  <c r="T10" i="32"/>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Q7" i="32"/>
  <c r="Q8" i="32"/>
  <c r="Q9" i="32"/>
  <c r="Q10" i="32"/>
  <c r="Q11" i="32"/>
  <c r="Q12" i="32"/>
  <c r="Q13" i="32"/>
  <c r="Q14" i="32"/>
  <c r="Q15" i="32"/>
  <c r="Q16" i="32"/>
  <c r="Q17" i="32"/>
  <c r="Q18" i="32"/>
  <c r="Q19" i="32"/>
  <c r="Q20" i="32"/>
  <c r="Q21" i="32"/>
  <c r="Q22" i="32"/>
  <c r="Q23" i="32"/>
  <c r="Q24" i="32"/>
  <c r="Q25" i="32"/>
  <c r="Q26" i="32"/>
  <c r="Q27" i="32"/>
  <c r="Q28" i="32"/>
  <c r="Q29" i="32"/>
  <c r="Q30" i="32"/>
  <c r="Q31" i="32"/>
  <c r="Q32" i="32"/>
  <c r="Q33" i="32"/>
  <c r="Q34" i="32"/>
  <c r="Q35" i="32"/>
  <c r="Q36" i="32"/>
  <c r="O7" i="32"/>
  <c r="O8" i="32"/>
  <c r="O9" i="32"/>
  <c r="O10" i="32"/>
  <c r="O11" i="32"/>
  <c r="O12" i="32"/>
  <c r="O13" i="32"/>
  <c r="O14" i="32"/>
  <c r="O15" i="32"/>
  <c r="O16" i="32"/>
  <c r="O17" i="32"/>
  <c r="O18" i="32"/>
  <c r="O19" i="32"/>
  <c r="O20" i="32"/>
  <c r="O21" i="32"/>
  <c r="O22" i="32"/>
  <c r="O23" i="32"/>
  <c r="AN7" i="30"/>
  <c r="AN8" i="30"/>
  <c r="AN9" i="30"/>
  <c r="AN10" i="30"/>
  <c r="AN11" i="30"/>
  <c r="AN12" i="30"/>
  <c r="AN13" i="30"/>
  <c r="AN14" i="30"/>
  <c r="AN15" i="30"/>
  <c r="AN16" i="30"/>
  <c r="AN17" i="30"/>
  <c r="AN18" i="30"/>
  <c r="AN19" i="30"/>
  <c r="AN20" i="30"/>
  <c r="AN21" i="30"/>
  <c r="AN22" i="30"/>
  <c r="AN23" i="30"/>
  <c r="AN24" i="30"/>
  <c r="AN25" i="30"/>
  <c r="AN26" i="30"/>
  <c r="AN27" i="30"/>
  <c r="AN28" i="30"/>
  <c r="AN29" i="30"/>
  <c r="AN30" i="30"/>
  <c r="AN31" i="30"/>
  <c r="AN32" i="30"/>
  <c r="AN33" i="30"/>
  <c r="AN34" i="30"/>
  <c r="AN35" i="30"/>
  <c r="AN36" i="30"/>
  <c r="AM7" i="30"/>
  <c r="AM8" i="30"/>
  <c r="AM9" i="30"/>
  <c r="AM10" i="30"/>
  <c r="AM11" i="30"/>
  <c r="AM12" i="30"/>
  <c r="AM13" i="30"/>
  <c r="AM14" i="30"/>
  <c r="AM15" i="30"/>
  <c r="AM16" i="30"/>
  <c r="AM17" i="30"/>
  <c r="AM18" i="30"/>
  <c r="AM19" i="30"/>
  <c r="AM20" i="30"/>
  <c r="AM26" i="30"/>
  <c r="AM27" i="30"/>
  <c r="AM28" i="30"/>
  <c r="AM29" i="30"/>
  <c r="AM30" i="30"/>
  <c r="AM31" i="30"/>
  <c r="AM32" i="30"/>
  <c r="AM33" i="30"/>
  <c r="AM34" i="30"/>
  <c r="AM35" i="30"/>
  <c r="AM36" i="30"/>
  <c r="AL7" i="30"/>
  <c r="AL8" i="30"/>
  <c r="AL9" i="30"/>
  <c r="AL10" i="30"/>
  <c r="AL11" i="30"/>
  <c r="AL12" i="30"/>
  <c r="AL13" i="30"/>
  <c r="AL14" i="30"/>
  <c r="AL15" i="30"/>
  <c r="AL16" i="30"/>
  <c r="AL17" i="30"/>
  <c r="AL18" i="30"/>
  <c r="AL19" i="30"/>
  <c r="AL20" i="30"/>
  <c r="AL21" i="30"/>
  <c r="AL22" i="30"/>
  <c r="AL23" i="30"/>
  <c r="AL24" i="30"/>
  <c r="AL25" i="30"/>
  <c r="AL26" i="30"/>
  <c r="AL27" i="30"/>
  <c r="AL28" i="30"/>
  <c r="AL29" i="30"/>
  <c r="AL30" i="30"/>
  <c r="AL31" i="30"/>
  <c r="AL32" i="30"/>
  <c r="AL33" i="30"/>
  <c r="AL34" i="30"/>
  <c r="AL35" i="30"/>
  <c r="AL36" i="30"/>
  <c r="AK7" i="30"/>
  <c r="AK8" i="30"/>
  <c r="AK9" i="30"/>
  <c r="AK10" i="30"/>
  <c r="AK11" i="30"/>
  <c r="AK12" i="30"/>
  <c r="AK13" i="30"/>
  <c r="AK14" i="30"/>
  <c r="AK15" i="30"/>
  <c r="AK16" i="30"/>
  <c r="AK17" i="30"/>
  <c r="AK18" i="30"/>
  <c r="AK19" i="30"/>
  <c r="AK20" i="30"/>
  <c r="AK21" i="30"/>
  <c r="AK22" i="30"/>
  <c r="AK23" i="30"/>
  <c r="AK24" i="30"/>
  <c r="AK25" i="30"/>
  <c r="AK26" i="30"/>
  <c r="AK27" i="30"/>
  <c r="AK28" i="30"/>
  <c r="AK29" i="30"/>
  <c r="AK30" i="30"/>
  <c r="AK31" i="30"/>
  <c r="AK32" i="30"/>
  <c r="AK33" i="30"/>
  <c r="AK34" i="30"/>
  <c r="AK35" i="30"/>
  <c r="AK36" i="30"/>
  <c r="AI7" i="30"/>
  <c r="AI8" i="30"/>
  <c r="AI9" i="30"/>
  <c r="AI10" i="30"/>
  <c r="AI11" i="30"/>
  <c r="AI12" i="30"/>
  <c r="AI13" i="30"/>
  <c r="AI14" i="30"/>
  <c r="AI15" i="30"/>
  <c r="AI16" i="30"/>
  <c r="AI17" i="30"/>
  <c r="AI18" i="30"/>
  <c r="AI19" i="30"/>
  <c r="AI20" i="30"/>
  <c r="AI21" i="30"/>
  <c r="AI22" i="30"/>
  <c r="AI23" i="30"/>
  <c r="AI24" i="30"/>
  <c r="AI25" i="30"/>
  <c r="AI26" i="30"/>
  <c r="AI27" i="30"/>
  <c r="AI28" i="30"/>
  <c r="AI29" i="30"/>
  <c r="AI30" i="30"/>
  <c r="AI31" i="30"/>
  <c r="AI32" i="30"/>
  <c r="AI33" i="30"/>
  <c r="AI34" i="30"/>
  <c r="AI35" i="30"/>
  <c r="AI36" i="30"/>
  <c r="AH7" i="30"/>
  <c r="AH8" i="30"/>
  <c r="AH9" i="30"/>
  <c r="AH10" i="30"/>
  <c r="AH11" i="30"/>
  <c r="AH12" i="30"/>
  <c r="AH13" i="30"/>
  <c r="AH14" i="30"/>
  <c r="AH15" i="30"/>
  <c r="AH16" i="30"/>
  <c r="AH17" i="30"/>
  <c r="AH18" i="30"/>
  <c r="AH19" i="30"/>
  <c r="AH20" i="30"/>
  <c r="AH21" i="30"/>
  <c r="AH22" i="30"/>
  <c r="AH23" i="30"/>
  <c r="AH24" i="30"/>
  <c r="AH25" i="30"/>
  <c r="AH26" i="30"/>
  <c r="AH27" i="30"/>
  <c r="AH28" i="30"/>
  <c r="AH29" i="30"/>
  <c r="AH30" i="30"/>
  <c r="AH31" i="30"/>
  <c r="AH32" i="30"/>
  <c r="AH33" i="30"/>
  <c r="AH34" i="30"/>
  <c r="AH35" i="30"/>
  <c r="AH36" i="30"/>
  <c r="AG7" i="30"/>
  <c r="AG8" i="30"/>
  <c r="AG9" i="30"/>
  <c r="AG10" i="30"/>
  <c r="AG11" i="30"/>
  <c r="AG12" i="30"/>
  <c r="AG13" i="30"/>
  <c r="AG14" i="30"/>
  <c r="AG15" i="30"/>
  <c r="AG16" i="30"/>
  <c r="AG17" i="30"/>
  <c r="AG18" i="30"/>
  <c r="AG19" i="30"/>
  <c r="AG20" i="30"/>
  <c r="AG21" i="30"/>
  <c r="AG22" i="30"/>
  <c r="AG23" i="30"/>
  <c r="AG24" i="30"/>
  <c r="AG25" i="30"/>
  <c r="AG26" i="30"/>
  <c r="AG27" i="30"/>
  <c r="AG28" i="30"/>
  <c r="AG29" i="30"/>
  <c r="AG30" i="30"/>
  <c r="AG31" i="30"/>
  <c r="AG32" i="30"/>
  <c r="AG33" i="30"/>
  <c r="AG34" i="30"/>
  <c r="AG35" i="30"/>
  <c r="AG36" i="30"/>
  <c r="AF7" i="30"/>
  <c r="AF8" i="30"/>
  <c r="AF9" i="30"/>
  <c r="AF10" i="30"/>
  <c r="AF11" i="30"/>
  <c r="AF12" i="30"/>
  <c r="AF13" i="30"/>
  <c r="AF14" i="30"/>
  <c r="AF15" i="30"/>
  <c r="AF16" i="30"/>
  <c r="AF17" i="30"/>
  <c r="AF18" i="30"/>
  <c r="AF19" i="30"/>
  <c r="AF20" i="30"/>
  <c r="AF21" i="30"/>
  <c r="AF22" i="30"/>
  <c r="AF23" i="30"/>
  <c r="AF24" i="30"/>
  <c r="AF25" i="30"/>
  <c r="AF26" i="30"/>
  <c r="AF27" i="30"/>
  <c r="AF28" i="30"/>
  <c r="AF29" i="30"/>
  <c r="AF30" i="30"/>
  <c r="AF31" i="30"/>
  <c r="AF32" i="30"/>
  <c r="AF33" i="30"/>
  <c r="AF34" i="30"/>
  <c r="AF35" i="30"/>
  <c r="AF36" i="30"/>
  <c r="AD7" i="30"/>
  <c r="AD8" i="30"/>
  <c r="AD9" i="30"/>
  <c r="AD10" i="30"/>
  <c r="AD11" i="30"/>
  <c r="AD12" i="30"/>
  <c r="AD13" i="30"/>
  <c r="AD14" i="30"/>
  <c r="AD15" i="30"/>
  <c r="AD16" i="30"/>
  <c r="AD17" i="30"/>
  <c r="AD18" i="30"/>
  <c r="AD19" i="30"/>
  <c r="AD20" i="30"/>
  <c r="AD21" i="30"/>
  <c r="AD22" i="30"/>
  <c r="AD23" i="30"/>
  <c r="AD24" i="30"/>
  <c r="AD25" i="30"/>
  <c r="AD26" i="30"/>
  <c r="AD27" i="30"/>
  <c r="AD28" i="30"/>
  <c r="AD29" i="30"/>
  <c r="AD30" i="30"/>
  <c r="AD31" i="30"/>
  <c r="AD32" i="30"/>
  <c r="AD33" i="30"/>
  <c r="AD34" i="30"/>
  <c r="AD35" i="30"/>
  <c r="AD36" i="30"/>
  <c r="AC7" i="30"/>
  <c r="AC8" i="30"/>
  <c r="AC9" i="30"/>
  <c r="AC10" i="30"/>
  <c r="AC11" i="30"/>
  <c r="AC12" i="30"/>
  <c r="AC13" i="30"/>
  <c r="AC14" i="30"/>
  <c r="AC15" i="30"/>
  <c r="AC16" i="30"/>
  <c r="AC17" i="30"/>
  <c r="AC18" i="30"/>
  <c r="AC19" i="30"/>
  <c r="AC20" i="30"/>
  <c r="AC21" i="30"/>
  <c r="AC22" i="30"/>
  <c r="AC23" i="30"/>
  <c r="AC24" i="30"/>
  <c r="AC25" i="30"/>
  <c r="AC26" i="30"/>
  <c r="AC27" i="30"/>
  <c r="AC28" i="30"/>
  <c r="AC29" i="30"/>
  <c r="AC30" i="30"/>
  <c r="AC31" i="30"/>
  <c r="AC32" i="30"/>
  <c r="AC33" i="30"/>
  <c r="AC34" i="30"/>
  <c r="AC35" i="30"/>
  <c r="AC36" i="30"/>
  <c r="AB7" i="30"/>
  <c r="AB8" i="30"/>
  <c r="AB9" i="30"/>
  <c r="AB10" i="30"/>
  <c r="AB11" i="30"/>
  <c r="AB12" i="30"/>
  <c r="AB13" i="30"/>
  <c r="AB14" i="30"/>
  <c r="AB15" i="30"/>
  <c r="AB16" i="30"/>
  <c r="AB17" i="30"/>
  <c r="AB18" i="30"/>
  <c r="AB19" i="30"/>
  <c r="AB20" i="30"/>
  <c r="AB21" i="30"/>
  <c r="AB22" i="30"/>
  <c r="AB23" i="30"/>
  <c r="AB24" i="30"/>
  <c r="AB25" i="30"/>
  <c r="AB26" i="30"/>
  <c r="AB27" i="30"/>
  <c r="AB28" i="30"/>
  <c r="AB29" i="30"/>
  <c r="AB30" i="30"/>
  <c r="AB31" i="30"/>
  <c r="AB32" i="30"/>
  <c r="AB33" i="30"/>
  <c r="AB34" i="30"/>
  <c r="AB35" i="30"/>
  <c r="AB36" i="30"/>
  <c r="AA7" i="30"/>
  <c r="AA8" i="30"/>
  <c r="AA9" i="30"/>
  <c r="AA10" i="30"/>
  <c r="AA11" i="30"/>
  <c r="AA12" i="30"/>
  <c r="AA13" i="30"/>
  <c r="AA14" i="30"/>
  <c r="AA15" i="30"/>
  <c r="AA16" i="30"/>
  <c r="AA17" i="30"/>
  <c r="AA18" i="30"/>
  <c r="AA19" i="30"/>
  <c r="AA20" i="30"/>
  <c r="AA21" i="30"/>
  <c r="AA22" i="30"/>
  <c r="AA23" i="30"/>
  <c r="AA24" i="30"/>
  <c r="AA25" i="30"/>
  <c r="AA26" i="30"/>
  <c r="AA27" i="30"/>
  <c r="AA28" i="30"/>
  <c r="AA29" i="30"/>
  <c r="AA30" i="30"/>
  <c r="AA31" i="30"/>
  <c r="AA32" i="30"/>
  <c r="AA33" i="30"/>
  <c r="AA34" i="30"/>
  <c r="AA35" i="30"/>
  <c r="AA36" i="30"/>
  <c r="Z7" i="30"/>
  <c r="Z8" i="30"/>
  <c r="Z9" i="30"/>
  <c r="Z10" i="30"/>
  <c r="Z11" i="30"/>
  <c r="Z12" i="30"/>
  <c r="Z13" i="30"/>
  <c r="Z14" i="30"/>
  <c r="Z15" i="30"/>
  <c r="Z16" i="30"/>
  <c r="Z17" i="30"/>
  <c r="Z18" i="30"/>
  <c r="Z19" i="30"/>
  <c r="Z20" i="30"/>
  <c r="Z21" i="30"/>
  <c r="Z22" i="30"/>
  <c r="Z23" i="30"/>
  <c r="Z24" i="30"/>
  <c r="Z25" i="30"/>
  <c r="Z26" i="30"/>
  <c r="Z27" i="30"/>
  <c r="Z28" i="30"/>
  <c r="Z29" i="30"/>
  <c r="Z30" i="30"/>
  <c r="Z31" i="30"/>
  <c r="Z32" i="30"/>
  <c r="Z33" i="30"/>
  <c r="Z34" i="30"/>
  <c r="Z35" i="30"/>
  <c r="Z36" i="30"/>
  <c r="Y7" i="30"/>
  <c r="Y8" i="30"/>
  <c r="Y9" i="30"/>
  <c r="Y10" i="30"/>
  <c r="Y11" i="30"/>
  <c r="Y12" i="30"/>
  <c r="Y13" i="30"/>
  <c r="Y14" i="30"/>
  <c r="Y15" i="30"/>
  <c r="Y16" i="30"/>
  <c r="Y17" i="30"/>
  <c r="Y18" i="30"/>
  <c r="Y19" i="30"/>
  <c r="Y20" i="30"/>
  <c r="Y21" i="30"/>
  <c r="Y22" i="30"/>
  <c r="Y23" i="30"/>
  <c r="Y24" i="30"/>
  <c r="AN7" i="29"/>
  <c r="AN8" i="29"/>
  <c r="AN9" i="29"/>
  <c r="AN10" i="29"/>
  <c r="AN11" i="29"/>
  <c r="AN12" i="29"/>
  <c r="AN13" i="29"/>
  <c r="AN14" i="29"/>
  <c r="AN15" i="29"/>
  <c r="AN16" i="29"/>
  <c r="AN17" i="29"/>
  <c r="AN18" i="29"/>
  <c r="AN19" i="29"/>
  <c r="AN20" i="29"/>
  <c r="AN21" i="29"/>
  <c r="AN22" i="29"/>
  <c r="AN23" i="29"/>
  <c r="AN24" i="29"/>
  <c r="AN25" i="29"/>
  <c r="AN26" i="29"/>
  <c r="AN27" i="29"/>
  <c r="AN28" i="29"/>
  <c r="AN29" i="29"/>
  <c r="AN30" i="29"/>
  <c r="AN31" i="29"/>
  <c r="AN32" i="29"/>
  <c r="AN33" i="29"/>
  <c r="AN34" i="29"/>
  <c r="AN35" i="29"/>
  <c r="AN36" i="29"/>
  <c r="AM7" i="29"/>
  <c r="AM8" i="29"/>
  <c r="AM9" i="29"/>
  <c r="AM10" i="29"/>
  <c r="AM11" i="29"/>
  <c r="AM12" i="29"/>
  <c r="AM13" i="29"/>
  <c r="AM14" i="29"/>
  <c r="AM15" i="29"/>
  <c r="AM16" i="29"/>
  <c r="AM17" i="29"/>
  <c r="AM18" i="29"/>
  <c r="AM19" i="29"/>
  <c r="AM20" i="29"/>
  <c r="AM21" i="29"/>
  <c r="AM22" i="29"/>
  <c r="AM23" i="29"/>
  <c r="AM24" i="29"/>
  <c r="AM25" i="29"/>
  <c r="AM26" i="29"/>
  <c r="AM27" i="29"/>
  <c r="AM28" i="29"/>
  <c r="AM29" i="29"/>
  <c r="AM30" i="29"/>
  <c r="AM31" i="29"/>
  <c r="AM32" i="29"/>
  <c r="AM33" i="29"/>
  <c r="AM34" i="29"/>
  <c r="AM35" i="29"/>
  <c r="AM36" i="29"/>
  <c r="AL7" i="29"/>
  <c r="AL8" i="29"/>
  <c r="AL9" i="29"/>
  <c r="AL10" i="29"/>
  <c r="AL11" i="29"/>
  <c r="AL12" i="29"/>
  <c r="AL13" i="29"/>
  <c r="AL14" i="29"/>
  <c r="AL15" i="29"/>
  <c r="AL16" i="29"/>
  <c r="AL17" i="29"/>
  <c r="AL18" i="29"/>
  <c r="AL19" i="29"/>
  <c r="AL20" i="29"/>
  <c r="AL21" i="29"/>
  <c r="AL22" i="29"/>
  <c r="AL23" i="29"/>
  <c r="AL24" i="29"/>
  <c r="AL25" i="29"/>
  <c r="AL26" i="29"/>
  <c r="AL27" i="29"/>
  <c r="AL28" i="29"/>
  <c r="AL29" i="29"/>
  <c r="AL30" i="29"/>
  <c r="AL31" i="29"/>
  <c r="AL32" i="29"/>
  <c r="AL33" i="29"/>
  <c r="AL34" i="29"/>
  <c r="AL35" i="29"/>
  <c r="AL36" i="29"/>
  <c r="AK7" i="29"/>
  <c r="AK8" i="29"/>
  <c r="AK9" i="29"/>
  <c r="AK10" i="29"/>
  <c r="AK11" i="29"/>
  <c r="AK12" i="29"/>
  <c r="AK13" i="29"/>
  <c r="AK14" i="29"/>
  <c r="AK15" i="29"/>
  <c r="AK16" i="29"/>
  <c r="AK17" i="29"/>
  <c r="AK18" i="29"/>
  <c r="AK19" i="29"/>
  <c r="AK20" i="29"/>
  <c r="AK21" i="29"/>
  <c r="AK22" i="29"/>
  <c r="AK23" i="29"/>
  <c r="AK24" i="29"/>
  <c r="AK25" i="29"/>
  <c r="AK26" i="29"/>
  <c r="AK27" i="29"/>
  <c r="AK28" i="29"/>
  <c r="AK29" i="29"/>
  <c r="AK30" i="29"/>
  <c r="AK31" i="29"/>
  <c r="AK32" i="29"/>
  <c r="AK33" i="29"/>
  <c r="AK34" i="29"/>
  <c r="AK35" i="29"/>
  <c r="AK36" i="29"/>
  <c r="AI7" i="29"/>
  <c r="AI8" i="29"/>
  <c r="AI9" i="29"/>
  <c r="AI10" i="29"/>
  <c r="AI11" i="29"/>
  <c r="AI12" i="29"/>
  <c r="AI13" i="29"/>
  <c r="AI14" i="29"/>
  <c r="AI15" i="29"/>
  <c r="AI16" i="29"/>
  <c r="AI17" i="29"/>
  <c r="AI18" i="29"/>
  <c r="AI19" i="29"/>
  <c r="AI20" i="29"/>
  <c r="AI21" i="29"/>
  <c r="AI22" i="29"/>
  <c r="AI23" i="29"/>
  <c r="AI24" i="29"/>
  <c r="AI25" i="29"/>
  <c r="AI26" i="29"/>
  <c r="AI27" i="29"/>
  <c r="AI28" i="29"/>
  <c r="AI29" i="29"/>
  <c r="AI30" i="29"/>
  <c r="AI31" i="29"/>
  <c r="AI32" i="29"/>
  <c r="AI33" i="29"/>
  <c r="AI34" i="29"/>
  <c r="AI35" i="29"/>
  <c r="AI36" i="29"/>
  <c r="AH7" i="29"/>
  <c r="AH8" i="29"/>
  <c r="AH9" i="29"/>
  <c r="AH10" i="29"/>
  <c r="AH11" i="29"/>
  <c r="AH12" i="29"/>
  <c r="AH13" i="29"/>
  <c r="AH14" i="29"/>
  <c r="AH15" i="29"/>
  <c r="AH16" i="29"/>
  <c r="AH17" i="29"/>
  <c r="AH18" i="29"/>
  <c r="AH19" i="29"/>
  <c r="AH20" i="29"/>
  <c r="AH21" i="29"/>
  <c r="AH22" i="29"/>
  <c r="AH23" i="29"/>
  <c r="AH24" i="29"/>
  <c r="AH25" i="29"/>
  <c r="AH26" i="29"/>
  <c r="AH27" i="29"/>
  <c r="AH28" i="29"/>
  <c r="AH29" i="29"/>
  <c r="AH30" i="29"/>
  <c r="AH31" i="29"/>
  <c r="AH32" i="29"/>
  <c r="AH33" i="29"/>
  <c r="AH34" i="29"/>
  <c r="AH35" i="29"/>
  <c r="AH36" i="29"/>
  <c r="AG7" i="29"/>
  <c r="AG8" i="29"/>
  <c r="AG9" i="29"/>
  <c r="AG10" i="29"/>
  <c r="AG11" i="29"/>
  <c r="AG12" i="29"/>
  <c r="AG13" i="29"/>
  <c r="AG14" i="29"/>
  <c r="AG15" i="29"/>
  <c r="AG16" i="29"/>
  <c r="AG17" i="29"/>
  <c r="AG18" i="29"/>
  <c r="AG19" i="29"/>
  <c r="AG20" i="29"/>
  <c r="AG21" i="29"/>
  <c r="AG22" i="29"/>
  <c r="AG23" i="29"/>
  <c r="AG24" i="29"/>
  <c r="AG25" i="29"/>
  <c r="AG26" i="29"/>
  <c r="AG27" i="29"/>
  <c r="AG28" i="29"/>
  <c r="AG29" i="29"/>
  <c r="AG30" i="29"/>
  <c r="AG31" i="29"/>
  <c r="AG32" i="29"/>
  <c r="AG33" i="29"/>
  <c r="AG34" i="29"/>
  <c r="AG35" i="29"/>
  <c r="AG36" i="29"/>
  <c r="AF7" i="29"/>
  <c r="AF8" i="29"/>
  <c r="AF9" i="29"/>
  <c r="AF10" i="29"/>
  <c r="AF11" i="29"/>
  <c r="AF12" i="29"/>
  <c r="AF13" i="29"/>
  <c r="AF14" i="29"/>
  <c r="AF15" i="29"/>
  <c r="AF16" i="29"/>
  <c r="AF17" i="29"/>
  <c r="AF18" i="29"/>
  <c r="AF19" i="29"/>
  <c r="AF20" i="29"/>
  <c r="AF21" i="29"/>
  <c r="AF22" i="29"/>
  <c r="AF23" i="29"/>
  <c r="AF24" i="29"/>
  <c r="AF25" i="29"/>
  <c r="AF26" i="29"/>
  <c r="AF27" i="29"/>
  <c r="AF28" i="29"/>
  <c r="AF29" i="29"/>
  <c r="AF30" i="29"/>
  <c r="AF31" i="29"/>
  <c r="AF32" i="29"/>
  <c r="AF33" i="29"/>
  <c r="AF34" i="29"/>
  <c r="AF35" i="29"/>
  <c r="AF36" i="29"/>
  <c r="AD7" i="29"/>
  <c r="AD8" i="29"/>
  <c r="AD9" i="29"/>
  <c r="AD10" i="29"/>
  <c r="AD11" i="29"/>
  <c r="AD12" i="29"/>
  <c r="AD13" i="29"/>
  <c r="AD14" i="29"/>
  <c r="AD15" i="29"/>
  <c r="AD16" i="29"/>
  <c r="AD17" i="29"/>
  <c r="AD18" i="29"/>
  <c r="AD19" i="29"/>
  <c r="AD20" i="29"/>
  <c r="AD21" i="29"/>
  <c r="AD22" i="29"/>
  <c r="AD23" i="29"/>
  <c r="AD24" i="29"/>
  <c r="AD25" i="29"/>
  <c r="AD26" i="29"/>
  <c r="AD27" i="29"/>
  <c r="AD28" i="29"/>
  <c r="AD29" i="29"/>
  <c r="AD30" i="29"/>
  <c r="AD31" i="29"/>
  <c r="AD32" i="29"/>
  <c r="AD33" i="29"/>
  <c r="AD34" i="29"/>
  <c r="AD35" i="29"/>
  <c r="AD36" i="29"/>
  <c r="AC7" i="29"/>
  <c r="AC8" i="29"/>
  <c r="AC9" i="29"/>
  <c r="AC10" i="29"/>
  <c r="AC11" i="29"/>
  <c r="AC12" i="29"/>
  <c r="AC13" i="29"/>
  <c r="AC14" i="29"/>
  <c r="AC15" i="29"/>
  <c r="AC16" i="29"/>
  <c r="AC17" i="29"/>
  <c r="AC18" i="29"/>
  <c r="AC19" i="29"/>
  <c r="AC20" i="29"/>
  <c r="AC21" i="29"/>
  <c r="AC22" i="29"/>
  <c r="AC23" i="29"/>
  <c r="AC24" i="29"/>
  <c r="AC25" i="29"/>
  <c r="AC26" i="29"/>
  <c r="AC27" i="29"/>
  <c r="AC28" i="29"/>
  <c r="AC29" i="29"/>
  <c r="AC30" i="29"/>
  <c r="AC31" i="29"/>
  <c r="AC32" i="29"/>
  <c r="AC33" i="29"/>
  <c r="AC34" i="29"/>
  <c r="AC35" i="29"/>
  <c r="AC36" i="29"/>
  <c r="AB7" i="29"/>
  <c r="AB8" i="29"/>
  <c r="AB9" i="29"/>
  <c r="AB10" i="29"/>
  <c r="AB11" i="29"/>
  <c r="AB12" i="29"/>
  <c r="AB13" i="29"/>
  <c r="AB14" i="29"/>
  <c r="AB15" i="29"/>
  <c r="AB16" i="29"/>
  <c r="AB17" i="29"/>
  <c r="AB18" i="29"/>
  <c r="AB19" i="29"/>
  <c r="AB20" i="29"/>
  <c r="AB21" i="29"/>
  <c r="AB22" i="29"/>
  <c r="AB23" i="29"/>
  <c r="AB24" i="29"/>
  <c r="AB25" i="29"/>
  <c r="AB26" i="29"/>
  <c r="AB27" i="29"/>
  <c r="AB28" i="29"/>
  <c r="AB29" i="29"/>
  <c r="AB30" i="29"/>
  <c r="AB31" i="29"/>
  <c r="AB32" i="29"/>
  <c r="AB33" i="29"/>
  <c r="AB34" i="29"/>
  <c r="AB35" i="29"/>
  <c r="AB36" i="29"/>
  <c r="AA7" i="29"/>
  <c r="AA8" i="29"/>
  <c r="AA9" i="29"/>
  <c r="AA10" i="29"/>
  <c r="AA11" i="29"/>
  <c r="AA12" i="29"/>
  <c r="AA13" i="29"/>
  <c r="AA14" i="29"/>
  <c r="AA15" i="29"/>
  <c r="AA16" i="29"/>
  <c r="AA17" i="29"/>
  <c r="AA18" i="29"/>
  <c r="AA19" i="29"/>
  <c r="AA20" i="29"/>
  <c r="AA21" i="29"/>
  <c r="AA22" i="29"/>
  <c r="AA23" i="29"/>
  <c r="AA24" i="29"/>
  <c r="AA25" i="29"/>
  <c r="AA26" i="29"/>
  <c r="AA27" i="29"/>
  <c r="AA28" i="29"/>
  <c r="AA29" i="29"/>
  <c r="AA30" i="29"/>
  <c r="AA31" i="29"/>
  <c r="AA32" i="29"/>
  <c r="AA33" i="29"/>
  <c r="AA34" i="29"/>
  <c r="AA35" i="29"/>
  <c r="AA36" i="29"/>
  <c r="Z7" i="29"/>
  <c r="Z8" i="29"/>
  <c r="Z9" i="29"/>
  <c r="Z10" i="29"/>
  <c r="Z11" i="29"/>
  <c r="Z12" i="29"/>
  <c r="Z13" i="29"/>
  <c r="Z14" i="29"/>
  <c r="Z15" i="29"/>
  <c r="Z16" i="29"/>
  <c r="Z17" i="29"/>
  <c r="Z18" i="29"/>
  <c r="Z19" i="29"/>
  <c r="Z20" i="29"/>
  <c r="Z21" i="29"/>
  <c r="Z22" i="29"/>
  <c r="Z23" i="29"/>
  <c r="Z24" i="29"/>
  <c r="Z25" i="29"/>
  <c r="Z26" i="29"/>
  <c r="Z27" i="29"/>
  <c r="Z28" i="29"/>
  <c r="Z29" i="29"/>
  <c r="Z30" i="29"/>
  <c r="Z31" i="29"/>
  <c r="Z32" i="29"/>
  <c r="Z33" i="29"/>
  <c r="Z34" i="29"/>
  <c r="Z35" i="29"/>
  <c r="Z36" i="29"/>
  <c r="Y7" i="29"/>
  <c r="Y8" i="29"/>
  <c r="Y9" i="29"/>
  <c r="Y10" i="29"/>
  <c r="Y11" i="29"/>
  <c r="Y12" i="29"/>
  <c r="Y13" i="29"/>
  <c r="Y14" i="29"/>
  <c r="Y15" i="29"/>
  <c r="Y16" i="29"/>
  <c r="Y17" i="29"/>
  <c r="Y18" i="29"/>
  <c r="Y19" i="29"/>
  <c r="Y20" i="29"/>
  <c r="Y21" i="29"/>
  <c r="Y22" i="29"/>
  <c r="Y23" i="29"/>
  <c r="Y24" i="29"/>
  <c r="Y25" i="29"/>
  <c r="AN7" i="28"/>
  <c r="AN8" i="28"/>
  <c r="AN9" i="28"/>
  <c r="AN10" i="28"/>
  <c r="AN11" i="28"/>
  <c r="AN12" i="28"/>
  <c r="AN13" i="28"/>
  <c r="AN14" i="28"/>
  <c r="AN15" i="28"/>
  <c r="AN16" i="28"/>
  <c r="AN17" i="28"/>
  <c r="AN18" i="28"/>
  <c r="AN19" i="28"/>
  <c r="AN20" i="28"/>
  <c r="AN21" i="28"/>
  <c r="AN22" i="28"/>
  <c r="AN23" i="28"/>
  <c r="AN24" i="28"/>
  <c r="AN25" i="28"/>
  <c r="AN26" i="28"/>
  <c r="AN27" i="28"/>
  <c r="AN28" i="28"/>
  <c r="AN29" i="28"/>
  <c r="AN30" i="28"/>
  <c r="AN31" i="28"/>
  <c r="AN32" i="28"/>
  <c r="AN33" i="28"/>
  <c r="AN34" i="28"/>
  <c r="AN35" i="28"/>
  <c r="AN36" i="28"/>
  <c r="AM7" i="28"/>
  <c r="AM8" i="28"/>
  <c r="AM9" i="28"/>
  <c r="AM10" i="28"/>
  <c r="AM11" i="28"/>
  <c r="AM12" i="28"/>
  <c r="AM13" i="28"/>
  <c r="AM14" i="28"/>
  <c r="AM15" i="28"/>
  <c r="AM16" i="28"/>
  <c r="AM17" i="28"/>
  <c r="AM18" i="28"/>
  <c r="AM19" i="28"/>
  <c r="AM20" i="28"/>
  <c r="AM21" i="28"/>
  <c r="AM22" i="28"/>
  <c r="AM23" i="28"/>
  <c r="AM24" i="28"/>
  <c r="AM25" i="28"/>
  <c r="AM26" i="28"/>
  <c r="AM27" i="28"/>
  <c r="AM28" i="28"/>
  <c r="AM29" i="28"/>
  <c r="AM30" i="28"/>
  <c r="AM31" i="28"/>
  <c r="AM32" i="28"/>
  <c r="AM33" i="28"/>
  <c r="AM34" i="28"/>
  <c r="AM35" i="28"/>
  <c r="AM36" i="28"/>
  <c r="AL7" i="28"/>
  <c r="AL8" i="28"/>
  <c r="AL9" i="28"/>
  <c r="AL10" i="28"/>
  <c r="AL11" i="28"/>
  <c r="AL12" i="28"/>
  <c r="AL13" i="28"/>
  <c r="AL14" i="28"/>
  <c r="AL15" i="28"/>
  <c r="AL16" i="28"/>
  <c r="AL17" i="28"/>
  <c r="AL18" i="28"/>
  <c r="AL19" i="28"/>
  <c r="AL20" i="28"/>
  <c r="AL21" i="28"/>
  <c r="AL22" i="28"/>
  <c r="AL23" i="28"/>
  <c r="AL24" i="28"/>
  <c r="AL25" i="28"/>
  <c r="AL26" i="28"/>
  <c r="AL27" i="28"/>
  <c r="AL28" i="28"/>
  <c r="AL29" i="28"/>
  <c r="AL30" i="28"/>
  <c r="AL31" i="28"/>
  <c r="AL32" i="28"/>
  <c r="AL33" i="28"/>
  <c r="AL34" i="28"/>
  <c r="AL35" i="28"/>
  <c r="AL36" i="28"/>
  <c r="AK7" i="28"/>
  <c r="AK8" i="28"/>
  <c r="AK9" i="28"/>
  <c r="AK10" i="28"/>
  <c r="AK11" i="28"/>
  <c r="AK12" i="28"/>
  <c r="AK13" i="28"/>
  <c r="AK14" i="28"/>
  <c r="AK15" i="28"/>
  <c r="AK16" i="28"/>
  <c r="AK17" i="28"/>
  <c r="AK18" i="28"/>
  <c r="AK19" i="28"/>
  <c r="AK20" i="28"/>
  <c r="AK21" i="28"/>
  <c r="AK22" i="28"/>
  <c r="AK23" i="28"/>
  <c r="AK24" i="28"/>
  <c r="AK25" i="28"/>
  <c r="AK26" i="28"/>
  <c r="AK27" i="28"/>
  <c r="AK28" i="28"/>
  <c r="AK29" i="28"/>
  <c r="AK30" i="28"/>
  <c r="AK31" i="28"/>
  <c r="AK32" i="28"/>
  <c r="AK33" i="28"/>
  <c r="AK34" i="28"/>
  <c r="AK35" i="28"/>
  <c r="AK36" i="28"/>
  <c r="AI7" i="28"/>
  <c r="AI8" i="28"/>
  <c r="AI9" i="28"/>
  <c r="AI10"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H7" i="28"/>
  <c r="AH8" i="28"/>
  <c r="AH9" i="28"/>
  <c r="AH10" i="28"/>
  <c r="AH11" i="28"/>
  <c r="AH12" i="28"/>
  <c r="AH13" i="28"/>
  <c r="AH14" i="28"/>
  <c r="AH15" i="28"/>
  <c r="AH16" i="28"/>
  <c r="AH17" i="28"/>
  <c r="AH18" i="28"/>
  <c r="AH19" i="28"/>
  <c r="AH20" i="28"/>
  <c r="AH21" i="28"/>
  <c r="AH22" i="28"/>
  <c r="AH23" i="28"/>
  <c r="AH24" i="28"/>
  <c r="AH25" i="28"/>
  <c r="AH26" i="28"/>
  <c r="AH27" i="28"/>
  <c r="AH28" i="28"/>
  <c r="AH29" i="28"/>
  <c r="AH30" i="28"/>
  <c r="AH31" i="28"/>
  <c r="AH32" i="28"/>
  <c r="AH33" i="28"/>
  <c r="AH34" i="28"/>
  <c r="AH35" i="28"/>
  <c r="AH36" i="28"/>
  <c r="AG7" i="28"/>
  <c r="AG8" i="28"/>
  <c r="AG9" i="28"/>
  <c r="AG10" i="28"/>
  <c r="AG11" i="28"/>
  <c r="AG12" i="28"/>
  <c r="AG13" i="28"/>
  <c r="AG14" i="28"/>
  <c r="AG15" i="28"/>
  <c r="AG16" i="28"/>
  <c r="AG17" i="28"/>
  <c r="AG18" i="28"/>
  <c r="AG19" i="28"/>
  <c r="AG20" i="28"/>
  <c r="AG21" i="28"/>
  <c r="AG22" i="28"/>
  <c r="AG23" i="28"/>
  <c r="AG24" i="28"/>
  <c r="AG25" i="28"/>
  <c r="AG26" i="28"/>
  <c r="AG27" i="28"/>
  <c r="AG28" i="28"/>
  <c r="AG29" i="28"/>
  <c r="AG30" i="28"/>
  <c r="AG31" i="28"/>
  <c r="AG32" i="28"/>
  <c r="AG33" i="28"/>
  <c r="AG34" i="28"/>
  <c r="AG35" i="28"/>
  <c r="AG36" i="28"/>
  <c r="AF7" i="28"/>
  <c r="AF8" i="28"/>
  <c r="AF9" i="28"/>
  <c r="AF10" i="28"/>
  <c r="AF11" i="28"/>
  <c r="AF12" i="28"/>
  <c r="AF13" i="28"/>
  <c r="AF14" i="28"/>
  <c r="AF15" i="28"/>
  <c r="AF16" i="28"/>
  <c r="AF17" i="28"/>
  <c r="AF18" i="28"/>
  <c r="AF19" i="28"/>
  <c r="AF20" i="28"/>
  <c r="AF21" i="28"/>
  <c r="AF22" i="28"/>
  <c r="AF23" i="28"/>
  <c r="AF24" i="28"/>
  <c r="AF25" i="28"/>
  <c r="AF26" i="28"/>
  <c r="AF27" i="28"/>
  <c r="AF28" i="28"/>
  <c r="AF29" i="28"/>
  <c r="AF30" i="28"/>
  <c r="AF31" i="28"/>
  <c r="AF32" i="28"/>
  <c r="AF33" i="28"/>
  <c r="AF34" i="28"/>
  <c r="AF35" i="28"/>
  <c r="AF36" i="28"/>
  <c r="AD7" i="28"/>
  <c r="AD8" i="28"/>
  <c r="AD9" i="28"/>
  <c r="AD10" i="28"/>
  <c r="AD11" i="28"/>
  <c r="AD12" i="28"/>
  <c r="AD13" i="28"/>
  <c r="AD14" i="28"/>
  <c r="AD15" i="28"/>
  <c r="AD16" i="28"/>
  <c r="AD17" i="28"/>
  <c r="AD18" i="28"/>
  <c r="AD19" i="28"/>
  <c r="AD20" i="28"/>
  <c r="AD21" i="28"/>
  <c r="AD22" i="28"/>
  <c r="AD23" i="28"/>
  <c r="AD24" i="28"/>
  <c r="AD25" i="28"/>
  <c r="AD26" i="28"/>
  <c r="AD27" i="28"/>
  <c r="AD28" i="28"/>
  <c r="AD29" i="28"/>
  <c r="AD30" i="28"/>
  <c r="AD31" i="28"/>
  <c r="AD32" i="28"/>
  <c r="AD33" i="28"/>
  <c r="AD34" i="28"/>
  <c r="AD35" i="28"/>
  <c r="AD36" i="28"/>
  <c r="AC7" i="28"/>
  <c r="AC8" i="28"/>
  <c r="AC9" i="28"/>
  <c r="AC10" i="28"/>
  <c r="AC11" i="28"/>
  <c r="AC12" i="28"/>
  <c r="AC13" i="28"/>
  <c r="AC14" i="28"/>
  <c r="AC15" i="28"/>
  <c r="AC16" i="28"/>
  <c r="AC17" i="28"/>
  <c r="AC18" i="28"/>
  <c r="AC19" i="28"/>
  <c r="AC20" i="28"/>
  <c r="AC21" i="28"/>
  <c r="AC22" i="28"/>
  <c r="AC23" i="28"/>
  <c r="AC24" i="28"/>
  <c r="AC25" i="28"/>
  <c r="AC26" i="28"/>
  <c r="AC27" i="28"/>
  <c r="AC28" i="28"/>
  <c r="AC29" i="28"/>
  <c r="AC30" i="28"/>
  <c r="AC31" i="28"/>
  <c r="AC32" i="28"/>
  <c r="AC33" i="28"/>
  <c r="AC34" i="28"/>
  <c r="AC35" i="28"/>
  <c r="AC36" i="28"/>
  <c r="AB7" i="28"/>
  <c r="AB8" i="28"/>
  <c r="AB9" i="28"/>
  <c r="AB10" i="28"/>
  <c r="AB11" i="28"/>
  <c r="AB12" i="28"/>
  <c r="AB13" i="28"/>
  <c r="AB14" i="28"/>
  <c r="AB15" i="28"/>
  <c r="AB16" i="28"/>
  <c r="AB17" i="28"/>
  <c r="AB18" i="28"/>
  <c r="AB19" i="28"/>
  <c r="AB20" i="28"/>
  <c r="AB21" i="28"/>
  <c r="AB22" i="28"/>
  <c r="AB23" i="28"/>
  <c r="AB24" i="28"/>
  <c r="AB25" i="28"/>
  <c r="AB26" i="28"/>
  <c r="AB27" i="28"/>
  <c r="AB28" i="28"/>
  <c r="AB29" i="28"/>
  <c r="AB30" i="28"/>
  <c r="AB31" i="28"/>
  <c r="AB32" i="28"/>
  <c r="AB33" i="28"/>
  <c r="AB34" i="28"/>
  <c r="AB35" i="28"/>
  <c r="AB36" i="28"/>
  <c r="AA7" i="28"/>
  <c r="AA8" i="28"/>
  <c r="AA9" i="28"/>
  <c r="AA10" i="28"/>
  <c r="AA11" i="28"/>
  <c r="AA12" i="28"/>
  <c r="AA13" i="28"/>
  <c r="AA14" i="28"/>
  <c r="AA15" i="28"/>
  <c r="AA16" i="28"/>
  <c r="AA17" i="28"/>
  <c r="AA18" i="28"/>
  <c r="AA19" i="28"/>
  <c r="AA20" i="28"/>
  <c r="AA21" i="28"/>
  <c r="AA22" i="28"/>
  <c r="AA23" i="28"/>
  <c r="AA24" i="28"/>
  <c r="AA25" i="28"/>
  <c r="AA26" i="28"/>
  <c r="AA27" i="28"/>
  <c r="AA28" i="28"/>
  <c r="AA29" i="28"/>
  <c r="AA30" i="28"/>
  <c r="AA31" i="28"/>
  <c r="AA32" i="28"/>
  <c r="AA33" i="28"/>
  <c r="AA34" i="28"/>
  <c r="AA35" i="28"/>
  <c r="AA36" i="28"/>
  <c r="Z7" i="28"/>
  <c r="Z8" i="28"/>
  <c r="Z9" i="28"/>
  <c r="Z10" i="28"/>
  <c r="Z11" i="28"/>
  <c r="Z12" i="28"/>
  <c r="Z13" i="28"/>
  <c r="Z14" i="28"/>
  <c r="Z15" i="28"/>
  <c r="Z16" i="28"/>
  <c r="Z17" i="28"/>
  <c r="Z18" i="28"/>
  <c r="Z19" i="28"/>
  <c r="Z20" i="28"/>
  <c r="Z21" i="28"/>
  <c r="Z22" i="28"/>
  <c r="Z23" i="28"/>
  <c r="Z24" i="28"/>
  <c r="Z25" i="28"/>
  <c r="Z26" i="28"/>
  <c r="Z27" i="28"/>
  <c r="Z28" i="28"/>
  <c r="Z29" i="28"/>
  <c r="Z30" i="28"/>
  <c r="Z31" i="28"/>
  <c r="Z32" i="28"/>
  <c r="Z33" i="28"/>
  <c r="Z34" i="28"/>
  <c r="Z35" i="28"/>
  <c r="Z36" i="28"/>
  <c r="Y7" i="28"/>
  <c r="Y8" i="28"/>
  <c r="Y9" i="28"/>
  <c r="Y10" i="28"/>
  <c r="Y11" i="28"/>
  <c r="Y12" i="28"/>
  <c r="Y13" i="28"/>
  <c r="Y14" i="28"/>
  <c r="Y15" i="28"/>
  <c r="Y16" i="28"/>
  <c r="Y17" i="28"/>
  <c r="Y18" i="28"/>
  <c r="Y19" i="28"/>
  <c r="Y20" i="28"/>
  <c r="Y21" i="28"/>
  <c r="Y22" i="28"/>
  <c r="Y23" i="28"/>
  <c r="Y24" i="28"/>
  <c r="AN7" i="26"/>
  <c r="AN8" i="26"/>
  <c r="AN9" i="26"/>
  <c r="AN10" i="26"/>
  <c r="AN11" i="26"/>
  <c r="AN12" i="26"/>
  <c r="AN13" i="26"/>
  <c r="AN14" i="26"/>
  <c r="AN15" i="26"/>
  <c r="AN16" i="26"/>
  <c r="AN17" i="26"/>
  <c r="AN18" i="26"/>
  <c r="AN19" i="26"/>
  <c r="AN21" i="26"/>
  <c r="AN22" i="26"/>
  <c r="AN23" i="26"/>
  <c r="AN24" i="26"/>
  <c r="AN25" i="26"/>
  <c r="AN26" i="26"/>
  <c r="AN27" i="26"/>
  <c r="AN28" i="26"/>
  <c r="AN29" i="26"/>
  <c r="AN30" i="26"/>
  <c r="AN31" i="26"/>
  <c r="AN32" i="26"/>
  <c r="AN33" i="26"/>
  <c r="AN34" i="26"/>
  <c r="AN35" i="26"/>
  <c r="AN36" i="26"/>
  <c r="AM7" i="26"/>
  <c r="AM8" i="26"/>
  <c r="AM9" i="26"/>
  <c r="AM10" i="26"/>
  <c r="AM11" i="26"/>
  <c r="AM12" i="26"/>
  <c r="AM13" i="26"/>
  <c r="AM14" i="26"/>
  <c r="AM15" i="26"/>
  <c r="AM16" i="26"/>
  <c r="AM17" i="26"/>
  <c r="AM18" i="26"/>
  <c r="AM19" i="26"/>
  <c r="AM20" i="26"/>
  <c r="AM21" i="26"/>
  <c r="AM22" i="26"/>
  <c r="AM23" i="26"/>
  <c r="AM24" i="26"/>
  <c r="AM25" i="26"/>
  <c r="AM26" i="26"/>
  <c r="AM27" i="26"/>
  <c r="AM28" i="26"/>
  <c r="AM29" i="26"/>
  <c r="AM30" i="26"/>
  <c r="AM31" i="26"/>
  <c r="AM32" i="26"/>
  <c r="AM33" i="26"/>
  <c r="AM34" i="26"/>
  <c r="AM35" i="26"/>
  <c r="AM36" i="26"/>
  <c r="AL7" i="26"/>
  <c r="AL8" i="26"/>
  <c r="AL9" i="26"/>
  <c r="AL10" i="26"/>
  <c r="AL11" i="26"/>
  <c r="AL12" i="26"/>
  <c r="AL13" i="26"/>
  <c r="AL14" i="26"/>
  <c r="AL15" i="26"/>
  <c r="AL16" i="26"/>
  <c r="AL17" i="26"/>
  <c r="AL18" i="26"/>
  <c r="AL19" i="26"/>
  <c r="AL20" i="26"/>
  <c r="AL21" i="26"/>
  <c r="AL22" i="26"/>
  <c r="AL23" i="26"/>
  <c r="AL24" i="26"/>
  <c r="AL25" i="26"/>
  <c r="AL26" i="26"/>
  <c r="AL27" i="26"/>
  <c r="AL28" i="26"/>
  <c r="AL33" i="26"/>
  <c r="AL34" i="26"/>
  <c r="AL35" i="26"/>
  <c r="AL36" i="26"/>
  <c r="AK7" i="26"/>
  <c r="AK8" i="26"/>
  <c r="AK9" i="26"/>
  <c r="AK10" i="26"/>
  <c r="AK11" i="26"/>
  <c r="AK12" i="26"/>
  <c r="AK13" i="26"/>
  <c r="AK14" i="26"/>
  <c r="AK15" i="26"/>
  <c r="AK16" i="26"/>
  <c r="AK17" i="26"/>
  <c r="AK18" i="26"/>
  <c r="AK19" i="26"/>
  <c r="AK20" i="26"/>
  <c r="AK21" i="26"/>
  <c r="AK22" i="26"/>
  <c r="AK23" i="26"/>
  <c r="AK24" i="26"/>
  <c r="AK25" i="26"/>
  <c r="AK26" i="26"/>
  <c r="AK27" i="26"/>
  <c r="AK28" i="26"/>
  <c r="AK33" i="26"/>
  <c r="AK34" i="26"/>
  <c r="AK35" i="26"/>
  <c r="AK3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0" i="26"/>
  <c r="AI31" i="26"/>
  <c r="AI32" i="26"/>
  <c r="AI33" i="26"/>
  <c r="AI35" i="26"/>
  <c r="AI36" i="26"/>
  <c r="AG7" i="26"/>
  <c r="AG8" i="26"/>
  <c r="AG9" i="26"/>
  <c r="AG10" i="26"/>
  <c r="AG11" i="26"/>
  <c r="AG12" i="26"/>
  <c r="AG13" i="26"/>
  <c r="AG14" i="26"/>
  <c r="AG15" i="26"/>
  <c r="AG16" i="26"/>
  <c r="AG17" i="26"/>
  <c r="AG18" i="26"/>
  <c r="AG19" i="26"/>
  <c r="AG20" i="26"/>
  <c r="AG21" i="26"/>
  <c r="AG22" i="26"/>
  <c r="AG23" i="26"/>
  <c r="AG24" i="26"/>
  <c r="AG25" i="26"/>
  <c r="AG26" i="26"/>
  <c r="AG27" i="26"/>
  <c r="AG28" i="26"/>
  <c r="AG29" i="26"/>
  <c r="AG30" i="26"/>
  <c r="AG31" i="26"/>
  <c r="AG32" i="26"/>
  <c r="AG33" i="26"/>
  <c r="AG34" i="26"/>
  <c r="AG35" i="26"/>
  <c r="AG3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D7" i="26"/>
  <c r="AD8" i="26"/>
  <c r="AD9" i="26"/>
  <c r="AD10" i="26"/>
  <c r="AD11" i="26"/>
  <c r="AD12" i="26"/>
  <c r="AD13" i="26"/>
  <c r="AD14" i="26"/>
  <c r="AD15" i="26"/>
  <c r="AD16" i="26"/>
  <c r="AD17" i="26"/>
  <c r="AD18" i="26"/>
  <c r="AD19" i="26"/>
  <c r="AD20" i="26"/>
  <c r="AD21" i="26"/>
  <c r="AD22" i="26"/>
  <c r="AD23" i="26"/>
  <c r="AD24" i="26"/>
  <c r="AD25" i="26"/>
  <c r="AD26" i="26"/>
  <c r="AD27" i="26"/>
  <c r="AD28" i="26"/>
  <c r="AD29" i="26"/>
  <c r="AD30" i="26"/>
  <c r="AD31" i="26"/>
  <c r="AD32" i="26"/>
  <c r="AD33" i="26"/>
  <c r="AD34" i="26"/>
  <c r="AD35" i="26"/>
  <c r="AD36" i="26"/>
  <c r="AC7" i="26"/>
  <c r="AC8" i="26"/>
  <c r="AC9" i="26"/>
  <c r="AC10" i="26"/>
  <c r="AC11" i="26"/>
  <c r="AC12" i="26"/>
  <c r="AC13" i="26"/>
  <c r="AC14" i="26"/>
  <c r="AC15" i="26"/>
  <c r="AC16" i="26"/>
  <c r="AC17" i="26"/>
  <c r="AC18" i="26"/>
  <c r="AC19" i="26"/>
  <c r="AC20" i="26"/>
  <c r="AC21" i="26"/>
  <c r="AC22" i="26"/>
  <c r="AC23" i="26"/>
  <c r="AC24" i="26"/>
  <c r="AC25" i="26"/>
  <c r="AC26" i="26"/>
  <c r="AC27" i="26"/>
  <c r="AC28" i="26"/>
  <c r="AC29" i="26"/>
  <c r="AC30" i="26"/>
  <c r="AC31" i="26"/>
  <c r="AC32" i="26"/>
  <c r="AC33" i="26"/>
  <c r="AC34" i="26"/>
  <c r="AC35" i="26"/>
  <c r="AC36" i="26"/>
  <c r="AB7" i="26"/>
  <c r="AB8" i="26"/>
  <c r="AB9" i="26"/>
  <c r="AB10" i="26"/>
  <c r="AB11" i="26"/>
  <c r="AB12" i="26"/>
  <c r="AB13" i="26"/>
  <c r="AB14" i="26"/>
  <c r="AB15" i="26"/>
  <c r="AB16" i="26"/>
  <c r="AB17" i="26"/>
  <c r="AB18" i="26"/>
  <c r="AB19" i="26"/>
  <c r="AB20" i="26"/>
  <c r="AB21" i="26"/>
  <c r="AB22" i="26"/>
  <c r="AB23" i="26"/>
  <c r="AB24" i="26"/>
  <c r="AB25" i="26"/>
  <c r="AB26" i="26"/>
  <c r="AB27" i="26"/>
  <c r="AB28" i="26"/>
  <c r="AB31" i="26"/>
  <c r="AB32" i="26"/>
  <c r="AB33" i="26"/>
  <c r="AB34" i="26"/>
  <c r="AB35" i="26"/>
  <c r="AB36" i="26"/>
  <c r="Y7" i="26"/>
  <c r="Y8" i="26"/>
  <c r="Y9" i="26"/>
  <c r="Y10" i="26"/>
  <c r="Y11" i="26"/>
  <c r="Y12" i="26"/>
  <c r="Y13" i="26"/>
  <c r="Y14" i="26"/>
  <c r="Y15" i="26"/>
  <c r="Y16" i="26"/>
  <c r="Y17" i="26"/>
  <c r="Y18" i="26"/>
  <c r="Y19" i="26"/>
  <c r="Y20" i="26"/>
  <c r="Y21" i="26"/>
  <c r="Y22" i="26"/>
  <c r="Y23" i="26"/>
  <c r="Y24" i="26"/>
  <c r="Y25" i="26"/>
  <c r="H36" i="37"/>
  <c r="H35" i="37"/>
  <c r="H34" i="37"/>
  <c r="H33" i="37"/>
  <c r="H32" i="37"/>
  <c r="H31" i="37"/>
  <c r="H19" i="33"/>
  <c r="H18" i="33"/>
  <c r="H30" i="37"/>
  <c r="H29" i="37"/>
  <c r="H28" i="37"/>
  <c r="H27" i="37"/>
  <c r="H26" i="37"/>
  <c r="H25" i="37"/>
  <c r="H24" i="37"/>
  <c r="H23" i="37"/>
  <c r="H22" i="37"/>
  <c r="H21" i="37"/>
  <c r="H20" i="37"/>
  <c r="H19" i="37"/>
  <c r="H18" i="37"/>
  <c r="H17" i="37"/>
  <c r="H16" i="37"/>
  <c r="H15" i="37"/>
  <c r="H14" i="37"/>
  <c r="H13" i="37"/>
  <c r="H12" i="37"/>
  <c r="H11" i="37"/>
  <c r="H10" i="37"/>
  <c r="H9" i="37"/>
  <c r="H8" i="37"/>
  <c r="H7" i="37"/>
  <c r="H35" i="36"/>
  <c r="H34" i="36"/>
  <c r="H33" i="36"/>
  <c r="H32" i="36"/>
  <c r="H31" i="36"/>
  <c r="H30" i="36"/>
  <c r="H29" i="36"/>
  <c r="H28" i="36"/>
  <c r="H27" i="36"/>
  <c r="H26" i="36"/>
  <c r="H25" i="36"/>
  <c r="H24" i="36"/>
  <c r="H23" i="36"/>
  <c r="H22" i="36"/>
  <c r="H21" i="36"/>
  <c r="H20" i="36"/>
  <c r="H19" i="36"/>
  <c r="H18" i="36"/>
  <c r="H17" i="36"/>
  <c r="H16" i="36"/>
  <c r="H15" i="36"/>
  <c r="H14" i="36"/>
  <c r="H13" i="36"/>
  <c r="H12" i="36"/>
  <c r="H11" i="36"/>
  <c r="H10" i="36"/>
  <c r="H9" i="36"/>
  <c r="H8" i="36"/>
  <c r="H7" i="36"/>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H36" i="33"/>
  <c r="H35" i="33"/>
  <c r="H34" i="33"/>
  <c r="H33" i="33"/>
  <c r="H32" i="33"/>
  <c r="H31" i="33"/>
  <c r="H30" i="33"/>
  <c r="H29" i="33"/>
  <c r="H28" i="33"/>
  <c r="H27" i="33"/>
  <c r="H26" i="33"/>
  <c r="H25" i="33"/>
  <c r="H24" i="33"/>
  <c r="H23" i="33"/>
  <c r="H22" i="33"/>
  <c r="H21" i="33"/>
  <c r="H20" i="33"/>
  <c r="H17" i="33"/>
  <c r="H16" i="33"/>
  <c r="H15" i="33"/>
  <c r="H14" i="33"/>
  <c r="H13" i="33"/>
  <c r="H12" i="33"/>
  <c r="H11" i="33"/>
  <c r="H10" i="33"/>
  <c r="H9" i="33"/>
  <c r="H8" i="33"/>
  <c r="H7" i="33"/>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R36" i="31"/>
  <c r="R35" i="31"/>
  <c r="R34" i="31"/>
  <c r="R33" i="31"/>
  <c r="R32" i="31"/>
  <c r="R31" i="31"/>
  <c r="R30" i="31"/>
  <c r="R29" i="31"/>
  <c r="R28" i="31"/>
  <c r="R27" i="31"/>
  <c r="R26" i="31"/>
  <c r="R25" i="31"/>
  <c r="R24" i="31"/>
  <c r="R23" i="31"/>
  <c r="R22" i="31"/>
  <c r="R21" i="31"/>
  <c r="R20" i="31"/>
  <c r="R19" i="31"/>
  <c r="R18" i="31"/>
  <c r="R17" i="31"/>
  <c r="R16" i="31"/>
  <c r="R15" i="31"/>
  <c r="R14" i="31"/>
  <c r="R13" i="31"/>
  <c r="R12" i="31"/>
  <c r="R11" i="31"/>
  <c r="R10" i="31"/>
  <c r="R9" i="31"/>
  <c r="R8" i="31"/>
  <c r="R7" i="31"/>
  <c r="R36" i="30"/>
  <c r="R35" i="30"/>
  <c r="R34" i="30"/>
  <c r="R33" i="30"/>
  <c r="R32" i="30"/>
  <c r="R31" i="30"/>
  <c r="R30" i="30"/>
  <c r="R29" i="30"/>
  <c r="R28" i="30"/>
  <c r="R27" i="30"/>
  <c r="R26" i="30"/>
  <c r="R25" i="30"/>
  <c r="R24" i="30"/>
  <c r="R23" i="30"/>
  <c r="R22" i="30"/>
  <c r="R21" i="30"/>
  <c r="R20" i="30"/>
  <c r="R19" i="30"/>
  <c r="R18" i="30"/>
  <c r="R17" i="30"/>
  <c r="R16" i="30"/>
  <c r="R15" i="30"/>
  <c r="R14" i="30"/>
  <c r="R13" i="30"/>
  <c r="R12" i="30"/>
  <c r="R11" i="30"/>
  <c r="R10" i="30"/>
  <c r="R9" i="30"/>
  <c r="R8" i="30"/>
  <c r="R7" i="30"/>
  <c r="R35" i="29"/>
  <c r="R34" i="29"/>
  <c r="R33" i="29"/>
  <c r="R32" i="29"/>
  <c r="R31" i="29"/>
  <c r="R30" i="29"/>
  <c r="R29" i="29"/>
  <c r="R28" i="29"/>
  <c r="R27" i="29"/>
  <c r="R26" i="29"/>
  <c r="R25" i="29"/>
  <c r="R24" i="29"/>
  <c r="R23" i="29"/>
  <c r="R22" i="29"/>
  <c r="R21" i="29"/>
  <c r="R20" i="29"/>
  <c r="R19" i="29"/>
  <c r="R18" i="29"/>
  <c r="R17" i="29"/>
  <c r="R16" i="29"/>
  <c r="R15" i="29"/>
  <c r="R14" i="29"/>
  <c r="R13" i="29"/>
  <c r="R12" i="29"/>
  <c r="R11" i="29"/>
  <c r="R10" i="29"/>
  <c r="R9" i="29"/>
  <c r="R8" i="29"/>
  <c r="R7" i="29"/>
  <c r="R36" i="28"/>
  <c r="R35" i="28"/>
  <c r="R34" i="28"/>
  <c r="R33" i="28"/>
  <c r="R32" i="28"/>
  <c r="R31" i="28"/>
  <c r="R30" i="28"/>
  <c r="R29" i="28"/>
  <c r="R28" i="28"/>
  <c r="R27" i="28"/>
  <c r="R26" i="28"/>
  <c r="R25" i="28"/>
  <c r="R24" i="28"/>
  <c r="R23" i="28"/>
  <c r="R22" i="28"/>
  <c r="R21" i="28"/>
  <c r="R20" i="28"/>
  <c r="R19" i="28"/>
  <c r="R18" i="28"/>
  <c r="R17" i="28"/>
  <c r="R16" i="28"/>
  <c r="R15" i="28"/>
  <c r="R14" i="28"/>
  <c r="R13" i="28"/>
  <c r="R12" i="28"/>
  <c r="R11" i="28"/>
  <c r="R10" i="28"/>
  <c r="R9" i="28"/>
  <c r="R8" i="28"/>
  <c r="R7" i="28"/>
  <c r="R33" i="27"/>
  <c r="R32" i="27"/>
  <c r="R31" i="27"/>
  <c r="R30" i="27"/>
  <c r="R29" i="27"/>
  <c r="R28" i="27"/>
  <c r="R27" i="27"/>
  <c r="R26" i="27"/>
  <c r="R25" i="27"/>
  <c r="R24" i="27"/>
  <c r="R23" i="27"/>
  <c r="R22" i="27"/>
  <c r="R21" i="27"/>
  <c r="R20" i="27"/>
  <c r="R19" i="27"/>
  <c r="R18" i="27"/>
  <c r="R17" i="27"/>
  <c r="R16" i="27"/>
  <c r="R15" i="27"/>
  <c r="R14" i="27"/>
  <c r="R13" i="27"/>
  <c r="R12" i="27"/>
  <c r="R11" i="27"/>
  <c r="R10" i="27"/>
  <c r="R9" i="27"/>
  <c r="R8" i="27"/>
  <c r="R7" i="27"/>
  <c r="R35" i="26"/>
  <c r="R34" i="26"/>
  <c r="R33" i="26"/>
  <c r="R32" i="26"/>
  <c r="R31" i="26"/>
  <c r="R30" i="26"/>
  <c r="R29" i="26"/>
  <c r="R28" i="26"/>
  <c r="R27" i="26"/>
  <c r="R26" i="26"/>
  <c r="R25" i="26"/>
  <c r="R24" i="26"/>
  <c r="R23" i="26"/>
  <c r="R22" i="26"/>
  <c r="R21" i="26"/>
  <c r="R20" i="26"/>
  <c r="R19" i="26"/>
  <c r="R18" i="26"/>
  <c r="R17" i="26"/>
  <c r="R16" i="26"/>
  <c r="R15" i="26"/>
  <c r="R14" i="26"/>
  <c r="R13" i="26"/>
  <c r="R12" i="26"/>
  <c r="R11" i="26"/>
  <c r="R10" i="26"/>
  <c r="R9" i="26"/>
  <c r="R8" i="26"/>
  <c r="R7" i="26"/>
  <c r="R36" i="26"/>
  <c r="S16" i="39"/>
  <c r="N16" i="39"/>
  <c r="I16" i="39"/>
  <c r="S15" i="39"/>
  <c r="N15" i="39"/>
  <c r="I15" i="39"/>
  <c r="S14" i="39"/>
  <c r="N14" i="39"/>
  <c r="I14" i="39"/>
  <c r="S13" i="39"/>
  <c r="N13" i="39"/>
  <c r="I13" i="39"/>
  <c r="S12" i="39"/>
  <c r="N12" i="39"/>
  <c r="I12" i="39"/>
  <c r="S11" i="39"/>
  <c r="N11" i="39"/>
  <c r="I11" i="39"/>
  <c r="S10" i="39"/>
  <c r="N10" i="39"/>
  <c r="I10" i="39"/>
  <c r="S9" i="39"/>
  <c r="N9" i="39"/>
  <c r="I9" i="39"/>
  <c r="S8" i="39"/>
  <c r="N8" i="39"/>
  <c r="I8" i="39"/>
  <c r="S7" i="39"/>
  <c r="N7" i="39"/>
  <c r="I7" i="39"/>
  <c r="S6" i="39"/>
  <c r="N6" i="39"/>
  <c r="I6" i="39"/>
  <c r="S5" i="39"/>
  <c r="N5" i="39"/>
  <c r="I5" i="39"/>
  <c r="S4" i="39"/>
  <c r="N4" i="39"/>
  <c r="I4" i="39"/>
  <c r="AK29" i="26"/>
  <c r="Y27" i="26"/>
  <c r="AK30" i="26"/>
  <c r="AN20" i="26"/>
  <c r="AL29" i="26"/>
  <c r="Y34" i="26"/>
  <c r="E25" i="39"/>
  <c r="D25" i="39" l="1"/>
  <c r="AK35" i="11"/>
  <c r="AI23" i="11"/>
  <c r="AI6" i="11"/>
  <c r="AL28" i="11"/>
  <c r="AI22" i="11"/>
  <c r="AK12" i="11"/>
  <c r="AL13" i="11"/>
  <c r="AM29" i="11"/>
  <c r="AI31" i="11"/>
  <c r="AI35" i="11"/>
  <c r="AI19" i="11"/>
  <c r="AI11" i="11"/>
  <c r="AB29" i="26"/>
  <c r="AH39" i="26"/>
  <c r="AH42" i="27" s="1"/>
  <c r="Z43" i="27"/>
  <c r="Z44" i="27"/>
  <c r="AA43" i="27"/>
  <c r="AA44" i="27"/>
  <c r="Y28" i="26"/>
  <c r="Y35" i="26"/>
  <c r="K42" i="26"/>
  <c r="L4" i="39" s="1"/>
  <c r="K5" i="27"/>
  <c r="R27" i="11"/>
  <c r="AK23" i="11"/>
  <c r="AL16" i="11"/>
  <c r="AM32" i="11"/>
  <c r="AM12" i="11"/>
  <c r="R34" i="11"/>
  <c r="AN22" i="11"/>
  <c r="AI14" i="11"/>
  <c r="AM15" i="11"/>
  <c r="AK31" i="11"/>
  <c r="AK27" i="11"/>
  <c r="AK19" i="11"/>
  <c r="AK15" i="11"/>
  <c r="AK11" i="11"/>
  <c r="AK7" i="11"/>
  <c r="AL36" i="11"/>
  <c r="AL32" i="11"/>
  <c r="AL24" i="11"/>
  <c r="AL20" i="11"/>
  <c r="AL8" i="11"/>
  <c r="AM36" i="11"/>
  <c r="AM24" i="11"/>
  <c r="AM20" i="11"/>
  <c r="AM16" i="11"/>
  <c r="AM8" i="11"/>
  <c r="AN34" i="11"/>
  <c r="R30" i="11"/>
  <c r="R22" i="11"/>
  <c r="R18" i="11"/>
  <c r="R14" i="11"/>
  <c r="AN10" i="11"/>
  <c r="R6" i="11"/>
  <c r="AI34" i="11"/>
  <c r="AI26" i="11"/>
  <c r="AI18" i="11"/>
  <c r="AI10" i="11"/>
  <c r="AN26" i="11"/>
  <c r="AN18" i="11"/>
  <c r="AN30" i="11"/>
  <c r="AN6" i="11"/>
  <c r="AN14" i="11"/>
  <c r="AL26" i="11"/>
  <c r="AL14" i="11"/>
  <c r="R36" i="11"/>
  <c r="AN28" i="11"/>
  <c r="R10" i="11"/>
  <c r="R26" i="11"/>
  <c r="AN31" i="11"/>
  <c r="AM28" i="11"/>
  <c r="AI30" i="11"/>
  <c r="AL12" i="11"/>
  <c r="AD36" i="11"/>
  <c r="AB11" i="11"/>
  <c r="AM22" i="11"/>
  <c r="Y12" i="11"/>
  <c r="AH29" i="11"/>
  <c r="AC13" i="11"/>
  <c r="AG29" i="11"/>
  <c r="AL27" i="11"/>
  <c r="AH22" i="11"/>
  <c r="AH10" i="11"/>
  <c r="Y35" i="11"/>
  <c r="Y19" i="11"/>
  <c r="Y15" i="11"/>
  <c r="AB15" i="11"/>
  <c r="AC7" i="11"/>
  <c r="AG31" i="11"/>
  <c r="Y24" i="11"/>
  <c r="AG35" i="11"/>
  <c r="AB16" i="11"/>
  <c r="AB25" i="11"/>
  <c r="AB22" i="11"/>
  <c r="AC34" i="11"/>
  <c r="AC18" i="11"/>
  <c r="AC14" i="11"/>
  <c r="AC6" i="11"/>
  <c r="AD34" i="11"/>
  <c r="AD30" i="11"/>
  <c r="AD18" i="11"/>
  <c r="AD14" i="11"/>
  <c r="AD6" i="11"/>
  <c r="AF34" i="11"/>
  <c r="AF30" i="11"/>
  <c r="AF26" i="11"/>
  <c r="AF22" i="11"/>
  <c r="AF18" i="11"/>
  <c r="AF14" i="11"/>
  <c r="AF10" i="11"/>
  <c r="AF6" i="11"/>
  <c r="AG34" i="11"/>
  <c r="AG30" i="11"/>
  <c r="AG26" i="11"/>
  <c r="AG22" i="11"/>
  <c r="AG18" i="11"/>
  <c r="AG14" i="11"/>
  <c r="AG10" i="11"/>
  <c r="AG6" i="11"/>
  <c r="AD12" i="11"/>
  <c r="Y11" i="11"/>
  <c r="AK34" i="11"/>
  <c r="AK30" i="11"/>
  <c r="AK26" i="11"/>
  <c r="AK22" i="11"/>
  <c r="AK18" i="11"/>
  <c r="AK14" i="11"/>
  <c r="AK10" i="11"/>
  <c r="AB36" i="11"/>
  <c r="AB32" i="11"/>
  <c r="AB24" i="11"/>
  <c r="AB12" i="11"/>
  <c r="AB8" i="11"/>
  <c r="AC20" i="11"/>
  <c r="AD31" i="11"/>
  <c r="AD27" i="11"/>
  <c r="AD15" i="11"/>
  <c r="AD8" i="11"/>
  <c r="AF35" i="11"/>
  <c r="AF31" i="11"/>
  <c r="AF27" i="11"/>
  <c r="AF23" i="11"/>
  <c r="AF19" i="11"/>
  <c r="AF15" i="11"/>
  <c r="AF11" i="11"/>
  <c r="AF7" i="11"/>
  <c r="AG27" i="11"/>
  <c r="AG23" i="11"/>
  <c r="AG19" i="11"/>
  <c r="AG15" i="11"/>
  <c r="AG11" i="11"/>
  <c r="AG7" i="11"/>
  <c r="Y7" i="11"/>
  <c r="T42" i="11"/>
  <c r="AH35" i="11"/>
  <c r="AH27" i="11"/>
  <c r="AH19" i="11"/>
  <c r="AH15" i="11"/>
  <c r="AH11" i="11"/>
  <c r="C39" i="26"/>
  <c r="C42" i="26" s="1"/>
  <c r="D4" i="39" s="1"/>
  <c r="C42" i="11"/>
  <c r="Z6" i="11"/>
  <c r="Z39" i="11" s="1"/>
  <c r="Z42" i="11" s="1"/>
  <c r="Z43" i="11" s="1"/>
  <c r="Y23" i="11"/>
  <c r="AC19" i="11"/>
  <c r="Y8" i="11"/>
  <c r="Y36" i="11"/>
  <c r="Y32" i="11"/>
  <c r="Y28" i="11"/>
  <c r="Y20" i="11"/>
  <c r="Y16" i="11"/>
  <c r="AB28" i="11"/>
  <c r="AB20" i="11"/>
  <c r="AF36" i="11"/>
  <c r="AF32" i="11"/>
  <c r="AF24" i="11"/>
  <c r="AF16" i="11"/>
  <c r="AF12" i="11"/>
  <c r="AF8" i="11"/>
  <c r="AG36" i="11"/>
  <c r="AG32" i="11"/>
  <c r="AG28" i="11"/>
  <c r="AG24" i="11"/>
  <c r="AG16" i="11"/>
  <c r="AG8" i="11"/>
  <c r="AL35" i="11"/>
  <c r="AL31" i="11"/>
  <c r="AL23" i="11"/>
  <c r="AL19" i="11"/>
  <c r="AL11" i="11"/>
  <c r="AL7" i="11"/>
  <c r="AM35" i="11"/>
  <c r="AM31" i="11"/>
  <c r="AM27" i="11"/>
  <c r="AM19" i="11"/>
  <c r="AM11" i="11"/>
  <c r="AM7" i="11"/>
  <c r="R33" i="11"/>
  <c r="R25" i="11"/>
  <c r="AN21" i="11"/>
  <c r="R17" i="11"/>
  <c r="AN13" i="11"/>
  <c r="R8" i="11"/>
  <c r="AI36" i="11"/>
  <c r="AI33" i="11"/>
  <c r="AI29" i="11"/>
  <c r="AI25" i="11"/>
  <c r="AI21" i="11"/>
  <c r="AI16" i="11"/>
  <c r="AI13" i="11"/>
  <c r="AI9" i="11"/>
  <c r="AH34" i="11"/>
  <c r="Y31" i="11"/>
  <c r="Y33" i="11"/>
  <c r="Y29" i="11"/>
  <c r="Y26" i="11"/>
  <c r="Y21" i="11"/>
  <c r="Y18" i="11"/>
  <c r="Y13" i="11"/>
  <c r="Y10" i="11"/>
  <c r="Y6" i="11"/>
  <c r="AB33" i="11"/>
  <c r="AB17" i="11"/>
  <c r="AB13" i="11"/>
  <c r="AB9" i="11"/>
  <c r="AC29" i="11"/>
  <c r="AC25" i="11"/>
  <c r="AC21" i="11"/>
  <c r="AC9" i="11"/>
  <c r="AD25" i="11"/>
  <c r="AD21" i="11"/>
  <c r="AD9" i="11"/>
  <c r="V5" i="26"/>
  <c r="V39" i="26" s="1"/>
  <c r="V5" i="27" s="1"/>
  <c r="V39" i="27" s="1"/>
  <c r="V42" i="11"/>
  <c r="AN33" i="11"/>
  <c r="AD10" i="11"/>
  <c r="AC33" i="11"/>
  <c r="R13" i="11"/>
  <c r="R29" i="11"/>
  <c r="AL15" i="11"/>
  <c r="AK36" i="11"/>
  <c r="AK20" i="11"/>
  <c r="AK16" i="11"/>
  <c r="AK8" i="11"/>
  <c r="AL25" i="11"/>
  <c r="AL21" i="11"/>
  <c r="AL17" i="11"/>
  <c r="AL9" i="11"/>
  <c r="AM33" i="11"/>
  <c r="AM21" i="11"/>
  <c r="AM13" i="11"/>
  <c r="AN19" i="11"/>
  <c r="R11" i="11"/>
  <c r="R7" i="11"/>
  <c r="AI27" i="11"/>
  <c r="AI15" i="11"/>
  <c r="AI7" i="11"/>
  <c r="AN25" i="11"/>
  <c r="AD17" i="11"/>
  <c r="AD22" i="11"/>
  <c r="AH9" i="11"/>
  <c r="AC35" i="11"/>
  <c r="AC23" i="11"/>
  <c r="AC15" i="11"/>
  <c r="AC11" i="11"/>
  <c r="AD35" i="11"/>
  <c r="AD23" i="11"/>
  <c r="AD19" i="11"/>
  <c r="AD11" i="11"/>
  <c r="AD7" i="11"/>
  <c r="T42" i="26"/>
  <c r="T4" i="39" s="1"/>
  <c r="R9" i="11"/>
  <c r="AH32" i="11"/>
  <c r="AH20" i="11"/>
  <c r="AH16" i="11"/>
  <c r="AH12" i="11"/>
  <c r="AH8" i="11"/>
  <c r="AN9" i="11"/>
  <c r="AN17" i="11"/>
  <c r="AF25" i="11"/>
  <c r="AF29" i="11"/>
  <c r="AK25" i="11"/>
  <c r="AK13" i="11"/>
  <c r="AL34" i="11"/>
  <c r="AL30" i="11"/>
  <c r="AL6" i="11"/>
  <c r="AM30" i="11"/>
  <c r="AM26" i="11"/>
  <c r="AM18" i="11"/>
  <c r="AM10" i="11"/>
  <c r="AN36" i="11"/>
  <c r="R32" i="11"/>
  <c r="R28" i="11"/>
  <c r="R24" i="11"/>
  <c r="AN16" i="11"/>
  <c r="AD26" i="11"/>
  <c r="AC26" i="11"/>
  <c r="AM23" i="11"/>
  <c r="AD13" i="11"/>
  <c r="AC10" i="11"/>
  <c r="AL22" i="11"/>
  <c r="AC17" i="11"/>
  <c r="R21" i="11"/>
  <c r="AC30" i="11"/>
  <c r="AH28" i="11"/>
  <c r="AC22" i="11"/>
  <c r="AI28" i="11"/>
  <c r="AG21" i="11"/>
  <c r="AG13" i="11"/>
  <c r="AK33" i="11"/>
  <c r="AB21" i="11"/>
  <c r="AD29" i="11"/>
  <c r="AN29" i="11"/>
  <c r="AB34" i="11"/>
  <c r="AD33" i="11"/>
  <c r="AL29" i="11"/>
  <c r="Y9" i="11"/>
  <c r="Y34" i="11"/>
  <c r="AH33" i="11"/>
  <c r="AM9" i="11"/>
  <c r="Y27" i="11"/>
  <c r="AC32" i="11"/>
  <c r="AC28" i="11"/>
  <c r="AC8" i="11"/>
  <c r="AD32" i="11"/>
  <c r="AD28" i="11"/>
  <c r="AD16" i="11"/>
  <c r="I39" i="11"/>
  <c r="L39" i="11"/>
  <c r="AF21" i="11"/>
  <c r="AK29" i="11"/>
  <c r="AM6" i="11"/>
  <c r="AN20" i="11"/>
  <c r="Y14" i="11"/>
  <c r="AF20" i="11"/>
  <c r="U42" i="11"/>
  <c r="AH25" i="11"/>
  <c r="AI8" i="11"/>
  <c r="AB35" i="11"/>
  <c r="AB30" i="11"/>
  <c r="AB26" i="11"/>
  <c r="AB23" i="11"/>
  <c r="AB19" i="11"/>
  <c r="AB14" i="11"/>
  <c r="AB10" i="11"/>
  <c r="AB6" i="11"/>
  <c r="AN8" i="11"/>
  <c r="AN27" i="11"/>
  <c r="AN12" i="11"/>
  <c r="AI24" i="11"/>
  <c r="AC27" i="11"/>
  <c r="AG9" i="11"/>
  <c r="AF13" i="11"/>
  <c r="AN35" i="11"/>
  <c r="AK32" i="11"/>
  <c r="AB27" i="11"/>
  <c r="R31" i="11"/>
  <c r="AK9" i="11"/>
  <c r="R15" i="11"/>
  <c r="Y22" i="11"/>
  <c r="AN24" i="11"/>
  <c r="AN23" i="11"/>
  <c r="AB7" i="11"/>
  <c r="AF28" i="11"/>
  <c r="AC31" i="11"/>
  <c r="AB31" i="11"/>
  <c r="AB18" i="11"/>
  <c r="AL18" i="11"/>
  <c r="AG12" i="11"/>
  <c r="Y17" i="11"/>
  <c r="K42" i="11"/>
  <c r="AN7" i="11"/>
  <c r="AG25" i="11"/>
  <c r="AG17" i="11"/>
  <c r="AH36" i="11"/>
  <c r="AH17" i="11"/>
  <c r="AI20" i="11"/>
  <c r="AL33" i="11"/>
  <c r="AF33" i="11"/>
  <c r="AM25" i="11"/>
  <c r="R19" i="11"/>
  <c r="AK28" i="11"/>
  <c r="AC24" i="11"/>
  <c r="F39" i="11"/>
  <c r="AI12" i="11"/>
  <c r="AK17" i="11"/>
  <c r="AI17" i="11"/>
  <c r="AM34" i="11"/>
  <c r="R35" i="11"/>
  <c r="AC12" i="11"/>
  <c r="AN32" i="11"/>
  <c r="AC16" i="11"/>
  <c r="R23" i="11"/>
  <c r="R16" i="11"/>
  <c r="Y30" i="11"/>
  <c r="AK21" i="11"/>
  <c r="AG20" i="11"/>
  <c r="Y25" i="11"/>
  <c r="AG33" i="11"/>
  <c r="AH31" i="11"/>
  <c r="AI32" i="11"/>
  <c r="AL10" i="11"/>
  <c r="AF17" i="11"/>
  <c r="AM17" i="11"/>
  <c r="AN15" i="11"/>
  <c r="AK24" i="11"/>
  <c r="AD20" i="11"/>
  <c r="B39" i="11"/>
  <c r="B5" i="26" s="1"/>
  <c r="E39" i="11"/>
  <c r="E42" i="11" s="1"/>
  <c r="AA6" i="11"/>
  <c r="AA39" i="11" s="1"/>
  <c r="AN11" i="11"/>
  <c r="R20" i="11"/>
  <c r="R12" i="11"/>
  <c r="AM14" i="11"/>
  <c r="AH30" i="11"/>
  <c r="AH26" i="11"/>
  <c r="AC36" i="11"/>
  <c r="AD24" i="11"/>
  <c r="AF9" i="11"/>
  <c r="AH21" i="11"/>
  <c r="AH13" i="11"/>
  <c r="AH14" i="11"/>
  <c r="AH7" i="11"/>
  <c r="AH6" i="11"/>
  <c r="D39" i="26"/>
  <c r="D42" i="11"/>
  <c r="AH23" i="11"/>
  <c r="AH24" i="11"/>
  <c r="T5" i="28"/>
  <c r="T39" i="28" s="1"/>
  <c r="T42" i="27"/>
  <c r="T5" i="39" s="1"/>
  <c r="AB29" i="11"/>
  <c r="U42" i="26"/>
  <c r="U4" i="39" s="1"/>
  <c r="U5" i="27"/>
  <c r="U39" i="27" s="1"/>
  <c r="O39" i="11"/>
  <c r="G39" i="11"/>
  <c r="P39" i="11"/>
  <c r="J39" i="11"/>
  <c r="J5" i="26" s="1"/>
  <c r="Q39" i="11"/>
  <c r="I42" i="11" l="1"/>
  <c r="I5" i="26"/>
  <c r="I39" i="26" s="1"/>
  <c r="R45" i="11"/>
  <c r="L25" i="39"/>
  <c r="AH43" i="27"/>
  <c r="AH44" i="27"/>
  <c r="K39" i="27"/>
  <c r="AH6" i="27"/>
  <c r="AH39" i="27" s="1"/>
  <c r="Y29" i="26"/>
  <c r="Y30" i="26"/>
  <c r="C5" i="27"/>
  <c r="C39" i="27" s="1"/>
  <c r="Z44" i="11"/>
  <c r="E39" i="26"/>
  <c r="V42" i="26"/>
  <c r="V4" i="39" s="1"/>
  <c r="L42" i="11"/>
  <c r="AB39" i="11"/>
  <c r="AB42" i="11" s="1"/>
  <c r="Z42" i="26"/>
  <c r="AD39" i="11"/>
  <c r="AD42" i="26" s="1"/>
  <c r="AM39" i="11"/>
  <c r="AM42" i="26" s="1"/>
  <c r="AL39" i="11"/>
  <c r="AL42" i="11" s="1"/>
  <c r="R51" i="11"/>
  <c r="Y39" i="11"/>
  <c r="Y42" i="26" s="1"/>
  <c r="AC39" i="11"/>
  <c r="AC42" i="26" s="1"/>
  <c r="AF39" i="11"/>
  <c r="AF42" i="26" s="1"/>
  <c r="AI39" i="11"/>
  <c r="AI42" i="26" s="1"/>
  <c r="AG39" i="11"/>
  <c r="AG42" i="11" s="1"/>
  <c r="AA42" i="11"/>
  <c r="AA42" i="26"/>
  <c r="F42" i="11"/>
  <c r="AN39" i="11"/>
  <c r="L39" i="26"/>
  <c r="AI6" i="26"/>
  <c r="AI39" i="26" s="1"/>
  <c r="B42" i="11"/>
  <c r="G42" i="11"/>
  <c r="J42" i="11"/>
  <c r="O42" i="11"/>
  <c r="V5" i="28"/>
  <c r="V39" i="28" s="1"/>
  <c r="V42" i="27"/>
  <c r="V5" i="39" s="1"/>
  <c r="U42" i="27"/>
  <c r="U5" i="39" s="1"/>
  <c r="U5" i="28"/>
  <c r="U39" i="28" s="1"/>
  <c r="T5" i="29"/>
  <c r="T39" i="29" s="1"/>
  <c r="T42" i="28"/>
  <c r="T6" i="39" s="1"/>
  <c r="Q42" i="11"/>
  <c r="D42" i="26"/>
  <c r="E4" i="39" s="1"/>
  <c r="D5" i="27"/>
  <c r="P42" i="11"/>
  <c r="AH39" i="11"/>
  <c r="AC42" i="11" l="1"/>
  <c r="AC44" i="11" s="1"/>
  <c r="Z6" i="27"/>
  <c r="Z39" i="27" s="1"/>
  <c r="D26" i="39" s="1"/>
  <c r="AF6" i="26"/>
  <c r="AF39" i="26" s="1"/>
  <c r="AF42" i="27" s="1"/>
  <c r="L26" i="39"/>
  <c r="AH42" i="28"/>
  <c r="K5" i="28"/>
  <c r="K42" i="27"/>
  <c r="L5" i="39" s="1"/>
  <c r="AB6" i="26"/>
  <c r="AB39" i="26" s="1"/>
  <c r="F25" i="39" s="1"/>
  <c r="AB42" i="26"/>
  <c r="AB44" i="26" s="1"/>
  <c r="AI42" i="11"/>
  <c r="AI43" i="11" s="1"/>
  <c r="AM42" i="11"/>
  <c r="AM44" i="11" s="1"/>
  <c r="AD42" i="11"/>
  <c r="AD44" i="11" s="1"/>
  <c r="AL42" i="26"/>
  <c r="AL44" i="26" s="1"/>
  <c r="AF42" i="11"/>
  <c r="AF44" i="11" s="1"/>
  <c r="Z44" i="26"/>
  <c r="Z43" i="26"/>
  <c r="AG44" i="11"/>
  <c r="AG43" i="11"/>
  <c r="AG42" i="26"/>
  <c r="Y42" i="11"/>
  <c r="Y43" i="11" s="1"/>
  <c r="AF44" i="26"/>
  <c r="AF43" i="26"/>
  <c r="I42" i="26"/>
  <c r="J4" i="39" s="1"/>
  <c r="I5" i="27"/>
  <c r="AA43" i="26"/>
  <c r="AA44" i="26"/>
  <c r="L5" i="27"/>
  <c r="L42" i="26"/>
  <c r="M4" i="39" s="1"/>
  <c r="AN42" i="26"/>
  <c r="AN42" i="11"/>
  <c r="AA44" i="11"/>
  <c r="AA43" i="11"/>
  <c r="B39" i="26"/>
  <c r="Y6" i="26"/>
  <c r="Y39" i="26" s="1"/>
  <c r="AI42" i="27"/>
  <c r="M25" i="39"/>
  <c r="F39" i="26"/>
  <c r="AC6" i="26"/>
  <c r="AC39" i="26" s="1"/>
  <c r="AC43" i="26"/>
  <c r="AC44" i="26"/>
  <c r="E5" i="27"/>
  <c r="E42" i="26"/>
  <c r="F4" i="39" s="1"/>
  <c r="AL44" i="11"/>
  <c r="AL43" i="11"/>
  <c r="V5" i="29"/>
  <c r="V39" i="29" s="1"/>
  <c r="V42" i="28"/>
  <c r="V6" i="39" s="1"/>
  <c r="AD43" i="26"/>
  <c r="AD44" i="26"/>
  <c r="G39" i="26"/>
  <c r="AD6" i="26"/>
  <c r="AD39" i="26" s="1"/>
  <c r="AH42" i="26"/>
  <c r="AH42" i="11"/>
  <c r="C42" i="27"/>
  <c r="D5" i="39" s="1"/>
  <c r="C5" i="28"/>
  <c r="AM44" i="26"/>
  <c r="AM43" i="26"/>
  <c r="U42" i="28"/>
  <c r="U6" i="39" s="1"/>
  <c r="U5" i="29"/>
  <c r="U39" i="29" s="1"/>
  <c r="AB44" i="11"/>
  <c r="AB43" i="11"/>
  <c r="D39" i="27"/>
  <c r="AA6" i="27"/>
  <c r="AA39" i="27" s="1"/>
  <c r="O39" i="26"/>
  <c r="AL6" i="26"/>
  <c r="AL39" i="26" s="1"/>
  <c r="Y43" i="26"/>
  <c r="Y44" i="26"/>
  <c r="AI44" i="26"/>
  <c r="AI43" i="26"/>
  <c r="P39" i="26"/>
  <c r="AM6" i="26"/>
  <c r="AM39" i="26" s="1"/>
  <c r="Q39" i="26"/>
  <c r="R6" i="26"/>
  <c r="AN6" i="26"/>
  <c r="AN39" i="26" s="1"/>
  <c r="T5" i="30"/>
  <c r="T39" i="30" s="1"/>
  <c r="T42" i="29"/>
  <c r="T7" i="39" s="1"/>
  <c r="J39" i="26"/>
  <c r="AG6" i="26"/>
  <c r="AG39" i="26" s="1"/>
  <c r="AC43" i="11" l="1"/>
  <c r="R51" i="26"/>
  <c r="X4" i="39" s="1"/>
  <c r="R45" i="26"/>
  <c r="Z42" i="28"/>
  <c r="Z43" i="28" s="1"/>
  <c r="J25" i="39"/>
  <c r="K39" i="28"/>
  <c r="AH6" i="28"/>
  <c r="AH39" i="28" s="1"/>
  <c r="AH43" i="28"/>
  <c r="AH44" i="28"/>
  <c r="Y44" i="11"/>
  <c r="AL43" i="26"/>
  <c r="AD43" i="11"/>
  <c r="AB43" i="26"/>
  <c r="AB42" i="27"/>
  <c r="AB44" i="27" s="1"/>
  <c r="AM43" i="11"/>
  <c r="AI44" i="11"/>
  <c r="AF43" i="11"/>
  <c r="AG44" i="26"/>
  <c r="AG43" i="26"/>
  <c r="AI43" i="27"/>
  <c r="AI44" i="27"/>
  <c r="B5" i="27"/>
  <c r="B42" i="26"/>
  <c r="C4" i="39" s="1"/>
  <c r="AN44" i="26"/>
  <c r="AN43" i="26"/>
  <c r="AC42" i="27"/>
  <c r="G25" i="39"/>
  <c r="AF6" i="27"/>
  <c r="AF39" i="27" s="1"/>
  <c r="I39" i="27"/>
  <c r="C25" i="39"/>
  <c r="Y42" i="27"/>
  <c r="AN44" i="11"/>
  <c r="AN43" i="11"/>
  <c r="F42" i="26"/>
  <c r="G4" i="39" s="1"/>
  <c r="F5" i="27"/>
  <c r="AF43" i="27"/>
  <c r="AF44" i="27"/>
  <c r="L39" i="27"/>
  <c r="AI6" i="27"/>
  <c r="AI39" i="27" s="1"/>
  <c r="J42" i="26"/>
  <c r="K4" i="39" s="1"/>
  <c r="J5" i="27"/>
  <c r="D42" i="27"/>
  <c r="E5" i="39" s="1"/>
  <c r="D5" i="28"/>
  <c r="P25" i="39"/>
  <c r="AL42" i="27"/>
  <c r="K25" i="39"/>
  <c r="AG42" i="27"/>
  <c r="AN42" i="27"/>
  <c r="AN43" i="27" s="1"/>
  <c r="R25" i="39"/>
  <c r="AA42" i="28"/>
  <c r="E26" i="39"/>
  <c r="U42" i="29"/>
  <c r="U7" i="39" s="1"/>
  <c r="U5" i="30"/>
  <c r="U39" i="30" s="1"/>
  <c r="C39" i="28"/>
  <c r="Z6" i="28"/>
  <c r="Z39" i="28" s="1"/>
  <c r="AH44" i="11"/>
  <c r="AH43" i="11"/>
  <c r="AH44" i="26"/>
  <c r="AH43" i="26"/>
  <c r="Q5" i="27"/>
  <c r="Q42" i="26"/>
  <c r="R4" i="39" s="1"/>
  <c r="AB6" i="27"/>
  <c r="AB39" i="27" s="1"/>
  <c r="E39" i="27"/>
  <c r="AM42" i="27"/>
  <c r="AM43" i="27" s="1"/>
  <c r="Q25" i="39"/>
  <c r="H25" i="39"/>
  <c r="AD42" i="27"/>
  <c r="T5" i="31"/>
  <c r="T39" i="31" s="1"/>
  <c r="T42" i="30"/>
  <c r="T8" i="39" s="1"/>
  <c r="P5" i="27"/>
  <c r="P42" i="26"/>
  <c r="Q4" i="39" s="1"/>
  <c r="O5" i="27"/>
  <c r="O42" i="26"/>
  <c r="P4" i="39" s="1"/>
  <c r="G5" i="27"/>
  <c r="G42" i="26"/>
  <c r="H4" i="39" s="1"/>
  <c r="V5" i="30"/>
  <c r="V39" i="30" s="1"/>
  <c r="V42" i="29"/>
  <c r="V7" i="39" s="1"/>
  <c r="Z44" i="28" l="1"/>
  <c r="AH42" i="29"/>
  <c r="L27" i="39"/>
  <c r="K5" i="29"/>
  <c r="K42" i="28"/>
  <c r="L6" i="39" s="1"/>
  <c r="AB43" i="27"/>
  <c r="AC6" i="27"/>
  <c r="AC39" i="27" s="1"/>
  <c r="F39" i="27"/>
  <c r="Y43" i="27"/>
  <c r="Y44" i="27"/>
  <c r="L5" i="28"/>
  <c r="L42" i="27"/>
  <c r="M5" i="39" s="1"/>
  <c r="I5" i="28"/>
  <c r="I42" i="27"/>
  <c r="J5" i="39" s="1"/>
  <c r="M26" i="39"/>
  <c r="AI42" i="28"/>
  <c r="AC43" i="27"/>
  <c r="AC44" i="27"/>
  <c r="AF42" i="28"/>
  <c r="J26" i="39"/>
  <c r="B39" i="27"/>
  <c r="Y6" i="27"/>
  <c r="Y39" i="27" s="1"/>
  <c r="AD44" i="27"/>
  <c r="AD43" i="27"/>
  <c r="V5" i="31"/>
  <c r="V39" i="31" s="1"/>
  <c r="V42" i="30"/>
  <c r="V8" i="39" s="1"/>
  <c r="P39" i="27"/>
  <c r="AM6" i="27"/>
  <c r="AM39" i="27" s="1"/>
  <c r="F26" i="39"/>
  <c r="AB42" i="28"/>
  <c r="D39" i="28"/>
  <c r="AA6" i="28"/>
  <c r="AA39" i="28" s="1"/>
  <c r="D27" i="39"/>
  <c r="Z42" i="29"/>
  <c r="AA44" i="28"/>
  <c r="AA43" i="28"/>
  <c r="O39" i="27"/>
  <c r="AL6" i="27"/>
  <c r="AL39" i="27" s="1"/>
  <c r="G39" i="27"/>
  <c r="AD6" i="27"/>
  <c r="AD39" i="27" s="1"/>
  <c r="J5" i="32"/>
  <c r="J39" i="32" s="1"/>
  <c r="T42" i="31"/>
  <c r="T9" i="39" s="1"/>
  <c r="C42" i="28"/>
  <c r="D6" i="39" s="1"/>
  <c r="C5" i="29"/>
  <c r="AG43" i="27"/>
  <c r="AG44" i="27"/>
  <c r="AL43" i="27"/>
  <c r="AL44" i="27"/>
  <c r="AG6" i="27"/>
  <c r="AG39" i="27" s="1"/>
  <c r="J39" i="27"/>
  <c r="E5" i="28"/>
  <c r="E42" i="27"/>
  <c r="F5" i="39" s="1"/>
  <c r="Q39" i="27"/>
  <c r="AN6" i="27"/>
  <c r="AN39" i="27" s="1"/>
  <c r="R6" i="27"/>
  <c r="U42" i="30"/>
  <c r="U8" i="39" s="1"/>
  <c r="U5" i="31"/>
  <c r="U39" i="31" s="1"/>
  <c r="R51" i="27" l="1"/>
  <c r="X5" i="39" s="1"/>
  <c r="R45" i="27"/>
  <c r="AH44" i="29"/>
  <c r="AH43" i="29"/>
  <c r="AH6" i="29"/>
  <c r="AH39" i="29" s="1"/>
  <c r="K39" i="29"/>
  <c r="I39" i="28"/>
  <c r="AF6" i="28"/>
  <c r="AF39" i="28" s="1"/>
  <c r="Y42" i="28"/>
  <c r="C26" i="39"/>
  <c r="X26" i="39" s="1"/>
  <c r="AI43" i="28"/>
  <c r="AI44" i="28"/>
  <c r="F42" i="27"/>
  <c r="G5" i="39" s="1"/>
  <c r="F5" i="28"/>
  <c r="B42" i="27"/>
  <c r="C5" i="39" s="1"/>
  <c r="Y5" i="39" s="1"/>
  <c r="B5" i="28"/>
  <c r="AF43" i="28"/>
  <c r="AF44" i="28"/>
  <c r="L39" i="28"/>
  <c r="AI6" i="28"/>
  <c r="AI39" i="28" s="1"/>
  <c r="G26" i="39"/>
  <c r="AC42" i="28"/>
  <c r="J42" i="27"/>
  <c r="K5" i="39" s="1"/>
  <c r="J5" i="28"/>
  <c r="K26" i="39"/>
  <c r="AG42" i="28"/>
  <c r="AL42" i="28"/>
  <c r="P26" i="39"/>
  <c r="AA42" i="29"/>
  <c r="E27" i="39"/>
  <c r="AB43" i="28"/>
  <c r="AB44" i="28"/>
  <c r="P5" i="28"/>
  <c r="P42" i="27"/>
  <c r="Q5" i="39" s="1"/>
  <c r="R26" i="39"/>
  <c r="AN42" i="28"/>
  <c r="AN43" i="28" s="1"/>
  <c r="O5" i="28"/>
  <c r="O42" i="27"/>
  <c r="P5" i="39" s="1"/>
  <c r="D5" i="29"/>
  <c r="D42" i="28"/>
  <c r="E6" i="39" s="1"/>
  <c r="L5" i="32"/>
  <c r="L39" i="32" s="1"/>
  <c r="V42" i="31"/>
  <c r="V9" i="39" s="1"/>
  <c r="J5" i="33"/>
  <c r="J39" i="33" s="1"/>
  <c r="J42" i="32"/>
  <c r="T10" i="39" s="1"/>
  <c r="U42" i="31"/>
  <c r="U9" i="39" s="1"/>
  <c r="K5" i="32"/>
  <c r="K39" i="32" s="1"/>
  <c r="E39" i="28"/>
  <c r="AB6" i="28"/>
  <c r="AB39" i="28" s="1"/>
  <c r="AD42" i="28"/>
  <c r="H26" i="39"/>
  <c r="C39" i="29"/>
  <c r="Z6" i="29"/>
  <c r="Z39" i="29" s="1"/>
  <c r="Q5" i="28"/>
  <c r="Q42" i="27"/>
  <c r="R5" i="39" s="1"/>
  <c r="G5" i="28"/>
  <c r="G42" i="27"/>
  <c r="H5" i="39" s="1"/>
  <c r="Z44" i="29"/>
  <c r="Z43" i="29"/>
  <c r="Q26" i="39"/>
  <c r="AM42" i="28"/>
  <c r="AM43" i="28" s="1"/>
  <c r="K5" i="30" l="1"/>
  <c r="K42" i="29"/>
  <c r="L7" i="39" s="1"/>
  <c r="AH42" i="30"/>
  <c r="L28" i="39"/>
  <c r="AC43" i="28"/>
  <c r="AC44" i="28"/>
  <c r="F39" i="28"/>
  <c r="AC6" i="28"/>
  <c r="AC39" i="28" s="1"/>
  <c r="Y44" i="28"/>
  <c r="Y43" i="28"/>
  <c r="AI42" i="29"/>
  <c r="M27" i="39"/>
  <c r="Y6" i="28"/>
  <c r="Y39" i="28" s="1"/>
  <c r="B39" i="28"/>
  <c r="AF42" i="29"/>
  <c r="J27" i="39"/>
  <c r="L5" i="29"/>
  <c r="L42" i="28"/>
  <c r="M6" i="39" s="1"/>
  <c r="I42" i="28"/>
  <c r="J6" i="39" s="1"/>
  <c r="I5" i="29"/>
  <c r="E5" i="29"/>
  <c r="E42" i="28"/>
  <c r="F6" i="39" s="1"/>
  <c r="AL44" i="28"/>
  <c r="AL43" i="28"/>
  <c r="AG44" i="28"/>
  <c r="AG43" i="28"/>
  <c r="Q39" i="28"/>
  <c r="R6" i="28"/>
  <c r="AN6" i="28"/>
  <c r="AN39" i="28" s="1"/>
  <c r="O39" i="28"/>
  <c r="AL6" i="28"/>
  <c r="AL39" i="28" s="1"/>
  <c r="G39" i="28"/>
  <c r="AD6" i="28"/>
  <c r="AD39" i="28" s="1"/>
  <c r="Z42" i="30"/>
  <c r="D28" i="39"/>
  <c r="AD43" i="28"/>
  <c r="AD44" i="28"/>
  <c r="F27" i="39"/>
  <c r="AB42" i="29"/>
  <c r="D39" i="29"/>
  <c r="AA6" i="29"/>
  <c r="AA39" i="29" s="1"/>
  <c r="P39" i="28"/>
  <c r="AM6" i="28"/>
  <c r="AM39" i="28" s="1"/>
  <c r="AA43" i="29"/>
  <c r="AA44" i="29"/>
  <c r="L5" i="33"/>
  <c r="L39" i="33" s="1"/>
  <c r="L42" i="32"/>
  <c r="V10" i="39" s="1"/>
  <c r="J39" i="28"/>
  <c r="AG6" i="28"/>
  <c r="AG39" i="28" s="1"/>
  <c r="C42" i="29"/>
  <c r="D7" i="39" s="1"/>
  <c r="C5" i="30"/>
  <c r="J5" i="34"/>
  <c r="J39" i="34" s="1"/>
  <c r="J42" i="33"/>
  <c r="T11" i="39" s="1"/>
  <c r="K42" i="32"/>
  <c r="U10" i="39" s="1"/>
  <c r="K5" i="33"/>
  <c r="K39" i="33" s="1"/>
  <c r="R51" i="28" l="1"/>
  <c r="X6" i="39" s="1"/>
  <c r="R45" i="28"/>
  <c r="AH43" i="30"/>
  <c r="AH44" i="30"/>
  <c r="K39" i="30"/>
  <c r="AH6" i="30"/>
  <c r="AH39" i="30" s="1"/>
  <c r="I39" i="29"/>
  <c r="AF6" i="29"/>
  <c r="AF39" i="29" s="1"/>
  <c r="Y42" i="29"/>
  <c r="C27" i="39"/>
  <c r="X27" i="39" s="1"/>
  <c r="F42" i="28"/>
  <c r="G6" i="39" s="1"/>
  <c r="F5" i="29"/>
  <c r="B5" i="29"/>
  <c r="B42" i="28"/>
  <c r="C6" i="39" s="1"/>
  <c r="Y6" i="39" s="1"/>
  <c r="G27" i="39"/>
  <c r="AC42" i="29"/>
  <c r="L39" i="29"/>
  <c r="AI6" i="29"/>
  <c r="AI39" i="29" s="1"/>
  <c r="AF43" i="29"/>
  <c r="AF44" i="29"/>
  <c r="AI43" i="29"/>
  <c r="AI44" i="29"/>
  <c r="J5" i="35"/>
  <c r="J39" i="35" s="1"/>
  <c r="J42" i="34"/>
  <c r="T12" i="39" s="1"/>
  <c r="D5" i="30"/>
  <c r="D42" i="29"/>
  <c r="E7" i="39" s="1"/>
  <c r="AG42" i="29"/>
  <c r="K27" i="39"/>
  <c r="P5" i="29"/>
  <c r="P42" i="28"/>
  <c r="Q6" i="39" s="1"/>
  <c r="AB43" i="29"/>
  <c r="AB44" i="29"/>
  <c r="O5" i="29"/>
  <c r="O42" i="28"/>
  <c r="P6" i="39" s="1"/>
  <c r="L5" i="34"/>
  <c r="L39" i="34" s="1"/>
  <c r="L42" i="33"/>
  <c r="V11" i="39" s="1"/>
  <c r="Z44" i="30"/>
  <c r="Z43" i="30"/>
  <c r="R27" i="39"/>
  <c r="AN42" i="29"/>
  <c r="AN43" i="29" s="1"/>
  <c r="E39" i="29"/>
  <c r="AB6" i="29"/>
  <c r="AB39" i="29" s="1"/>
  <c r="K42" i="33"/>
  <c r="U11" i="39" s="1"/>
  <c r="K5" i="34"/>
  <c r="K39" i="34" s="1"/>
  <c r="Z6" i="30"/>
  <c r="Z39" i="30" s="1"/>
  <c r="C39" i="30"/>
  <c r="E28" i="39"/>
  <c r="AA42" i="30"/>
  <c r="AD42" i="29"/>
  <c r="H27" i="39"/>
  <c r="J5" i="29"/>
  <c r="J42" i="28"/>
  <c r="K6" i="39" s="1"/>
  <c r="Q27" i="39"/>
  <c r="AM42" i="29"/>
  <c r="AM43" i="29" s="1"/>
  <c r="G5" i="29"/>
  <c r="G42" i="28"/>
  <c r="H6" i="39" s="1"/>
  <c r="P27" i="39"/>
  <c r="AL42" i="29"/>
  <c r="Q5" i="29"/>
  <c r="Q42" i="28"/>
  <c r="R6" i="39" s="1"/>
  <c r="AH42" i="31" l="1"/>
  <c r="L29" i="39"/>
  <c r="K5" i="31"/>
  <c r="K42" i="30"/>
  <c r="L8" i="39" s="1"/>
  <c r="Y6" i="29"/>
  <c r="Y39" i="29" s="1"/>
  <c r="C28" i="39" s="1"/>
  <c r="X28" i="39" s="1"/>
  <c r="B39" i="29"/>
  <c r="M28" i="39"/>
  <c r="AI42" i="30"/>
  <c r="AC43" i="29"/>
  <c r="AC44" i="29"/>
  <c r="J28" i="39"/>
  <c r="AF42" i="30"/>
  <c r="AC6" i="29"/>
  <c r="AC39" i="29" s="1"/>
  <c r="F39" i="29"/>
  <c r="L5" i="30"/>
  <c r="L42" i="29"/>
  <c r="M7" i="39" s="1"/>
  <c r="Y43" i="29"/>
  <c r="Y44" i="29"/>
  <c r="I42" i="29"/>
  <c r="J7" i="39" s="1"/>
  <c r="I5" i="30"/>
  <c r="C42" i="30"/>
  <c r="D8" i="39" s="1"/>
  <c r="C5" i="31"/>
  <c r="F28" i="39"/>
  <c r="AB42" i="30"/>
  <c r="O39" i="29"/>
  <c r="AL6" i="29"/>
  <c r="AL39" i="29" s="1"/>
  <c r="Q39" i="29"/>
  <c r="AN6" i="29"/>
  <c r="AN39" i="29" s="1"/>
  <c r="R6" i="29"/>
  <c r="R45" i="29" s="1"/>
  <c r="X7" i="39" s="1"/>
  <c r="G39" i="29"/>
  <c r="AD6" i="29"/>
  <c r="AD39" i="29" s="1"/>
  <c r="J39" i="29"/>
  <c r="AG6" i="29"/>
  <c r="AG39" i="29" s="1"/>
  <c r="AD43" i="29"/>
  <c r="AD44" i="29"/>
  <c r="D29" i="39"/>
  <c r="Z42" i="31"/>
  <c r="E5" i="30"/>
  <c r="E42" i="29"/>
  <c r="F7" i="39" s="1"/>
  <c r="AG44" i="29"/>
  <c r="AG43" i="29"/>
  <c r="D39" i="30"/>
  <c r="AA6" i="30"/>
  <c r="AA39" i="30" s="1"/>
  <c r="AA43" i="30"/>
  <c r="AA44" i="30"/>
  <c r="K42" i="34"/>
  <c r="U12" i="39" s="1"/>
  <c r="K5" i="35"/>
  <c r="K39" i="35" s="1"/>
  <c r="AL44" i="29"/>
  <c r="AL43" i="29"/>
  <c r="L5" i="35"/>
  <c r="L39" i="35" s="1"/>
  <c r="L42" i="34"/>
  <c r="V12" i="39" s="1"/>
  <c r="P39" i="29"/>
  <c r="AM6" i="29"/>
  <c r="AM39" i="29" s="1"/>
  <c r="J5" i="36"/>
  <c r="J39" i="36" s="1"/>
  <c r="J42" i="35"/>
  <c r="T13" i="39" s="1"/>
  <c r="K39" i="31" l="1"/>
  <c r="AH6" i="31"/>
  <c r="AH39" i="31" s="1"/>
  <c r="AH43" i="31"/>
  <c r="AH44" i="31"/>
  <c r="AF44" i="30"/>
  <c r="AF43" i="30"/>
  <c r="AI43" i="30"/>
  <c r="AI44" i="30"/>
  <c r="AF6" i="30"/>
  <c r="AF39" i="30" s="1"/>
  <c r="I39" i="30"/>
  <c r="F42" i="29"/>
  <c r="G7" i="39" s="1"/>
  <c r="F5" i="30"/>
  <c r="B5" i="30"/>
  <c r="B42" i="29"/>
  <c r="L39" i="30"/>
  <c r="AI6" i="30"/>
  <c r="AI39" i="30" s="1"/>
  <c r="G28" i="39"/>
  <c r="AC42" i="30"/>
  <c r="Y42" i="30"/>
  <c r="L5" i="36"/>
  <c r="L39" i="36" s="1"/>
  <c r="L42" i="35"/>
  <c r="V13" i="39" s="1"/>
  <c r="AG42" i="30"/>
  <c r="K28" i="39"/>
  <c r="AB44" i="30"/>
  <c r="AB43" i="30"/>
  <c r="J42" i="29"/>
  <c r="K7" i="39" s="1"/>
  <c r="J5" i="30"/>
  <c r="R28" i="39"/>
  <c r="AN42" i="30"/>
  <c r="AN43" i="30" s="1"/>
  <c r="J5" i="37"/>
  <c r="J39" i="37" s="1"/>
  <c r="J42" i="36"/>
  <c r="T14" i="39" s="1"/>
  <c r="E29" i="39"/>
  <c r="AA42" i="31"/>
  <c r="AD42" i="30"/>
  <c r="H28" i="39"/>
  <c r="Q5" i="30"/>
  <c r="Q42" i="29"/>
  <c r="R7" i="39" s="1"/>
  <c r="AL42" i="30"/>
  <c r="P28" i="39"/>
  <c r="C39" i="31"/>
  <c r="Z6" i="31"/>
  <c r="Z39" i="31" s="1"/>
  <c r="K42" i="35"/>
  <c r="U13" i="39" s="1"/>
  <c r="K5" i="36"/>
  <c r="K39" i="36" s="1"/>
  <c r="Z43" i="31"/>
  <c r="Z44" i="31"/>
  <c r="AM42" i="30"/>
  <c r="AM43" i="30" s="1"/>
  <c r="Q28" i="39"/>
  <c r="P5" i="30"/>
  <c r="P42" i="29"/>
  <c r="Q7" i="39" s="1"/>
  <c r="D42" i="30"/>
  <c r="E8" i="39" s="1"/>
  <c r="D5" i="31"/>
  <c r="AB6" i="30"/>
  <c r="AB39" i="30" s="1"/>
  <c r="E39" i="30"/>
  <c r="G5" i="30"/>
  <c r="G42" i="29"/>
  <c r="H7" i="39" s="1"/>
  <c r="O5" i="30"/>
  <c r="O42" i="29"/>
  <c r="P7" i="39" s="1"/>
  <c r="C7" i="39" l="1"/>
  <c r="Y7" i="39" s="1"/>
  <c r="L30" i="39"/>
  <c r="K42" i="31"/>
  <c r="L9" i="39" s="1"/>
  <c r="AC43" i="30"/>
  <c r="AC44" i="30"/>
  <c r="F39" i="30"/>
  <c r="AC6" i="30"/>
  <c r="AC39" i="30" s="1"/>
  <c r="I5" i="31"/>
  <c r="I42" i="30"/>
  <c r="J8" i="39" s="1"/>
  <c r="Y44" i="30"/>
  <c r="Y43" i="30"/>
  <c r="M29" i="39"/>
  <c r="AI42" i="31"/>
  <c r="AF42" i="31"/>
  <c r="J29" i="39"/>
  <c r="L5" i="31"/>
  <c r="L42" i="30"/>
  <c r="M8" i="39" s="1"/>
  <c r="B39" i="30"/>
  <c r="Y6" i="30"/>
  <c r="Y39" i="30" s="1"/>
  <c r="G39" i="30"/>
  <c r="AD6" i="30"/>
  <c r="AD39" i="30" s="1"/>
  <c r="AL43" i="30"/>
  <c r="AL44" i="30"/>
  <c r="AD43" i="30"/>
  <c r="AD44" i="30"/>
  <c r="E5" i="31"/>
  <c r="E42" i="30"/>
  <c r="F8" i="39" s="1"/>
  <c r="K42" i="36"/>
  <c r="U14" i="39" s="1"/>
  <c r="K5" i="37"/>
  <c r="K39" i="37" s="1"/>
  <c r="D30" i="39"/>
  <c r="AA43" i="31"/>
  <c r="AA44" i="31"/>
  <c r="J39" i="30"/>
  <c r="AG6" i="30"/>
  <c r="AG39" i="30" s="1"/>
  <c r="F29" i="39"/>
  <c r="AB42" i="31"/>
  <c r="C42" i="31"/>
  <c r="D9" i="39" s="1"/>
  <c r="Q39" i="30"/>
  <c r="R6" i="30"/>
  <c r="AN6" i="30"/>
  <c r="AN39" i="30" s="1"/>
  <c r="T16" i="39"/>
  <c r="T18" i="39" s="1"/>
  <c r="J42" i="37"/>
  <c r="T15" i="39" s="1"/>
  <c r="AG43" i="30"/>
  <c r="AG44" i="30"/>
  <c r="P39" i="30"/>
  <c r="AM6" i="30"/>
  <c r="AM39" i="30" s="1"/>
  <c r="L5" i="37"/>
  <c r="L39" i="37" s="1"/>
  <c r="L42" i="36"/>
  <c r="V14" i="39" s="1"/>
  <c r="O39" i="30"/>
  <c r="AL6" i="30"/>
  <c r="AL39" i="30" s="1"/>
  <c r="D39" i="31"/>
  <c r="AA6" i="31"/>
  <c r="AA39" i="31" s="1"/>
  <c r="R51" i="30" l="1"/>
  <c r="X8" i="39" s="1"/>
  <c r="R45" i="30"/>
  <c r="Y42" i="31"/>
  <c r="C29" i="39"/>
  <c r="G29" i="39"/>
  <c r="AC42" i="31"/>
  <c r="AI44" i="31"/>
  <c r="AI43" i="31"/>
  <c r="AI6" i="31"/>
  <c r="AI39" i="31" s="1"/>
  <c r="L39" i="31"/>
  <c r="I39" i="31"/>
  <c r="D5" i="32" s="1"/>
  <c r="D39" i="32" s="1"/>
  <c r="D42" i="32" s="1"/>
  <c r="AF6" i="31"/>
  <c r="AF39" i="31" s="1"/>
  <c r="B5" i="31"/>
  <c r="B42" i="30"/>
  <c r="C8" i="39" s="1"/>
  <c r="Y8" i="39" s="1"/>
  <c r="AF43" i="31"/>
  <c r="AF44" i="31"/>
  <c r="F42" i="30"/>
  <c r="G8" i="39" s="1"/>
  <c r="F5" i="31"/>
  <c r="P5" i="31"/>
  <c r="P42" i="30"/>
  <c r="Q8" i="39" s="1"/>
  <c r="T19" i="39"/>
  <c r="T20" i="39"/>
  <c r="K29" i="39"/>
  <c r="AG42" i="31"/>
  <c r="P29" i="39"/>
  <c r="AL42" i="31"/>
  <c r="AN42" i="31"/>
  <c r="AN43" i="31" s="1"/>
  <c r="R29" i="39"/>
  <c r="J42" i="30"/>
  <c r="K8" i="39" s="1"/>
  <c r="J5" i="31"/>
  <c r="E30" i="39"/>
  <c r="D42" i="31"/>
  <c r="E9" i="39" s="1"/>
  <c r="O5" i="31"/>
  <c r="O42" i="30"/>
  <c r="P8" i="39" s="1"/>
  <c r="V16" i="39"/>
  <c r="V18" i="39" s="1"/>
  <c r="L42" i="37"/>
  <c r="V15" i="39" s="1"/>
  <c r="AB43" i="31"/>
  <c r="AB44" i="31"/>
  <c r="K42" i="37"/>
  <c r="U15" i="39" s="1"/>
  <c r="U16" i="39"/>
  <c r="U18" i="39" s="1"/>
  <c r="H29" i="39"/>
  <c r="AD42" i="31"/>
  <c r="AM42" i="31"/>
  <c r="AM43" i="31" s="1"/>
  <c r="Q29" i="39"/>
  <c r="Q5" i="31"/>
  <c r="Q42" i="30"/>
  <c r="R8" i="39" s="1"/>
  <c r="E39" i="31"/>
  <c r="AB6" i="31"/>
  <c r="AB39" i="31" s="1"/>
  <c r="G5" i="31"/>
  <c r="G42" i="30"/>
  <c r="H8" i="39" s="1"/>
  <c r="X29" i="39" l="1"/>
  <c r="AD29" i="39"/>
  <c r="V20" i="39"/>
  <c r="V19" i="39"/>
  <c r="U20" i="39"/>
  <c r="U19" i="39"/>
  <c r="L31" i="39"/>
  <c r="L10" i="39"/>
  <c r="Q42" i="32"/>
  <c r="J30" i="39"/>
  <c r="F39" i="31"/>
  <c r="AC6" i="31"/>
  <c r="AC39" i="31" s="1"/>
  <c r="L42" i="31"/>
  <c r="M9" i="39" s="1"/>
  <c r="AC43" i="31"/>
  <c r="AC44" i="31"/>
  <c r="B39" i="31"/>
  <c r="Y6" i="31"/>
  <c r="Y39" i="31" s="1"/>
  <c r="M30" i="39"/>
  <c r="I42" i="31"/>
  <c r="J9" i="39" s="1"/>
  <c r="Y43" i="31"/>
  <c r="Y44" i="31"/>
  <c r="F30" i="39"/>
  <c r="AL43" i="31"/>
  <c r="AL44" i="31"/>
  <c r="AG43" i="31"/>
  <c r="AG44" i="31"/>
  <c r="D31" i="39"/>
  <c r="O39" i="31"/>
  <c r="AL6" i="31"/>
  <c r="AL39" i="31" s="1"/>
  <c r="AD43" i="31"/>
  <c r="AD44" i="31"/>
  <c r="E42" i="31"/>
  <c r="F9" i="39" s="1"/>
  <c r="Q39" i="31"/>
  <c r="AN6" i="31"/>
  <c r="AN39" i="31" s="1"/>
  <c r="R6" i="31"/>
  <c r="D10" i="39"/>
  <c r="P39" i="31"/>
  <c r="AM6" i="31"/>
  <c r="AM39" i="31" s="1"/>
  <c r="G39" i="31"/>
  <c r="AD6" i="31"/>
  <c r="AD39" i="31" s="1"/>
  <c r="J39" i="31"/>
  <c r="AG6" i="31"/>
  <c r="AG39" i="31" s="1"/>
  <c r="AF29" i="39" l="1"/>
  <c r="AE29" i="39"/>
  <c r="R51" i="31"/>
  <c r="X9" i="39" s="1"/>
  <c r="R45" i="31"/>
  <c r="Q6" i="32"/>
  <c r="Q39" i="32" s="1"/>
  <c r="B42" i="31"/>
  <c r="C9" i="39" s="1"/>
  <c r="Y9" i="39" s="1"/>
  <c r="B5" i="32"/>
  <c r="O42" i="32"/>
  <c r="C30" i="39"/>
  <c r="X30" i="39" s="1"/>
  <c r="G30" i="39"/>
  <c r="F42" i="31"/>
  <c r="G9" i="39" s="1"/>
  <c r="Q43" i="32"/>
  <c r="Q44" i="32"/>
  <c r="G42" i="31"/>
  <c r="H9" i="39" s="1"/>
  <c r="R30" i="39"/>
  <c r="Q30" i="39"/>
  <c r="Q42" i="31"/>
  <c r="R9" i="39" s="1"/>
  <c r="J42" i="31"/>
  <c r="K9" i="39" s="1"/>
  <c r="E5" i="32"/>
  <c r="P42" i="31"/>
  <c r="Q9" i="39" s="1"/>
  <c r="P30" i="39"/>
  <c r="E31" i="39"/>
  <c r="K30" i="39"/>
  <c r="R42" i="32"/>
  <c r="H30" i="39"/>
  <c r="O42" i="31"/>
  <c r="P9" i="39" s="1"/>
  <c r="E10" i="39"/>
  <c r="AG29" i="39" l="1"/>
  <c r="L32" i="39"/>
  <c r="L11" i="39"/>
  <c r="M31" i="39"/>
  <c r="O43" i="32"/>
  <c r="O44" i="32"/>
  <c r="M10" i="39"/>
  <c r="B39" i="32"/>
  <c r="O6" i="32"/>
  <c r="O39" i="32" s="1"/>
  <c r="Q42" i="33"/>
  <c r="J31" i="39"/>
  <c r="J10" i="39"/>
  <c r="F31" i="39"/>
  <c r="F10" i="39"/>
  <c r="H6" i="32"/>
  <c r="D32" i="39"/>
  <c r="R43" i="32"/>
  <c r="R44" i="32"/>
  <c r="E39" i="32"/>
  <c r="R6" i="32"/>
  <c r="R39" i="32" s="1"/>
  <c r="D11" i="39"/>
  <c r="H51" i="32" l="1"/>
  <c r="X10" i="39" s="1"/>
  <c r="H45" i="32"/>
  <c r="D39" i="33"/>
  <c r="Q6" i="33"/>
  <c r="Q39" i="33" s="1"/>
  <c r="Q43" i="33"/>
  <c r="Q44" i="33"/>
  <c r="C31" i="39"/>
  <c r="X31" i="39" s="1"/>
  <c r="O42" i="33"/>
  <c r="G31" i="39"/>
  <c r="B42" i="32"/>
  <c r="C10" i="39" s="1"/>
  <c r="Y10" i="39" s="1"/>
  <c r="G10" i="39"/>
  <c r="R31" i="39"/>
  <c r="Q31" i="39"/>
  <c r="K31" i="39"/>
  <c r="R42" i="33"/>
  <c r="R10" i="39"/>
  <c r="Q10" i="39"/>
  <c r="E11" i="39"/>
  <c r="P31" i="39"/>
  <c r="P10" i="39"/>
  <c r="E42" i="32"/>
  <c r="K10" i="39" s="1"/>
  <c r="H10" i="39"/>
  <c r="H31" i="39"/>
  <c r="E32" i="39"/>
  <c r="L33" i="39" l="1"/>
  <c r="L12" i="39"/>
  <c r="O6" i="33"/>
  <c r="O39" i="33" s="1"/>
  <c r="B39" i="33"/>
  <c r="M32" i="39"/>
  <c r="O44" i="33"/>
  <c r="O43" i="33"/>
  <c r="M11" i="39"/>
  <c r="J32" i="39"/>
  <c r="Q42" i="34"/>
  <c r="D42" i="33"/>
  <c r="J11" i="39" s="1"/>
  <c r="D33" i="39"/>
  <c r="D12" i="39"/>
  <c r="E39" i="33"/>
  <c r="R6" i="33"/>
  <c r="R39" i="33" s="1"/>
  <c r="F32" i="39"/>
  <c r="H6" i="33"/>
  <c r="R43" i="33"/>
  <c r="R44" i="33"/>
  <c r="F11" i="39"/>
  <c r="H51" i="33" l="1"/>
  <c r="X11" i="39" s="1"/>
  <c r="H45" i="33"/>
  <c r="G32" i="39"/>
  <c r="B42" i="33"/>
  <c r="C11" i="39" s="1"/>
  <c r="Y11" i="39" s="1"/>
  <c r="Q6" i="34"/>
  <c r="Q39" i="34" s="1"/>
  <c r="D39" i="34"/>
  <c r="Q44" i="34"/>
  <c r="Q43" i="34"/>
  <c r="G11" i="39"/>
  <c r="C32" i="39"/>
  <c r="X32" i="39" s="1"/>
  <c r="O42" i="34"/>
  <c r="E12" i="39"/>
  <c r="Q32" i="39"/>
  <c r="R42" i="34"/>
  <c r="K32" i="39"/>
  <c r="H32" i="39"/>
  <c r="R11" i="39"/>
  <c r="Q11" i="39"/>
  <c r="E42" i="33"/>
  <c r="K11" i="39" s="1"/>
  <c r="H11" i="39"/>
  <c r="P32" i="39"/>
  <c r="E33" i="39"/>
  <c r="R32" i="39"/>
  <c r="P11" i="39"/>
  <c r="L13" i="39" l="1"/>
  <c r="L34" i="39"/>
  <c r="O43" i="34"/>
  <c r="O44" i="34"/>
  <c r="B39" i="34"/>
  <c r="O6" i="34"/>
  <c r="O39" i="34" s="1"/>
  <c r="M33" i="39"/>
  <c r="D42" i="34"/>
  <c r="J12" i="39" s="1"/>
  <c r="M12" i="39"/>
  <c r="Q42" i="35"/>
  <c r="J33" i="39"/>
  <c r="F33" i="39"/>
  <c r="D34" i="39"/>
  <c r="E39" i="34"/>
  <c r="R6" i="34"/>
  <c r="R39" i="34" s="1"/>
  <c r="F12" i="39"/>
  <c r="H6" i="34"/>
  <c r="D13" i="39"/>
  <c r="R44" i="34"/>
  <c r="R43" i="34"/>
  <c r="H51" i="34" l="1"/>
  <c r="X12" i="39" s="1"/>
  <c r="H45" i="34"/>
  <c r="B42" i="34"/>
  <c r="C12" i="39" s="1"/>
  <c r="Y12" i="39" s="1"/>
  <c r="D39" i="35"/>
  <c r="Q6" i="35"/>
  <c r="Q39" i="35" s="1"/>
  <c r="C33" i="39"/>
  <c r="X33" i="39" s="1"/>
  <c r="O42" i="35"/>
  <c r="G33" i="39"/>
  <c r="Q44" i="35"/>
  <c r="Q43" i="35"/>
  <c r="G12" i="39"/>
  <c r="R12" i="39"/>
  <c r="R33" i="39"/>
  <c r="H33" i="39"/>
  <c r="H12" i="39"/>
  <c r="Q33" i="39"/>
  <c r="E34" i="39"/>
  <c r="R42" i="35"/>
  <c r="K33" i="39"/>
  <c r="P33" i="39"/>
  <c r="Q12" i="39"/>
  <c r="P12" i="39"/>
  <c r="E13" i="39"/>
  <c r="E42" i="34"/>
  <c r="K12" i="39" s="1"/>
  <c r="L14" i="39" l="1"/>
  <c r="L35" i="39"/>
  <c r="Q42" i="36"/>
  <c r="J34" i="39"/>
  <c r="D42" i="35"/>
  <c r="J13" i="39" s="1"/>
  <c r="D5" i="36"/>
  <c r="O43" i="35"/>
  <c r="O44" i="35"/>
  <c r="O6" i="35"/>
  <c r="O39" i="35" s="1"/>
  <c r="B39" i="35"/>
  <c r="E39" i="35"/>
  <c r="R6" i="35"/>
  <c r="R39" i="35" s="1"/>
  <c r="D35" i="39"/>
  <c r="R44" i="35"/>
  <c r="R43" i="35"/>
  <c r="D14" i="39"/>
  <c r="F34" i="39"/>
  <c r="F13" i="39"/>
  <c r="H6" i="35"/>
  <c r="H45" i="35" l="1"/>
  <c r="H51" i="35"/>
  <c r="X13" i="39" s="1"/>
  <c r="K5" i="46"/>
  <c r="G34" i="39"/>
  <c r="G13" i="39"/>
  <c r="Q44" i="36"/>
  <c r="Q43" i="36"/>
  <c r="B5" i="36"/>
  <c r="B42" i="35"/>
  <c r="C13" i="39" s="1"/>
  <c r="Y13" i="39" s="1"/>
  <c r="Q6" i="36"/>
  <c r="Q39" i="36" s="1"/>
  <c r="D39" i="36"/>
  <c r="C34" i="39"/>
  <c r="X34" i="39" s="1"/>
  <c r="O42" i="36"/>
  <c r="O44" i="36" s="1"/>
  <c r="H34" i="39"/>
  <c r="Q34" i="39"/>
  <c r="E35" i="39"/>
  <c r="H13" i="39"/>
  <c r="E14" i="39"/>
  <c r="Q13" i="39"/>
  <c r="R34" i="39"/>
  <c r="C5" i="46"/>
  <c r="P34" i="39"/>
  <c r="R42" i="36"/>
  <c r="K34" i="39"/>
  <c r="R13" i="39"/>
  <c r="P13" i="39"/>
  <c r="E42" i="35"/>
  <c r="K13" i="39" s="1"/>
  <c r="E5" i="36"/>
  <c r="K39" i="46" l="1"/>
  <c r="K42" i="46" s="1"/>
  <c r="AH6" i="46"/>
  <c r="AH39" i="46" s="1"/>
  <c r="L15" i="39"/>
  <c r="L36" i="39"/>
  <c r="M14" i="39"/>
  <c r="B39" i="36"/>
  <c r="B42" i="36" s="1"/>
  <c r="O6" i="36"/>
  <c r="O39" i="36" s="1"/>
  <c r="O43" i="36"/>
  <c r="D42" i="36"/>
  <c r="J14" i="39" s="1"/>
  <c r="D5" i="37"/>
  <c r="Q42" i="37"/>
  <c r="J35" i="39"/>
  <c r="M35" i="39"/>
  <c r="F35" i="39"/>
  <c r="F14" i="39"/>
  <c r="E39" i="36"/>
  <c r="R6" i="36"/>
  <c r="R39" i="36" s="1"/>
  <c r="D36" i="39"/>
  <c r="D15" i="39"/>
  <c r="H6" i="36"/>
  <c r="R43" i="36"/>
  <c r="R44" i="36"/>
  <c r="D5" i="46"/>
  <c r="H45" i="36" l="1"/>
  <c r="H51" i="36"/>
  <c r="X14" i="39" s="1"/>
  <c r="L39" i="39"/>
  <c r="Q6" i="37"/>
  <c r="Q39" i="37" s="1"/>
  <c r="D39" i="37"/>
  <c r="O42" i="37"/>
  <c r="C35" i="39"/>
  <c r="X35" i="39" s="1"/>
  <c r="Q44" i="37"/>
  <c r="Q43" i="37"/>
  <c r="C14" i="39"/>
  <c r="Y14" i="39" s="1"/>
  <c r="B5" i="37"/>
  <c r="G35" i="39"/>
  <c r="L5" i="46"/>
  <c r="G14" i="39"/>
  <c r="R42" i="37"/>
  <c r="K35" i="39"/>
  <c r="P35" i="39"/>
  <c r="P14" i="39"/>
  <c r="E5" i="37"/>
  <c r="E42" i="36"/>
  <c r="K14" i="39" s="1"/>
  <c r="E5" i="46"/>
  <c r="H14" i="39"/>
  <c r="E36" i="39"/>
  <c r="R14" i="39"/>
  <c r="E15" i="39"/>
  <c r="D16" i="39"/>
  <c r="D18" i="39" s="1"/>
  <c r="D39" i="39"/>
  <c r="Q14" i="39"/>
  <c r="H35" i="39"/>
  <c r="Q35" i="39"/>
  <c r="R35" i="39"/>
  <c r="I5" i="46" l="1"/>
  <c r="D5" i="47"/>
  <c r="AI6" i="46"/>
  <c r="AI39" i="46" s="1"/>
  <c r="L39" i="46"/>
  <c r="L42" i="46" s="1"/>
  <c r="I39" i="46"/>
  <c r="I42" i="46" s="1"/>
  <c r="AF6" i="46"/>
  <c r="AF39" i="46" s="1"/>
  <c r="J37" i="39" s="1"/>
  <c r="L40" i="39"/>
  <c r="L41" i="39"/>
  <c r="L16" i="39"/>
  <c r="L18" i="39" s="1"/>
  <c r="F5" i="46"/>
  <c r="M15" i="39"/>
  <c r="B39" i="37"/>
  <c r="O6" i="37"/>
  <c r="O39" i="37" s="1"/>
  <c r="D42" i="37"/>
  <c r="J15" i="39" s="1"/>
  <c r="J36" i="39"/>
  <c r="M36" i="39"/>
  <c r="O44" i="37"/>
  <c r="O43" i="37"/>
  <c r="D40" i="39"/>
  <c r="D41" i="39"/>
  <c r="F36" i="39"/>
  <c r="D20" i="39"/>
  <c r="D19" i="39"/>
  <c r="Q5" i="46"/>
  <c r="H6" i="37"/>
  <c r="G5" i="46"/>
  <c r="F15" i="39"/>
  <c r="E39" i="37"/>
  <c r="R6" i="37"/>
  <c r="R39" i="37" s="1"/>
  <c r="P5" i="46"/>
  <c r="E16" i="39"/>
  <c r="E18" i="39" s="1"/>
  <c r="E39" i="39"/>
  <c r="O5" i="46"/>
  <c r="R44" i="37"/>
  <c r="R43" i="37"/>
  <c r="J5" i="46" l="1"/>
  <c r="E5" i="47"/>
  <c r="B5" i="46"/>
  <c r="B5" i="47"/>
  <c r="V6" i="47"/>
  <c r="V36" i="47" s="1"/>
  <c r="D36" i="47"/>
  <c r="D39" i="47" s="1"/>
  <c r="AN6" i="46"/>
  <c r="AN39" i="46" s="1"/>
  <c r="R6" i="46"/>
  <c r="Q39" i="46"/>
  <c r="Q42" i="46" s="1"/>
  <c r="AC6" i="46"/>
  <c r="AC39" i="46" s="1"/>
  <c r="F39" i="46"/>
  <c r="F42" i="46" s="1"/>
  <c r="AM6" i="46"/>
  <c r="AM39" i="46" s="1"/>
  <c r="P39" i="46"/>
  <c r="P42" i="46" s="1"/>
  <c r="O39" i="46"/>
  <c r="O42" i="46" s="1"/>
  <c r="AL6" i="46"/>
  <c r="AL39" i="46" s="1"/>
  <c r="J39" i="46"/>
  <c r="J42" i="46" s="1"/>
  <c r="AG6" i="46"/>
  <c r="AG39" i="46" s="1"/>
  <c r="K37" i="39" s="1"/>
  <c r="G39" i="46"/>
  <c r="G42" i="46" s="1"/>
  <c r="AD6" i="46"/>
  <c r="AD39" i="46" s="1"/>
  <c r="H51" i="37"/>
  <c r="X15" i="39" s="1"/>
  <c r="H45" i="37"/>
  <c r="L20" i="39"/>
  <c r="L19" i="39"/>
  <c r="B42" i="37"/>
  <c r="C15" i="39" s="1"/>
  <c r="Y15" i="39" s="1"/>
  <c r="J39" i="39"/>
  <c r="G15" i="39"/>
  <c r="M16" i="39"/>
  <c r="C36" i="39"/>
  <c r="X36" i="39" s="1"/>
  <c r="G36" i="39"/>
  <c r="P15" i="39"/>
  <c r="F39" i="39"/>
  <c r="R36" i="39"/>
  <c r="E41" i="39"/>
  <c r="E40" i="39"/>
  <c r="K36" i="39"/>
  <c r="H36" i="39"/>
  <c r="R15" i="39"/>
  <c r="E19" i="39"/>
  <c r="E20" i="39"/>
  <c r="Q15" i="39"/>
  <c r="E42" i="37"/>
  <c r="K15" i="39" s="1"/>
  <c r="H15" i="39"/>
  <c r="Q36" i="39"/>
  <c r="P36" i="39"/>
  <c r="B36" i="47" l="1"/>
  <c r="B39" i="47" s="1"/>
  <c r="O6" i="47"/>
  <c r="O36" i="47" s="1"/>
  <c r="W6" i="47"/>
  <c r="W36" i="47" s="1"/>
  <c r="E36" i="47"/>
  <c r="E39" i="47" s="1"/>
  <c r="R51" i="46"/>
  <c r="R45" i="46"/>
  <c r="J16" i="39"/>
  <c r="J18" i="39" s="1"/>
  <c r="J20" i="39" s="1"/>
  <c r="F16" i="39"/>
  <c r="F18" i="39" s="1"/>
  <c r="F20" i="39" s="1"/>
  <c r="C39" i="39"/>
  <c r="G39" i="39"/>
  <c r="J40" i="39"/>
  <c r="J41" i="39"/>
  <c r="F41" i="39"/>
  <c r="F40" i="39"/>
  <c r="H39" i="39"/>
  <c r="R39" i="39"/>
  <c r="R40" i="39" s="1"/>
  <c r="Q39" i="39"/>
  <c r="Q40" i="39" s="1"/>
  <c r="K16" i="39"/>
  <c r="K18" i="39" s="1"/>
  <c r="K39" i="39"/>
  <c r="P16" i="39"/>
  <c r="P18" i="39" s="1"/>
  <c r="P39" i="39"/>
  <c r="J19" i="39" l="1"/>
  <c r="F19" i="39"/>
  <c r="G16" i="39"/>
  <c r="G18" i="39" s="1"/>
  <c r="G19" i="39" s="1"/>
  <c r="O16" i="39"/>
  <c r="Q16" i="39"/>
  <c r="Q18" i="39" s="1"/>
  <c r="Q19" i="39" s="1"/>
  <c r="C16" i="39"/>
  <c r="C18" i="39" s="1"/>
  <c r="H16" i="39"/>
  <c r="H18" i="39" s="1"/>
  <c r="H20" i="39" s="1"/>
  <c r="R16" i="39"/>
  <c r="R18" i="39" s="1"/>
  <c r="R19" i="39" s="1"/>
  <c r="G41" i="39"/>
  <c r="G40" i="39"/>
  <c r="C41" i="39"/>
  <c r="C40" i="39"/>
  <c r="P20" i="39"/>
  <c r="P19" i="39"/>
  <c r="K19" i="39"/>
  <c r="K20" i="39"/>
  <c r="H40" i="39"/>
  <c r="H41" i="39"/>
  <c r="P40" i="39"/>
  <c r="P41" i="39"/>
  <c r="K40" i="39"/>
  <c r="K41" i="39"/>
  <c r="C19" i="39" l="1"/>
  <c r="H19" i="39"/>
  <c r="G20" i="39"/>
  <c r="C20" i="39"/>
  <c r="R20" i="39"/>
  <c r="Q20" i="39"/>
  <c r="M13" i="39" l="1"/>
  <c r="M18" i="39" s="1"/>
  <c r="M20" i="39" l="1"/>
  <c r="M19" i="39"/>
  <c r="M34" i="39"/>
  <c r="M39" i="39" s="1"/>
  <c r="M41" i="39" l="1"/>
  <c r="M40" i="39"/>
  <c r="C39" i="46" l="1"/>
  <c r="C42" i="46" s="1"/>
  <c r="Z6" i="46"/>
  <c r="Z39" i="46" s="1"/>
  <c r="Z43" i="46"/>
  <c r="Z44" i="46"/>
  <c r="AA44" i="46" l="1"/>
  <c r="AA43" i="46"/>
  <c r="D39" i="46"/>
  <c r="D42" i="46" s="1"/>
  <c r="AA6" i="46"/>
  <c r="AA39" i="46" s="1"/>
  <c r="AF43" i="46" l="1"/>
  <c r="AF44" i="46"/>
  <c r="AB43" i="46"/>
  <c r="AB44" i="46"/>
  <c r="E39" i="46"/>
  <c r="E42" i="46" s="1"/>
  <c r="AB6" i="46"/>
  <c r="AB39" i="46" s="1"/>
  <c r="AD44" i="46" l="1"/>
  <c r="AD43" i="46"/>
  <c r="AC44" i="46"/>
  <c r="AC43" i="46"/>
  <c r="AG44" i="46"/>
  <c r="AG43" i="46"/>
  <c r="Y44" i="46"/>
  <c r="Y43" i="46"/>
  <c r="B39" i="46"/>
  <c r="B42" i="46" s="1"/>
  <c r="Y6" i="46"/>
  <c r="Y39" i="46" s="1"/>
  <c r="C37" i="39" s="1"/>
  <c r="X37" i="39" s="1"/>
  <c r="N5" i="11" l="1"/>
  <c r="AK6" i="11" l="1"/>
  <c r="AK39" i="11" s="1"/>
  <c r="N39" i="11"/>
  <c r="N5" i="26" l="1"/>
  <c r="N42" i="11"/>
  <c r="AK42" i="26"/>
  <c r="AK42" i="11"/>
  <c r="AK43" i="26" l="1"/>
  <c r="AK44" i="26"/>
  <c r="AK44" i="11"/>
  <c r="AK43" i="11"/>
  <c r="AK6" i="26"/>
  <c r="AK39" i="26" s="1"/>
  <c r="N39" i="26"/>
  <c r="O25" i="39" l="1"/>
  <c r="AK42" i="27"/>
  <c r="N5" i="27"/>
  <c r="N42" i="26"/>
  <c r="O4" i="39" s="1"/>
  <c r="N39" i="27" l="1"/>
  <c r="AK6" i="27"/>
  <c r="AK39" i="27" s="1"/>
  <c r="AK44" i="27"/>
  <c r="AK43" i="27"/>
  <c r="O26" i="39" l="1"/>
  <c r="AK42" i="28"/>
  <c r="N5" i="28"/>
  <c r="N42" i="27"/>
  <c r="O5" i="39" s="1"/>
  <c r="Z5" i="39" l="1"/>
  <c r="N39" i="28"/>
  <c r="AK6" i="28"/>
  <c r="AK39" i="28" s="1"/>
  <c r="AK43" i="28"/>
  <c r="AK44" i="28"/>
  <c r="Y26" i="39"/>
  <c r="AK42" i="29" l="1"/>
  <c r="O27" i="39"/>
  <c r="N5" i="29"/>
  <c r="N42" i="28"/>
  <c r="O6" i="39" s="1"/>
  <c r="AK43" i="29" l="1"/>
  <c r="AK44" i="29"/>
  <c r="N39" i="29"/>
  <c r="AK6" i="29"/>
  <c r="AK39" i="29" s="1"/>
  <c r="Z6" i="39"/>
  <c r="Y27" i="39"/>
  <c r="O28" i="39" l="1"/>
  <c r="AK42" i="30"/>
  <c r="N5" i="30"/>
  <c r="N42" i="29"/>
  <c r="Y28" i="39" l="1"/>
  <c r="O7" i="39"/>
  <c r="N39" i="30"/>
  <c r="AK6" i="30"/>
  <c r="AK39" i="30" s="1"/>
  <c r="AK44" i="30"/>
  <c r="AK43" i="30"/>
  <c r="Z7" i="39" l="1"/>
  <c r="AK42" i="31"/>
  <c r="O29" i="39"/>
  <c r="O39" i="39" s="1"/>
  <c r="O41" i="39" s="1"/>
  <c r="N5" i="31"/>
  <c r="N42" i="30"/>
  <c r="O8" i="39" s="1"/>
  <c r="Z8" i="39" s="1"/>
  <c r="O18" i="39" l="1"/>
  <c r="O20" i="39" s="1"/>
  <c r="O40" i="39"/>
  <c r="Y29" i="39"/>
  <c r="AD28" i="39"/>
  <c r="N39" i="31"/>
  <c r="AK6" i="31"/>
  <c r="AK39" i="31" s="1"/>
  <c r="AK44" i="31"/>
  <c r="AK43" i="31"/>
  <c r="O19" i="39" l="1"/>
  <c r="AF28" i="39"/>
  <c r="AE28" i="39"/>
  <c r="N42" i="31"/>
  <c r="O9" i="39" s="1"/>
  <c r="Z9" i="39" s="1"/>
  <c r="G5" i="32"/>
  <c r="T42" i="32"/>
  <c r="O30" i="39"/>
  <c r="Y30" i="39" s="1"/>
  <c r="AG28" i="39" l="1"/>
  <c r="T44" i="32"/>
  <c r="T43" i="32"/>
  <c r="G39" i="32"/>
  <c r="T6" i="32"/>
  <c r="T39" i="32" s="1"/>
  <c r="O31" i="39" l="1"/>
  <c r="Y31" i="39" s="1"/>
  <c r="T42" i="33"/>
  <c r="G42" i="32"/>
  <c r="O10" i="39" s="1"/>
  <c r="Z10" i="39" s="1"/>
  <c r="T43" i="33" l="1"/>
  <c r="T44" i="33"/>
  <c r="G39" i="33"/>
  <c r="T6" i="33"/>
  <c r="T39" i="33" s="1"/>
  <c r="T42" i="34" l="1"/>
  <c r="O32" i="39"/>
  <c r="Y32" i="39" s="1"/>
  <c r="G42" i="33"/>
  <c r="O11" i="39" s="1"/>
  <c r="Z11" i="39" s="1"/>
  <c r="T6" i="34" l="1"/>
  <c r="T39" i="34" s="1"/>
  <c r="G39" i="34"/>
  <c r="T44" i="34"/>
  <c r="T43" i="34"/>
  <c r="G42" i="34" l="1"/>
  <c r="O12" i="39" s="1"/>
  <c r="Z12" i="39" s="1"/>
  <c r="O33" i="39"/>
  <c r="Y33" i="39" s="1"/>
  <c r="T42" i="35"/>
  <c r="T44" i="35" l="1"/>
  <c r="T43" i="35"/>
  <c r="G39" i="35"/>
  <c r="T6" i="35"/>
  <c r="T39" i="35" s="1"/>
  <c r="T42" i="36" l="1"/>
  <c r="O34" i="39"/>
  <c r="Y34" i="39" s="1"/>
  <c r="G5" i="36"/>
  <c r="G42" i="35"/>
  <c r="O13" i="39" s="1"/>
  <c r="Z13" i="39" s="1"/>
  <c r="G39" i="36" l="1"/>
  <c r="T6" i="36"/>
  <c r="T39" i="36" s="1"/>
  <c r="T43" i="36"/>
  <c r="T44" i="36"/>
  <c r="O35" i="39" l="1"/>
  <c r="Y35" i="39" s="1"/>
  <c r="T42" i="37"/>
  <c r="G5" i="37"/>
  <c r="G42" i="36"/>
  <c r="O14" i="39" s="1"/>
  <c r="Z14" i="39" s="1"/>
  <c r="T6" i="37" l="1"/>
  <c r="T39" i="37" s="1"/>
  <c r="O36" i="39" s="1"/>
  <c r="Y36" i="39" s="1"/>
  <c r="G39" i="37"/>
  <c r="G5" i="47" s="1"/>
  <c r="T44" i="37"/>
  <c r="T43" i="37"/>
  <c r="G36" i="47" l="1"/>
  <c r="G39" i="47" s="1"/>
  <c r="AA6" i="47"/>
  <c r="AA36" i="47" s="1"/>
  <c r="N5" i="46"/>
  <c r="G42" i="37"/>
  <c r="O15" i="39" s="1"/>
  <c r="Z15" i="39" s="1"/>
  <c r="AK6" i="46" l="1"/>
  <c r="AK39" i="46" s="1"/>
  <c r="O37" i="39" s="1"/>
  <c r="Y37" i="39" s="1"/>
  <c r="N39" i="46"/>
  <c r="N42" i="46" s="1"/>
</calcChain>
</file>

<file path=xl/sharedStrings.xml><?xml version="1.0" encoding="utf-8"?>
<sst xmlns="http://schemas.openxmlformats.org/spreadsheetml/2006/main" count="1691" uniqueCount="87">
  <si>
    <t>Water</t>
  </si>
  <si>
    <t>Cooling Towers</t>
  </si>
  <si>
    <t>Gas</t>
  </si>
  <si>
    <t>Georgia Power</t>
  </si>
  <si>
    <t>City Water</t>
  </si>
  <si>
    <t>Natural Gas</t>
  </si>
  <si>
    <t>Meter</t>
  </si>
  <si>
    <t>Hotel Chillers</t>
  </si>
  <si>
    <t>Apartment Loop</t>
  </si>
  <si>
    <t>MEZ</t>
  </si>
  <si>
    <t>Electrical Vault at P1</t>
  </si>
  <si>
    <t>Sidewalk Meter</t>
  </si>
  <si>
    <t>Gas Room at P1</t>
  </si>
  <si>
    <t>Date</t>
  </si>
  <si>
    <t>Bldg Main Meter #1 (CCF)</t>
  </si>
  <si>
    <t>Meter #2 (CCF)</t>
  </si>
  <si>
    <t>Fire Main Meter #3 (CCF)</t>
  </si>
  <si>
    <t>Pump Rm. Gall * 100</t>
  </si>
  <si>
    <t>Offices at Level 20 Gall * 100</t>
  </si>
  <si>
    <t>Offices at Level 30 Gall * 100</t>
  </si>
  <si>
    <t>Make Up Gall * 100</t>
  </si>
  <si>
    <t>Blow Down</t>
  </si>
  <si>
    <t>Corrected CCF *10</t>
  </si>
  <si>
    <t>Not Corrected</t>
  </si>
  <si>
    <t>Engine</t>
  </si>
  <si>
    <t>Tower Htg CCF *10</t>
  </si>
  <si>
    <t>KWH (*4800)</t>
  </si>
  <si>
    <t>KW</t>
  </si>
  <si>
    <t>KQH</t>
  </si>
  <si>
    <t>LR</t>
  </si>
  <si>
    <t>x</t>
  </si>
  <si>
    <t>(6 Digits)</t>
  </si>
  <si>
    <t>(5 Digits)</t>
  </si>
  <si>
    <t>(4 Digits)</t>
  </si>
  <si>
    <t>LD</t>
  </si>
  <si>
    <t>AVG</t>
  </si>
  <si>
    <t>Consumption:</t>
  </si>
  <si>
    <t>PRV
AVG</t>
  </si>
  <si>
    <t>Note 1</t>
  </si>
  <si>
    <t>Normal formating for cells where the daily average consumption is within range from the previous month's average range noted above.</t>
  </si>
  <si>
    <t>Note 2</t>
  </si>
  <si>
    <t>Indicates the daily average for that day is outside the average range for that meter, based on the previous month's averages.  Not necessarily a problem, just something to keeep an eye on.</t>
  </si>
  <si>
    <t>!</t>
  </si>
  <si>
    <t>Note 3</t>
  </si>
  <si>
    <t>This RED FLAG should be brought to Management for further review as to why it is more than twice the monthly average.  Still can be explained, depending on the meter, but warrants immediate review to minimize impact to utilities and/or billing.</t>
  </si>
  <si>
    <t>Note 4</t>
  </si>
  <si>
    <t>This is the same calculation as the RED FLAG, but is a known non-issue (example: Emergency Generator run once a week, plus bi-monthly inspections)</t>
  </si>
  <si>
    <t>Note 5</t>
  </si>
  <si>
    <t>THIS IS AN ISSUE.  METERS DO NOT RUN BACKWARDS, THUS NO NEGATIVE READINGS ALLOWED.
Check for a simple typo or transposed number in the reading and/or verify the meter reading logged is correct by physically checking meter again.</t>
  </si>
  <si>
    <t>Monthly Average Consumption</t>
  </si>
  <si>
    <t>Tower Htg CCF Daily Consumption AVG</t>
  </si>
  <si>
    <t>Water Savings</t>
  </si>
  <si>
    <t>Gas Savings</t>
  </si>
  <si>
    <t>JAN</t>
  </si>
  <si>
    <t>FEB</t>
  </si>
  <si>
    <t>April</t>
  </si>
  <si>
    <t>MAR</t>
  </si>
  <si>
    <t>Savings</t>
  </si>
  <si>
    <t>Consumption</t>
  </si>
  <si>
    <t>APR</t>
  </si>
  <si>
    <t>Electric</t>
  </si>
  <si>
    <t>COVID-19 Impact to Renovation/Hotel</t>
  </si>
  <si>
    <t>MAY</t>
  </si>
  <si>
    <t>JUN</t>
  </si>
  <si>
    <t>JUL</t>
  </si>
  <si>
    <t>AUG</t>
  </si>
  <si>
    <t>SEP</t>
  </si>
  <si>
    <t>OCT</t>
  </si>
  <si>
    <t>NOV</t>
  </si>
  <si>
    <t>DEC</t>
  </si>
  <si>
    <t>JAN 19</t>
  </si>
  <si>
    <t>AVG (YTD)</t>
  </si>
  <si>
    <t>YTD</t>
  </si>
  <si>
    <t>JAN - APR</t>
  </si>
  <si>
    <t>(Jan - Mar = 0.5% to 1.5% over 2019)</t>
  </si>
  <si>
    <t>(Jan - Mar = 11.3% under 2019)</t>
  </si>
  <si>
    <t>Daily Average Consumption</t>
  </si>
  <si>
    <t>May</t>
  </si>
  <si>
    <t>MAY Daily AVG = 22102 * 31 days</t>
  </si>
  <si>
    <t>MAY Daily AVG = 18 * 31 days</t>
  </si>
  <si>
    <t>MAY Daily AVG = 34 * 31 days</t>
  </si>
  <si>
    <t>Electric AVG based on billing cycle (invoice)</t>
  </si>
  <si>
    <t>Gas &amp; Water based on meter readings</t>
  </si>
  <si>
    <t>JAN 21</t>
  </si>
  <si>
    <t>OOO</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</si>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</sst>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_);[Red]\(0.0\)"/>
  </numFmts>
  <fonts count="8" x14ac:knownFonts="1">
    <font>
      <sz val="10"/>
      <name val="Arial"/>
    </font>
    <font>
      <b/>
      <sz val="10"/>
      <name val="Arial"/>
      <family val="2"/>
    </font>
    <font>
      <sz val="10"/>
      <color theme="1"/>
      <name val="Arial"/>
      <family val="2"/>
    </font>
    <font>
      <b/>
      <sz val="8"/>
      <color theme="1"/>
      <name val="Arial"/>
      <family val="2"/>
    </font>
    <font>
      <sz val="10"/>
      <name val="Arial"/>
      <family val="2"/>
    </font>
    <font>
      <sz val="11"/>
      <color rgb="FF9C0006"/>
      <name val="Calibri"/>
      <family val="2"/>
      <scheme val="minor"/>
    </font>
    <font>
      <sz val="11"/>
      <color rgb="FF9C6500"/>
      <name val="Calibri"/>
      <family val="2"/>
      <scheme val="minor"/>
    </font>
    <font>
      <sz val="22"/>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C7CE"/>
      </patternFill>
    </fill>
    <fill>
      <patternFill patternType="solid">
        <fgColor rgb="FFFFEB9C"/>
      </patternFill>
    </fill>
    <fill>
      <patternFill patternType="solid">
        <fgColor rgb="FF00B0F0"/>
        <bgColor indexed="64"/>
      </patternFill>
    </fill>
    <fill>
      <patternFill patternType="solid">
        <fgColor rgb="FFFF00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5" fillId="11" borderId="0" applyNumberFormat="0" applyBorder="0" applyAlignment="0" applyProtection="0"/>
    <xf numFmtId="0" fontId="6" fillId="12" borderId="0" applyNumberFormat="0" applyBorder="0" applyAlignment="0" applyProtection="0"/>
  </cellStyleXfs>
  <cellXfs count="99">
    <xf numFmtId="0" fontId="0" fillId="0" borderId="0" xfId="0"/>
    <xf numFmtId="0" fontId="1" fillId="0" borderId="2" xfId="0" applyFont="1" applyBorder="1"/>
    <xf numFmtId="0" fontId="1" fillId="0" borderId="1" xfId="0" applyFont="1" applyBorder="1"/>
    <xf numFmtId="49" fontId="1" fillId="2" borderId="11" xfId="0" applyNumberFormat="1" applyFont="1" applyFill="1" applyBorder="1" applyAlignment="1">
      <alignment horizontal="center" textRotation="90" wrapText="1"/>
    </xf>
    <xf numFmtId="0" fontId="1" fillId="2" borderId="12" xfId="0" applyFont="1" applyFill="1" applyBorder="1" applyAlignment="1">
      <alignment horizontal="center" textRotation="90" wrapText="1"/>
    </xf>
    <xf numFmtId="0" fontId="1" fillId="0" borderId="12" xfId="0" applyFont="1" applyBorder="1" applyAlignment="1">
      <alignment horizontal="center" textRotation="90" wrapText="1"/>
    </xf>
    <xf numFmtId="0" fontId="0" fillId="0" borderId="0" xfId="0" applyAlignment="1">
      <alignment horizontal="center" textRotation="90" wrapText="1"/>
    </xf>
    <xf numFmtId="0" fontId="1" fillId="2" borderId="13" xfId="0" applyFont="1" applyFill="1" applyBorder="1" applyAlignment="1">
      <alignment horizontal="center"/>
    </xf>
    <xf numFmtId="164" fontId="0" fillId="0" borderId="0" xfId="0" applyNumberFormat="1" applyAlignment="1">
      <alignment horizontal="center"/>
    </xf>
    <xf numFmtId="0" fontId="0" fillId="0" borderId="0" xfId="0" applyAlignment="1">
      <alignment horizontal="center"/>
    </xf>
    <xf numFmtId="164" fontId="0" fillId="4" borderId="1" xfId="0" applyNumberFormat="1" applyFill="1" applyBorder="1" applyAlignment="1">
      <alignment horizontal="center"/>
    </xf>
    <xf numFmtId="164" fontId="0" fillId="0" borderId="1" xfId="0" applyNumberFormat="1" applyBorder="1" applyAlignment="1">
      <alignment horizontal="center"/>
    </xf>
    <xf numFmtId="49" fontId="0" fillId="0" borderId="0" xfId="0" applyNumberFormat="1" applyAlignment="1">
      <alignment horizontal="center"/>
    </xf>
    <xf numFmtId="164" fontId="0" fillId="4" borderId="13" xfId="0" applyNumberFormat="1" applyFill="1" applyBorder="1" applyAlignment="1" applyProtection="1">
      <alignment horizontal="center"/>
      <protection locked="0"/>
    </xf>
    <xf numFmtId="164" fontId="0" fillId="0" borderId="13" xfId="0" applyNumberFormat="1" applyBorder="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13" xfId="0" applyBorder="1" applyAlignment="1" applyProtection="1">
      <alignment horizontal="center"/>
      <protection locked="0"/>
    </xf>
    <xf numFmtId="164" fontId="0" fillId="4" borderId="1" xfId="0" applyNumberFormat="1" applyFill="1" applyBorder="1" applyAlignment="1" applyProtection="1">
      <alignment horizontal="center"/>
      <protection locked="0"/>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164" fontId="0" fillId="5" borderId="1" xfId="0" applyNumberFormat="1" applyFill="1" applyBorder="1" applyAlignment="1">
      <alignment horizontal="center"/>
    </xf>
    <xf numFmtId="164" fontId="0" fillId="4" borderId="0" xfId="0" applyNumberFormat="1" applyFill="1" applyAlignment="1">
      <alignment horizontal="center"/>
    </xf>
    <xf numFmtId="164" fontId="0" fillId="6" borderId="1" xfId="0" applyNumberFormat="1" applyFill="1" applyBorder="1" applyAlignment="1">
      <alignment horizontal="center"/>
    </xf>
    <xf numFmtId="0" fontId="4" fillId="0" borderId="0" xfId="0" applyFont="1"/>
    <xf numFmtId="164" fontId="0" fillId="7" borderId="1" xfId="0" applyNumberFormat="1" applyFill="1" applyBorder="1" applyAlignment="1">
      <alignment horizontal="center"/>
    </xf>
    <xf numFmtId="164" fontId="2" fillId="4" borderId="1" xfId="0" applyNumberFormat="1" applyFont="1" applyFill="1" applyBorder="1" applyAlignment="1">
      <alignment horizontal="center"/>
    </xf>
    <xf numFmtId="164" fontId="2" fillId="5" borderId="1" xfId="0" applyNumberFormat="1" applyFont="1" applyFill="1" applyBorder="1" applyAlignment="1">
      <alignment horizontal="center"/>
    </xf>
    <xf numFmtId="0" fontId="1" fillId="2" borderId="1" xfId="0" applyFont="1" applyFill="1" applyBorder="1" applyAlignment="1">
      <alignment horizontal="center" textRotation="90" wrapText="1"/>
    </xf>
    <xf numFmtId="0" fontId="1" fillId="0" borderId="1" xfId="0" applyFont="1" applyBorder="1" applyAlignment="1">
      <alignment horizontal="center" textRotation="90" wrapText="1"/>
    </xf>
    <xf numFmtId="0" fontId="0" fillId="0" borderId="1" xfId="0" applyBorder="1" applyAlignment="1">
      <alignment horizontal="center"/>
    </xf>
    <xf numFmtId="0" fontId="0" fillId="0" borderId="1" xfId="0" applyBorder="1"/>
    <xf numFmtId="164" fontId="0" fillId="6" borderId="14" xfId="0" applyNumberFormat="1" applyFill="1" applyBorder="1" applyAlignment="1">
      <alignment horizontal="center"/>
    </xf>
    <xf numFmtId="0" fontId="0" fillId="0" borderId="12" xfId="0" applyBorder="1"/>
    <xf numFmtId="0" fontId="0" fillId="0" borderId="14" xfId="0" applyBorder="1"/>
    <xf numFmtId="0" fontId="0" fillId="0" borderId="13" xfId="0" applyBorder="1"/>
    <xf numFmtId="49" fontId="1" fillId="2" borderId="1" xfId="0" applyNumberFormat="1" applyFont="1" applyFill="1" applyBorder="1" applyAlignment="1">
      <alignment horizontal="center" textRotation="90" wrapText="1"/>
    </xf>
    <xf numFmtId="164" fontId="0" fillId="0" borderId="0" xfId="0" applyNumberFormat="1"/>
    <xf numFmtId="164" fontId="0" fillId="7" borderId="1" xfId="0" applyNumberFormat="1" applyFill="1" applyBorder="1" applyAlignment="1" applyProtection="1">
      <alignment horizontal="center"/>
      <protection locked="0"/>
    </xf>
    <xf numFmtId="164" fontId="2" fillId="4" borderId="1" xfId="0" applyNumberFormat="1" applyFont="1" applyFill="1" applyBorder="1" applyAlignment="1" applyProtection="1">
      <alignment horizontal="center"/>
      <protection locked="0"/>
    </xf>
    <xf numFmtId="164" fontId="2" fillId="5" borderId="1" xfId="0" applyNumberFormat="1" applyFont="1" applyFill="1" applyBorder="1" applyAlignment="1" applyProtection="1">
      <alignment horizontal="center"/>
      <protection locked="0"/>
    </xf>
    <xf numFmtId="164" fontId="0" fillId="6" borderId="1" xfId="0" applyNumberFormat="1" applyFill="1" applyBorder="1" applyAlignment="1" applyProtection="1">
      <alignment horizontal="center"/>
      <protection locked="0"/>
    </xf>
    <xf numFmtId="0" fontId="4" fillId="0" borderId="0" xfId="0" applyFont="1" applyAlignment="1" applyProtection="1">
      <alignment horizontal="center"/>
      <protection locked="0"/>
    </xf>
    <xf numFmtId="0" fontId="4" fillId="0" borderId="0" xfId="0" applyFont="1" applyAlignment="1">
      <alignment horizontal="center"/>
    </xf>
    <xf numFmtId="164" fontId="0" fillId="0" borderId="1" xfId="0" applyNumberFormat="1" applyBorder="1" applyAlignment="1" applyProtection="1">
      <alignment horizontal="center"/>
      <protection locked="0"/>
    </xf>
    <xf numFmtId="0" fontId="0" fillId="0" borderId="0" xfId="0" applyAlignment="1">
      <alignment horizontal="center" vertical="center" wrapText="1"/>
    </xf>
    <xf numFmtId="0" fontId="1" fillId="2" borderId="1" xfId="0" applyFont="1" applyFill="1" applyBorder="1"/>
    <xf numFmtId="0" fontId="0" fillId="0" borderId="8" xfId="0" applyBorder="1" applyAlignment="1">
      <alignment horizontal="center"/>
    </xf>
    <xf numFmtId="1" fontId="0" fillId="0" borderId="8" xfId="0" applyNumberFormat="1" applyBorder="1" applyAlignment="1">
      <alignment horizontal="center"/>
    </xf>
    <xf numFmtId="16" fontId="1" fillId="2" borderId="1" xfId="0" quotePrefix="1" applyNumberFormat="1" applyFont="1" applyFill="1" applyBorder="1"/>
    <xf numFmtId="164" fontId="1" fillId="8" borderId="1" xfId="0" applyNumberFormat="1" applyFont="1" applyFill="1" applyBorder="1" applyAlignment="1">
      <alignment horizontal="center"/>
    </xf>
    <xf numFmtId="0" fontId="1" fillId="2" borderId="1" xfId="0" applyFont="1" applyFill="1" applyBorder="1" applyAlignment="1">
      <alignment horizontal="left"/>
    </xf>
    <xf numFmtId="165" fontId="1" fillId="9" borderId="1" xfId="0" applyNumberFormat="1" applyFont="1" applyFill="1" applyBorder="1" applyAlignment="1">
      <alignment horizontal="center"/>
    </xf>
    <xf numFmtId="165" fontId="0" fillId="10" borderId="1" xfId="0" applyNumberFormat="1" applyFill="1" applyBorder="1" applyAlignment="1">
      <alignment horizontal="center"/>
    </xf>
    <xf numFmtId="165" fontId="0" fillId="0" borderId="1" xfId="0" applyNumberFormat="1" applyBorder="1" applyAlignment="1">
      <alignment horizontal="center"/>
    </xf>
    <xf numFmtId="165" fontId="0" fillId="0" borderId="0" xfId="0" applyNumberFormat="1"/>
    <xf numFmtId="165" fontId="1" fillId="0" borderId="0" xfId="0" applyNumberFormat="1" applyFont="1"/>
    <xf numFmtId="0" fontId="0" fillId="0" borderId="1" xfId="0" applyBorder="1" applyAlignment="1">
      <alignment horizontal="center" vertical="center"/>
    </xf>
    <xf numFmtId="0" fontId="6" fillId="12" borderId="1" xfId="2" applyBorder="1" applyAlignment="1" applyProtection="1">
      <alignment horizontal="center" vertical="center"/>
    </xf>
    <xf numFmtId="0" fontId="0" fillId="14" borderId="1" xfId="0" applyFill="1" applyBorder="1" applyAlignment="1">
      <alignment horizontal="center" vertical="center"/>
    </xf>
    <xf numFmtId="0" fontId="0" fillId="13" borderId="1" xfId="0" applyFill="1" applyBorder="1" applyAlignment="1">
      <alignment horizontal="center" vertical="center"/>
    </xf>
    <xf numFmtId="0" fontId="5" fillId="11" borderId="1" xfId="1" applyBorder="1" applyAlignment="1" applyProtection="1">
      <alignment horizontal="center" vertical="center"/>
    </xf>
    <xf numFmtId="49" fontId="7" fillId="4" borderId="1" xfId="0" applyNumberFormat="1" applyFont="1" applyFill="1" applyBorder="1" applyAlignment="1">
      <alignment horizontal="center" vertical="center"/>
    </xf>
    <xf numFmtId="0" fontId="0" fillId="14" borderId="7" xfId="0" applyFill="1" applyBorder="1"/>
    <xf numFmtId="0" fontId="0" fillId="14" borderId="0" xfId="0" applyFill="1"/>
    <xf numFmtId="164" fontId="2" fillId="0" borderId="1" xfId="0" applyNumberFormat="1" applyFont="1" applyBorder="1" applyAlignment="1">
      <alignment horizontal="center"/>
    </xf>
    <xf numFmtId="10" fontId="0" fillId="0" borderId="1" xfId="0" applyNumberFormat="1" applyBorder="1"/>
    <xf numFmtId="0" fontId="0" fillId="2" borderId="1" xfId="0" applyFill="1" applyBorder="1"/>
    <xf numFmtId="10" fontId="0" fillId="2" borderId="1" xfId="0" applyNumberFormat="1" applyFill="1" applyBorder="1"/>
    <xf numFmtId="10" fontId="0" fillId="0" borderId="0" xfId="0" applyNumberFormat="1"/>
    <xf numFmtId="10" fontId="0" fillId="4" borderId="0" xfId="0" applyNumberFormat="1" applyFill="1"/>
    <xf numFmtId="1" fontId="0" fillId="4" borderId="0" xfId="0" applyNumberFormat="1" applyFill="1"/>
    <xf numFmtId="1" fontId="0" fillId="5" borderId="0" xfId="0" applyNumberFormat="1" applyFill="1"/>
    <xf numFmtId="10" fontId="0" fillId="5" borderId="0" xfId="0" applyNumberFormat="1" applyFill="1"/>
    <xf numFmtId="0" fontId="1" fillId="2" borderId="0" xfId="0" applyFont="1" applyFill="1" applyAlignment="1">
      <alignment horizont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2" borderId="1" xfId="0" applyFont="1" applyFill="1" applyBorder="1" applyAlignment="1">
      <alignment horizontal="center"/>
    </xf>
    <xf numFmtId="164" fontId="0" fillId="15" borderId="0" xfId="0" applyNumberFormat="1" applyFill="1"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3" borderId="1" xfId="0" applyFont="1" applyFill="1" applyBorder="1" applyAlignment="1">
      <alignment horizontal="center"/>
    </xf>
    <xf numFmtId="49" fontId="0" fillId="0" borderId="1" xfId="0" applyNumberFormat="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49" fontId="1" fillId="0" borderId="9" xfId="0" applyNumberFormat="1" applyFont="1" applyBorder="1" applyAlignment="1">
      <alignment horizontal="center"/>
    </xf>
    <xf numFmtId="49" fontId="1" fillId="0" borderId="10" xfId="0" applyNumberFormat="1" applyFont="1" applyBorder="1" applyAlignment="1">
      <alignment horizontal="center"/>
    </xf>
    <xf numFmtId="49" fontId="1" fillId="2" borderId="12" xfId="0" applyNumberFormat="1" applyFont="1" applyFill="1" applyBorder="1" applyAlignment="1">
      <alignment horizontal="center" wrapText="1"/>
    </xf>
    <xf numFmtId="49" fontId="1" fillId="2" borderId="13" xfId="0" applyNumberFormat="1" applyFont="1" applyFill="1" applyBorder="1" applyAlignment="1">
      <alignment horizontal="center"/>
    </xf>
    <xf numFmtId="0" fontId="1" fillId="2" borderId="1" xfId="0" applyFont="1" applyFill="1" applyBorder="1" applyAlignment="1">
      <alignment horizontal="center"/>
    </xf>
    <xf numFmtId="0" fontId="4" fillId="2" borderId="1" xfId="0" applyFont="1" applyFill="1" applyBorder="1" applyAlignment="1">
      <alignment horizontal="center"/>
    </xf>
  </cellXfs>
  <cellStyles count="3">
    <cellStyle name="Bad" xfId="1" builtinId="27"/>
    <cellStyle name="Neutral" xfId="2" builtinId="28"/>
    <cellStyle name="Normal" xfId="0" builtinId="0"/>
  </cellStyles>
  <dxfs count="971">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ams/HFS_Engineering_O365/Shared%20Documents/Engineering/Utilities/2019%20Meter%20Read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18"/>
      <sheetName val="Annual Consumption"/>
      <sheetName val="Jan"/>
      <sheetName val="Feb"/>
      <sheetName val="Mar"/>
      <sheetName val="Apr"/>
      <sheetName val="May"/>
      <sheetName val="Jun"/>
      <sheetName val="Jul"/>
      <sheetName val="Aug"/>
      <sheetName val="Sep"/>
      <sheetName val="Oct"/>
      <sheetName val="Nov"/>
      <sheetName val="Dec"/>
      <sheetName val="Jan 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B5">
            <v>640188</v>
          </cell>
          <cell r="I5">
            <v>18784</v>
          </cell>
          <cell r="J5">
            <v>1418</v>
          </cell>
          <cell r="N5">
            <v>216460</v>
          </cell>
        </row>
        <row r="6">
          <cell r="B6">
            <v>640199</v>
          </cell>
          <cell r="I6">
            <v>18816</v>
          </cell>
          <cell r="J6">
            <v>1422</v>
          </cell>
          <cell r="N6">
            <v>216540</v>
          </cell>
        </row>
        <row r="36">
          <cell r="B36">
            <v>641288</v>
          </cell>
          <cell r="I36">
            <v>19163</v>
          </cell>
          <cell r="J36">
            <v>1474</v>
          </cell>
          <cell r="N36">
            <v>218830</v>
          </cell>
        </row>
      </sheetData>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pageSetUpPr fitToPage="1"/>
  </sheetPr>
  <dimension ref="A1:AO51"/>
  <sheetViews>
    <sheetView zoomScaleNormal="100" workbookViewId="0">
      <selection sqref="A1:A2"/>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8"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93"/>
      <c r="B1" s="87" t="s">
        <v>0</v>
      </c>
      <c r="C1" s="88"/>
      <c r="D1" s="88"/>
      <c r="E1" s="88"/>
      <c r="F1" s="88"/>
      <c r="G1" s="89"/>
      <c r="H1" s="1"/>
      <c r="I1" s="86" t="s">
        <v>1</v>
      </c>
      <c r="J1" s="86"/>
      <c r="K1" s="86"/>
      <c r="L1" s="86"/>
      <c r="M1" s="1"/>
      <c r="N1" s="87" t="s">
        <v>2</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1" x14ac:dyDescent="0.2">
      <c r="A2" s="94"/>
      <c r="B2" s="84" t="s">
        <v>6</v>
      </c>
      <c r="C2" s="84"/>
      <c r="D2" s="84"/>
      <c r="E2" s="90"/>
      <c r="F2" s="91"/>
      <c r="G2" s="92"/>
      <c r="H2" s="2"/>
      <c r="I2" s="84" t="s">
        <v>7</v>
      </c>
      <c r="J2" s="84"/>
      <c r="K2" s="84" t="s">
        <v>8</v>
      </c>
      <c r="L2" s="84"/>
      <c r="M2" s="2"/>
      <c r="N2" s="84" t="s">
        <v>6</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26">
        <f>[1]Dec!B5</f>
        <v>640188</v>
      </c>
      <c r="C5" s="26">
        <v>0</v>
      </c>
      <c r="D5" s="26">
        <v>0</v>
      </c>
      <c r="E5" s="26">
        <v>0</v>
      </c>
      <c r="F5" s="26">
        <v>0</v>
      </c>
      <c r="G5" s="26">
        <v>0</v>
      </c>
      <c r="H5" s="15"/>
      <c r="I5" s="26">
        <f>[1]Dec!I5</f>
        <v>18784</v>
      </c>
      <c r="J5" s="26">
        <f>[1]Dec!J5</f>
        <v>1418</v>
      </c>
      <c r="K5" s="26">
        <v>0</v>
      </c>
      <c r="L5" s="26">
        <v>0</v>
      </c>
      <c r="M5" s="15"/>
      <c r="N5" s="26">
        <f>[1]Dec!N5</f>
        <v>216460</v>
      </c>
      <c r="O5" s="26">
        <v>0</v>
      </c>
      <c r="P5" s="26">
        <v>0</v>
      </c>
      <c r="Q5" s="26">
        <v>0</v>
      </c>
      <c r="R5" s="11"/>
      <c r="S5" s="15"/>
      <c r="T5" s="26">
        <v>0</v>
      </c>
      <c r="U5" s="26">
        <v>0</v>
      </c>
      <c r="V5" s="26">
        <v>0</v>
      </c>
      <c r="X5"/>
    </row>
    <row r="6" spans="1:41" x14ac:dyDescent="0.2">
      <c r="A6" s="7">
        <v>1</v>
      </c>
      <c r="B6" s="11">
        <f>[1]Dec!B6</f>
        <v>640199</v>
      </c>
      <c r="C6" s="14"/>
      <c r="D6" s="14"/>
      <c r="E6" s="66"/>
      <c r="F6" s="14"/>
      <c r="G6" s="14"/>
      <c r="H6" s="15"/>
      <c r="I6" s="11">
        <f>[1]Dec!I6</f>
        <v>18816</v>
      </c>
      <c r="J6" s="11">
        <f>[1]Dec!J6</f>
        <v>1422</v>
      </c>
      <c r="K6" s="14"/>
      <c r="L6" s="11"/>
      <c r="M6" s="15"/>
      <c r="N6" s="11">
        <f>[1]Dec!N6</f>
        <v>216540</v>
      </c>
      <c r="O6" s="66"/>
      <c r="P6" s="66"/>
      <c r="Q6" s="11"/>
      <c r="R6" s="11">
        <f>Q6-Q5</f>
        <v>0</v>
      </c>
      <c r="S6" s="16"/>
      <c r="T6" s="17">
        <v>0</v>
      </c>
      <c r="U6" s="17">
        <v>0</v>
      </c>
      <c r="V6" s="17">
        <v>0</v>
      </c>
      <c r="W6" s="44" t="s">
        <v>30</v>
      </c>
      <c r="X6" s="80">
        <v>1</v>
      </c>
      <c r="Y6" s="11">
        <f>B6-B5</f>
        <v>11</v>
      </c>
      <c r="Z6" s="11">
        <f t="shared" ref="Z6:AD21" si="0">C6-C5</f>
        <v>0</v>
      </c>
      <c r="AA6" s="11">
        <f t="shared" si="0"/>
        <v>0</v>
      </c>
      <c r="AB6" s="11">
        <f t="shared" si="0"/>
        <v>0</v>
      </c>
      <c r="AC6" s="11">
        <f t="shared" si="0"/>
        <v>0</v>
      </c>
      <c r="AD6" s="11">
        <f t="shared" si="0"/>
        <v>0</v>
      </c>
      <c r="AE6" s="34"/>
      <c r="AF6" s="11">
        <f t="shared" ref="AF6:AI21" si="1">I6-I5</f>
        <v>32</v>
      </c>
      <c r="AG6" s="11">
        <f t="shared" si="1"/>
        <v>4</v>
      </c>
      <c r="AH6" s="11">
        <f t="shared" si="1"/>
        <v>0</v>
      </c>
      <c r="AI6" s="11">
        <f t="shared" si="1"/>
        <v>0</v>
      </c>
      <c r="AJ6" s="34"/>
      <c r="AK6" s="11">
        <f t="shared" ref="AK6:AN21" si="2">N6-N5</f>
        <v>80</v>
      </c>
      <c r="AL6" s="11">
        <f t="shared" si="2"/>
        <v>0</v>
      </c>
      <c r="AM6" s="11">
        <f t="shared" si="2"/>
        <v>0</v>
      </c>
      <c r="AN6" s="11">
        <f t="shared" si="2"/>
        <v>0</v>
      </c>
      <c r="AO6" s="34"/>
    </row>
    <row r="7" spans="1:41" x14ac:dyDescent="0.2">
      <c r="A7" s="80">
        <v>2</v>
      </c>
      <c r="B7" s="66"/>
      <c r="C7" s="14"/>
      <c r="D7" s="14"/>
      <c r="E7" s="66"/>
      <c r="F7" s="14"/>
      <c r="G7" s="14"/>
      <c r="H7" s="15"/>
      <c r="I7" s="66"/>
      <c r="J7" s="11"/>
      <c r="K7" s="14"/>
      <c r="L7" s="11"/>
      <c r="M7" s="15"/>
      <c r="N7" s="66"/>
      <c r="O7" s="66"/>
      <c r="P7" s="66"/>
      <c r="Q7" s="11"/>
      <c r="R7" s="11">
        <f t="shared" ref="R7:R36" si="3">Q7-Q6</f>
        <v>0</v>
      </c>
      <c r="S7" s="16"/>
      <c r="T7" s="17"/>
      <c r="U7" s="17"/>
      <c r="V7" s="17"/>
      <c r="W7" s="44" t="s">
        <v>30</v>
      </c>
      <c r="X7" s="80">
        <v>2</v>
      </c>
      <c r="Y7" s="11">
        <f t="shared" ref="Y7:AD33" si="4">B7-B6</f>
        <v>-640199</v>
      </c>
      <c r="Z7" s="11">
        <f t="shared" si="0"/>
        <v>0</v>
      </c>
      <c r="AA7" s="11">
        <f t="shared" si="0"/>
        <v>0</v>
      </c>
      <c r="AB7" s="11">
        <f t="shared" si="0"/>
        <v>0</v>
      </c>
      <c r="AC7" s="11">
        <f t="shared" si="0"/>
        <v>0</v>
      </c>
      <c r="AD7" s="11">
        <f t="shared" si="0"/>
        <v>0</v>
      </c>
      <c r="AE7" s="34"/>
      <c r="AF7" s="11">
        <f t="shared" si="1"/>
        <v>-18816</v>
      </c>
      <c r="AG7" s="11">
        <f t="shared" si="1"/>
        <v>-1422</v>
      </c>
      <c r="AH7" s="11">
        <f t="shared" si="1"/>
        <v>0</v>
      </c>
      <c r="AI7" s="11">
        <f t="shared" si="1"/>
        <v>0</v>
      </c>
      <c r="AJ7" s="34"/>
      <c r="AK7" s="11">
        <f t="shared" si="2"/>
        <v>-216540</v>
      </c>
      <c r="AL7" s="11">
        <f t="shared" si="2"/>
        <v>0</v>
      </c>
      <c r="AM7" s="11">
        <f t="shared" si="2"/>
        <v>0</v>
      </c>
      <c r="AN7" s="11">
        <f t="shared" si="2"/>
        <v>0</v>
      </c>
      <c r="AO7" s="35"/>
    </row>
    <row r="8" spans="1:41" x14ac:dyDescent="0.2">
      <c r="A8" s="80">
        <v>3</v>
      </c>
      <c r="B8" s="66"/>
      <c r="C8" s="14"/>
      <c r="D8" s="14"/>
      <c r="E8" s="66"/>
      <c r="F8" s="14"/>
      <c r="G8" s="14"/>
      <c r="H8" s="15"/>
      <c r="I8" s="66"/>
      <c r="J8" s="11"/>
      <c r="K8" s="14"/>
      <c r="L8" s="11"/>
      <c r="M8" s="15"/>
      <c r="N8" s="66"/>
      <c r="O8" s="66"/>
      <c r="P8" s="66"/>
      <c r="Q8" s="11"/>
      <c r="R8" s="11">
        <f t="shared" si="3"/>
        <v>0</v>
      </c>
      <c r="S8" s="16"/>
      <c r="T8" s="17"/>
      <c r="U8" s="17"/>
      <c r="V8" s="17"/>
      <c r="W8" s="44" t="s">
        <v>30</v>
      </c>
      <c r="X8" s="80">
        <v>3</v>
      </c>
      <c r="Y8" s="11">
        <f t="shared" si="4"/>
        <v>0</v>
      </c>
      <c r="Z8" s="11">
        <f t="shared" si="0"/>
        <v>0</v>
      </c>
      <c r="AA8" s="11">
        <f t="shared" si="0"/>
        <v>0</v>
      </c>
      <c r="AB8" s="11">
        <f t="shared" si="0"/>
        <v>0</v>
      </c>
      <c r="AC8" s="11">
        <f t="shared" si="0"/>
        <v>0</v>
      </c>
      <c r="AD8" s="11">
        <f t="shared" si="0"/>
        <v>0</v>
      </c>
      <c r="AE8" s="34"/>
      <c r="AF8" s="11">
        <f t="shared" si="1"/>
        <v>0</v>
      </c>
      <c r="AG8" s="11">
        <f t="shared" si="1"/>
        <v>0</v>
      </c>
      <c r="AH8" s="11">
        <f t="shared" si="1"/>
        <v>0</v>
      </c>
      <c r="AI8" s="11">
        <f t="shared" si="1"/>
        <v>0</v>
      </c>
      <c r="AJ8" s="34"/>
      <c r="AK8" s="11">
        <f t="shared" si="2"/>
        <v>0</v>
      </c>
      <c r="AL8" s="11">
        <f t="shared" si="2"/>
        <v>0</v>
      </c>
      <c r="AM8" s="11">
        <f t="shared" si="2"/>
        <v>0</v>
      </c>
      <c r="AN8" s="11">
        <f t="shared" si="2"/>
        <v>0</v>
      </c>
      <c r="AO8" s="35"/>
    </row>
    <row r="9" spans="1:41" x14ac:dyDescent="0.2">
      <c r="A9" s="80">
        <v>4</v>
      </c>
      <c r="B9" s="66"/>
      <c r="C9" s="14"/>
      <c r="D9" s="14"/>
      <c r="E9" s="66"/>
      <c r="F9" s="14"/>
      <c r="G9" s="14"/>
      <c r="H9" s="15"/>
      <c r="I9" s="66"/>
      <c r="J9" s="11"/>
      <c r="K9" s="14"/>
      <c r="L9" s="11"/>
      <c r="M9" s="15"/>
      <c r="N9" s="66"/>
      <c r="O9" s="66"/>
      <c r="P9" s="66"/>
      <c r="Q9" s="11"/>
      <c r="R9" s="11">
        <f t="shared" si="3"/>
        <v>0</v>
      </c>
      <c r="S9" s="16"/>
      <c r="T9" s="17"/>
      <c r="U9" s="17"/>
      <c r="V9" s="17"/>
      <c r="W9" s="44" t="s">
        <v>30</v>
      </c>
      <c r="X9" s="80">
        <v>4</v>
      </c>
      <c r="Y9" s="11">
        <f t="shared" si="4"/>
        <v>0</v>
      </c>
      <c r="Z9" s="11">
        <f t="shared" si="0"/>
        <v>0</v>
      </c>
      <c r="AA9" s="11">
        <f t="shared" si="0"/>
        <v>0</v>
      </c>
      <c r="AB9" s="11">
        <f t="shared" si="0"/>
        <v>0</v>
      </c>
      <c r="AC9" s="11">
        <f t="shared" si="0"/>
        <v>0</v>
      </c>
      <c r="AD9" s="11">
        <f t="shared" si="0"/>
        <v>0</v>
      </c>
      <c r="AE9" s="34"/>
      <c r="AF9" s="11">
        <f t="shared" si="1"/>
        <v>0</v>
      </c>
      <c r="AG9" s="11">
        <f t="shared" si="1"/>
        <v>0</v>
      </c>
      <c r="AH9" s="11">
        <f t="shared" si="1"/>
        <v>0</v>
      </c>
      <c r="AI9" s="11">
        <f t="shared" si="1"/>
        <v>0</v>
      </c>
      <c r="AJ9" s="34"/>
      <c r="AK9" s="11">
        <f t="shared" si="2"/>
        <v>0</v>
      </c>
      <c r="AL9" s="11">
        <f t="shared" si="2"/>
        <v>0</v>
      </c>
      <c r="AM9" s="11">
        <f t="shared" si="2"/>
        <v>0</v>
      </c>
      <c r="AN9" s="11">
        <f t="shared" si="2"/>
        <v>0</v>
      </c>
      <c r="AO9" s="35"/>
    </row>
    <row r="10" spans="1:41" x14ac:dyDescent="0.2">
      <c r="A10" s="80">
        <v>5</v>
      </c>
      <c r="B10" s="66"/>
      <c r="C10" s="14"/>
      <c r="D10" s="14"/>
      <c r="E10" s="66"/>
      <c r="F10" s="14"/>
      <c r="G10" s="14"/>
      <c r="H10" s="15"/>
      <c r="I10" s="66"/>
      <c r="J10" s="11"/>
      <c r="K10" s="14"/>
      <c r="L10" s="11"/>
      <c r="M10" s="15"/>
      <c r="N10" s="66"/>
      <c r="O10" s="66"/>
      <c r="P10" s="66"/>
      <c r="Q10" s="11"/>
      <c r="R10" s="11">
        <f t="shared" si="3"/>
        <v>0</v>
      </c>
      <c r="S10" s="16"/>
      <c r="T10" s="17"/>
      <c r="U10" s="17"/>
      <c r="V10" s="17"/>
      <c r="W10" s="44" t="s">
        <v>30</v>
      </c>
      <c r="X10" s="80">
        <v>5</v>
      </c>
      <c r="Y10" s="11">
        <f t="shared" si="4"/>
        <v>0</v>
      </c>
      <c r="Z10" s="11">
        <f t="shared" si="0"/>
        <v>0</v>
      </c>
      <c r="AA10" s="11">
        <f t="shared" si="0"/>
        <v>0</v>
      </c>
      <c r="AB10" s="11">
        <f t="shared" si="0"/>
        <v>0</v>
      </c>
      <c r="AC10" s="11">
        <f t="shared" si="0"/>
        <v>0</v>
      </c>
      <c r="AD10" s="11">
        <f t="shared" si="0"/>
        <v>0</v>
      </c>
      <c r="AE10" s="34"/>
      <c r="AF10" s="11">
        <f t="shared" si="1"/>
        <v>0</v>
      </c>
      <c r="AG10" s="11">
        <f t="shared" si="1"/>
        <v>0</v>
      </c>
      <c r="AH10" s="11">
        <f t="shared" si="1"/>
        <v>0</v>
      </c>
      <c r="AI10" s="11">
        <f t="shared" si="1"/>
        <v>0</v>
      </c>
      <c r="AJ10" s="34"/>
      <c r="AK10" s="11">
        <f t="shared" si="2"/>
        <v>0</v>
      </c>
      <c r="AL10" s="11">
        <f t="shared" si="2"/>
        <v>0</v>
      </c>
      <c r="AM10" s="11">
        <f t="shared" si="2"/>
        <v>0</v>
      </c>
      <c r="AN10" s="11">
        <f t="shared" si="2"/>
        <v>0</v>
      </c>
      <c r="AO10" s="35"/>
    </row>
    <row r="11" spans="1:41" x14ac:dyDescent="0.2">
      <c r="A11" s="80">
        <v>6</v>
      </c>
      <c r="B11" s="66"/>
      <c r="C11" s="14"/>
      <c r="D11" s="14"/>
      <c r="E11" s="66"/>
      <c r="F11" s="14"/>
      <c r="G11" s="14"/>
      <c r="H11" s="15"/>
      <c r="I11" s="66"/>
      <c r="J11" s="11"/>
      <c r="K11" s="14"/>
      <c r="L11" s="11"/>
      <c r="M11" s="15"/>
      <c r="N11" s="66"/>
      <c r="O11" s="66"/>
      <c r="P11" s="66"/>
      <c r="Q11" s="11"/>
      <c r="R11" s="11">
        <f t="shared" si="3"/>
        <v>0</v>
      </c>
      <c r="S11" s="16"/>
      <c r="T11" s="17"/>
      <c r="U11" s="17"/>
      <c r="V11" s="17"/>
      <c r="W11" s="44" t="s">
        <v>30</v>
      </c>
      <c r="X11" s="80">
        <v>6</v>
      </c>
      <c r="Y11" s="11">
        <f t="shared" si="4"/>
        <v>0</v>
      </c>
      <c r="Z11" s="11">
        <f t="shared" si="0"/>
        <v>0</v>
      </c>
      <c r="AA11" s="11">
        <f t="shared" si="0"/>
        <v>0</v>
      </c>
      <c r="AB11" s="11">
        <f t="shared" si="0"/>
        <v>0</v>
      </c>
      <c r="AC11" s="11">
        <f t="shared" si="0"/>
        <v>0</v>
      </c>
      <c r="AD11" s="11">
        <f t="shared" si="0"/>
        <v>0</v>
      </c>
      <c r="AE11" s="34"/>
      <c r="AF11" s="11">
        <f t="shared" si="1"/>
        <v>0</v>
      </c>
      <c r="AG11" s="11">
        <f t="shared" si="1"/>
        <v>0</v>
      </c>
      <c r="AH11" s="11">
        <f t="shared" si="1"/>
        <v>0</v>
      </c>
      <c r="AI11" s="11">
        <f t="shared" si="1"/>
        <v>0</v>
      </c>
      <c r="AJ11" s="34"/>
      <c r="AK11" s="11">
        <f t="shared" si="2"/>
        <v>0</v>
      </c>
      <c r="AL11" s="11">
        <f t="shared" si="2"/>
        <v>0</v>
      </c>
      <c r="AM11" s="11">
        <f t="shared" si="2"/>
        <v>0</v>
      </c>
      <c r="AN11" s="11">
        <f t="shared" si="2"/>
        <v>0</v>
      </c>
      <c r="AO11" s="35"/>
    </row>
    <row r="12" spans="1:41" x14ac:dyDescent="0.2">
      <c r="A12" s="80">
        <v>7</v>
      </c>
      <c r="B12" s="66"/>
      <c r="C12" s="14"/>
      <c r="D12" s="14"/>
      <c r="E12" s="66"/>
      <c r="F12" s="14"/>
      <c r="G12" s="14"/>
      <c r="H12" s="15"/>
      <c r="I12" s="66"/>
      <c r="J12" s="11"/>
      <c r="K12" s="14"/>
      <c r="L12" s="11"/>
      <c r="M12" s="15"/>
      <c r="N12" s="66"/>
      <c r="O12" s="66"/>
      <c r="P12" s="66"/>
      <c r="Q12" s="11"/>
      <c r="R12" s="11">
        <f t="shared" si="3"/>
        <v>0</v>
      </c>
      <c r="S12" s="16"/>
      <c r="T12" s="17"/>
      <c r="U12" s="17"/>
      <c r="V12" s="17"/>
      <c r="W12" s="44" t="s">
        <v>30</v>
      </c>
      <c r="X12" s="80">
        <v>7</v>
      </c>
      <c r="Y12" s="11">
        <f t="shared" si="4"/>
        <v>0</v>
      </c>
      <c r="Z12" s="11">
        <f t="shared" si="0"/>
        <v>0</v>
      </c>
      <c r="AA12" s="11">
        <f t="shared" si="0"/>
        <v>0</v>
      </c>
      <c r="AB12" s="11">
        <f t="shared" si="0"/>
        <v>0</v>
      </c>
      <c r="AC12" s="11">
        <f t="shared" si="0"/>
        <v>0</v>
      </c>
      <c r="AD12" s="11">
        <f t="shared" si="0"/>
        <v>0</v>
      </c>
      <c r="AE12" s="34"/>
      <c r="AF12" s="11">
        <f t="shared" si="1"/>
        <v>0</v>
      </c>
      <c r="AG12" s="11">
        <f t="shared" si="1"/>
        <v>0</v>
      </c>
      <c r="AH12" s="11">
        <f t="shared" si="1"/>
        <v>0</v>
      </c>
      <c r="AI12" s="11">
        <f t="shared" si="1"/>
        <v>0</v>
      </c>
      <c r="AJ12" s="34"/>
      <c r="AK12" s="11">
        <f t="shared" si="2"/>
        <v>0</v>
      </c>
      <c r="AL12" s="11">
        <f t="shared" si="2"/>
        <v>0</v>
      </c>
      <c r="AM12" s="11">
        <f t="shared" si="2"/>
        <v>0</v>
      </c>
      <c r="AN12" s="11">
        <f t="shared" si="2"/>
        <v>0</v>
      </c>
      <c r="AO12" s="35"/>
    </row>
    <row r="13" spans="1:41" x14ac:dyDescent="0.2">
      <c r="A13" s="80">
        <v>8</v>
      </c>
      <c r="B13" s="66"/>
      <c r="C13" s="14"/>
      <c r="D13" s="14"/>
      <c r="E13" s="66"/>
      <c r="F13" s="14"/>
      <c r="G13" s="14"/>
      <c r="H13" s="15"/>
      <c r="I13" s="66"/>
      <c r="J13" s="11"/>
      <c r="K13" s="14"/>
      <c r="L13" s="11"/>
      <c r="M13" s="15"/>
      <c r="N13" s="66"/>
      <c r="O13" s="66"/>
      <c r="P13" s="66"/>
      <c r="Q13" s="11"/>
      <c r="R13" s="11">
        <f t="shared" si="3"/>
        <v>0</v>
      </c>
      <c r="S13" s="16"/>
      <c r="T13" s="17"/>
      <c r="U13" s="17"/>
      <c r="V13" s="17"/>
      <c r="W13" s="44" t="s">
        <v>30</v>
      </c>
      <c r="X13" s="80">
        <v>8</v>
      </c>
      <c r="Y13" s="11">
        <f t="shared" si="4"/>
        <v>0</v>
      </c>
      <c r="Z13" s="11">
        <f t="shared" si="0"/>
        <v>0</v>
      </c>
      <c r="AA13" s="11">
        <f t="shared" si="0"/>
        <v>0</v>
      </c>
      <c r="AB13" s="11">
        <f t="shared" si="0"/>
        <v>0</v>
      </c>
      <c r="AC13" s="11">
        <f t="shared" si="0"/>
        <v>0</v>
      </c>
      <c r="AD13" s="11">
        <f t="shared" si="0"/>
        <v>0</v>
      </c>
      <c r="AE13" s="34"/>
      <c r="AF13" s="11">
        <f t="shared" si="1"/>
        <v>0</v>
      </c>
      <c r="AG13" s="11">
        <f t="shared" si="1"/>
        <v>0</v>
      </c>
      <c r="AH13" s="11">
        <f t="shared" si="1"/>
        <v>0</v>
      </c>
      <c r="AI13" s="11">
        <f t="shared" si="1"/>
        <v>0</v>
      </c>
      <c r="AJ13" s="34"/>
      <c r="AK13" s="11">
        <f t="shared" si="2"/>
        <v>0</v>
      </c>
      <c r="AL13" s="11">
        <f t="shared" si="2"/>
        <v>0</v>
      </c>
      <c r="AM13" s="11">
        <f t="shared" si="2"/>
        <v>0</v>
      </c>
      <c r="AN13" s="11">
        <f t="shared" si="2"/>
        <v>0</v>
      </c>
      <c r="AO13" s="35"/>
    </row>
    <row r="14" spans="1:41" x14ac:dyDescent="0.2">
      <c r="A14" s="80">
        <v>9</v>
      </c>
      <c r="B14" s="66"/>
      <c r="C14" s="14"/>
      <c r="D14" s="14"/>
      <c r="E14" s="66"/>
      <c r="F14" s="14"/>
      <c r="G14" s="14"/>
      <c r="H14" s="15"/>
      <c r="I14" s="66"/>
      <c r="J14" s="11"/>
      <c r="K14" s="14"/>
      <c r="L14" s="11"/>
      <c r="M14" s="15"/>
      <c r="N14" s="66"/>
      <c r="O14" s="66"/>
      <c r="P14" s="66"/>
      <c r="Q14" s="11"/>
      <c r="R14" s="11">
        <f t="shared" si="3"/>
        <v>0</v>
      </c>
      <c r="S14" s="16"/>
      <c r="T14" s="17"/>
      <c r="U14" s="17"/>
      <c r="V14" s="17"/>
      <c r="W14" s="44" t="s">
        <v>30</v>
      </c>
      <c r="X14" s="80">
        <v>9</v>
      </c>
      <c r="Y14" s="11">
        <f t="shared" si="4"/>
        <v>0</v>
      </c>
      <c r="Z14" s="11">
        <f t="shared" si="0"/>
        <v>0</v>
      </c>
      <c r="AA14" s="11">
        <f t="shared" si="0"/>
        <v>0</v>
      </c>
      <c r="AB14" s="11">
        <f t="shared" si="0"/>
        <v>0</v>
      </c>
      <c r="AC14" s="11">
        <f t="shared" si="0"/>
        <v>0</v>
      </c>
      <c r="AD14" s="11">
        <f t="shared" si="0"/>
        <v>0</v>
      </c>
      <c r="AE14" s="34"/>
      <c r="AF14" s="11">
        <f t="shared" si="1"/>
        <v>0</v>
      </c>
      <c r="AG14" s="11">
        <f t="shared" si="1"/>
        <v>0</v>
      </c>
      <c r="AH14" s="11">
        <f t="shared" si="1"/>
        <v>0</v>
      </c>
      <c r="AI14" s="11">
        <f t="shared" si="1"/>
        <v>0</v>
      </c>
      <c r="AJ14" s="34"/>
      <c r="AK14" s="11">
        <f t="shared" si="2"/>
        <v>0</v>
      </c>
      <c r="AL14" s="11">
        <f t="shared" si="2"/>
        <v>0</v>
      </c>
      <c r="AM14" s="11">
        <f t="shared" si="2"/>
        <v>0</v>
      </c>
      <c r="AN14" s="11">
        <f t="shared" si="2"/>
        <v>0</v>
      </c>
      <c r="AO14" s="35"/>
    </row>
    <row r="15" spans="1:41" x14ac:dyDescent="0.2">
      <c r="A15" s="80">
        <v>10</v>
      </c>
      <c r="B15" s="66"/>
      <c r="C15" s="14"/>
      <c r="D15" s="14"/>
      <c r="E15" s="66"/>
      <c r="F15" s="14"/>
      <c r="G15" s="14"/>
      <c r="H15" s="15"/>
      <c r="I15" s="66"/>
      <c r="J15" s="11"/>
      <c r="K15" s="14"/>
      <c r="L15" s="11"/>
      <c r="M15" s="15"/>
      <c r="N15" s="66"/>
      <c r="O15" s="66"/>
      <c r="P15" s="66"/>
      <c r="Q15" s="11"/>
      <c r="R15" s="11">
        <f t="shared" si="3"/>
        <v>0</v>
      </c>
      <c r="S15" s="16"/>
      <c r="T15" s="17"/>
      <c r="U15" s="17"/>
      <c r="V15" s="17"/>
      <c r="W15" s="44" t="s">
        <v>30</v>
      </c>
      <c r="X15" s="80">
        <v>10</v>
      </c>
      <c r="Y15" s="11">
        <f t="shared" si="4"/>
        <v>0</v>
      </c>
      <c r="Z15" s="11">
        <f t="shared" si="0"/>
        <v>0</v>
      </c>
      <c r="AA15" s="11">
        <f t="shared" si="0"/>
        <v>0</v>
      </c>
      <c r="AB15" s="11">
        <f t="shared" si="0"/>
        <v>0</v>
      </c>
      <c r="AC15" s="11">
        <f t="shared" si="0"/>
        <v>0</v>
      </c>
      <c r="AD15" s="11">
        <f t="shared" si="0"/>
        <v>0</v>
      </c>
      <c r="AE15" s="34"/>
      <c r="AF15" s="11">
        <f t="shared" si="1"/>
        <v>0</v>
      </c>
      <c r="AG15" s="11">
        <f t="shared" si="1"/>
        <v>0</v>
      </c>
      <c r="AH15" s="11">
        <f t="shared" si="1"/>
        <v>0</v>
      </c>
      <c r="AI15" s="11">
        <f t="shared" si="1"/>
        <v>0</v>
      </c>
      <c r="AJ15" s="34"/>
      <c r="AK15" s="11">
        <f t="shared" si="2"/>
        <v>0</v>
      </c>
      <c r="AL15" s="11">
        <f t="shared" si="2"/>
        <v>0</v>
      </c>
      <c r="AM15" s="11">
        <f t="shared" si="2"/>
        <v>0</v>
      </c>
      <c r="AN15" s="11">
        <f t="shared" si="2"/>
        <v>0</v>
      </c>
      <c r="AO15" s="35"/>
    </row>
    <row r="16" spans="1:41" x14ac:dyDescent="0.2">
      <c r="A16" s="80">
        <v>11</v>
      </c>
      <c r="B16" s="66"/>
      <c r="C16" s="14"/>
      <c r="D16" s="14"/>
      <c r="E16" s="66"/>
      <c r="F16" s="14"/>
      <c r="G16" s="14"/>
      <c r="H16" s="15"/>
      <c r="I16" s="66"/>
      <c r="J16" s="11"/>
      <c r="K16" s="14"/>
      <c r="L16" s="11"/>
      <c r="M16" s="15"/>
      <c r="N16" s="66"/>
      <c r="O16" s="66"/>
      <c r="P16" s="66"/>
      <c r="Q16" s="11"/>
      <c r="R16" s="11">
        <f t="shared" si="3"/>
        <v>0</v>
      </c>
      <c r="S16" s="16"/>
      <c r="T16" s="17"/>
      <c r="U16" s="17"/>
      <c r="V16" s="17"/>
      <c r="W16" s="44" t="s">
        <v>30</v>
      </c>
      <c r="X16" s="80">
        <v>11</v>
      </c>
      <c r="Y16" s="11">
        <f t="shared" si="4"/>
        <v>0</v>
      </c>
      <c r="Z16" s="11">
        <f t="shared" si="0"/>
        <v>0</v>
      </c>
      <c r="AA16" s="11">
        <f t="shared" si="0"/>
        <v>0</v>
      </c>
      <c r="AB16" s="11">
        <f t="shared" si="0"/>
        <v>0</v>
      </c>
      <c r="AC16" s="11">
        <f t="shared" si="0"/>
        <v>0</v>
      </c>
      <c r="AD16" s="11">
        <f t="shared" si="0"/>
        <v>0</v>
      </c>
      <c r="AE16" s="34"/>
      <c r="AF16" s="11">
        <f t="shared" si="1"/>
        <v>0</v>
      </c>
      <c r="AG16" s="11">
        <f t="shared" si="1"/>
        <v>0</v>
      </c>
      <c r="AH16" s="11">
        <f t="shared" si="1"/>
        <v>0</v>
      </c>
      <c r="AI16" s="11">
        <f t="shared" si="1"/>
        <v>0</v>
      </c>
      <c r="AJ16" s="34"/>
      <c r="AK16" s="11">
        <f t="shared" si="2"/>
        <v>0</v>
      </c>
      <c r="AL16" s="11">
        <f t="shared" si="2"/>
        <v>0</v>
      </c>
      <c r="AM16" s="11">
        <f t="shared" si="2"/>
        <v>0</v>
      </c>
      <c r="AN16" s="11">
        <f t="shared" si="2"/>
        <v>0</v>
      </c>
      <c r="AO16" s="35"/>
    </row>
    <row r="17" spans="1:41" x14ac:dyDescent="0.2">
      <c r="A17" s="80">
        <v>12</v>
      </c>
      <c r="B17" s="66"/>
      <c r="C17" s="14"/>
      <c r="D17" s="14"/>
      <c r="E17" s="66"/>
      <c r="F17" s="14"/>
      <c r="G17" s="14"/>
      <c r="H17" s="15"/>
      <c r="I17" s="66"/>
      <c r="J17" s="11"/>
      <c r="K17" s="14"/>
      <c r="L17" s="11"/>
      <c r="M17" s="15"/>
      <c r="N17" s="66"/>
      <c r="O17" s="66"/>
      <c r="P17" s="66"/>
      <c r="Q17" s="11"/>
      <c r="R17" s="11">
        <f t="shared" si="3"/>
        <v>0</v>
      </c>
      <c r="S17" s="16"/>
      <c r="T17" s="17"/>
      <c r="U17" s="17"/>
      <c r="V17" s="17"/>
      <c r="W17" s="44" t="s">
        <v>30</v>
      </c>
      <c r="X17" s="80">
        <v>12</v>
      </c>
      <c r="Y17" s="11">
        <f t="shared" si="4"/>
        <v>0</v>
      </c>
      <c r="Z17" s="11">
        <f t="shared" si="0"/>
        <v>0</v>
      </c>
      <c r="AA17" s="11">
        <f t="shared" si="0"/>
        <v>0</v>
      </c>
      <c r="AB17" s="11">
        <f t="shared" si="0"/>
        <v>0</v>
      </c>
      <c r="AC17" s="11">
        <f t="shared" si="0"/>
        <v>0</v>
      </c>
      <c r="AD17" s="11">
        <f t="shared" si="0"/>
        <v>0</v>
      </c>
      <c r="AE17" s="34"/>
      <c r="AF17" s="11">
        <f t="shared" si="1"/>
        <v>0</v>
      </c>
      <c r="AG17" s="11">
        <f t="shared" si="1"/>
        <v>0</v>
      </c>
      <c r="AH17" s="11">
        <f t="shared" si="1"/>
        <v>0</v>
      </c>
      <c r="AI17" s="11">
        <f t="shared" si="1"/>
        <v>0</v>
      </c>
      <c r="AJ17" s="34"/>
      <c r="AK17" s="11">
        <f t="shared" si="2"/>
        <v>0</v>
      </c>
      <c r="AL17" s="11">
        <f t="shared" si="2"/>
        <v>0</v>
      </c>
      <c r="AM17" s="11">
        <f t="shared" si="2"/>
        <v>0</v>
      </c>
      <c r="AN17" s="11">
        <f t="shared" si="2"/>
        <v>0</v>
      </c>
      <c r="AO17" s="35"/>
    </row>
    <row r="18" spans="1:41" x14ac:dyDescent="0.2">
      <c r="A18" s="80">
        <v>13</v>
      </c>
      <c r="B18" s="66"/>
      <c r="C18" s="14"/>
      <c r="D18" s="14"/>
      <c r="E18" s="66"/>
      <c r="F18" s="14"/>
      <c r="G18" s="14"/>
      <c r="H18" s="15"/>
      <c r="I18" s="66"/>
      <c r="J18" s="11"/>
      <c r="K18" s="14"/>
      <c r="L18" s="11"/>
      <c r="M18" s="15"/>
      <c r="N18" s="66"/>
      <c r="O18" s="66"/>
      <c r="P18" s="66"/>
      <c r="Q18" s="11"/>
      <c r="R18" s="11">
        <f t="shared" si="3"/>
        <v>0</v>
      </c>
      <c r="S18" s="16"/>
      <c r="T18" s="17"/>
      <c r="U18" s="17"/>
      <c r="V18" s="17"/>
      <c r="W18" s="44" t="s">
        <v>30</v>
      </c>
      <c r="X18" s="80">
        <v>13</v>
      </c>
      <c r="Y18" s="11">
        <f t="shared" si="4"/>
        <v>0</v>
      </c>
      <c r="Z18" s="11">
        <f t="shared" si="0"/>
        <v>0</v>
      </c>
      <c r="AA18" s="11">
        <f t="shared" si="0"/>
        <v>0</v>
      </c>
      <c r="AB18" s="11">
        <f t="shared" si="0"/>
        <v>0</v>
      </c>
      <c r="AC18" s="11">
        <f t="shared" si="0"/>
        <v>0</v>
      </c>
      <c r="AD18" s="11">
        <f t="shared" si="0"/>
        <v>0</v>
      </c>
      <c r="AE18" s="34"/>
      <c r="AF18" s="11">
        <f t="shared" si="1"/>
        <v>0</v>
      </c>
      <c r="AG18" s="11">
        <f t="shared" si="1"/>
        <v>0</v>
      </c>
      <c r="AH18" s="11">
        <f t="shared" si="1"/>
        <v>0</v>
      </c>
      <c r="AI18" s="11">
        <f t="shared" si="1"/>
        <v>0</v>
      </c>
      <c r="AJ18" s="34"/>
      <c r="AK18" s="11">
        <f t="shared" si="2"/>
        <v>0</v>
      </c>
      <c r="AL18" s="11">
        <f t="shared" si="2"/>
        <v>0</v>
      </c>
      <c r="AM18" s="11">
        <f t="shared" si="2"/>
        <v>0</v>
      </c>
      <c r="AN18" s="11">
        <f t="shared" si="2"/>
        <v>0</v>
      </c>
      <c r="AO18" s="35"/>
    </row>
    <row r="19" spans="1:41" x14ac:dyDescent="0.2">
      <c r="A19" s="80">
        <v>14</v>
      </c>
      <c r="B19" s="66"/>
      <c r="C19" s="14"/>
      <c r="D19" s="14"/>
      <c r="E19" s="66"/>
      <c r="F19" s="14"/>
      <c r="G19" s="14"/>
      <c r="H19" s="15"/>
      <c r="I19" s="66"/>
      <c r="J19" s="11"/>
      <c r="K19" s="11"/>
      <c r="L19" s="11"/>
      <c r="M19" s="15"/>
      <c r="N19" s="66"/>
      <c r="O19" s="66"/>
      <c r="P19" s="66"/>
      <c r="Q19" s="11"/>
      <c r="R19" s="11">
        <f t="shared" si="3"/>
        <v>0</v>
      </c>
      <c r="S19" s="16"/>
      <c r="T19" s="17"/>
      <c r="U19" s="17"/>
      <c r="V19" s="17"/>
      <c r="W19" s="44" t="s">
        <v>30</v>
      </c>
      <c r="X19" s="80">
        <v>14</v>
      </c>
      <c r="Y19" s="11">
        <f t="shared" si="4"/>
        <v>0</v>
      </c>
      <c r="Z19" s="11">
        <f t="shared" si="0"/>
        <v>0</v>
      </c>
      <c r="AA19" s="11">
        <f t="shared" si="0"/>
        <v>0</v>
      </c>
      <c r="AB19" s="11">
        <f t="shared" si="0"/>
        <v>0</v>
      </c>
      <c r="AC19" s="11">
        <f t="shared" si="0"/>
        <v>0</v>
      </c>
      <c r="AD19" s="11">
        <f t="shared" si="0"/>
        <v>0</v>
      </c>
      <c r="AE19" s="34"/>
      <c r="AF19" s="11">
        <f t="shared" si="1"/>
        <v>0</v>
      </c>
      <c r="AG19" s="11">
        <f t="shared" si="1"/>
        <v>0</v>
      </c>
      <c r="AH19" s="11">
        <f t="shared" si="1"/>
        <v>0</v>
      </c>
      <c r="AI19" s="11">
        <f t="shared" si="1"/>
        <v>0</v>
      </c>
      <c r="AJ19" s="34"/>
      <c r="AK19" s="11">
        <f t="shared" si="2"/>
        <v>0</v>
      </c>
      <c r="AL19" s="11">
        <f t="shared" si="2"/>
        <v>0</v>
      </c>
      <c r="AM19" s="11">
        <f t="shared" si="2"/>
        <v>0</v>
      </c>
      <c r="AN19" s="11">
        <f t="shared" si="2"/>
        <v>0</v>
      </c>
      <c r="AO19" s="35"/>
    </row>
    <row r="20" spans="1:41" x14ac:dyDescent="0.2">
      <c r="A20" s="80">
        <v>15</v>
      </c>
      <c r="B20" s="66"/>
      <c r="C20" s="14"/>
      <c r="D20" s="14"/>
      <c r="E20" s="66"/>
      <c r="F20" s="14"/>
      <c r="G20" s="14"/>
      <c r="H20" s="15"/>
      <c r="I20" s="66"/>
      <c r="J20" s="11"/>
      <c r="K20" s="11"/>
      <c r="L20" s="11"/>
      <c r="M20" s="15"/>
      <c r="N20" s="66"/>
      <c r="O20" s="66"/>
      <c r="P20" s="66"/>
      <c r="Q20" s="11"/>
      <c r="R20" s="11">
        <f t="shared" si="3"/>
        <v>0</v>
      </c>
      <c r="S20" s="16"/>
      <c r="T20" s="17"/>
      <c r="U20" s="17"/>
      <c r="V20" s="17"/>
      <c r="W20" s="44" t="s">
        <v>30</v>
      </c>
      <c r="X20" s="80">
        <v>15</v>
      </c>
      <c r="Y20" s="11">
        <f t="shared" si="4"/>
        <v>0</v>
      </c>
      <c r="Z20" s="11">
        <f t="shared" si="0"/>
        <v>0</v>
      </c>
      <c r="AA20" s="11">
        <f t="shared" si="0"/>
        <v>0</v>
      </c>
      <c r="AB20" s="11">
        <f t="shared" si="0"/>
        <v>0</v>
      </c>
      <c r="AC20" s="11">
        <f t="shared" si="0"/>
        <v>0</v>
      </c>
      <c r="AD20" s="11">
        <f t="shared" si="0"/>
        <v>0</v>
      </c>
      <c r="AE20" s="34"/>
      <c r="AF20" s="11">
        <f t="shared" si="1"/>
        <v>0</v>
      </c>
      <c r="AG20" s="11">
        <f t="shared" si="1"/>
        <v>0</v>
      </c>
      <c r="AH20" s="11">
        <f t="shared" si="1"/>
        <v>0</v>
      </c>
      <c r="AI20" s="11">
        <f t="shared" si="1"/>
        <v>0</v>
      </c>
      <c r="AJ20" s="34"/>
      <c r="AK20" s="11">
        <f t="shared" si="2"/>
        <v>0</v>
      </c>
      <c r="AL20" s="11">
        <f t="shared" si="2"/>
        <v>0</v>
      </c>
      <c r="AM20" s="11">
        <f t="shared" si="2"/>
        <v>0</v>
      </c>
      <c r="AN20" s="11">
        <f t="shared" si="2"/>
        <v>0</v>
      </c>
      <c r="AO20" s="35"/>
    </row>
    <row r="21" spans="1:41" x14ac:dyDescent="0.2">
      <c r="A21" s="80">
        <v>16</v>
      </c>
      <c r="B21" s="66"/>
      <c r="C21" s="14"/>
      <c r="D21" s="14"/>
      <c r="E21" s="66"/>
      <c r="F21" s="14"/>
      <c r="G21" s="14"/>
      <c r="H21" s="15"/>
      <c r="I21" s="66"/>
      <c r="J21" s="11"/>
      <c r="K21" s="11"/>
      <c r="L21" s="11"/>
      <c r="M21" s="15"/>
      <c r="N21" s="66"/>
      <c r="O21" s="66"/>
      <c r="P21" s="66"/>
      <c r="Q21" s="11"/>
      <c r="R21" s="11">
        <f t="shared" si="3"/>
        <v>0</v>
      </c>
      <c r="S21" s="16"/>
      <c r="T21" s="17"/>
      <c r="U21" s="17"/>
      <c r="V21" s="17"/>
      <c r="W21" s="44" t="s">
        <v>30</v>
      </c>
      <c r="X21" s="80">
        <v>16</v>
      </c>
      <c r="Y21" s="11">
        <f t="shared" si="4"/>
        <v>0</v>
      </c>
      <c r="Z21" s="11">
        <f t="shared" si="0"/>
        <v>0</v>
      </c>
      <c r="AA21" s="11">
        <f t="shared" si="0"/>
        <v>0</v>
      </c>
      <c r="AB21" s="11">
        <f t="shared" si="0"/>
        <v>0</v>
      </c>
      <c r="AC21" s="11">
        <f t="shared" si="0"/>
        <v>0</v>
      </c>
      <c r="AD21" s="11">
        <f t="shared" si="0"/>
        <v>0</v>
      </c>
      <c r="AE21" s="34"/>
      <c r="AF21" s="11">
        <f t="shared" si="1"/>
        <v>0</v>
      </c>
      <c r="AG21" s="11">
        <f t="shared" si="1"/>
        <v>0</v>
      </c>
      <c r="AH21" s="11">
        <f t="shared" si="1"/>
        <v>0</v>
      </c>
      <c r="AI21" s="11">
        <f t="shared" si="1"/>
        <v>0</v>
      </c>
      <c r="AJ21" s="34"/>
      <c r="AK21" s="11">
        <f t="shared" si="2"/>
        <v>0</v>
      </c>
      <c r="AL21" s="11">
        <f t="shared" si="2"/>
        <v>0</v>
      </c>
      <c r="AM21" s="11">
        <f t="shared" si="2"/>
        <v>0</v>
      </c>
      <c r="AN21" s="11">
        <f t="shared" si="2"/>
        <v>0</v>
      </c>
      <c r="AO21" s="35"/>
    </row>
    <row r="22" spans="1:41" x14ac:dyDescent="0.2">
      <c r="A22" s="80">
        <v>17</v>
      </c>
      <c r="B22" s="66"/>
      <c r="C22" s="14"/>
      <c r="D22" s="14"/>
      <c r="E22" s="66"/>
      <c r="F22" s="14"/>
      <c r="G22" s="14"/>
      <c r="H22" s="15"/>
      <c r="I22" s="66"/>
      <c r="J22" s="11"/>
      <c r="K22" s="11"/>
      <c r="L22" s="11"/>
      <c r="M22" s="15"/>
      <c r="N22" s="66"/>
      <c r="O22" s="66"/>
      <c r="P22" s="66"/>
      <c r="Q22" s="11"/>
      <c r="R22" s="11">
        <f t="shared" si="3"/>
        <v>0</v>
      </c>
      <c r="S22" s="16"/>
      <c r="T22" s="17"/>
      <c r="U22" s="17"/>
      <c r="V22" s="17"/>
      <c r="W22" s="44" t="s">
        <v>30</v>
      </c>
      <c r="X22" s="80">
        <v>17</v>
      </c>
      <c r="Y22" s="11">
        <f t="shared" si="4"/>
        <v>0</v>
      </c>
      <c r="Z22" s="11">
        <f t="shared" si="4"/>
        <v>0</v>
      </c>
      <c r="AA22" s="11">
        <f t="shared" si="4"/>
        <v>0</v>
      </c>
      <c r="AB22" s="11">
        <f t="shared" si="4"/>
        <v>0</v>
      </c>
      <c r="AC22" s="11">
        <f t="shared" si="4"/>
        <v>0</v>
      </c>
      <c r="AD22" s="11">
        <f t="shared" si="4"/>
        <v>0</v>
      </c>
      <c r="AE22" s="34"/>
      <c r="AF22" s="11">
        <f t="shared" ref="AF22:AI36" si="5">I22-I21</f>
        <v>0</v>
      </c>
      <c r="AG22" s="11">
        <f t="shared" si="5"/>
        <v>0</v>
      </c>
      <c r="AH22" s="11">
        <f t="shared" si="5"/>
        <v>0</v>
      </c>
      <c r="AI22" s="11">
        <f t="shared" si="5"/>
        <v>0</v>
      </c>
      <c r="AJ22" s="34"/>
      <c r="AK22" s="11">
        <f t="shared" ref="AK22:AN36" si="6">N22-N21</f>
        <v>0</v>
      </c>
      <c r="AL22" s="11">
        <f t="shared" si="6"/>
        <v>0</v>
      </c>
      <c r="AM22" s="11">
        <f t="shared" si="6"/>
        <v>0</v>
      </c>
      <c r="AN22" s="11">
        <f t="shared" si="6"/>
        <v>0</v>
      </c>
      <c r="AO22" s="35"/>
    </row>
    <row r="23" spans="1:41" x14ac:dyDescent="0.2">
      <c r="A23" s="80">
        <v>18</v>
      </c>
      <c r="B23" s="66"/>
      <c r="C23" s="14"/>
      <c r="D23" s="14"/>
      <c r="E23" s="66"/>
      <c r="F23" s="14"/>
      <c r="G23" s="14"/>
      <c r="H23" s="15"/>
      <c r="I23" s="66"/>
      <c r="J23" s="11"/>
      <c r="K23" s="11"/>
      <c r="L23" s="11"/>
      <c r="M23" s="15"/>
      <c r="N23" s="66"/>
      <c r="O23" s="66"/>
      <c r="P23" s="66"/>
      <c r="Q23" s="11"/>
      <c r="R23" s="11">
        <f t="shared" si="3"/>
        <v>0</v>
      </c>
      <c r="S23" s="16"/>
      <c r="T23" s="17"/>
      <c r="U23" s="17"/>
      <c r="V23" s="17"/>
      <c r="W23" s="44" t="s">
        <v>30</v>
      </c>
      <c r="X23" s="80">
        <v>18</v>
      </c>
      <c r="Y23" s="11">
        <f t="shared" si="4"/>
        <v>0</v>
      </c>
      <c r="Z23" s="11">
        <f t="shared" si="4"/>
        <v>0</v>
      </c>
      <c r="AA23" s="11">
        <f t="shared" si="4"/>
        <v>0</v>
      </c>
      <c r="AB23" s="11">
        <f t="shared" si="4"/>
        <v>0</v>
      </c>
      <c r="AC23" s="11">
        <f t="shared" si="4"/>
        <v>0</v>
      </c>
      <c r="AD23" s="11">
        <f t="shared" si="4"/>
        <v>0</v>
      </c>
      <c r="AE23" s="34"/>
      <c r="AF23" s="11">
        <f t="shared" si="5"/>
        <v>0</v>
      </c>
      <c r="AG23" s="11">
        <f t="shared" si="5"/>
        <v>0</v>
      </c>
      <c r="AH23" s="11">
        <f t="shared" si="5"/>
        <v>0</v>
      </c>
      <c r="AI23" s="11">
        <f t="shared" si="5"/>
        <v>0</v>
      </c>
      <c r="AJ23" s="34"/>
      <c r="AK23" s="11">
        <f t="shared" si="6"/>
        <v>0</v>
      </c>
      <c r="AL23" s="11">
        <f t="shared" si="6"/>
        <v>0</v>
      </c>
      <c r="AM23" s="11">
        <f t="shared" si="6"/>
        <v>0</v>
      </c>
      <c r="AN23" s="11">
        <f t="shared" si="6"/>
        <v>0</v>
      </c>
      <c r="AO23" s="35"/>
    </row>
    <row r="24" spans="1:41" x14ac:dyDescent="0.2">
      <c r="A24" s="80">
        <v>19</v>
      </c>
      <c r="B24" s="66"/>
      <c r="C24" s="14"/>
      <c r="D24" s="14"/>
      <c r="E24" s="66"/>
      <c r="F24" s="14"/>
      <c r="G24" s="14"/>
      <c r="H24" s="15"/>
      <c r="I24" s="66"/>
      <c r="J24" s="11"/>
      <c r="K24" s="11"/>
      <c r="L24" s="11"/>
      <c r="M24" s="15"/>
      <c r="N24" s="66"/>
      <c r="O24" s="66"/>
      <c r="P24" s="66"/>
      <c r="Q24" s="11"/>
      <c r="R24" s="11">
        <f t="shared" si="3"/>
        <v>0</v>
      </c>
      <c r="S24" s="16"/>
      <c r="T24" s="17"/>
      <c r="U24" s="17"/>
      <c r="V24" s="17"/>
      <c r="W24" s="44" t="s">
        <v>30</v>
      </c>
      <c r="X24" s="80">
        <v>19</v>
      </c>
      <c r="Y24" s="11">
        <f t="shared" si="4"/>
        <v>0</v>
      </c>
      <c r="Z24" s="11">
        <f t="shared" si="4"/>
        <v>0</v>
      </c>
      <c r="AA24" s="11">
        <f t="shared" si="4"/>
        <v>0</v>
      </c>
      <c r="AB24" s="11">
        <f t="shared" si="4"/>
        <v>0</v>
      </c>
      <c r="AC24" s="11">
        <f t="shared" si="4"/>
        <v>0</v>
      </c>
      <c r="AD24" s="11">
        <f t="shared" si="4"/>
        <v>0</v>
      </c>
      <c r="AE24" s="34"/>
      <c r="AF24" s="11">
        <f t="shared" si="5"/>
        <v>0</v>
      </c>
      <c r="AG24" s="11">
        <f t="shared" si="5"/>
        <v>0</v>
      </c>
      <c r="AH24" s="11">
        <f t="shared" si="5"/>
        <v>0</v>
      </c>
      <c r="AI24" s="11">
        <f t="shared" si="5"/>
        <v>0</v>
      </c>
      <c r="AJ24" s="34"/>
      <c r="AK24" s="11">
        <f t="shared" si="6"/>
        <v>0</v>
      </c>
      <c r="AL24" s="11">
        <f t="shared" si="6"/>
        <v>0</v>
      </c>
      <c r="AM24" s="11">
        <f t="shared" si="6"/>
        <v>0</v>
      </c>
      <c r="AN24" s="11">
        <f t="shared" si="6"/>
        <v>0</v>
      </c>
      <c r="AO24" s="35"/>
    </row>
    <row r="25" spans="1:41" x14ac:dyDescent="0.2">
      <c r="A25" s="80">
        <v>20</v>
      </c>
      <c r="B25" s="66"/>
      <c r="C25" s="14"/>
      <c r="D25" s="14"/>
      <c r="E25" s="66"/>
      <c r="F25" s="14"/>
      <c r="G25" s="14"/>
      <c r="H25" s="15"/>
      <c r="I25" s="66"/>
      <c r="J25" s="11"/>
      <c r="K25" s="11"/>
      <c r="L25" s="11"/>
      <c r="M25" s="15"/>
      <c r="N25" s="66"/>
      <c r="O25" s="66"/>
      <c r="P25" s="66"/>
      <c r="Q25" s="11"/>
      <c r="R25" s="11">
        <f t="shared" si="3"/>
        <v>0</v>
      </c>
      <c r="S25" s="16"/>
      <c r="T25" s="17"/>
      <c r="U25" s="17"/>
      <c r="V25" s="17"/>
      <c r="W25" s="44" t="s">
        <v>30</v>
      </c>
      <c r="X25" s="80">
        <v>20</v>
      </c>
      <c r="Y25" s="11">
        <f t="shared" si="4"/>
        <v>0</v>
      </c>
      <c r="Z25" s="11">
        <f t="shared" si="4"/>
        <v>0</v>
      </c>
      <c r="AA25" s="11">
        <f t="shared" si="4"/>
        <v>0</v>
      </c>
      <c r="AB25" s="11">
        <f t="shared" si="4"/>
        <v>0</v>
      </c>
      <c r="AC25" s="11">
        <f t="shared" si="4"/>
        <v>0</v>
      </c>
      <c r="AD25" s="11">
        <f t="shared" si="4"/>
        <v>0</v>
      </c>
      <c r="AE25" s="34"/>
      <c r="AF25" s="11">
        <f t="shared" si="5"/>
        <v>0</v>
      </c>
      <c r="AG25" s="11">
        <f t="shared" si="5"/>
        <v>0</v>
      </c>
      <c r="AH25" s="11">
        <f t="shared" si="5"/>
        <v>0</v>
      </c>
      <c r="AI25" s="11">
        <f t="shared" si="5"/>
        <v>0</v>
      </c>
      <c r="AJ25" s="34"/>
      <c r="AK25" s="11">
        <f t="shared" si="6"/>
        <v>0</v>
      </c>
      <c r="AL25" s="11">
        <f t="shared" si="6"/>
        <v>0</v>
      </c>
      <c r="AM25" s="11">
        <f t="shared" si="6"/>
        <v>0</v>
      </c>
      <c r="AN25" s="11">
        <f t="shared" si="6"/>
        <v>0</v>
      </c>
      <c r="AO25" s="35"/>
    </row>
    <row r="26" spans="1:41" x14ac:dyDescent="0.2">
      <c r="A26" s="80">
        <v>21</v>
      </c>
      <c r="B26" s="66"/>
      <c r="C26" s="14"/>
      <c r="D26" s="14"/>
      <c r="E26" s="66"/>
      <c r="F26" s="14"/>
      <c r="G26" s="14"/>
      <c r="H26" s="15"/>
      <c r="I26" s="66"/>
      <c r="J26" s="11"/>
      <c r="K26" s="11"/>
      <c r="L26" s="11"/>
      <c r="M26" s="15"/>
      <c r="N26" s="66"/>
      <c r="O26" s="66"/>
      <c r="P26" s="66"/>
      <c r="Q26" s="11"/>
      <c r="R26" s="11">
        <f t="shared" si="3"/>
        <v>0</v>
      </c>
      <c r="S26" s="16"/>
      <c r="T26" s="17"/>
      <c r="U26" s="17"/>
      <c r="V26" s="17"/>
      <c r="W26" s="44" t="s">
        <v>30</v>
      </c>
      <c r="X26" s="80">
        <v>21</v>
      </c>
      <c r="Y26" s="11">
        <f t="shared" si="4"/>
        <v>0</v>
      </c>
      <c r="Z26" s="11">
        <f t="shared" si="4"/>
        <v>0</v>
      </c>
      <c r="AA26" s="11">
        <f t="shared" si="4"/>
        <v>0</v>
      </c>
      <c r="AB26" s="11">
        <f t="shared" si="4"/>
        <v>0</v>
      </c>
      <c r="AC26" s="11">
        <f t="shared" si="4"/>
        <v>0</v>
      </c>
      <c r="AD26" s="11">
        <f t="shared" si="4"/>
        <v>0</v>
      </c>
      <c r="AE26" s="34"/>
      <c r="AF26" s="11">
        <f t="shared" si="5"/>
        <v>0</v>
      </c>
      <c r="AG26" s="11">
        <f t="shared" si="5"/>
        <v>0</v>
      </c>
      <c r="AH26" s="11">
        <f t="shared" si="5"/>
        <v>0</v>
      </c>
      <c r="AI26" s="11">
        <f t="shared" si="5"/>
        <v>0</v>
      </c>
      <c r="AJ26" s="34"/>
      <c r="AK26" s="11">
        <f t="shared" si="6"/>
        <v>0</v>
      </c>
      <c r="AL26" s="11">
        <f t="shared" si="6"/>
        <v>0</v>
      </c>
      <c r="AM26" s="11">
        <f t="shared" si="6"/>
        <v>0</v>
      </c>
      <c r="AN26" s="11">
        <f t="shared" si="6"/>
        <v>0</v>
      </c>
      <c r="AO26" s="35"/>
    </row>
    <row r="27" spans="1:41" x14ac:dyDescent="0.2">
      <c r="A27" s="80">
        <v>22</v>
      </c>
      <c r="B27" s="66"/>
      <c r="C27" s="14"/>
      <c r="D27" s="14"/>
      <c r="E27" s="66"/>
      <c r="F27" s="14"/>
      <c r="G27" s="14"/>
      <c r="H27" s="15"/>
      <c r="I27" s="66"/>
      <c r="J27" s="11"/>
      <c r="K27" s="11"/>
      <c r="L27" s="11"/>
      <c r="M27" s="15"/>
      <c r="N27" s="66"/>
      <c r="O27" s="66"/>
      <c r="P27" s="66"/>
      <c r="Q27" s="11"/>
      <c r="R27" s="11">
        <f t="shared" si="3"/>
        <v>0</v>
      </c>
      <c r="S27" s="16"/>
      <c r="T27" s="17"/>
      <c r="U27" s="17"/>
      <c r="V27" s="17"/>
      <c r="W27" s="44" t="s">
        <v>30</v>
      </c>
      <c r="X27" s="80">
        <v>22</v>
      </c>
      <c r="Y27" s="11">
        <f t="shared" si="4"/>
        <v>0</v>
      </c>
      <c r="Z27" s="11">
        <f t="shared" si="4"/>
        <v>0</v>
      </c>
      <c r="AA27" s="11">
        <f t="shared" si="4"/>
        <v>0</v>
      </c>
      <c r="AB27" s="11">
        <f t="shared" si="4"/>
        <v>0</v>
      </c>
      <c r="AC27" s="11">
        <f t="shared" si="4"/>
        <v>0</v>
      </c>
      <c r="AD27" s="11">
        <f t="shared" si="4"/>
        <v>0</v>
      </c>
      <c r="AE27" s="34"/>
      <c r="AF27" s="11">
        <f t="shared" si="5"/>
        <v>0</v>
      </c>
      <c r="AG27" s="11">
        <f t="shared" si="5"/>
        <v>0</v>
      </c>
      <c r="AH27" s="11">
        <f t="shared" si="5"/>
        <v>0</v>
      </c>
      <c r="AI27" s="11">
        <f t="shared" si="5"/>
        <v>0</v>
      </c>
      <c r="AJ27" s="34"/>
      <c r="AK27" s="11">
        <f t="shared" si="6"/>
        <v>0</v>
      </c>
      <c r="AL27" s="11">
        <f t="shared" si="6"/>
        <v>0</v>
      </c>
      <c r="AM27" s="11">
        <f t="shared" si="6"/>
        <v>0</v>
      </c>
      <c r="AN27" s="11">
        <f t="shared" si="6"/>
        <v>0</v>
      </c>
      <c r="AO27" s="35"/>
    </row>
    <row r="28" spans="1:41" x14ac:dyDescent="0.2">
      <c r="A28" s="80">
        <v>23</v>
      </c>
      <c r="B28" s="66"/>
      <c r="C28" s="14"/>
      <c r="D28" s="14"/>
      <c r="E28" s="66"/>
      <c r="F28" s="14"/>
      <c r="G28" s="14"/>
      <c r="H28" s="15"/>
      <c r="I28" s="66"/>
      <c r="J28" s="11"/>
      <c r="K28" s="11"/>
      <c r="L28" s="11"/>
      <c r="M28" s="15"/>
      <c r="N28" s="66"/>
      <c r="O28" s="66"/>
      <c r="P28" s="66"/>
      <c r="Q28" s="11"/>
      <c r="R28" s="11">
        <f t="shared" si="3"/>
        <v>0</v>
      </c>
      <c r="S28" s="16"/>
      <c r="T28" s="17"/>
      <c r="U28" s="17"/>
      <c r="V28" s="17"/>
      <c r="W28" s="44" t="s">
        <v>30</v>
      </c>
      <c r="X28" s="80">
        <v>23</v>
      </c>
      <c r="Y28" s="11">
        <f t="shared" si="4"/>
        <v>0</v>
      </c>
      <c r="Z28" s="11">
        <f t="shared" si="4"/>
        <v>0</v>
      </c>
      <c r="AA28" s="11">
        <f t="shared" si="4"/>
        <v>0</v>
      </c>
      <c r="AB28" s="11">
        <f t="shared" si="4"/>
        <v>0</v>
      </c>
      <c r="AC28" s="11">
        <f t="shared" si="4"/>
        <v>0</v>
      </c>
      <c r="AD28" s="11">
        <f t="shared" si="4"/>
        <v>0</v>
      </c>
      <c r="AE28" s="34"/>
      <c r="AF28" s="11">
        <f t="shared" si="5"/>
        <v>0</v>
      </c>
      <c r="AG28" s="11">
        <f t="shared" si="5"/>
        <v>0</v>
      </c>
      <c r="AH28" s="11">
        <f t="shared" si="5"/>
        <v>0</v>
      </c>
      <c r="AI28" s="11">
        <f t="shared" si="5"/>
        <v>0</v>
      </c>
      <c r="AJ28" s="34"/>
      <c r="AK28" s="11">
        <f t="shared" si="6"/>
        <v>0</v>
      </c>
      <c r="AL28" s="11">
        <f t="shared" si="6"/>
        <v>0</v>
      </c>
      <c r="AM28" s="11">
        <f t="shared" si="6"/>
        <v>0</v>
      </c>
      <c r="AN28" s="11">
        <f t="shared" si="6"/>
        <v>0</v>
      </c>
      <c r="AO28" s="35"/>
    </row>
    <row r="29" spans="1:41" x14ac:dyDescent="0.2">
      <c r="A29" s="80">
        <v>24</v>
      </c>
      <c r="B29" s="66"/>
      <c r="C29" s="14"/>
      <c r="D29" s="14"/>
      <c r="E29" s="66"/>
      <c r="F29" s="14"/>
      <c r="G29" s="14"/>
      <c r="H29" s="15"/>
      <c r="I29" s="66"/>
      <c r="J29" s="11"/>
      <c r="K29" s="11"/>
      <c r="L29" s="11"/>
      <c r="M29" s="15"/>
      <c r="N29" s="66"/>
      <c r="O29" s="66"/>
      <c r="P29" s="66"/>
      <c r="Q29" s="11"/>
      <c r="R29" s="11">
        <f t="shared" si="3"/>
        <v>0</v>
      </c>
      <c r="S29" s="16"/>
      <c r="T29" s="17"/>
      <c r="U29" s="17"/>
      <c r="V29" s="17"/>
      <c r="W29" s="44" t="s">
        <v>30</v>
      </c>
      <c r="X29" s="80">
        <v>24</v>
      </c>
      <c r="Y29" s="11">
        <f t="shared" si="4"/>
        <v>0</v>
      </c>
      <c r="Z29" s="11">
        <f t="shared" si="4"/>
        <v>0</v>
      </c>
      <c r="AA29" s="11">
        <f t="shared" si="4"/>
        <v>0</v>
      </c>
      <c r="AB29" s="11">
        <f t="shared" si="4"/>
        <v>0</v>
      </c>
      <c r="AC29" s="11">
        <f t="shared" si="4"/>
        <v>0</v>
      </c>
      <c r="AD29" s="11">
        <f t="shared" si="4"/>
        <v>0</v>
      </c>
      <c r="AE29" s="34"/>
      <c r="AF29" s="11">
        <f t="shared" si="5"/>
        <v>0</v>
      </c>
      <c r="AG29" s="11">
        <f t="shared" si="5"/>
        <v>0</v>
      </c>
      <c r="AH29" s="11">
        <f t="shared" si="5"/>
        <v>0</v>
      </c>
      <c r="AI29" s="11">
        <f t="shared" si="5"/>
        <v>0</v>
      </c>
      <c r="AJ29" s="34"/>
      <c r="AK29" s="11">
        <f t="shared" si="6"/>
        <v>0</v>
      </c>
      <c r="AL29" s="11">
        <f t="shared" si="6"/>
        <v>0</v>
      </c>
      <c r="AM29" s="11">
        <f t="shared" si="6"/>
        <v>0</v>
      </c>
      <c r="AN29" s="11">
        <f t="shared" si="6"/>
        <v>0</v>
      </c>
      <c r="AO29" s="35"/>
    </row>
    <row r="30" spans="1:41" x14ac:dyDescent="0.2">
      <c r="A30" s="80">
        <v>25</v>
      </c>
      <c r="B30" s="66"/>
      <c r="C30" s="14"/>
      <c r="D30" s="14"/>
      <c r="E30" s="66"/>
      <c r="F30" s="14"/>
      <c r="G30" s="14"/>
      <c r="H30" s="15"/>
      <c r="I30" s="66"/>
      <c r="J30" s="11"/>
      <c r="K30" s="11"/>
      <c r="L30" s="11"/>
      <c r="M30" s="15"/>
      <c r="N30" s="66"/>
      <c r="O30" s="66"/>
      <c r="P30" s="66"/>
      <c r="Q30" s="11"/>
      <c r="R30" s="11">
        <f t="shared" si="3"/>
        <v>0</v>
      </c>
      <c r="S30" s="16"/>
      <c r="T30" s="17"/>
      <c r="U30" s="17"/>
      <c r="V30" s="17"/>
      <c r="W30" s="44" t="s">
        <v>30</v>
      </c>
      <c r="X30" s="80">
        <v>25</v>
      </c>
      <c r="Y30" s="11">
        <f t="shared" si="4"/>
        <v>0</v>
      </c>
      <c r="Z30" s="11">
        <f t="shared" si="4"/>
        <v>0</v>
      </c>
      <c r="AA30" s="11">
        <f t="shared" si="4"/>
        <v>0</v>
      </c>
      <c r="AB30" s="11">
        <f t="shared" si="4"/>
        <v>0</v>
      </c>
      <c r="AC30" s="11">
        <f t="shared" si="4"/>
        <v>0</v>
      </c>
      <c r="AD30" s="11">
        <f t="shared" si="4"/>
        <v>0</v>
      </c>
      <c r="AE30" s="34"/>
      <c r="AF30" s="11">
        <f t="shared" si="5"/>
        <v>0</v>
      </c>
      <c r="AG30" s="11">
        <f t="shared" si="5"/>
        <v>0</v>
      </c>
      <c r="AH30" s="11">
        <f t="shared" si="5"/>
        <v>0</v>
      </c>
      <c r="AI30" s="11">
        <f t="shared" si="5"/>
        <v>0</v>
      </c>
      <c r="AJ30" s="34"/>
      <c r="AK30" s="11">
        <f t="shared" si="6"/>
        <v>0</v>
      </c>
      <c r="AL30" s="11">
        <f t="shared" si="6"/>
        <v>0</v>
      </c>
      <c r="AM30" s="11">
        <f t="shared" si="6"/>
        <v>0</v>
      </c>
      <c r="AN30" s="11">
        <f t="shared" si="6"/>
        <v>0</v>
      </c>
      <c r="AO30" s="35"/>
    </row>
    <row r="31" spans="1:41" x14ac:dyDescent="0.2">
      <c r="A31" s="80">
        <v>26</v>
      </c>
      <c r="B31" s="66"/>
      <c r="C31" s="14"/>
      <c r="D31" s="14"/>
      <c r="E31" s="66"/>
      <c r="F31" s="14"/>
      <c r="G31" s="14"/>
      <c r="H31" s="15"/>
      <c r="I31" s="66"/>
      <c r="J31" s="11"/>
      <c r="K31" s="11"/>
      <c r="L31" s="11"/>
      <c r="M31" s="15"/>
      <c r="N31" s="66"/>
      <c r="O31" s="66"/>
      <c r="P31" s="66"/>
      <c r="Q31" s="11"/>
      <c r="R31" s="11">
        <f t="shared" si="3"/>
        <v>0</v>
      </c>
      <c r="S31" s="16"/>
      <c r="T31" s="17"/>
      <c r="U31" s="17"/>
      <c r="V31" s="17"/>
      <c r="W31" s="44" t="s">
        <v>30</v>
      </c>
      <c r="X31" s="80">
        <v>26</v>
      </c>
      <c r="Y31" s="11">
        <f t="shared" si="4"/>
        <v>0</v>
      </c>
      <c r="Z31" s="11">
        <f t="shared" si="4"/>
        <v>0</v>
      </c>
      <c r="AA31" s="11">
        <f t="shared" si="4"/>
        <v>0</v>
      </c>
      <c r="AB31" s="11">
        <f t="shared" si="4"/>
        <v>0</v>
      </c>
      <c r="AC31" s="11">
        <f t="shared" si="4"/>
        <v>0</v>
      </c>
      <c r="AD31" s="11">
        <f t="shared" si="4"/>
        <v>0</v>
      </c>
      <c r="AE31" s="34"/>
      <c r="AF31" s="11">
        <f t="shared" si="5"/>
        <v>0</v>
      </c>
      <c r="AG31" s="11">
        <f t="shared" si="5"/>
        <v>0</v>
      </c>
      <c r="AH31" s="11">
        <f t="shared" si="5"/>
        <v>0</v>
      </c>
      <c r="AI31" s="11">
        <f t="shared" si="5"/>
        <v>0</v>
      </c>
      <c r="AJ31" s="34"/>
      <c r="AK31" s="11">
        <f t="shared" si="6"/>
        <v>0</v>
      </c>
      <c r="AL31" s="11">
        <f t="shared" si="6"/>
        <v>0</v>
      </c>
      <c r="AM31" s="11">
        <f t="shared" si="6"/>
        <v>0</v>
      </c>
      <c r="AN31" s="11">
        <f t="shared" si="6"/>
        <v>0</v>
      </c>
      <c r="AO31" s="35"/>
    </row>
    <row r="32" spans="1:41" x14ac:dyDescent="0.2">
      <c r="A32" s="80">
        <v>27</v>
      </c>
      <c r="B32" s="66"/>
      <c r="C32" s="14"/>
      <c r="D32" s="14"/>
      <c r="E32" s="66"/>
      <c r="F32" s="14"/>
      <c r="G32" s="14"/>
      <c r="H32" s="15"/>
      <c r="I32" s="66"/>
      <c r="J32" s="11"/>
      <c r="K32" s="11"/>
      <c r="L32" s="11"/>
      <c r="M32" s="15"/>
      <c r="N32" s="66"/>
      <c r="O32" s="66"/>
      <c r="P32" s="66"/>
      <c r="Q32" s="11"/>
      <c r="R32" s="11">
        <f t="shared" si="3"/>
        <v>0</v>
      </c>
      <c r="S32" s="16"/>
      <c r="T32" s="17"/>
      <c r="U32" s="17"/>
      <c r="V32" s="17"/>
      <c r="W32" s="44" t="s">
        <v>30</v>
      </c>
      <c r="X32" s="80">
        <v>27</v>
      </c>
      <c r="Y32" s="11">
        <f t="shared" si="4"/>
        <v>0</v>
      </c>
      <c r="Z32" s="11">
        <f t="shared" si="4"/>
        <v>0</v>
      </c>
      <c r="AA32" s="11">
        <f t="shared" si="4"/>
        <v>0</v>
      </c>
      <c r="AB32" s="11">
        <f t="shared" si="4"/>
        <v>0</v>
      </c>
      <c r="AC32" s="11">
        <f t="shared" si="4"/>
        <v>0</v>
      </c>
      <c r="AD32" s="11">
        <f t="shared" si="4"/>
        <v>0</v>
      </c>
      <c r="AE32" s="34"/>
      <c r="AF32" s="11">
        <f t="shared" si="5"/>
        <v>0</v>
      </c>
      <c r="AG32" s="11">
        <f t="shared" si="5"/>
        <v>0</v>
      </c>
      <c r="AH32" s="11">
        <f t="shared" si="5"/>
        <v>0</v>
      </c>
      <c r="AI32" s="11">
        <f t="shared" si="5"/>
        <v>0</v>
      </c>
      <c r="AJ32" s="34"/>
      <c r="AK32" s="11">
        <f t="shared" si="6"/>
        <v>0</v>
      </c>
      <c r="AL32" s="11">
        <f t="shared" si="6"/>
        <v>0</v>
      </c>
      <c r="AM32" s="11">
        <f t="shared" si="6"/>
        <v>0</v>
      </c>
      <c r="AN32" s="11">
        <f t="shared" si="6"/>
        <v>0</v>
      </c>
      <c r="AO32" s="35"/>
    </row>
    <row r="33" spans="1:41" x14ac:dyDescent="0.2">
      <c r="A33" s="80">
        <v>28</v>
      </c>
      <c r="B33" s="66"/>
      <c r="C33" s="14"/>
      <c r="D33" s="14"/>
      <c r="E33" s="66"/>
      <c r="F33" s="14"/>
      <c r="G33" s="14"/>
      <c r="H33" s="15"/>
      <c r="I33" s="66"/>
      <c r="J33" s="11"/>
      <c r="K33" s="11"/>
      <c r="L33" s="11"/>
      <c r="M33" s="15"/>
      <c r="N33" s="66"/>
      <c r="O33" s="66"/>
      <c r="P33" s="66"/>
      <c r="Q33" s="11"/>
      <c r="R33" s="11">
        <f t="shared" si="3"/>
        <v>0</v>
      </c>
      <c r="S33" s="16"/>
      <c r="T33" s="17"/>
      <c r="U33" s="17"/>
      <c r="V33" s="17"/>
      <c r="W33" s="44" t="s">
        <v>30</v>
      </c>
      <c r="X33" s="80">
        <v>28</v>
      </c>
      <c r="Y33" s="11">
        <f t="shared" si="4"/>
        <v>0</v>
      </c>
      <c r="Z33" s="11">
        <f t="shared" si="4"/>
        <v>0</v>
      </c>
      <c r="AA33" s="11">
        <f t="shared" si="4"/>
        <v>0</v>
      </c>
      <c r="AB33" s="11">
        <f t="shared" si="4"/>
        <v>0</v>
      </c>
      <c r="AC33" s="11">
        <f t="shared" si="4"/>
        <v>0</v>
      </c>
      <c r="AD33" s="11">
        <f t="shared" si="4"/>
        <v>0</v>
      </c>
      <c r="AE33" s="34"/>
      <c r="AF33" s="11">
        <f t="shared" si="5"/>
        <v>0</v>
      </c>
      <c r="AG33" s="11">
        <f t="shared" si="5"/>
        <v>0</v>
      </c>
      <c r="AH33" s="11">
        <f t="shared" si="5"/>
        <v>0</v>
      </c>
      <c r="AI33" s="11">
        <f t="shared" si="5"/>
        <v>0</v>
      </c>
      <c r="AJ33" s="34"/>
      <c r="AK33" s="11">
        <f t="shared" si="6"/>
        <v>0</v>
      </c>
      <c r="AL33" s="11">
        <f t="shared" si="6"/>
        <v>0</v>
      </c>
      <c r="AM33" s="11">
        <f t="shared" si="6"/>
        <v>0</v>
      </c>
      <c r="AN33" s="11">
        <f t="shared" si="6"/>
        <v>0</v>
      </c>
      <c r="AO33" s="35"/>
    </row>
    <row r="34" spans="1:41" x14ac:dyDescent="0.2">
      <c r="A34" s="80">
        <v>29</v>
      </c>
      <c r="B34" s="66"/>
      <c r="C34" s="14"/>
      <c r="D34" s="14"/>
      <c r="E34" s="66"/>
      <c r="F34" s="14"/>
      <c r="G34" s="14"/>
      <c r="H34" s="15"/>
      <c r="I34" s="66"/>
      <c r="J34" s="11"/>
      <c r="K34" s="11"/>
      <c r="L34" s="11"/>
      <c r="M34" s="15"/>
      <c r="N34" s="66"/>
      <c r="O34" s="66"/>
      <c r="P34" s="66"/>
      <c r="Q34" s="11"/>
      <c r="R34" s="11">
        <f t="shared" si="3"/>
        <v>0</v>
      </c>
      <c r="S34" s="16"/>
      <c r="T34" s="17"/>
      <c r="U34" s="17"/>
      <c r="V34" s="17"/>
      <c r="W34" s="44" t="s">
        <v>30</v>
      </c>
      <c r="X34" s="80">
        <v>29</v>
      </c>
      <c r="Y34" s="11">
        <f t="shared" ref="Y34:AD36" si="7">B34-B33</f>
        <v>0</v>
      </c>
      <c r="Z34" s="11">
        <f t="shared" si="7"/>
        <v>0</v>
      </c>
      <c r="AA34" s="11">
        <f t="shared" si="7"/>
        <v>0</v>
      </c>
      <c r="AB34" s="11">
        <f t="shared" si="7"/>
        <v>0</v>
      </c>
      <c r="AC34" s="11">
        <f t="shared" si="7"/>
        <v>0</v>
      </c>
      <c r="AD34" s="11">
        <f t="shared" si="7"/>
        <v>0</v>
      </c>
      <c r="AE34" s="34"/>
      <c r="AF34" s="11">
        <f t="shared" si="5"/>
        <v>0</v>
      </c>
      <c r="AG34" s="11">
        <f t="shared" si="5"/>
        <v>0</v>
      </c>
      <c r="AH34" s="11">
        <f t="shared" si="5"/>
        <v>0</v>
      </c>
      <c r="AI34" s="11">
        <f t="shared" si="5"/>
        <v>0</v>
      </c>
      <c r="AJ34" s="34"/>
      <c r="AK34" s="11">
        <f t="shared" si="6"/>
        <v>0</v>
      </c>
      <c r="AL34" s="11">
        <f t="shared" si="6"/>
        <v>0</v>
      </c>
      <c r="AM34" s="11">
        <f t="shared" si="6"/>
        <v>0</v>
      </c>
      <c r="AN34" s="11">
        <f t="shared" si="6"/>
        <v>0</v>
      </c>
      <c r="AO34" s="35"/>
    </row>
    <row r="35" spans="1:41" x14ac:dyDescent="0.2">
      <c r="A35" s="80">
        <v>30</v>
      </c>
      <c r="B35" s="66"/>
      <c r="C35" s="14"/>
      <c r="D35" s="14"/>
      <c r="E35" s="66"/>
      <c r="F35" s="14"/>
      <c r="G35" s="14"/>
      <c r="H35" s="15"/>
      <c r="I35" s="66"/>
      <c r="J35" s="11"/>
      <c r="K35" s="11"/>
      <c r="L35" s="11"/>
      <c r="M35" s="15"/>
      <c r="N35" s="66"/>
      <c r="O35" s="66"/>
      <c r="P35" s="66"/>
      <c r="Q35" s="11"/>
      <c r="R35" s="11">
        <f t="shared" si="3"/>
        <v>0</v>
      </c>
      <c r="S35" s="16"/>
      <c r="T35" s="17"/>
      <c r="U35" s="17"/>
      <c r="V35" s="17"/>
      <c r="W35" s="44" t="s">
        <v>30</v>
      </c>
      <c r="X35" s="80">
        <v>30</v>
      </c>
      <c r="Y35" s="11">
        <f t="shared" si="7"/>
        <v>0</v>
      </c>
      <c r="Z35" s="11">
        <f t="shared" si="7"/>
        <v>0</v>
      </c>
      <c r="AA35" s="11">
        <f t="shared" si="7"/>
        <v>0</v>
      </c>
      <c r="AB35" s="11">
        <f t="shared" si="7"/>
        <v>0</v>
      </c>
      <c r="AC35" s="11">
        <f t="shared" si="7"/>
        <v>0</v>
      </c>
      <c r="AD35" s="11">
        <f t="shared" si="7"/>
        <v>0</v>
      </c>
      <c r="AE35" s="34"/>
      <c r="AF35" s="11">
        <f t="shared" si="5"/>
        <v>0</v>
      </c>
      <c r="AG35" s="11">
        <f t="shared" si="5"/>
        <v>0</v>
      </c>
      <c r="AH35" s="11">
        <f t="shared" si="5"/>
        <v>0</v>
      </c>
      <c r="AI35" s="11">
        <f t="shared" si="5"/>
        <v>0</v>
      </c>
      <c r="AJ35" s="34"/>
      <c r="AK35" s="11">
        <f t="shared" si="6"/>
        <v>0</v>
      </c>
      <c r="AL35" s="11">
        <f t="shared" si="6"/>
        <v>0</v>
      </c>
      <c r="AM35" s="11">
        <f t="shared" si="6"/>
        <v>0</v>
      </c>
      <c r="AN35" s="11">
        <f t="shared" si="6"/>
        <v>0</v>
      </c>
      <c r="AO35" s="35"/>
    </row>
    <row r="36" spans="1:41" x14ac:dyDescent="0.2">
      <c r="A36" s="80">
        <v>31</v>
      </c>
      <c r="B36" s="11">
        <f>[1]Dec!B36</f>
        <v>641288</v>
      </c>
      <c r="C36" s="14"/>
      <c r="D36" s="14"/>
      <c r="E36" s="66"/>
      <c r="F36" s="14"/>
      <c r="G36" s="14"/>
      <c r="H36" s="15"/>
      <c r="I36" s="11">
        <f>[1]Dec!I36</f>
        <v>19163</v>
      </c>
      <c r="J36" s="11">
        <f>[1]Dec!J36</f>
        <v>1474</v>
      </c>
      <c r="K36" s="11"/>
      <c r="L36" s="11"/>
      <c r="M36" s="15"/>
      <c r="N36" s="11">
        <f>[1]Dec!N36</f>
        <v>218830</v>
      </c>
      <c r="O36" s="66"/>
      <c r="P36" s="66"/>
      <c r="Q36" s="11"/>
      <c r="R36" s="11">
        <f t="shared" si="3"/>
        <v>0</v>
      </c>
      <c r="S36" s="16"/>
      <c r="T36" s="17">
        <v>0</v>
      </c>
      <c r="U36" s="17">
        <v>0</v>
      </c>
      <c r="V36" s="17">
        <v>0</v>
      </c>
      <c r="W36" s="44" t="s">
        <v>30</v>
      </c>
      <c r="X36" s="80">
        <v>31</v>
      </c>
      <c r="Y36" s="11">
        <f t="shared" si="7"/>
        <v>641288</v>
      </c>
      <c r="Z36" s="11">
        <f t="shared" si="7"/>
        <v>0</v>
      </c>
      <c r="AA36" s="11">
        <f t="shared" si="7"/>
        <v>0</v>
      </c>
      <c r="AB36" s="11">
        <f t="shared" si="7"/>
        <v>0</v>
      </c>
      <c r="AC36" s="11">
        <f t="shared" si="7"/>
        <v>0</v>
      </c>
      <c r="AD36" s="11">
        <f t="shared" si="7"/>
        <v>0</v>
      </c>
      <c r="AE36" s="34"/>
      <c r="AF36" s="11">
        <f t="shared" si="5"/>
        <v>19163</v>
      </c>
      <c r="AG36" s="11">
        <f t="shared" si="5"/>
        <v>1474</v>
      </c>
      <c r="AH36" s="11">
        <f t="shared" si="5"/>
        <v>0</v>
      </c>
      <c r="AI36" s="11">
        <f t="shared" si="5"/>
        <v>0</v>
      </c>
      <c r="AJ36" s="34"/>
      <c r="AK36" s="11">
        <f t="shared" si="6"/>
        <v>218830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19" t="s">
        <v>32</v>
      </c>
      <c r="L37" s="21" t="s">
        <v>33</v>
      </c>
      <c r="N37" s="20" t="s">
        <v>31</v>
      </c>
      <c r="O37" s="20" t="s">
        <v>31</v>
      </c>
      <c r="P37" s="20" t="s">
        <v>31</v>
      </c>
      <c r="Q37" s="19" t="s">
        <v>32</v>
      </c>
    </row>
    <row r="39" spans="1:41" x14ac:dyDescent="0.2">
      <c r="A39" s="80" t="s">
        <v>34</v>
      </c>
      <c r="B39" s="22">
        <f t="shared" ref="B39:G39" si="8">LARGE(B5:B36, 1)</f>
        <v>641288</v>
      </c>
      <c r="C39" s="11">
        <f t="shared" si="8"/>
        <v>0</v>
      </c>
      <c r="D39" s="11">
        <f t="shared" si="8"/>
        <v>0</v>
      </c>
      <c r="E39" s="22">
        <f t="shared" si="8"/>
        <v>0</v>
      </c>
      <c r="F39" s="10">
        <f t="shared" si="8"/>
        <v>0</v>
      </c>
      <c r="G39" s="10">
        <f t="shared" si="8"/>
        <v>0</v>
      </c>
      <c r="H39" s="23"/>
      <c r="I39" s="10">
        <f>LARGE(I5:I36, 1)</f>
        <v>19163</v>
      </c>
      <c r="J39" s="24">
        <f>LARGE(J5:J36, 1)</f>
        <v>1474</v>
      </c>
      <c r="K39" s="10">
        <f>LARGE(K5:K36, 1)</f>
        <v>0</v>
      </c>
      <c r="L39" s="24">
        <f>LARGE(L5:L36, 1)</f>
        <v>0</v>
      </c>
      <c r="M39" s="8"/>
      <c r="N39" s="22">
        <f>LARGE(N5:N36, 1)</f>
        <v>218830</v>
      </c>
      <c r="O39" s="22">
        <f>LARGE(O5:O36, 1)</f>
        <v>0</v>
      </c>
      <c r="P39" s="22">
        <f>LARGE(P5:P36, 1)</f>
        <v>0</v>
      </c>
      <c r="Q39" s="10">
        <f>LARGE(Q5:Q36, 1)</f>
        <v>0</v>
      </c>
      <c r="R39" s="19"/>
      <c r="S39" s="9"/>
      <c r="T39" s="11">
        <f>LARGE(T5:T36, 1)</f>
        <v>0</v>
      </c>
      <c r="U39" s="11">
        <f>LARGE(U5:U36, 1)</f>
        <v>0</v>
      </c>
      <c r="V39" s="11">
        <f>LARGE(V5:V36, 1)</f>
        <v>0</v>
      </c>
      <c r="X39" s="80" t="s">
        <v>35</v>
      </c>
      <c r="Y39" s="55">
        <f t="shared" ref="Y39:AD39" si="9">AVERAGE(Y6:Y36)</f>
        <v>35.483870967741936</v>
      </c>
      <c r="Z39" s="55">
        <f t="shared" si="9"/>
        <v>0</v>
      </c>
      <c r="AA39" s="55">
        <f t="shared" si="9"/>
        <v>0</v>
      </c>
      <c r="AB39" s="55">
        <f t="shared" si="9"/>
        <v>0</v>
      </c>
      <c r="AC39" s="55">
        <f t="shared" si="9"/>
        <v>0</v>
      </c>
      <c r="AD39" s="55">
        <f t="shared" si="9"/>
        <v>0</v>
      </c>
      <c r="AE39" s="56"/>
      <c r="AF39" s="55">
        <f>AVERAGE(AF6:AF36)</f>
        <v>12.225806451612904</v>
      </c>
      <c r="AG39" s="55">
        <f>AVERAGE(AG6:AG36)</f>
        <v>1.8064516129032258</v>
      </c>
      <c r="AH39" s="55">
        <f>AVERAGE(AH6:AH36)</f>
        <v>0</v>
      </c>
      <c r="AI39" s="55">
        <f>AVERAGE(AI6:AI36)</f>
        <v>0</v>
      </c>
      <c r="AJ39" s="56"/>
      <c r="AK39" s="55">
        <f>AVERAGE(AK6:AK36)</f>
        <v>76.451612903225808</v>
      </c>
      <c r="AL39" s="55">
        <f>AVERAGE(AL6:AL36)</f>
        <v>0</v>
      </c>
      <c r="AM39" s="55">
        <f>AVERAGE(AM6:AM36)</f>
        <v>0</v>
      </c>
      <c r="AN39" s="55">
        <f>AVERAGE(AN6:AN36)</f>
        <v>0</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1100</v>
      </c>
      <c r="C42" s="26">
        <f t="shared" ref="C42:V42" si="10">C39-C5</f>
        <v>0</v>
      </c>
      <c r="D42" s="26">
        <f t="shared" si="10"/>
        <v>0</v>
      </c>
      <c r="E42" s="26">
        <f t="shared" si="10"/>
        <v>0</v>
      </c>
      <c r="F42" s="26">
        <f t="shared" si="10"/>
        <v>0</v>
      </c>
      <c r="G42" s="26">
        <f t="shared" si="10"/>
        <v>0</v>
      </c>
      <c r="I42" s="26">
        <f t="shared" si="10"/>
        <v>379</v>
      </c>
      <c r="J42" s="26">
        <f t="shared" si="10"/>
        <v>56</v>
      </c>
      <c r="K42" s="26">
        <f t="shared" si="10"/>
        <v>0</v>
      </c>
      <c r="L42" s="26">
        <f t="shared" si="10"/>
        <v>0</v>
      </c>
      <c r="N42" s="26">
        <f t="shared" si="10"/>
        <v>2370</v>
      </c>
      <c r="O42" s="26">
        <f t="shared" si="10"/>
        <v>0</v>
      </c>
      <c r="P42" s="26">
        <f t="shared" si="10"/>
        <v>0</v>
      </c>
      <c r="Q42" s="26">
        <f t="shared" si="10"/>
        <v>0</v>
      </c>
      <c r="R42" s="26"/>
      <c r="T42" s="26">
        <f t="shared" si="10"/>
        <v>0</v>
      </c>
      <c r="U42" s="26">
        <f t="shared" si="10"/>
        <v>0</v>
      </c>
      <c r="V42" s="26">
        <f t="shared" si="10"/>
        <v>0</v>
      </c>
      <c r="X42" s="96"/>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1" x14ac:dyDescent="0.2">
      <c r="X43" s="80">
        <v>1.5</v>
      </c>
      <c r="Y43" s="54">
        <f>Y42*$X$43</f>
        <v>53.225806451612904</v>
      </c>
      <c r="Z43" s="54">
        <f t="shared" ref="Z43:AD43" si="11">Z42*$X$43</f>
        <v>0</v>
      </c>
      <c r="AA43" s="54">
        <f t="shared" si="11"/>
        <v>0</v>
      </c>
      <c r="AB43" s="54">
        <f t="shared" si="11"/>
        <v>0</v>
      </c>
      <c r="AC43" s="54">
        <f t="shared" si="11"/>
        <v>0</v>
      </c>
      <c r="AD43" s="54">
        <f t="shared" si="11"/>
        <v>0</v>
      </c>
      <c r="AE43" s="56"/>
      <c r="AF43" s="54">
        <f t="shared" ref="AF43:AI43" si="12">AF42*$X$43</f>
        <v>18.338709677419356</v>
      </c>
      <c r="AG43" s="54">
        <f t="shared" si="12"/>
        <v>2.7096774193548385</v>
      </c>
      <c r="AH43" s="54">
        <f t="shared" si="12"/>
        <v>0</v>
      </c>
      <c r="AI43" s="54">
        <f t="shared" si="12"/>
        <v>0</v>
      </c>
      <c r="AJ43" s="56"/>
      <c r="AK43" s="54">
        <f t="shared" ref="AK43:AN43" si="13">AK42*$X$43</f>
        <v>114.67741935483872</v>
      </c>
      <c r="AL43" s="54">
        <f t="shared" si="13"/>
        <v>0</v>
      </c>
      <c r="AM43" s="54">
        <f t="shared" si="13"/>
        <v>0</v>
      </c>
      <c r="AN43" s="54">
        <f t="shared" si="13"/>
        <v>0</v>
      </c>
    </row>
    <row r="44" spans="1:41" x14ac:dyDescent="0.2">
      <c r="R44" s="31" t="s">
        <v>35</v>
      </c>
      <c r="X44" s="80">
        <v>0.5</v>
      </c>
      <c r="Y44" s="54">
        <f>Y42*$X$44</f>
        <v>17.741935483870968</v>
      </c>
      <c r="Z44" s="54">
        <f t="shared" ref="Z44:AD44" si="14">Z42*$X$44</f>
        <v>0</v>
      </c>
      <c r="AA44" s="54">
        <f t="shared" si="14"/>
        <v>0</v>
      </c>
      <c r="AB44" s="54">
        <f t="shared" si="14"/>
        <v>0</v>
      </c>
      <c r="AC44" s="54">
        <f t="shared" si="14"/>
        <v>0</v>
      </c>
      <c r="AD44" s="54">
        <f t="shared" si="14"/>
        <v>0</v>
      </c>
      <c r="AE44" s="56"/>
      <c r="AF44" s="54">
        <f t="shared" ref="AF44:AI44" si="15">AF42*$X$44</f>
        <v>6.112903225806452</v>
      </c>
      <c r="AG44" s="54">
        <f t="shared" si="15"/>
        <v>0.90322580645161288</v>
      </c>
      <c r="AH44" s="54">
        <f t="shared" si="15"/>
        <v>0</v>
      </c>
      <c r="AI44" s="54">
        <f t="shared" si="15"/>
        <v>0</v>
      </c>
      <c r="AJ44" s="56"/>
      <c r="AK44" s="54">
        <f t="shared" ref="AK44:AN44" si="16">AK42*$X$44</f>
        <v>38.225806451612904</v>
      </c>
      <c r="AL44" s="54">
        <f t="shared" si="16"/>
        <v>0</v>
      </c>
      <c r="AM44" s="54">
        <f t="shared" si="16"/>
        <v>0</v>
      </c>
      <c r="AN44" s="54">
        <f t="shared" si="16"/>
        <v>0</v>
      </c>
    </row>
    <row r="45" spans="1:41" x14ac:dyDescent="0.2">
      <c r="R45" s="11">
        <f>AVERAGE(R6:R36)</f>
        <v>0</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0</v>
      </c>
    </row>
  </sheetData>
  <mergeCells count="27">
    <mergeCell ref="X41:X42"/>
    <mergeCell ref="Y1:AD1"/>
    <mergeCell ref="AF1:AI1"/>
    <mergeCell ref="AK1:AN1"/>
    <mergeCell ref="Y2:AA2"/>
    <mergeCell ref="AB2:AD2"/>
    <mergeCell ref="AF2:AG2"/>
    <mergeCell ref="AH2:AI2"/>
    <mergeCell ref="AK2:AL2"/>
    <mergeCell ref="X1:X2"/>
    <mergeCell ref="T1:V1"/>
    <mergeCell ref="T2:V2"/>
    <mergeCell ref="A4:V4"/>
    <mergeCell ref="B2:D2"/>
    <mergeCell ref="I2:J2"/>
    <mergeCell ref="K2:L2"/>
    <mergeCell ref="N2:O2"/>
    <mergeCell ref="I1:L1"/>
    <mergeCell ref="B1:G1"/>
    <mergeCell ref="E2:G2"/>
    <mergeCell ref="N1:Q1"/>
    <mergeCell ref="A1:A2"/>
    <mergeCell ref="Z46:AN46"/>
    <mergeCell ref="Z47:AN47"/>
    <mergeCell ref="Z48:AN48"/>
    <mergeCell ref="Z49:AN49"/>
    <mergeCell ref="Z50:AN50"/>
  </mergeCells>
  <phoneticPr fontId="0" type="noConversion"/>
  <conditionalFormatting sqref="Y40:AN40">
    <cfRule type="cellIs" dxfId="970" priority="146" operator="lessThan">
      <formula>0</formula>
    </cfRule>
  </conditionalFormatting>
  <conditionalFormatting sqref="Y42:AD42 AF42:AI42 AK42:AN42">
    <cfRule type="cellIs" dxfId="969" priority="105" operator="lessThan">
      <formula>0</formula>
    </cfRule>
  </conditionalFormatting>
  <conditionalFormatting sqref="Y43:AD44 AF43:AI44 AK43:AN44">
    <cfRule type="cellIs" dxfId="968" priority="104" operator="lessThan">
      <formula>0</formula>
    </cfRule>
  </conditionalFormatting>
  <conditionalFormatting sqref="Y39:AN39">
    <cfRule type="cellIs" dxfId="967" priority="52" operator="lessThan">
      <formula>0</formula>
    </cfRule>
  </conditionalFormatting>
  <conditionalFormatting sqref="Y39">
    <cfRule type="cellIs" dxfId="966" priority="50" operator="lessThan">
      <formula>$Y$44</formula>
    </cfRule>
    <cfRule type="cellIs" dxfId="965" priority="51" operator="greaterThan">
      <formula>$Y$43</formula>
    </cfRule>
  </conditionalFormatting>
  <conditionalFormatting sqref="AB39">
    <cfRule type="cellIs" dxfId="964" priority="48" operator="lessThan">
      <formula>$AB$44</formula>
    </cfRule>
    <cfRule type="cellIs" dxfId="963" priority="49" operator="greaterThan">
      <formula>$AB$43</formula>
    </cfRule>
  </conditionalFormatting>
  <conditionalFormatting sqref="AC39">
    <cfRule type="cellIs" dxfId="962" priority="46" operator="lessThan">
      <formula>$AC$44</formula>
    </cfRule>
    <cfRule type="cellIs" dxfId="961" priority="47" operator="greaterThan">
      <formula>$AC$43</formula>
    </cfRule>
  </conditionalFormatting>
  <conditionalFormatting sqref="AD39">
    <cfRule type="cellIs" dxfId="960" priority="44" operator="lessThan">
      <formula>$AD$44</formula>
    </cfRule>
    <cfRule type="cellIs" dxfId="959" priority="45" operator="greaterThan">
      <formula>$AD$43</formula>
    </cfRule>
  </conditionalFormatting>
  <conditionalFormatting sqref="AF39">
    <cfRule type="cellIs" dxfId="958" priority="42" operator="lessThan">
      <formula>$AF$44</formula>
    </cfRule>
    <cfRule type="cellIs" dxfId="957" priority="43" operator="greaterThan">
      <formula>$AF$43</formula>
    </cfRule>
  </conditionalFormatting>
  <conditionalFormatting sqref="AG39">
    <cfRule type="cellIs" dxfId="956" priority="40" operator="lessThan">
      <formula>$AG$44</formula>
    </cfRule>
    <cfRule type="cellIs" dxfId="955" priority="41" operator="greaterThan">
      <formula>$AG$43</formula>
    </cfRule>
  </conditionalFormatting>
  <conditionalFormatting sqref="AH39">
    <cfRule type="cellIs" dxfId="954" priority="38" operator="lessThan">
      <formula>$AH$44</formula>
    </cfRule>
    <cfRule type="cellIs" dxfId="953" priority="39" operator="greaterThan">
      <formula>$AH$43</formula>
    </cfRule>
  </conditionalFormatting>
  <conditionalFormatting sqref="AI39">
    <cfRule type="cellIs" dxfId="952" priority="36" operator="lessThan">
      <formula>$AI$44</formula>
    </cfRule>
    <cfRule type="cellIs" dxfId="951" priority="37" operator="greaterThan">
      <formula>$AI$43</formula>
    </cfRule>
  </conditionalFormatting>
  <conditionalFormatting sqref="AK39">
    <cfRule type="cellIs" dxfId="950" priority="34" operator="lessThan">
      <formula>$AK$44</formula>
    </cfRule>
    <cfRule type="cellIs" dxfId="949" priority="35" operator="greaterThan">
      <formula>$AK$43</formula>
    </cfRule>
  </conditionalFormatting>
  <conditionalFormatting sqref="AL39">
    <cfRule type="cellIs" dxfId="948" priority="32" operator="lessThan">
      <formula>$AL$44</formula>
    </cfRule>
    <cfRule type="cellIs" dxfId="947" priority="33" operator="greaterThan">
      <formula>$AL$43</formula>
    </cfRule>
  </conditionalFormatting>
  <conditionalFormatting sqref="AM39">
    <cfRule type="cellIs" dxfId="946" priority="30" operator="lessThan">
      <formula>$AM$44</formula>
    </cfRule>
    <cfRule type="cellIs" dxfId="945" priority="31" operator="greaterThan">
      <formula>$AM$43</formula>
    </cfRule>
  </conditionalFormatting>
  <conditionalFormatting sqref="AN39">
    <cfRule type="cellIs" dxfId="944" priority="28" operator="lessThan">
      <formula>$AN$44</formula>
    </cfRule>
    <cfRule type="cellIs" dxfId="943" priority="29" operator="greaterThan">
      <formula>$AN$43</formula>
    </cfRule>
  </conditionalFormatting>
  <conditionalFormatting sqref="AB6:AB36">
    <cfRule type="cellIs" dxfId="942" priority="27" operator="notBetween">
      <formula>$AB$44</formula>
      <formula>$AB$43</formula>
    </cfRule>
  </conditionalFormatting>
  <conditionalFormatting sqref="AC6:AC36">
    <cfRule type="cellIs" dxfId="941" priority="16" operator="notBetween">
      <formula>$AC$43</formula>
      <formula>$AC$44</formula>
    </cfRule>
  </conditionalFormatting>
  <conditionalFormatting sqref="Y6:AN36">
    <cfRule type="cellIs" dxfId="940" priority="2" stopIfTrue="1" operator="equal">
      <formula>0</formula>
    </cfRule>
    <cfRule type="cellIs" dxfId="939" priority="3" stopIfTrue="1" operator="lessThan">
      <formula>0</formula>
    </cfRule>
  </conditionalFormatting>
  <conditionalFormatting sqref="Y6:Y36">
    <cfRule type="cellIs" dxfId="938" priority="25" operator="notBetween">
      <formula>$Y$44</formula>
      <formula>$Y$43</formula>
    </cfRule>
  </conditionalFormatting>
  <conditionalFormatting sqref="AD6:AD36">
    <cfRule type="cellIs" dxfId="937" priority="17" operator="notBetween">
      <formula>$AD$44</formula>
      <formula>$AD$43</formula>
    </cfRule>
  </conditionalFormatting>
  <conditionalFormatting sqref="AF6:AF36">
    <cfRule type="cellIs" dxfId="936" priority="18" operator="notBetween">
      <formula>$AF$44</formula>
      <formula>$AF$43</formula>
    </cfRule>
  </conditionalFormatting>
  <conditionalFormatting sqref="AG6:AG36">
    <cfRule type="cellIs" dxfId="935" priority="19" operator="notBetween">
      <formula>$AG$44</formula>
      <formula>$AG$43</formula>
    </cfRule>
  </conditionalFormatting>
  <conditionalFormatting sqref="AH6:AH36">
    <cfRule type="cellIs" dxfId="934" priority="20" operator="notBetween">
      <formula>$AH$44</formula>
      <formula>$AH$43</formula>
    </cfRule>
  </conditionalFormatting>
  <conditionalFormatting sqref="AI6:AI36">
    <cfRule type="cellIs" dxfId="933" priority="21" operator="notBetween">
      <formula>$AI$44</formula>
      <formula>$AI$43</formula>
    </cfRule>
  </conditionalFormatting>
  <conditionalFormatting sqref="AK6:AK36">
    <cfRule type="cellIs" dxfId="932" priority="22" operator="notBetween">
      <formula>$AK$44</formula>
      <formula>$AK$43</formula>
    </cfRule>
  </conditionalFormatting>
  <conditionalFormatting sqref="AL6:AL36">
    <cfRule type="cellIs" dxfId="931" priority="23" operator="notBetween">
      <formula>$AL$44</formula>
      <formula>$AL$43</formula>
    </cfRule>
  </conditionalFormatting>
  <conditionalFormatting sqref="AM6:AM36">
    <cfRule type="cellIs" dxfId="930" priority="26" operator="notBetween">
      <formula>$AM$44</formula>
      <formula>$AM$43</formula>
    </cfRule>
  </conditionalFormatting>
  <conditionalFormatting sqref="AN6:AN36">
    <cfRule type="cellIs" dxfId="929" priority="24" operator="notBetween">
      <formula>$AN$44</formula>
      <formula>$AN$43</formula>
    </cfRule>
  </conditionalFormatting>
  <conditionalFormatting sqref="AG6:AG39">
    <cfRule type="cellIs" dxfId="928" priority="13" stopIfTrue="1" operator="greaterThan">
      <formula>$AG$43*2</formula>
    </cfRule>
  </conditionalFormatting>
  <conditionalFormatting sqref="Y6:Y39">
    <cfRule type="cellIs" dxfId="927" priority="15" stopIfTrue="1" operator="greaterThan">
      <formula>$Y$43*2</formula>
    </cfRule>
  </conditionalFormatting>
  <conditionalFormatting sqref="AB6:AB39">
    <cfRule type="cellIs" dxfId="926" priority="14" stopIfTrue="1" operator="greaterThan">
      <formula>$AB$43*2</formula>
    </cfRule>
  </conditionalFormatting>
  <conditionalFormatting sqref="AC6:AC39">
    <cfRule type="cellIs" dxfId="925" priority="4" stopIfTrue="1" operator="greaterThan">
      <formula>$AC$43*2</formula>
    </cfRule>
  </conditionalFormatting>
  <conditionalFormatting sqref="AD6:AD39">
    <cfRule type="cellIs" dxfId="924" priority="5" stopIfTrue="1" operator="greaterThan">
      <formula>$AD$43*2</formula>
    </cfRule>
  </conditionalFormatting>
  <conditionalFormatting sqref="AF6:AF39">
    <cfRule type="cellIs" dxfId="923" priority="6" stopIfTrue="1" operator="greaterThan">
      <formula>$AF$43*2</formula>
    </cfRule>
  </conditionalFormatting>
  <conditionalFormatting sqref="AH6:AH39">
    <cfRule type="cellIs" dxfId="922" priority="7" stopIfTrue="1" operator="greaterThan">
      <formula>$AH$43*2</formula>
    </cfRule>
  </conditionalFormatting>
  <conditionalFormatting sqref="AI6:AI39">
    <cfRule type="cellIs" dxfId="921" priority="8" stopIfTrue="1" operator="greaterThan">
      <formula>$AI$43*2</formula>
    </cfRule>
  </conditionalFormatting>
  <conditionalFormatting sqref="AK6:AK39">
    <cfRule type="cellIs" dxfId="920" priority="10" stopIfTrue="1" operator="greaterThan">
      <formula>$AK$43*2</formula>
    </cfRule>
  </conditionalFormatting>
  <conditionalFormatting sqref="AL6:AL39">
    <cfRule type="cellIs" dxfId="919" priority="9" stopIfTrue="1" operator="greaterThan">
      <formula>$AL$43*2</formula>
    </cfRule>
  </conditionalFormatting>
  <conditionalFormatting sqref="AM6:AM39">
    <cfRule type="cellIs" dxfId="918" priority="11" stopIfTrue="1" operator="greaterThan">
      <formula>$AM$43*2</formula>
    </cfRule>
  </conditionalFormatting>
  <conditionalFormatting sqref="AN6:AN39">
    <cfRule type="cellIs" dxfId="917"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41"/>
  <sheetViews>
    <sheetView workbookViewId="0"/>
  </sheetViews>
  <sheetFormatPr defaultColWidth="9.140625" defaultRowHeight="12.75" x14ac:dyDescent="0.2"/>
  <cols>
    <col min="1" max="1" width="2.7109375" customWidth="1"/>
    <col min="2" max="2" width="12.140625" customWidth="1"/>
    <col min="4" max="8" width="0" hidden="1" customWidth="1"/>
    <col min="9" max="9" width="0.28515625" customWidth="1"/>
    <col min="12" max="13" width="0" hidden="1" customWidth="1"/>
    <col min="14" max="14" width="0.28515625" customWidth="1"/>
    <col min="16" max="18" width="0" hidden="1" customWidth="1"/>
    <col min="19" max="19" width="0.28515625" customWidth="1"/>
    <col min="20" max="23" width="9.140625" hidden="1" customWidth="1"/>
  </cols>
  <sheetData>
    <row r="1" spans="1:34" x14ac:dyDescent="0.2">
      <c r="J1" s="97" t="s">
        <v>1</v>
      </c>
      <c r="K1" s="97"/>
      <c r="L1" s="97"/>
      <c r="M1" s="97"/>
    </row>
    <row r="2" spans="1:34" x14ac:dyDescent="0.2">
      <c r="C2" s="97" t="s">
        <v>0</v>
      </c>
      <c r="D2" s="97"/>
      <c r="E2" s="97"/>
      <c r="F2" s="97"/>
      <c r="G2" s="97"/>
      <c r="H2" s="97"/>
      <c r="J2" s="98" t="s">
        <v>7</v>
      </c>
      <c r="K2" s="98"/>
      <c r="L2" s="98" t="s">
        <v>8</v>
      </c>
      <c r="M2" s="98"/>
      <c r="O2" s="97" t="s">
        <v>2</v>
      </c>
      <c r="P2" s="97"/>
      <c r="Q2" s="97"/>
      <c r="R2" s="97"/>
      <c r="T2" s="97" t="s">
        <v>3</v>
      </c>
      <c r="U2" s="97"/>
      <c r="V2" s="97"/>
    </row>
    <row r="3" spans="1:34" ht="76.5" customHeight="1" x14ac:dyDescent="0.2">
      <c r="B3" s="46" t="s">
        <v>49</v>
      </c>
      <c r="C3" s="29" t="s">
        <v>14</v>
      </c>
      <c r="D3" s="29" t="s">
        <v>15</v>
      </c>
      <c r="E3" s="29" t="s">
        <v>16</v>
      </c>
      <c r="F3" s="29" t="s">
        <v>17</v>
      </c>
      <c r="G3" s="29" t="s">
        <v>18</v>
      </c>
      <c r="H3" s="29" t="s">
        <v>19</v>
      </c>
      <c r="I3" s="30"/>
      <c r="J3" s="29" t="s">
        <v>20</v>
      </c>
      <c r="K3" s="29" t="s">
        <v>21</v>
      </c>
      <c r="L3" s="29" t="s">
        <v>20</v>
      </c>
      <c r="M3" s="29" t="s">
        <v>21</v>
      </c>
      <c r="N3" s="30"/>
      <c r="O3" s="29" t="s">
        <v>22</v>
      </c>
      <c r="P3" s="29" t="s">
        <v>23</v>
      </c>
      <c r="Q3" s="29" t="s">
        <v>24</v>
      </c>
      <c r="R3" s="29" t="s">
        <v>25</v>
      </c>
      <c r="S3" s="30"/>
      <c r="T3" s="29" t="s">
        <v>26</v>
      </c>
      <c r="U3" s="29" t="s">
        <v>27</v>
      </c>
      <c r="V3" s="29" t="s">
        <v>28</v>
      </c>
      <c r="X3" s="29" t="s">
        <v>50</v>
      </c>
      <c r="Y3" s="29" t="s">
        <v>51</v>
      </c>
      <c r="Z3" s="29" t="s">
        <v>52</v>
      </c>
    </row>
    <row r="4" spans="1:34" x14ac:dyDescent="0.2">
      <c r="A4" s="43" t="s">
        <v>30</v>
      </c>
      <c r="B4" s="47" t="s">
        <v>53</v>
      </c>
      <c r="C4" s="48">
        <f>Jan!B42</f>
        <v>2446</v>
      </c>
      <c r="D4" s="48">
        <f>Jan!C42</f>
        <v>0</v>
      </c>
      <c r="E4" s="48">
        <f>Jan!D42</f>
        <v>0</v>
      </c>
      <c r="F4" s="48">
        <f>Jan!E42</f>
        <v>0</v>
      </c>
      <c r="G4" s="48">
        <f>Jan!F42</f>
        <v>0</v>
      </c>
      <c r="H4" s="48">
        <f>Jan!G42</f>
        <v>0</v>
      </c>
      <c r="I4" s="48">
        <f>Jan!H42</f>
        <v>0</v>
      </c>
      <c r="J4" s="48">
        <f>Jan!I42</f>
        <v>362</v>
      </c>
      <c r="K4" s="48">
        <f>Jan!J42</f>
        <v>56</v>
      </c>
      <c r="L4" s="48">
        <f>Jan!K42</f>
        <v>0</v>
      </c>
      <c r="M4" s="48">
        <f>Jan!L42</f>
        <v>0</v>
      </c>
      <c r="N4" s="48">
        <f>Jan!M42</f>
        <v>0</v>
      </c>
      <c r="O4" s="48">
        <f>Jan!N42</f>
        <v>2969</v>
      </c>
      <c r="P4" s="48">
        <f>Jan!O42</f>
        <v>631</v>
      </c>
      <c r="Q4" s="48">
        <f>Jan!P42</f>
        <v>94</v>
      </c>
      <c r="R4" s="48">
        <f>Jan!Q42</f>
        <v>457</v>
      </c>
      <c r="S4" s="48">
        <f>Jan!S42</f>
        <v>0</v>
      </c>
      <c r="T4" s="48">
        <f>Jan!T42</f>
        <v>0</v>
      </c>
      <c r="U4" s="48">
        <f>Jan!U42</f>
        <v>0</v>
      </c>
      <c r="V4" s="48">
        <f>Jan!V42</f>
        <v>0</v>
      </c>
      <c r="X4" s="11">
        <f>Jan!$R$51</f>
        <v>-693.22580645161293</v>
      </c>
      <c r="Y4" s="68"/>
      <c r="Z4" s="69"/>
    </row>
    <row r="5" spans="1:34" x14ac:dyDescent="0.2">
      <c r="A5" s="43" t="s">
        <v>30</v>
      </c>
      <c r="B5" s="47" t="s">
        <v>54</v>
      </c>
      <c r="C5" s="48">
        <f>Feb!B42</f>
        <v>1834</v>
      </c>
      <c r="D5" s="48">
        <f>Feb!C42</f>
        <v>0</v>
      </c>
      <c r="E5" s="48">
        <f>Feb!D42</f>
        <v>0</v>
      </c>
      <c r="F5" s="48">
        <f>Feb!E42</f>
        <v>0</v>
      </c>
      <c r="G5" s="48">
        <f>Feb!F42</f>
        <v>0</v>
      </c>
      <c r="H5" s="48">
        <f>Feb!G42</f>
        <v>0</v>
      </c>
      <c r="I5" s="48">
        <f>Feb!H42</f>
        <v>0</v>
      </c>
      <c r="J5" s="48">
        <f>Feb!I42</f>
        <v>345</v>
      </c>
      <c r="K5" s="48">
        <f>Feb!J42</f>
        <v>77</v>
      </c>
      <c r="L5" s="48">
        <f>Feb!K42</f>
        <v>0</v>
      </c>
      <c r="M5" s="48">
        <f>Feb!L42</f>
        <v>0</v>
      </c>
      <c r="N5" s="48">
        <f>Feb!M42</f>
        <v>0</v>
      </c>
      <c r="O5" s="48">
        <f>Feb!N42</f>
        <v>2704</v>
      </c>
      <c r="P5" s="48">
        <f>Feb!O42</f>
        <v>0</v>
      </c>
      <c r="Q5" s="48">
        <f>Feb!P42</f>
        <v>0</v>
      </c>
      <c r="R5" s="48">
        <f>Feb!Q42</f>
        <v>0</v>
      </c>
      <c r="S5" s="48">
        <f>Feb!S42</f>
        <v>0</v>
      </c>
      <c r="T5" s="48">
        <f>Feb!T42</f>
        <v>0</v>
      </c>
      <c r="U5" s="48">
        <f>Feb!U42</f>
        <v>0</v>
      </c>
      <c r="V5" s="48">
        <f>Feb!V42</f>
        <v>0</v>
      </c>
      <c r="X5" s="11">
        <f>Feb!$R$51</f>
        <v>-783.82142857142856</v>
      </c>
      <c r="Y5" s="67">
        <f t="shared" ref="Y5:Y6" si="0">IF(C5=0,0,1-(C5/C4))</f>
        <v>0.25020441537203597</v>
      </c>
      <c r="Z5" s="67">
        <f t="shared" ref="Z5:Z6" si="1">IF(O5=0,0,1-(O5/O4))</f>
        <v>8.9255641630178517E-2</v>
      </c>
      <c r="AC5" s="9" t="s">
        <v>55</v>
      </c>
      <c r="AD5" s="9" t="s">
        <v>55</v>
      </c>
      <c r="AE5" s="9" t="s">
        <v>55</v>
      </c>
    </row>
    <row r="6" spans="1:34" x14ac:dyDescent="0.2">
      <c r="A6" s="43" t="s">
        <v>30</v>
      </c>
      <c r="B6" s="47" t="s">
        <v>56</v>
      </c>
      <c r="C6" s="48">
        <f>Mar!B42</f>
        <v>1478</v>
      </c>
      <c r="D6" s="48">
        <f>Mar!C42</f>
        <v>0</v>
      </c>
      <c r="E6" s="48">
        <f>Mar!D42</f>
        <v>0</v>
      </c>
      <c r="F6" s="48">
        <f>Mar!E42</f>
        <v>0</v>
      </c>
      <c r="G6" s="48">
        <f>Mar!F42</f>
        <v>0</v>
      </c>
      <c r="H6" s="48">
        <f>Mar!G42</f>
        <v>0</v>
      </c>
      <c r="I6" s="48">
        <f>Mar!H42</f>
        <v>0</v>
      </c>
      <c r="J6" s="48">
        <f>Mar!I42</f>
        <v>591</v>
      </c>
      <c r="K6" s="48">
        <f>Mar!J42</f>
        <v>151</v>
      </c>
      <c r="L6" s="48">
        <f>Mar!K42</f>
        <v>0</v>
      </c>
      <c r="M6" s="48">
        <f>Mar!L42</f>
        <v>0</v>
      </c>
      <c r="N6" s="48">
        <f>Mar!M42</f>
        <v>0</v>
      </c>
      <c r="O6" s="48">
        <f>Mar!N42</f>
        <v>1796</v>
      </c>
      <c r="P6" s="48">
        <f>Mar!O42</f>
        <v>0</v>
      </c>
      <c r="Q6" s="48">
        <f>Mar!P42</f>
        <v>0</v>
      </c>
      <c r="R6" s="48">
        <f>Mar!Q42</f>
        <v>0</v>
      </c>
      <c r="S6" s="48">
        <f>Mar!S42</f>
        <v>0</v>
      </c>
      <c r="T6" s="48">
        <f>Mar!T42</f>
        <v>0</v>
      </c>
      <c r="U6" s="48">
        <f>Mar!U42</f>
        <v>0</v>
      </c>
      <c r="V6" s="48">
        <f>Mar!V42</f>
        <v>0</v>
      </c>
      <c r="X6" s="11">
        <f>Mar!$R$51</f>
        <v>-707.9677419354839</v>
      </c>
      <c r="Y6" s="67">
        <f t="shared" si="0"/>
        <v>0.19411123227917126</v>
      </c>
      <c r="Z6" s="67">
        <f t="shared" si="1"/>
        <v>0.33579881656804733</v>
      </c>
      <c r="AC6" s="9">
        <v>2019</v>
      </c>
      <c r="AD6" s="9">
        <v>2020</v>
      </c>
      <c r="AE6" s="9" t="s">
        <v>57</v>
      </c>
      <c r="AF6" t="s">
        <v>58</v>
      </c>
    </row>
    <row r="7" spans="1:34" x14ac:dyDescent="0.2">
      <c r="A7" s="43" t="s">
        <v>30</v>
      </c>
      <c r="B7" s="47" t="s">
        <v>59</v>
      </c>
      <c r="C7" s="48">
        <f>Apr!B42</f>
        <v>777</v>
      </c>
      <c r="D7" s="48">
        <f>Apr!C42</f>
        <v>0</v>
      </c>
      <c r="E7" s="48">
        <f>Apr!D42</f>
        <v>0</v>
      </c>
      <c r="F7" s="48">
        <f>Apr!E42</f>
        <v>0</v>
      </c>
      <c r="G7" s="48">
        <f>Apr!F42</f>
        <v>0</v>
      </c>
      <c r="H7" s="48">
        <f>Apr!G42</f>
        <v>0</v>
      </c>
      <c r="I7" s="48">
        <f>Apr!H42</f>
        <v>0</v>
      </c>
      <c r="J7" s="48">
        <f>Apr!I42</f>
        <v>398</v>
      </c>
      <c r="K7" s="48">
        <f>Apr!J42</f>
        <v>61</v>
      </c>
      <c r="L7" s="48">
        <f>Apr!K42</f>
        <v>0</v>
      </c>
      <c r="M7" s="48">
        <f>Apr!L42</f>
        <v>0</v>
      </c>
      <c r="N7" s="48">
        <f>Apr!M42</f>
        <v>0</v>
      </c>
      <c r="O7" s="48">
        <f>Apr!N42</f>
        <v>601</v>
      </c>
      <c r="P7" s="48">
        <f>Apr!O42</f>
        <v>0</v>
      </c>
      <c r="Q7" s="48">
        <f>Apr!P42</f>
        <v>0</v>
      </c>
      <c r="R7" s="48">
        <f>Apr!Q42</f>
        <v>0</v>
      </c>
      <c r="S7" s="48">
        <f>Apr!S42</f>
        <v>0</v>
      </c>
      <c r="T7" s="48">
        <f>Apr!T42</f>
        <v>0</v>
      </c>
      <c r="U7" s="48">
        <f>Apr!U42</f>
        <v>0</v>
      </c>
      <c r="V7" s="48">
        <f>Apr!V42</f>
        <v>0</v>
      </c>
      <c r="X7" s="11">
        <f>Apr!$R$45</f>
        <v>-731.56666666666672</v>
      </c>
      <c r="Y7" s="67">
        <f>IF(C7=0,0,1-(C7/C6))</f>
        <v>0.47428958051420844</v>
      </c>
      <c r="Z7" s="67">
        <f>IF(O7=0,0,1-(O7/O6))</f>
        <v>0.66536748329621376</v>
      </c>
      <c r="AB7" t="s">
        <v>60</v>
      </c>
      <c r="AC7">
        <v>792022</v>
      </c>
      <c r="AD7">
        <v>503820</v>
      </c>
      <c r="AE7" s="74">
        <f>1-(AD7/AC7)</f>
        <v>0.3638813063273495</v>
      </c>
      <c r="AF7" s="70">
        <f>AD7/AC7</f>
        <v>0.6361186936726505</v>
      </c>
      <c r="AG7" s="70">
        <f>AE7+AF7</f>
        <v>1</v>
      </c>
      <c r="AH7" t="s">
        <v>61</v>
      </c>
    </row>
    <row r="8" spans="1:34" x14ac:dyDescent="0.2">
      <c r="A8" s="43" t="s">
        <v>30</v>
      </c>
      <c r="B8" s="47" t="s">
        <v>62</v>
      </c>
      <c r="C8" s="48">
        <f>May!B42</f>
        <v>1042</v>
      </c>
      <c r="D8" s="48">
        <f>May!C42</f>
        <v>0</v>
      </c>
      <c r="E8" s="48">
        <f>May!D42</f>
        <v>0</v>
      </c>
      <c r="F8" s="48">
        <f>May!E42</f>
        <v>0</v>
      </c>
      <c r="G8" s="48">
        <f>May!F42</f>
        <v>0</v>
      </c>
      <c r="H8" s="48">
        <f>May!G42</f>
        <v>0</v>
      </c>
      <c r="I8" s="48">
        <f>May!H42</f>
        <v>0</v>
      </c>
      <c r="J8" s="48">
        <f>May!I42</f>
        <v>501</v>
      </c>
      <c r="K8" s="48">
        <f>May!J42</f>
        <v>127</v>
      </c>
      <c r="L8" s="48">
        <f>May!K42</f>
        <v>0</v>
      </c>
      <c r="M8" s="48">
        <f>May!L42</f>
        <v>0</v>
      </c>
      <c r="N8" s="48">
        <f>May!M42</f>
        <v>0</v>
      </c>
      <c r="O8" s="48">
        <f>May!N42</f>
        <v>580</v>
      </c>
      <c r="P8" s="48">
        <f>May!O42</f>
        <v>0</v>
      </c>
      <c r="Q8" s="48">
        <f>May!P42</f>
        <v>0</v>
      </c>
      <c r="R8" s="48">
        <f>May!Q42</f>
        <v>0</v>
      </c>
      <c r="S8" s="48">
        <f>May!S42</f>
        <v>0</v>
      </c>
      <c r="T8" s="48">
        <f>May!T42</f>
        <v>0</v>
      </c>
      <c r="U8" s="48">
        <f>May!U42</f>
        <v>0</v>
      </c>
      <c r="V8" s="48">
        <f>May!V42</f>
        <v>0</v>
      </c>
      <c r="X8" s="11">
        <f>May!$R$51</f>
        <v>-707.9677419354839</v>
      </c>
      <c r="Y8" s="67">
        <f>IF(C8=0,0,1-(C8/C7))</f>
        <v>-0.34105534105534097</v>
      </c>
      <c r="Z8" s="67">
        <f t="shared" ref="Z8:Z15" si="2">IF(O8=0,0,1-(O8/O7))</f>
        <v>3.4941763727121433E-2</v>
      </c>
      <c r="AB8" t="s">
        <v>2</v>
      </c>
      <c r="AC8">
        <v>1279</v>
      </c>
      <c r="AD8">
        <v>601</v>
      </c>
      <c r="AE8" s="74">
        <f>1-(AD8/AC8)</f>
        <v>0.53010164190774045</v>
      </c>
      <c r="AF8" s="70">
        <f>AD8/AC8</f>
        <v>0.4698983580922596</v>
      </c>
      <c r="AG8" s="70">
        <f>AE8+AF8</f>
        <v>1</v>
      </c>
    </row>
    <row r="9" spans="1:34" x14ac:dyDescent="0.2">
      <c r="A9" s="16"/>
      <c r="B9" s="47" t="s">
        <v>63</v>
      </c>
      <c r="C9" s="48">
        <f>Jun!B42</f>
        <v>1085</v>
      </c>
      <c r="D9" s="48">
        <f>Jun!C42</f>
        <v>0</v>
      </c>
      <c r="E9" s="48">
        <f>Jun!D42</f>
        <v>0</v>
      </c>
      <c r="F9" s="48">
        <f>Jun!E42</f>
        <v>0</v>
      </c>
      <c r="G9" s="48">
        <f>Jun!F42</f>
        <v>0</v>
      </c>
      <c r="H9" s="48">
        <f>Jun!G42</f>
        <v>0</v>
      </c>
      <c r="I9" s="48">
        <f>Jun!H42</f>
        <v>0</v>
      </c>
      <c r="J9" s="48">
        <f>Jun!I42</f>
        <v>636</v>
      </c>
      <c r="K9" s="48">
        <f>Jun!J42</f>
        <v>166</v>
      </c>
      <c r="L9" s="48">
        <f>Jun!K42</f>
        <v>0</v>
      </c>
      <c r="M9" s="48">
        <f>Jun!L42</f>
        <v>0</v>
      </c>
      <c r="N9" s="48">
        <f>Jun!M42</f>
        <v>0</v>
      </c>
      <c r="O9" s="48">
        <f>Jun!N42</f>
        <v>619</v>
      </c>
      <c r="P9" s="48">
        <f>Jun!O42</f>
        <v>0</v>
      </c>
      <c r="Q9" s="48">
        <f>Jun!P42</f>
        <v>0</v>
      </c>
      <c r="R9" s="48">
        <f>Jun!Q42</f>
        <v>0</v>
      </c>
      <c r="S9" s="48">
        <f>Jun!S42</f>
        <v>0</v>
      </c>
      <c r="T9" s="48">
        <f>Jun!T42</f>
        <v>0</v>
      </c>
      <c r="U9" s="48">
        <f>Jun!U42</f>
        <v>0</v>
      </c>
      <c r="V9" s="48">
        <f>Jun!V42</f>
        <v>0</v>
      </c>
      <c r="X9" s="11">
        <f>Jun!$R$51</f>
        <v>-707.9677419354839</v>
      </c>
      <c r="Y9" s="67">
        <f t="shared" ref="Y9:Y15" si="3">IF(C9=0,0,1-(C9/C8))</f>
        <v>-4.1266794625719694E-2</v>
      </c>
      <c r="Z9" s="67">
        <f t="shared" si="2"/>
        <v>-6.7241379310344795E-2</v>
      </c>
      <c r="AB9" t="s">
        <v>0</v>
      </c>
      <c r="AC9">
        <v>2472</v>
      </c>
      <c r="AD9">
        <v>777</v>
      </c>
      <c r="AE9" s="74">
        <f>1-(AD9/AC9)</f>
        <v>0.68567961165048541</v>
      </c>
      <c r="AF9" s="70">
        <f>AD9/AC9</f>
        <v>0.31432038834951459</v>
      </c>
      <c r="AG9" s="70">
        <f>AE9+AF9</f>
        <v>1</v>
      </c>
    </row>
    <row r="10" spans="1:34" x14ac:dyDescent="0.2">
      <c r="A10" s="43"/>
      <c r="B10" s="47" t="s">
        <v>64</v>
      </c>
      <c r="C10" s="48">
        <f>Jul!B42</f>
        <v>0</v>
      </c>
      <c r="D10" s="48" t="e">
        <f>Jul!#REF!</f>
        <v>#REF!</v>
      </c>
      <c r="E10" s="48" t="e">
        <f>Jul!#REF!</f>
        <v>#REF!</v>
      </c>
      <c r="F10" s="48" t="e">
        <f>Jul!#REF!</f>
        <v>#REF!</v>
      </c>
      <c r="G10" s="48" t="e">
        <f>Jul!#REF!</f>
        <v>#REF!</v>
      </c>
      <c r="H10" s="48" t="e">
        <f>Jul!#REF!</f>
        <v>#REF!</v>
      </c>
      <c r="I10" s="48">
        <f>Jul!C42</f>
        <v>0</v>
      </c>
      <c r="J10" s="48">
        <f>Jul!D42</f>
        <v>0</v>
      </c>
      <c r="K10" s="48">
        <f>Jul!E42</f>
        <v>0</v>
      </c>
      <c r="L10" s="48" t="e">
        <f>Jul!#REF!</f>
        <v>#REF!</v>
      </c>
      <c r="M10" s="48" t="e">
        <f>Jul!#REF!</f>
        <v>#REF!</v>
      </c>
      <c r="N10" s="48">
        <f>Jul!F42</f>
        <v>0</v>
      </c>
      <c r="O10" s="48">
        <f>Jul!G42</f>
        <v>0</v>
      </c>
      <c r="P10" s="48" t="e">
        <f>Jul!#REF!</f>
        <v>#REF!</v>
      </c>
      <c r="Q10" s="48" t="e">
        <f>Jul!#REF!</f>
        <v>#REF!</v>
      </c>
      <c r="R10" s="48" t="e">
        <f>Jul!#REF!</f>
        <v>#REF!</v>
      </c>
      <c r="S10" s="48">
        <f>Jul!I42</f>
        <v>0</v>
      </c>
      <c r="T10" s="48">
        <f>Jul!J42</f>
        <v>0</v>
      </c>
      <c r="U10" s="48">
        <f>Jul!K42</f>
        <v>0</v>
      </c>
      <c r="V10" s="48">
        <f>Jul!L42</f>
        <v>0</v>
      </c>
      <c r="X10" s="11" t="e">
        <f>Jul!$H$51</f>
        <v>#REF!</v>
      </c>
      <c r="Y10" s="67">
        <f t="shared" si="3"/>
        <v>0</v>
      </c>
      <c r="Z10" s="67">
        <f t="shared" si="2"/>
        <v>0</v>
      </c>
    </row>
    <row r="11" spans="1:34" x14ac:dyDescent="0.2">
      <c r="A11" s="43"/>
      <c r="B11" s="47" t="s">
        <v>65</v>
      </c>
      <c r="C11" s="48" t="e">
        <f>Aug!B42</f>
        <v>#NUM!</v>
      </c>
      <c r="D11" s="48" t="e">
        <f>Aug!#REF!</f>
        <v>#REF!</v>
      </c>
      <c r="E11" s="48" t="e">
        <f>Aug!#REF!</f>
        <v>#REF!</v>
      </c>
      <c r="F11" s="48" t="e">
        <f>Aug!#REF!</f>
        <v>#REF!</v>
      </c>
      <c r="G11" s="48" t="e">
        <f>Aug!#REF!</f>
        <v>#REF!</v>
      </c>
      <c r="H11" s="48" t="e">
        <f>Aug!#REF!</f>
        <v>#REF!</v>
      </c>
      <c r="I11" s="48">
        <f>Aug!C42</f>
        <v>0</v>
      </c>
      <c r="J11" s="48" t="e">
        <f>Aug!D42</f>
        <v>#NUM!</v>
      </c>
      <c r="K11" s="48" t="e">
        <f>Aug!E42</f>
        <v>#NUM!</v>
      </c>
      <c r="L11" s="48" t="e">
        <f>Aug!#REF!</f>
        <v>#REF!</v>
      </c>
      <c r="M11" s="48" t="e">
        <f>Aug!#REF!</f>
        <v>#REF!</v>
      </c>
      <c r="N11" s="48">
        <f>Aug!F42</f>
        <v>0</v>
      </c>
      <c r="O11" s="48" t="e">
        <f>Aug!G42</f>
        <v>#NUM!</v>
      </c>
      <c r="P11" s="48" t="e">
        <f>Aug!#REF!</f>
        <v>#REF!</v>
      </c>
      <c r="Q11" s="48" t="e">
        <f>Aug!#REF!</f>
        <v>#REF!</v>
      </c>
      <c r="R11" s="48" t="e">
        <f>Aug!#REF!</f>
        <v>#REF!</v>
      </c>
      <c r="S11" s="48">
        <f>Aug!I42</f>
        <v>0</v>
      </c>
      <c r="T11" s="48">
        <f>Aug!J42</f>
        <v>0</v>
      </c>
      <c r="U11" s="48">
        <f>Aug!K42</f>
        <v>0</v>
      </c>
      <c r="V11" s="48">
        <f>Aug!L42</f>
        <v>0</v>
      </c>
      <c r="X11" s="11" t="e">
        <f>Aug!$H$51</f>
        <v>#REF!</v>
      </c>
      <c r="Y11" s="67" t="e">
        <f t="shared" si="3"/>
        <v>#NUM!</v>
      </c>
      <c r="Z11" s="67" t="e">
        <f t="shared" si="2"/>
        <v>#NUM!</v>
      </c>
    </row>
    <row r="12" spans="1:34" x14ac:dyDescent="0.2">
      <c r="A12" s="43"/>
      <c r="B12" s="47" t="s">
        <v>66</v>
      </c>
      <c r="C12" s="48">
        <f>Sep!B42</f>
        <v>605</v>
      </c>
      <c r="D12" s="48" t="e">
        <f>Sep!#REF!</f>
        <v>#REF!</v>
      </c>
      <c r="E12" s="48" t="e">
        <f>Sep!#REF!</f>
        <v>#REF!</v>
      </c>
      <c r="F12" s="48" t="e">
        <f>Sep!#REF!</f>
        <v>#REF!</v>
      </c>
      <c r="G12" s="48" t="e">
        <f>Sep!#REF!</f>
        <v>#REF!</v>
      </c>
      <c r="H12" s="48" t="e">
        <f>Sep!#REF!</f>
        <v>#REF!</v>
      </c>
      <c r="I12" s="48">
        <f>Sep!C42</f>
        <v>0</v>
      </c>
      <c r="J12" s="48">
        <f>Sep!D42</f>
        <v>592</v>
      </c>
      <c r="K12" s="48">
        <f>Sep!E42</f>
        <v>68</v>
      </c>
      <c r="L12" s="48" t="e">
        <f>Sep!#REF!</f>
        <v>#REF!</v>
      </c>
      <c r="M12" s="48" t="e">
        <f>Sep!#REF!</f>
        <v>#REF!</v>
      </c>
      <c r="N12" s="48">
        <f>Sep!F42</f>
        <v>0</v>
      </c>
      <c r="O12" s="48">
        <f>Sep!G42</f>
        <v>532</v>
      </c>
      <c r="P12" s="48" t="e">
        <f>Sep!#REF!</f>
        <v>#REF!</v>
      </c>
      <c r="Q12" s="48" t="e">
        <f>Sep!#REF!</f>
        <v>#REF!</v>
      </c>
      <c r="R12" s="48" t="e">
        <f>Sep!#REF!</f>
        <v>#REF!</v>
      </c>
      <c r="S12" s="48">
        <f>Sep!I42</f>
        <v>0</v>
      </c>
      <c r="T12" s="48">
        <f>Sep!J42</f>
        <v>0</v>
      </c>
      <c r="U12" s="48">
        <f>Sep!K42</f>
        <v>0</v>
      </c>
      <c r="V12" s="48">
        <f>Sep!L42</f>
        <v>0</v>
      </c>
      <c r="X12" s="11" t="e">
        <f>Sep!$H$51</f>
        <v>#REF!</v>
      </c>
      <c r="Y12" s="67" t="e">
        <f t="shared" si="3"/>
        <v>#NUM!</v>
      </c>
      <c r="Z12" s="67" t="e">
        <f t="shared" si="2"/>
        <v>#NUM!</v>
      </c>
    </row>
    <row r="13" spans="1:34" x14ac:dyDescent="0.2">
      <c r="A13" s="43"/>
      <c r="B13" s="47" t="s">
        <v>67</v>
      </c>
      <c r="C13" s="48">
        <f>Oct!B42</f>
        <v>1597</v>
      </c>
      <c r="D13" s="48" t="e">
        <f>Oct!#REF!</f>
        <v>#REF!</v>
      </c>
      <c r="E13" s="48" t="e">
        <f>Oct!#REF!</f>
        <v>#REF!</v>
      </c>
      <c r="F13" s="48" t="e">
        <f>Oct!#REF!</f>
        <v>#REF!</v>
      </c>
      <c r="G13" s="48" t="e">
        <f>Oct!#REF!</f>
        <v>#REF!</v>
      </c>
      <c r="H13" s="48" t="e">
        <f>Oct!#REF!</f>
        <v>#REF!</v>
      </c>
      <c r="I13" s="48">
        <f>Oct!C42</f>
        <v>0</v>
      </c>
      <c r="J13" s="48">
        <f>Oct!D42</f>
        <v>24763</v>
      </c>
      <c r="K13" s="48">
        <f>Oct!E42</f>
        <v>2656</v>
      </c>
      <c r="L13" s="48" t="e">
        <f>Oct!#REF!</f>
        <v>#REF!</v>
      </c>
      <c r="M13" s="48" t="e">
        <f>Oct!#REF!</f>
        <v>#REF!</v>
      </c>
      <c r="N13" s="48">
        <f>Oct!F42</f>
        <v>0</v>
      </c>
      <c r="O13" s="48">
        <f>Oct!G42</f>
        <v>230589</v>
      </c>
      <c r="P13" s="48" t="e">
        <f>Oct!#REF!</f>
        <v>#REF!</v>
      </c>
      <c r="Q13" s="48" t="e">
        <f>Oct!#REF!</f>
        <v>#REF!</v>
      </c>
      <c r="R13" s="48" t="e">
        <f>Oct!#REF!</f>
        <v>#REF!</v>
      </c>
      <c r="S13" s="48">
        <f>Oct!I42</f>
        <v>0</v>
      </c>
      <c r="T13" s="48">
        <f>Oct!J42</f>
        <v>0</v>
      </c>
      <c r="U13" s="48">
        <f>Oct!K42</f>
        <v>0</v>
      </c>
      <c r="V13" s="48">
        <f>Oct!L42</f>
        <v>0</v>
      </c>
      <c r="X13" s="11" t="e">
        <f>Oct!$H$51</f>
        <v>#REF!</v>
      </c>
      <c r="Y13" s="67">
        <f t="shared" si="3"/>
        <v>-1.6396694214876031</v>
      </c>
      <c r="Z13" s="67">
        <f t="shared" si="2"/>
        <v>-432.43796992481202</v>
      </c>
    </row>
    <row r="14" spans="1:34" x14ac:dyDescent="0.2">
      <c r="A14" s="16"/>
      <c r="B14" s="47" t="s">
        <v>68</v>
      </c>
      <c r="C14" s="48">
        <f>Nov!B42</f>
        <v>945</v>
      </c>
      <c r="D14" s="48" t="e">
        <f>Nov!#REF!</f>
        <v>#REF!</v>
      </c>
      <c r="E14" s="48" t="e">
        <f>Nov!#REF!</f>
        <v>#REF!</v>
      </c>
      <c r="F14" s="48" t="e">
        <f>Nov!#REF!</f>
        <v>#REF!</v>
      </c>
      <c r="G14" s="48" t="e">
        <f>Nov!#REF!</f>
        <v>#REF!</v>
      </c>
      <c r="H14" s="48" t="e">
        <f>Nov!#REF!</f>
        <v>#REF!</v>
      </c>
      <c r="I14" s="48">
        <f>Nov!C42</f>
        <v>0</v>
      </c>
      <c r="J14" s="48">
        <f>Nov!D42</f>
        <v>400</v>
      </c>
      <c r="K14" s="48">
        <f>Nov!E42</f>
        <v>78</v>
      </c>
      <c r="L14" s="48" t="e">
        <f>Nov!#REF!</f>
        <v>#REF!</v>
      </c>
      <c r="M14" s="48" t="e">
        <f>Nov!#REF!</f>
        <v>#REF!</v>
      </c>
      <c r="N14" s="48">
        <f>Nov!F42</f>
        <v>0</v>
      </c>
      <c r="O14" s="48">
        <f>Nov!G42</f>
        <v>1122</v>
      </c>
      <c r="P14" s="48" t="e">
        <f>Nov!#REF!</f>
        <v>#REF!</v>
      </c>
      <c r="Q14" s="48" t="e">
        <f>Nov!#REF!</f>
        <v>#REF!</v>
      </c>
      <c r="R14" s="48" t="e">
        <f>Nov!#REF!</f>
        <v>#REF!</v>
      </c>
      <c r="S14" s="48">
        <f>Nov!I42</f>
        <v>0</v>
      </c>
      <c r="T14" s="48">
        <f>Nov!J42</f>
        <v>0</v>
      </c>
      <c r="U14" s="48">
        <f>Nov!K42</f>
        <v>0</v>
      </c>
      <c r="V14" s="48">
        <f>Nov!L42</f>
        <v>0</v>
      </c>
      <c r="X14" s="11" t="e">
        <f>Nov!$H$51</f>
        <v>#REF!</v>
      </c>
      <c r="Y14" s="67">
        <f t="shared" si="3"/>
        <v>0.40826549780839072</v>
      </c>
      <c r="Z14" s="67">
        <f t="shared" si="2"/>
        <v>0.99513419981005169</v>
      </c>
    </row>
    <row r="15" spans="1:34" x14ac:dyDescent="0.2">
      <c r="A15" s="43"/>
      <c r="B15" s="47" t="s">
        <v>69</v>
      </c>
      <c r="C15" s="48">
        <f>Dec!B42</f>
        <v>816</v>
      </c>
      <c r="D15" s="48" t="e">
        <f>Dec!#REF!</f>
        <v>#REF!</v>
      </c>
      <c r="E15" s="48" t="e">
        <f>Dec!#REF!</f>
        <v>#REF!</v>
      </c>
      <c r="F15" s="48" t="e">
        <f>Dec!#REF!</f>
        <v>#REF!</v>
      </c>
      <c r="G15" s="48" t="e">
        <f>Dec!#REF!</f>
        <v>#REF!</v>
      </c>
      <c r="H15" s="48" t="e">
        <f>Dec!#REF!</f>
        <v>#REF!</v>
      </c>
      <c r="I15" s="48">
        <f>Dec!C42</f>
        <v>0</v>
      </c>
      <c r="J15" s="48">
        <f>Dec!D42</f>
        <v>214</v>
      </c>
      <c r="K15" s="48">
        <f>Dec!E42</f>
        <v>36</v>
      </c>
      <c r="L15" s="49" t="e">
        <f>Dec!#REF!</f>
        <v>#REF!</v>
      </c>
      <c r="M15" s="48" t="e">
        <f>Dec!#REF!</f>
        <v>#REF!</v>
      </c>
      <c r="N15" s="48">
        <f>Dec!F42</f>
        <v>0</v>
      </c>
      <c r="O15" s="48">
        <f>Dec!G42</f>
        <v>1917</v>
      </c>
      <c r="P15" s="48" t="e">
        <f>Dec!#REF!</f>
        <v>#REF!</v>
      </c>
      <c r="Q15" s="48" t="e">
        <f>Dec!#REF!</f>
        <v>#REF!</v>
      </c>
      <c r="R15" s="48" t="e">
        <f>Dec!#REF!</f>
        <v>#REF!</v>
      </c>
      <c r="S15" s="48">
        <f>Dec!I42</f>
        <v>0</v>
      </c>
      <c r="T15" s="48">
        <f>Dec!J42</f>
        <v>0</v>
      </c>
      <c r="U15" s="48">
        <f>Dec!K42</f>
        <v>0</v>
      </c>
      <c r="V15" s="48">
        <f>Dec!L42</f>
        <v>0</v>
      </c>
      <c r="X15" s="11" t="e">
        <f>Dec!$H$51</f>
        <v>#REF!</v>
      </c>
      <c r="Y15" s="67">
        <f t="shared" si="3"/>
        <v>0.13650793650793647</v>
      </c>
      <c r="Z15" s="67">
        <f t="shared" si="2"/>
        <v>-0.70855614973262027</v>
      </c>
    </row>
    <row r="16" spans="1:34" hidden="1" x14ac:dyDescent="0.2">
      <c r="A16" s="9"/>
      <c r="B16" s="50" t="s">
        <v>70</v>
      </c>
      <c r="C16" s="48" t="e">
        <f>#REF!</f>
        <v>#REF!</v>
      </c>
      <c r="D16" s="48" t="e">
        <f>#REF!</f>
        <v>#REF!</v>
      </c>
      <c r="E16" s="48" t="e">
        <f>#REF!</f>
        <v>#REF!</v>
      </c>
      <c r="F16" s="48" t="e">
        <f>#REF!</f>
        <v>#REF!</v>
      </c>
      <c r="G16" s="48" t="e">
        <f>#REF!</f>
        <v>#REF!</v>
      </c>
      <c r="H16" s="48" t="e">
        <f>#REF!</f>
        <v>#REF!</v>
      </c>
      <c r="I16" s="48" t="e">
        <f>#REF!</f>
        <v>#REF!</v>
      </c>
      <c r="J16" s="48" t="e">
        <f>#REF!</f>
        <v>#REF!</v>
      </c>
      <c r="K16" s="48" t="e">
        <f>#REF!</f>
        <v>#REF!</v>
      </c>
      <c r="L16" s="48" t="e">
        <f>#REF!</f>
        <v>#REF!</v>
      </c>
      <c r="M16" s="48" t="e">
        <f>#REF!</f>
        <v>#REF!</v>
      </c>
      <c r="N16" s="48" t="e">
        <f>#REF!</f>
        <v>#REF!</v>
      </c>
      <c r="O16" s="48" t="e">
        <f>#REF!</f>
        <v>#REF!</v>
      </c>
      <c r="P16" s="48" t="e">
        <f>#REF!</f>
        <v>#REF!</v>
      </c>
      <c r="Q16" s="48" t="e">
        <f>#REF!</f>
        <v>#REF!</v>
      </c>
      <c r="R16" s="48" t="e">
        <f>#REF!</f>
        <v>#REF!</v>
      </c>
      <c r="S16" s="48" t="e">
        <f>#REF!</f>
        <v>#REF!</v>
      </c>
      <c r="T16" s="48" t="e">
        <f>#REF!</f>
        <v>#REF!</v>
      </c>
      <c r="U16" s="48" t="e">
        <f>#REF!</f>
        <v>#REF!</v>
      </c>
      <c r="V16" s="48" t="e">
        <f>#REF!</f>
        <v>#REF!</v>
      </c>
    </row>
    <row r="18" spans="1:34" x14ac:dyDescent="0.2">
      <c r="B18" s="47" t="s">
        <v>71</v>
      </c>
      <c r="C18" s="51">
        <f>AVERAGEIF($A$4:$A$16, "x", C4:C16)</f>
        <v>1515.4</v>
      </c>
      <c r="D18" s="51">
        <f t="shared" ref="D18:V18" si="4">AVERAGEIF($A$4:$A$16, "x", D4:D16)</f>
        <v>0</v>
      </c>
      <c r="E18" s="51">
        <f t="shared" si="4"/>
        <v>0</v>
      </c>
      <c r="F18" s="51">
        <f t="shared" si="4"/>
        <v>0</v>
      </c>
      <c r="G18" s="51">
        <f t="shared" si="4"/>
        <v>0</v>
      </c>
      <c r="H18" s="51">
        <f t="shared" si="4"/>
        <v>0</v>
      </c>
      <c r="I18" s="51"/>
      <c r="J18" s="51">
        <f t="shared" si="4"/>
        <v>439.4</v>
      </c>
      <c r="K18" s="51">
        <f t="shared" si="4"/>
        <v>94.4</v>
      </c>
      <c r="L18" s="51">
        <f t="shared" si="4"/>
        <v>0</v>
      </c>
      <c r="M18" s="51">
        <f t="shared" si="4"/>
        <v>0</v>
      </c>
      <c r="N18" s="51"/>
      <c r="O18" s="51">
        <f t="shared" si="4"/>
        <v>1730</v>
      </c>
      <c r="P18" s="51">
        <f t="shared" si="4"/>
        <v>126.2</v>
      </c>
      <c r="Q18" s="51">
        <f t="shared" si="4"/>
        <v>18.8</v>
      </c>
      <c r="R18" s="51">
        <f t="shared" si="4"/>
        <v>91.4</v>
      </c>
      <c r="S18" s="51"/>
      <c r="T18" s="51">
        <f t="shared" si="4"/>
        <v>0</v>
      </c>
      <c r="U18" s="51">
        <f t="shared" si="4"/>
        <v>0</v>
      </c>
      <c r="V18" s="51">
        <f t="shared" si="4"/>
        <v>0</v>
      </c>
      <c r="AC18" s="9" t="s">
        <v>72</v>
      </c>
      <c r="AD18" s="9" t="s">
        <v>72</v>
      </c>
      <c r="AE18" s="9" t="s">
        <v>72</v>
      </c>
      <c r="AF18" t="s">
        <v>73</v>
      </c>
    </row>
    <row r="19" spans="1:34" x14ac:dyDescent="0.2">
      <c r="B19" s="52">
        <v>1.5</v>
      </c>
      <c r="C19" s="11">
        <f>C18*$B$19</f>
        <v>2273.1000000000004</v>
      </c>
      <c r="D19" s="11">
        <f t="shared" ref="D19:V19" si="5">D18*$B$19</f>
        <v>0</v>
      </c>
      <c r="E19" s="11">
        <f t="shared" si="5"/>
        <v>0</v>
      </c>
      <c r="F19" s="11">
        <f t="shared" si="5"/>
        <v>0</v>
      </c>
      <c r="G19" s="11">
        <f t="shared" si="5"/>
        <v>0</v>
      </c>
      <c r="H19" s="11">
        <f t="shared" si="5"/>
        <v>0</v>
      </c>
      <c r="I19" s="11"/>
      <c r="J19" s="11">
        <f t="shared" si="5"/>
        <v>659.09999999999991</v>
      </c>
      <c r="K19" s="11">
        <f t="shared" si="5"/>
        <v>141.60000000000002</v>
      </c>
      <c r="L19" s="11">
        <f t="shared" si="5"/>
        <v>0</v>
      </c>
      <c r="M19" s="11">
        <f t="shared" si="5"/>
        <v>0</v>
      </c>
      <c r="N19" s="11"/>
      <c r="O19" s="11">
        <f t="shared" si="5"/>
        <v>2595</v>
      </c>
      <c r="P19" s="11">
        <f t="shared" si="5"/>
        <v>189.3</v>
      </c>
      <c r="Q19" s="11">
        <f t="shared" si="5"/>
        <v>28.200000000000003</v>
      </c>
      <c r="R19" s="11">
        <f t="shared" si="5"/>
        <v>137.10000000000002</v>
      </c>
      <c r="S19" s="11"/>
      <c r="T19" s="11">
        <f t="shared" si="5"/>
        <v>0</v>
      </c>
      <c r="U19" s="11">
        <f t="shared" si="5"/>
        <v>0</v>
      </c>
      <c r="V19" s="11">
        <f t="shared" si="5"/>
        <v>0</v>
      </c>
      <c r="AC19" s="9">
        <v>2019</v>
      </c>
      <c r="AD19" s="9">
        <v>2020</v>
      </c>
      <c r="AE19" s="9" t="s">
        <v>57</v>
      </c>
      <c r="AF19" t="s">
        <v>58</v>
      </c>
    </row>
    <row r="20" spans="1:34" x14ac:dyDescent="0.2">
      <c r="B20" s="52">
        <v>0.5</v>
      </c>
      <c r="C20" s="11">
        <f>C18*$B$20</f>
        <v>757.7</v>
      </c>
      <c r="D20" s="11">
        <f t="shared" ref="D20:V20" si="6">D18*$B$20</f>
        <v>0</v>
      </c>
      <c r="E20" s="11">
        <f t="shared" si="6"/>
        <v>0</v>
      </c>
      <c r="F20" s="11">
        <f t="shared" si="6"/>
        <v>0</v>
      </c>
      <c r="G20" s="11">
        <f t="shared" si="6"/>
        <v>0</v>
      </c>
      <c r="H20" s="11">
        <f t="shared" si="6"/>
        <v>0</v>
      </c>
      <c r="I20" s="11"/>
      <c r="J20" s="11">
        <f t="shared" si="6"/>
        <v>219.7</v>
      </c>
      <c r="K20" s="11">
        <f t="shared" si="6"/>
        <v>47.2</v>
      </c>
      <c r="L20" s="11">
        <f t="shared" si="6"/>
        <v>0</v>
      </c>
      <c r="M20" s="11">
        <f t="shared" si="6"/>
        <v>0</v>
      </c>
      <c r="N20" s="11"/>
      <c r="O20" s="11">
        <f t="shared" si="6"/>
        <v>865</v>
      </c>
      <c r="P20" s="11">
        <f t="shared" si="6"/>
        <v>63.1</v>
      </c>
      <c r="Q20" s="11">
        <f t="shared" si="6"/>
        <v>9.4</v>
      </c>
      <c r="R20" s="11">
        <f t="shared" si="6"/>
        <v>45.7</v>
      </c>
      <c r="S20" s="11"/>
      <c r="T20" s="11">
        <f t="shared" si="6"/>
        <v>0</v>
      </c>
      <c r="U20" s="11">
        <f t="shared" si="6"/>
        <v>0</v>
      </c>
      <c r="V20" s="11">
        <f t="shared" si="6"/>
        <v>0</v>
      </c>
      <c r="AB20" t="s">
        <v>60</v>
      </c>
      <c r="AC20">
        <v>2937149</v>
      </c>
      <c r="AD20">
        <v>2674360</v>
      </c>
      <c r="AE20" s="74">
        <f>1-(AD20/AC20)</f>
        <v>8.9470775912287692E-2</v>
      </c>
      <c r="AF20" s="70">
        <f>AD20/AC20</f>
        <v>0.91052922408771231</v>
      </c>
      <c r="AG20" s="70">
        <f>AE20+AF20</f>
        <v>1</v>
      </c>
      <c r="AH20" t="s">
        <v>74</v>
      </c>
    </row>
    <row r="21" spans="1:34" x14ac:dyDescent="0.2">
      <c r="AB21" t="s">
        <v>2</v>
      </c>
      <c r="AC21">
        <v>10821</v>
      </c>
      <c r="AD21">
        <v>8070</v>
      </c>
      <c r="AE21" s="74">
        <f>1-(AD21/AC21)</f>
        <v>0.25422789021347381</v>
      </c>
      <c r="AF21" s="70">
        <f>AD21/AC21</f>
        <v>0.74577210978652619</v>
      </c>
      <c r="AG21" s="70">
        <f>AE21+AF21</f>
        <v>1</v>
      </c>
    </row>
    <row r="22" spans="1:34" x14ac:dyDescent="0.2">
      <c r="J22" s="97" t="s">
        <v>1</v>
      </c>
      <c r="K22" s="97"/>
      <c r="L22" s="97"/>
      <c r="M22" s="97"/>
      <c r="AB22" t="s">
        <v>0</v>
      </c>
      <c r="AC22">
        <v>8805</v>
      </c>
      <c r="AD22">
        <v>6535</v>
      </c>
      <c r="AE22" s="74">
        <f>1-(AD22/AC22)</f>
        <v>0.25780806360022712</v>
      </c>
      <c r="AF22" s="70">
        <f>AD22/AC22</f>
        <v>0.74219193639977288</v>
      </c>
      <c r="AG22" s="70">
        <f>AE22+AF22</f>
        <v>1</v>
      </c>
      <c r="AH22" t="s">
        <v>75</v>
      </c>
    </row>
    <row r="23" spans="1:34" x14ac:dyDescent="0.2">
      <c r="C23" s="97" t="s">
        <v>0</v>
      </c>
      <c r="D23" s="97"/>
      <c r="E23" s="97"/>
      <c r="F23" s="97"/>
      <c r="G23" s="97"/>
      <c r="H23" s="97"/>
      <c r="J23" s="98" t="s">
        <v>7</v>
      </c>
      <c r="K23" s="98"/>
      <c r="L23" s="98" t="s">
        <v>8</v>
      </c>
      <c r="M23" s="98"/>
      <c r="O23" s="97" t="s">
        <v>2</v>
      </c>
      <c r="P23" s="97"/>
      <c r="Q23" s="97"/>
      <c r="R23" s="97"/>
      <c r="T23" s="97" t="s">
        <v>3</v>
      </c>
      <c r="U23" s="97"/>
      <c r="V23" s="97"/>
    </row>
    <row r="24" spans="1:34" ht="76.5" customHeight="1" x14ac:dyDescent="0.2">
      <c r="B24" s="46" t="s">
        <v>76</v>
      </c>
      <c r="C24" s="29" t="s">
        <v>14</v>
      </c>
      <c r="D24" s="29" t="s">
        <v>15</v>
      </c>
      <c r="E24" s="29" t="s">
        <v>16</v>
      </c>
      <c r="F24" s="29" t="s">
        <v>17</v>
      </c>
      <c r="G24" s="29" t="s">
        <v>18</v>
      </c>
      <c r="H24" s="29" t="s">
        <v>19</v>
      </c>
      <c r="I24" s="30"/>
      <c r="J24" s="29" t="s">
        <v>20</v>
      </c>
      <c r="K24" s="29" t="s">
        <v>21</v>
      </c>
      <c r="L24" s="29" t="s">
        <v>20</v>
      </c>
      <c r="M24" s="29" t="s">
        <v>21</v>
      </c>
      <c r="N24" s="30"/>
      <c r="O24" s="29" t="s">
        <v>22</v>
      </c>
      <c r="P24" s="29" t="s">
        <v>23</v>
      </c>
      <c r="Q24" s="29" t="s">
        <v>24</v>
      </c>
      <c r="R24" s="29" t="s">
        <v>25</v>
      </c>
      <c r="S24" s="30"/>
      <c r="T24" s="29" t="s">
        <v>26</v>
      </c>
      <c r="U24" s="29" t="s">
        <v>27</v>
      </c>
      <c r="V24" s="29" t="s">
        <v>28</v>
      </c>
      <c r="X24" s="29" t="s">
        <v>51</v>
      </c>
      <c r="Y24" s="29" t="s">
        <v>52</v>
      </c>
    </row>
    <row r="25" spans="1:34" x14ac:dyDescent="0.2">
      <c r="A25" s="9" t="str">
        <f>IF(A4="","",A4)</f>
        <v>x</v>
      </c>
      <c r="B25" s="47" t="s">
        <v>53</v>
      </c>
      <c r="C25" s="11">
        <f>Jan!Y39</f>
        <v>78.903225806451616</v>
      </c>
      <c r="D25" s="11">
        <f>Jan!Z39</f>
        <v>0</v>
      </c>
      <c r="E25" s="11">
        <f>Jan!AA39</f>
        <v>0</v>
      </c>
      <c r="F25" s="11">
        <f>Jan!AB39</f>
        <v>-31397.677419354837</v>
      </c>
      <c r="G25" s="11">
        <f>Jan!AC39</f>
        <v>-2518.7096774193546</v>
      </c>
      <c r="H25" s="11">
        <f>Jan!AD39</f>
        <v>-704.19354838709683</v>
      </c>
      <c r="I25" s="11">
        <f>Jan!AE39</f>
        <v>0</v>
      </c>
      <c r="J25" s="11">
        <f>Jan!AF39</f>
        <v>11.67741935483871</v>
      </c>
      <c r="K25" s="11">
        <f>Jan!AG39</f>
        <v>1.8064516129032258</v>
      </c>
      <c r="L25" s="11">
        <f>Jan!AH39</f>
        <v>-812.93548387096769</v>
      </c>
      <c r="M25" s="11">
        <f>Jan!AI39</f>
        <v>-3.6774193548387095</v>
      </c>
      <c r="N25" s="11">
        <f>Jan!AJ39</f>
        <v>0</v>
      </c>
      <c r="O25" s="11">
        <f>Jan!AK39</f>
        <v>95.774193548387103</v>
      </c>
      <c r="P25" s="11">
        <f>Jan!AL39</f>
        <v>-13284.032258064517</v>
      </c>
      <c r="Q25" s="11">
        <f>Jan!AM39</f>
        <v>-18857.483870967742</v>
      </c>
      <c r="R25" s="11">
        <f>Jan!AN39</f>
        <v>-693.22580645161293</v>
      </c>
      <c r="S25" s="8">
        <v>0</v>
      </c>
      <c r="T25" s="8">
        <v>0</v>
      </c>
      <c r="U25" s="8">
        <v>0</v>
      </c>
      <c r="V25" s="8">
        <v>0</v>
      </c>
      <c r="W25" s="8">
        <v>0</v>
      </c>
      <c r="X25" s="68"/>
      <c r="Y25" s="69"/>
      <c r="AC25" s="9" t="s">
        <v>77</v>
      </c>
      <c r="AD25" s="9" t="s">
        <v>77</v>
      </c>
      <c r="AE25" s="9" t="s">
        <v>77</v>
      </c>
    </row>
    <row r="26" spans="1:34" x14ac:dyDescent="0.2">
      <c r="A26" s="9" t="str">
        <f t="shared" ref="A26:A36" si="7">IF(A5="","",A5)</f>
        <v>x</v>
      </c>
      <c r="B26" s="47" t="s">
        <v>54</v>
      </c>
      <c r="C26" s="11">
        <f>Feb!Y39</f>
        <v>63.241379310344826</v>
      </c>
      <c r="D26" s="11">
        <f>Feb!Z39</f>
        <v>0</v>
      </c>
      <c r="E26" s="11">
        <f>Feb!AA39</f>
        <v>0</v>
      </c>
      <c r="F26" s="11">
        <f>Feb!AB39</f>
        <v>-33563.034482758623</v>
      </c>
      <c r="G26" s="11">
        <f>Feb!AC39</f>
        <v>-2692.4137931034484</v>
      </c>
      <c r="H26" s="11">
        <f>Feb!AD39</f>
        <v>-752.75862068965512</v>
      </c>
      <c r="I26" s="11">
        <f>Feb!AE39</f>
        <v>0</v>
      </c>
      <c r="J26" s="11">
        <f>Feb!AF39</f>
        <v>11.896551724137931</v>
      </c>
      <c r="K26" s="11">
        <f>Feb!AG39</f>
        <v>2.6551724137931036</v>
      </c>
      <c r="L26" s="11">
        <f>Feb!AH39</f>
        <v>-869</v>
      </c>
      <c r="M26" s="11">
        <f>Feb!AI39</f>
        <v>-3.9310344827586206</v>
      </c>
      <c r="N26" s="11">
        <f>Feb!AJ39</f>
        <v>0</v>
      </c>
      <c r="O26" s="11">
        <f>Feb!AK39</f>
        <v>93.241379310344826</v>
      </c>
      <c r="P26" s="11">
        <f>Feb!AL39</f>
        <v>-14221.931034482759</v>
      </c>
      <c r="Q26" s="11">
        <f>Feb!AM39</f>
        <v>-20161.241379310344</v>
      </c>
      <c r="R26" s="11">
        <f>Feb!AN39</f>
        <v>-756.79310344827582</v>
      </c>
      <c r="X26" s="67">
        <f t="shared" ref="X26:X27" si="8">IF(C26&lt;=0,0,1-(C26/C25))</f>
        <v>0.19849437505286605</v>
      </c>
      <c r="Y26" s="67">
        <f>IF(O26&lt;=0,0,1-(O26/O25))</f>
        <v>2.6445685880535752E-2</v>
      </c>
      <c r="AC26" s="9">
        <v>2019</v>
      </c>
      <c r="AD26" s="9">
        <v>2020</v>
      </c>
      <c r="AE26" s="9" t="s">
        <v>57</v>
      </c>
      <c r="AF26" t="s">
        <v>58</v>
      </c>
    </row>
    <row r="27" spans="1:34" x14ac:dyDescent="0.2">
      <c r="A27" s="9" t="str">
        <f t="shared" si="7"/>
        <v>x</v>
      </c>
      <c r="B27" s="47" t="s">
        <v>56</v>
      </c>
      <c r="C27" s="11">
        <f>Mar!Y39</f>
        <v>47.677419354838712</v>
      </c>
      <c r="D27" s="11">
        <f>Mar!Z39</f>
        <v>0</v>
      </c>
      <c r="E27" s="11">
        <f>Mar!AA39</f>
        <v>0</v>
      </c>
      <c r="F27" s="11">
        <f>Mar!AB39</f>
        <v>-31397.677419354837</v>
      </c>
      <c r="G27" s="11">
        <f>Mar!AC39</f>
        <v>-2518.7096774193546</v>
      </c>
      <c r="H27" s="11">
        <f>Mar!AD39</f>
        <v>-704.19354838709683</v>
      </c>
      <c r="I27" s="11">
        <f>Mar!AE39</f>
        <v>0</v>
      </c>
      <c r="J27" s="11">
        <f>Mar!AF39</f>
        <v>19.06451612903226</v>
      </c>
      <c r="K27" s="11">
        <f>Mar!AG39</f>
        <v>4.870967741935484</v>
      </c>
      <c r="L27" s="11">
        <f>Mar!AH39</f>
        <v>-812.93548387096769</v>
      </c>
      <c r="M27" s="11">
        <f>Mar!AI39</f>
        <v>-3.6774193548387095</v>
      </c>
      <c r="N27" s="11">
        <f>Mar!AJ39</f>
        <v>0</v>
      </c>
      <c r="O27" s="11">
        <f>Mar!AK39</f>
        <v>57.935483870967744</v>
      </c>
      <c r="P27" s="11">
        <f>Mar!AL39</f>
        <v>-13304.387096774193</v>
      </c>
      <c r="Q27" s="11">
        <f>Mar!AM39</f>
        <v>-18860.516129032258</v>
      </c>
      <c r="R27" s="11">
        <f>Mar!AN39</f>
        <v>-707.9677419354839</v>
      </c>
      <c r="X27" s="67">
        <f t="shared" si="8"/>
        <v>0.24610405600309559</v>
      </c>
      <c r="Y27" s="67">
        <f t="shared" ref="Y27:Y37" si="9">IF(O27&lt;=0,0,1-(O27/O26))</f>
        <v>0.37865050582172166</v>
      </c>
      <c r="AB27" t="s">
        <v>60</v>
      </c>
      <c r="AC27">
        <v>800427</v>
      </c>
      <c r="AD27" s="72">
        <f>(AD20/121)*31</f>
        <v>685166.61157024791</v>
      </c>
      <c r="AE27" s="71">
        <f>1-(AD27/AC27)</f>
        <v>0.14399862627041826</v>
      </c>
      <c r="AF27" s="70">
        <f>AD27/AC27</f>
        <v>0.85600137372958174</v>
      </c>
      <c r="AG27" s="70">
        <f>AE27+AF27</f>
        <v>1</v>
      </c>
      <c r="AH27" t="s">
        <v>78</v>
      </c>
    </row>
    <row r="28" spans="1:34" x14ac:dyDescent="0.2">
      <c r="A28" s="9" t="str">
        <f t="shared" si="7"/>
        <v>x</v>
      </c>
      <c r="B28" s="47" t="s">
        <v>59</v>
      </c>
      <c r="C28" s="11">
        <f>Apr!Y39</f>
        <v>25.9</v>
      </c>
      <c r="D28" s="11">
        <f>Apr!Z39</f>
        <v>0</v>
      </c>
      <c r="E28" s="11">
        <f>Apr!AA39</f>
        <v>0</v>
      </c>
      <c r="F28" s="11">
        <f>Apr!AB39</f>
        <v>-32444.266666666666</v>
      </c>
      <c r="G28" s="11">
        <f>Apr!AC39</f>
        <v>-2602.6666666666665</v>
      </c>
      <c r="H28" s="11">
        <f>Apr!AD39</f>
        <v>-727.66666666666663</v>
      </c>
      <c r="I28" s="11">
        <f>Apr!AE39</f>
        <v>0</v>
      </c>
      <c r="J28" s="11">
        <f>Apr!AF39</f>
        <v>13.266666666666667</v>
      </c>
      <c r="K28" s="11">
        <f>Apr!AG39</f>
        <v>2.0333333333333332</v>
      </c>
      <c r="L28" s="11">
        <f>Apr!AH39</f>
        <v>-840.0333333333333</v>
      </c>
      <c r="M28" s="11">
        <f>Apr!AI39</f>
        <v>-3.8</v>
      </c>
      <c r="N28" s="11">
        <f>Apr!AJ39</f>
        <v>0</v>
      </c>
      <c r="O28" s="11">
        <f>Apr!AK39</f>
        <v>20.033333333333335</v>
      </c>
      <c r="P28" s="11">
        <f>Apr!AL39</f>
        <v>-13747.866666666667</v>
      </c>
      <c r="Q28" s="11">
        <f>Apr!AM39</f>
        <v>-19489.2</v>
      </c>
      <c r="R28" s="11">
        <f>Apr!AN39</f>
        <v>-731.56666666666672</v>
      </c>
      <c r="X28" s="67">
        <f>IF(C28&lt;=0,0,1-(C28/C27))</f>
        <v>0.45676589986468208</v>
      </c>
      <c r="Y28" s="67">
        <f t="shared" si="9"/>
        <v>0.65421306607275431</v>
      </c>
      <c r="AB28" t="s">
        <v>2</v>
      </c>
      <c r="AC28">
        <v>1279</v>
      </c>
      <c r="AD28" s="73">
        <f>O29*31</f>
        <v>580</v>
      </c>
      <c r="AE28" s="74">
        <f>1-(AD28/AC28)</f>
        <v>0.54652071931196244</v>
      </c>
      <c r="AF28" s="70">
        <f>AD28/AC28</f>
        <v>0.45347928068803756</v>
      </c>
      <c r="AG28" s="70">
        <f>AE28+AF28</f>
        <v>1</v>
      </c>
      <c r="AH28" t="s">
        <v>79</v>
      </c>
    </row>
    <row r="29" spans="1:34" x14ac:dyDescent="0.2">
      <c r="A29" s="9" t="str">
        <f t="shared" si="7"/>
        <v>x</v>
      </c>
      <c r="B29" s="47" t="s">
        <v>62</v>
      </c>
      <c r="C29" s="11">
        <f>May!Y39</f>
        <v>33.612903225806448</v>
      </c>
      <c r="D29" s="11">
        <f>May!Z39</f>
        <v>0</v>
      </c>
      <c r="E29" s="11">
        <f>May!AA39</f>
        <v>0</v>
      </c>
      <c r="F29" s="11">
        <f>May!AB39</f>
        <v>-31397.677419354837</v>
      </c>
      <c r="G29" s="11">
        <f>May!AC39</f>
        <v>-2518.7096774193546</v>
      </c>
      <c r="H29" s="11">
        <f>May!AD39</f>
        <v>-704.19354838709683</v>
      </c>
      <c r="I29" s="11">
        <f>May!AE39</f>
        <v>0</v>
      </c>
      <c r="J29" s="11">
        <f>May!AF39</f>
        <v>16.161290322580644</v>
      </c>
      <c r="K29" s="11">
        <f>May!AG39</f>
        <v>4.096774193548387</v>
      </c>
      <c r="L29" s="11">
        <f>May!AH39</f>
        <v>-812.93548387096769</v>
      </c>
      <c r="M29" s="11">
        <f>May!AI39</f>
        <v>-3.6774193548387095</v>
      </c>
      <c r="N29" s="11">
        <f>May!AJ39</f>
        <v>0</v>
      </c>
      <c r="O29" s="11">
        <f>May!AK39</f>
        <v>18.70967741935484</v>
      </c>
      <c r="P29" s="11">
        <f>May!AL39</f>
        <v>-13304.387096774193</v>
      </c>
      <c r="Q29" s="11">
        <f>May!AM39</f>
        <v>-18860.516129032258</v>
      </c>
      <c r="R29" s="11">
        <f>May!AN39</f>
        <v>-707.9677419354839</v>
      </c>
      <c r="X29" s="67">
        <f t="shared" ref="X29:X37" si="10">IF(C29&lt;=0,0,1-(C29/C28))</f>
        <v>-0.29779549134387828</v>
      </c>
      <c r="Y29" s="67">
        <f t="shared" si="9"/>
        <v>6.6072674574633727E-2</v>
      </c>
      <c r="AB29" t="s">
        <v>0</v>
      </c>
      <c r="AC29">
        <v>2684</v>
      </c>
      <c r="AD29" s="73">
        <f>C29*31</f>
        <v>1042</v>
      </c>
      <c r="AE29" s="74">
        <f>1-(AD29/AC29)</f>
        <v>0.6117734724292101</v>
      </c>
      <c r="AF29" s="70">
        <f>AD29/AC29</f>
        <v>0.38822652757078985</v>
      </c>
      <c r="AG29" s="70">
        <f>AE29+AF29</f>
        <v>1</v>
      </c>
      <c r="AH29" t="s">
        <v>80</v>
      </c>
    </row>
    <row r="30" spans="1:34" x14ac:dyDescent="0.2">
      <c r="A30" s="9" t="str">
        <f t="shared" si="7"/>
        <v/>
      </c>
      <c r="B30" s="47" t="s">
        <v>63</v>
      </c>
      <c r="C30" s="11">
        <f>Jun!Y39</f>
        <v>32.888888888888886</v>
      </c>
      <c r="D30" s="11">
        <f>Jun!Z39</f>
        <v>0</v>
      </c>
      <c r="E30" s="11">
        <f>Jun!AA39</f>
        <v>0</v>
      </c>
      <c r="F30" s="11">
        <f>Jun!AB39</f>
        <v>-108147.55555555556</v>
      </c>
      <c r="G30" s="11">
        <f>Jun!AC39</f>
        <v>-8675.5555555555547</v>
      </c>
      <c r="H30" s="11">
        <f>Jun!AD39</f>
        <v>-2425.5555555555557</v>
      </c>
      <c r="I30" s="11">
        <f>Jun!AE39</f>
        <v>0</v>
      </c>
      <c r="J30" s="11">
        <f>Jun!AF39</f>
        <v>15.555555555555555</v>
      </c>
      <c r="K30" s="11">
        <f>Jun!AG39</f>
        <v>5.2222222222222223</v>
      </c>
      <c r="L30" s="11">
        <f>Jun!AH39</f>
        <v>-2800.1111111111113</v>
      </c>
      <c r="M30" s="11">
        <f>Jun!AI39</f>
        <v>-12.666666666666666</v>
      </c>
      <c r="N30" s="11">
        <f>Jun!AJ39</f>
        <v>0</v>
      </c>
      <c r="O30" s="11">
        <f>Jun!AK39</f>
        <v>19.111111111111111</v>
      </c>
      <c r="P30" s="11">
        <f>Jun!AL39</f>
        <v>-45826.222222222219</v>
      </c>
      <c r="Q30" s="11">
        <f>Jun!AM39</f>
        <v>-64964</v>
      </c>
      <c r="R30" s="11">
        <f>Jun!AN39</f>
        <v>-2438.5555555555557</v>
      </c>
      <c r="X30" s="67">
        <f t="shared" si="10"/>
        <v>2.153977393900619E-2</v>
      </c>
      <c r="Y30" s="67">
        <f t="shared" si="9"/>
        <v>-2.1455938697317878E-2</v>
      </c>
      <c r="AD30" t="s">
        <v>81</v>
      </c>
    </row>
    <row r="31" spans="1:34" x14ac:dyDescent="0.2">
      <c r="A31" s="9" t="str">
        <f t="shared" si="7"/>
        <v/>
      </c>
      <c r="B31" s="47" t="s">
        <v>64</v>
      </c>
      <c r="C31" s="11">
        <f>Jul!O39</f>
        <v>-649950</v>
      </c>
      <c r="D31" s="11" t="e">
        <f>Jul!#REF!</f>
        <v>#REF!</v>
      </c>
      <c r="E31" s="11" t="e">
        <f>Jul!#REF!</f>
        <v>#REF!</v>
      </c>
      <c r="F31" s="11" t="e">
        <f>Jul!#REF!</f>
        <v>#REF!</v>
      </c>
      <c r="G31" s="11" t="e">
        <f>Jul!#REF!</f>
        <v>#REF!</v>
      </c>
      <c r="H31" s="11" t="e">
        <f>Jul!#REF!</f>
        <v>#REF!</v>
      </c>
      <c r="I31" s="11">
        <f>Jul!P39</f>
        <v>0</v>
      </c>
      <c r="J31" s="11">
        <f>Jul!Q39</f>
        <v>-21996</v>
      </c>
      <c r="K31" s="11">
        <f>Jul!R39</f>
        <v>-2112</v>
      </c>
      <c r="L31" s="11" t="e">
        <f>Jul!#REF!</f>
        <v>#REF!</v>
      </c>
      <c r="M31" s="11" t="e">
        <f>Jul!#REF!</f>
        <v>#REF!</v>
      </c>
      <c r="N31" s="11">
        <f>Jul!S39</f>
        <v>0</v>
      </c>
      <c r="O31" s="11">
        <f>Jul!T39</f>
        <v>-228099</v>
      </c>
      <c r="P31" s="11" t="e">
        <f>Jul!#REF!</f>
        <v>#REF!</v>
      </c>
      <c r="Q31" s="11" t="e">
        <f>Jul!#REF!</f>
        <v>#REF!</v>
      </c>
      <c r="R31" s="11" t="e">
        <f>Jul!#REF!</f>
        <v>#REF!</v>
      </c>
      <c r="X31" s="67">
        <f t="shared" si="10"/>
        <v>0</v>
      </c>
      <c r="Y31" s="67">
        <f t="shared" si="9"/>
        <v>0</v>
      </c>
      <c r="AD31" t="s">
        <v>82</v>
      </c>
    </row>
    <row r="32" spans="1:34" x14ac:dyDescent="0.2">
      <c r="A32" s="9" t="str">
        <f t="shared" si="7"/>
        <v/>
      </c>
      <c r="B32" s="47" t="s">
        <v>65</v>
      </c>
      <c r="C32" s="11">
        <f>Aug!O39</f>
        <v>0</v>
      </c>
      <c r="D32" s="11" t="e">
        <f>Aug!#REF!</f>
        <v>#REF!</v>
      </c>
      <c r="E32" s="11" t="e">
        <f>Aug!#REF!</f>
        <v>#REF!</v>
      </c>
      <c r="F32" s="11" t="e">
        <f>Aug!#REF!</f>
        <v>#REF!</v>
      </c>
      <c r="G32" s="11" t="e">
        <f>Aug!#REF!</f>
        <v>#REF!</v>
      </c>
      <c r="H32" s="11" t="e">
        <f>Aug!#REF!</f>
        <v>#REF!</v>
      </c>
      <c r="I32" s="11">
        <f>Aug!P39</f>
        <v>0</v>
      </c>
      <c r="J32" s="11">
        <f>Aug!Q39</f>
        <v>0</v>
      </c>
      <c r="K32" s="11">
        <f>Aug!R39</f>
        <v>0</v>
      </c>
      <c r="L32" s="11" t="e">
        <f>Aug!#REF!</f>
        <v>#REF!</v>
      </c>
      <c r="M32" s="11" t="e">
        <f>Aug!#REF!</f>
        <v>#REF!</v>
      </c>
      <c r="N32" s="11">
        <f>Aug!S39</f>
        <v>0</v>
      </c>
      <c r="O32" s="11">
        <f>Aug!T39</f>
        <v>0</v>
      </c>
      <c r="P32" s="11" t="e">
        <f>Aug!#REF!</f>
        <v>#REF!</v>
      </c>
      <c r="Q32" s="11" t="e">
        <f>Aug!#REF!</f>
        <v>#REF!</v>
      </c>
      <c r="R32" s="11" t="e">
        <f>Aug!#REF!</f>
        <v>#REF!</v>
      </c>
      <c r="X32" s="67">
        <f t="shared" si="10"/>
        <v>0</v>
      </c>
      <c r="Y32" s="67">
        <f t="shared" si="9"/>
        <v>0</v>
      </c>
    </row>
    <row r="33" spans="1:25" x14ac:dyDescent="0.2">
      <c r="A33" s="9" t="str">
        <f t="shared" si="7"/>
        <v/>
      </c>
      <c r="B33" s="47" t="s">
        <v>66</v>
      </c>
      <c r="C33" s="11">
        <f>Sep!O39</f>
        <v>54</v>
      </c>
      <c r="D33" s="11" t="e">
        <f>Sep!#REF!</f>
        <v>#REF!</v>
      </c>
      <c r="E33" s="11" t="e">
        <f>Sep!#REF!</f>
        <v>#REF!</v>
      </c>
      <c r="F33" s="11" t="e">
        <f>Sep!#REF!</f>
        <v>#REF!</v>
      </c>
      <c r="G33" s="11" t="e">
        <f>Sep!#REF!</f>
        <v>#REF!</v>
      </c>
      <c r="H33" s="11" t="e">
        <f>Sep!#REF!</f>
        <v>#REF!</v>
      </c>
      <c r="I33" s="11">
        <f>Sep!P39</f>
        <v>0</v>
      </c>
      <c r="J33" s="11">
        <f>Sep!Q39</f>
        <v>32</v>
      </c>
      <c r="K33" s="11">
        <f>Sep!R39</f>
        <v>10</v>
      </c>
      <c r="L33" s="11" t="e">
        <f>Sep!#REF!</f>
        <v>#REF!</v>
      </c>
      <c r="M33" s="11" t="e">
        <f>Sep!#REF!</f>
        <v>#REF!</v>
      </c>
      <c r="N33" s="11">
        <f>Sep!S39</f>
        <v>0</v>
      </c>
      <c r="O33" s="11">
        <f>Sep!T39</f>
        <v>17</v>
      </c>
      <c r="P33" s="11" t="e">
        <f>Sep!#REF!</f>
        <v>#REF!</v>
      </c>
      <c r="Q33" s="11" t="e">
        <f>Sep!#REF!</f>
        <v>#REF!</v>
      </c>
      <c r="R33" s="11" t="e">
        <f>Sep!#REF!</f>
        <v>#REF!</v>
      </c>
      <c r="X33" s="67" t="e">
        <f t="shared" si="10"/>
        <v>#DIV/0!</v>
      </c>
      <c r="Y33" s="67" t="e">
        <f t="shared" si="9"/>
        <v>#DIV/0!</v>
      </c>
    </row>
    <row r="34" spans="1:25" x14ac:dyDescent="0.2">
      <c r="A34" s="9" t="str">
        <f t="shared" si="7"/>
        <v/>
      </c>
      <c r="B34" s="47" t="s">
        <v>67</v>
      </c>
      <c r="C34" s="11">
        <f>Oct!O39</f>
        <v>552</v>
      </c>
      <c r="D34" s="11" t="e">
        <f>Oct!#REF!</f>
        <v>#REF!</v>
      </c>
      <c r="E34" s="11" t="e">
        <f>Oct!#REF!</f>
        <v>#REF!</v>
      </c>
      <c r="F34" s="11" t="e">
        <f>Oct!#REF!</f>
        <v>#REF!</v>
      </c>
      <c r="G34" s="11" t="e">
        <f>Oct!#REF!</f>
        <v>#REF!</v>
      </c>
      <c r="H34" s="11" t="e">
        <f>Oct!#REF!</f>
        <v>#REF!</v>
      </c>
      <c r="I34" s="11">
        <f>Oct!P39</f>
        <v>0</v>
      </c>
      <c r="J34" s="11">
        <f>Oct!Q39</f>
        <v>24283</v>
      </c>
      <c r="K34" s="11">
        <f>Oct!R39</f>
        <v>2583</v>
      </c>
      <c r="L34" s="11" t="e">
        <f>Oct!#REF!</f>
        <v>#REF!</v>
      </c>
      <c r="M34" s="11" t="e">
        <f>Oct!#REF!</f>
        <v>#REF!</v>
      </c>
      <c r="N34" s="11">
        <f>Oct!S39</f>
        <v>0</v>
      </c>
      <c r="O34" s="11">
        <f>Oct!T39</f>
        <v>229598</v>
      </c>
      <c r="P34" s="11" t="e">
        <f>Oct!#REF!</f>
        <v>#REF!</v>
      </c>
      <c r="Q34" s="11" t="e">
        <f>Oct!#REF!</f>
        <v>#REF!</v>
      </c>
      <c r="R34" s="11" t="e">
        <f>Oct!#REF!</f>
        <v>#REF!</v>
      </c>
      <c r="X34" s="67">
        <f t="shared" si="10"/>
        <v>-9.2222222222222214</v>
      </c>
      <c r="Y34" s="67">
        <f t="shared" si="9"/>
        <v>-13504.764705882353</v>
      </c>
    </row>
    <row r="35" spans="1:25" x14ac:dyDescent="0.2">
      <c r="A35" s="9" t="str">
        <f t="shared" si="7"/>
        <v/>
      </c>
      <c r="B35" s="47" t="s">
        <v>68</v>
      </c>
      <c r="C35" s="11">
        <f>Nov!O39</f>
        <v>34</v>
      </c>
      <c r="D35" s="11" t="e">
        <f>Nov!#REF!</f>
        <v>#REF!</v>
      </c>
      <c r="E35" s="11" t="e">
        <f>Nov!#REF!</f>
        <v>#REF!</v>
      </c>
      <c r="F35" s="11" t="e">
        <f>Nov!#REF!</f>
        <v>#REF!</v>
      </c>
      <c r="G35" s="11" t="e">
        <f>Nov!#REF!</f>
        <v>#REF!</v>
      </c>
      <c r="H35" s="11" t="e">
        <f>Nov!#REF!</f>
        <v>#REF!</v>
      </c>
      <c r="I35" s="11">
        <f>Nov!P39</f>
        <v>0</v>
      </c>
      <c r="J35" s="11">
        <f>Nov!Q39</f>
        <v>11</v>
      </c>
      <c r="K35" s="11">
        <f>Nov!R39</f>
        <v>1</v>
      </c>
      <c r="L35" s="11" t="e">
        <f>Nov!#REF!</f>
        <v>#REF!</v>
      </c>
      <c r="M35" s="11" t="e">
        <f>Nov!#REF!</f>
        <v>#REF!</v>
      </c>
      <c r="N35" s="11">
        <f>Nov!S39</f>
        <v>0</v>
      </c>
      <c r="O35" s="11">
        <f>Nov!T39</f>
        <v>39</v>
      </c>
      <c r="P35" s="11" t="e">
        <f>Nov!#REF!</f>
        <v>#REF!</v>
      </c>
      <c r="Q35" s="11" t="e">
        <f>Nov!#REF!</f>
        <v>#REF!</v>
      </c>
      <c r="R35" s="11" t="e">
        <f>Nov!#REF!</f>
        <v>#REF!</v>
      </c>
      <c r="X35" s="67">
        <f t="shared" si="10"/>
        <v>0.93840579710144922</v>
      </c>
      <c r="Y35" s="67">
        <f t="shared" si="9"/>
        <v>0.9998301378931872</v>
      </c>
    </row>
    <row r="36" spans="1:25" x14ac:dyDescent="0.2">
      <c r="A36" s="9" t="str">
        <f t="shared" si="7"/>
        <v/>
      </c>
      <c r="B36" s="47" t="s">
        <v>69</v>
      </c>
      <c r="C36" s="11">
        <f>Dec!O39</f>
        <v>23</v>
      </c>
      <c r="D36" s="11" t="e">
        <f>Dec!#REF!</f>
        <v>#REF!</v>
      </c>
      <c r="E36" s="11" t="e">
        <f>Dec!#REF!</f>
        <v>#REF!</v>
      </c>
      <c r="F36" s="11" t="e">
        <f>Dec!#REF!</f>
        <v>#REF!</v>
      </c>
      <c r="G36" s="11" t="e">
        <f>Dec!#REF!</f>
        <v>#REF!</v>
      </c>
      <c r="H36" s="11" t="e">
        <f>Dec!#REF!</f>
        <v>#REF!</v>
      </c>
      <c r="I36" s="11">
        <f>Dec!P39</f>
        <v>0</v>
      </c>
      <c r="J36" s="11">
        <f>Dec!Q39</f>
        <v>7</v>
      </c>
      <c r="K36" s="11">
        <f>Dec!R39</f>
        <v>0</v>
      </c>
      <c r="L36" s="11" t="e">
        <f>Dec!#REF!</f>
        <v>#REF!</v>
      </c>
      <c r="M36" s="11" t="e">
        <f>Dec!#REF!</f>
        <v>#REF!</v>
      </c>
      <c r="N36" s="11">
        <f>Dec!S39</f>
        <v>0</v>
      </c>
      <c r="O36" s="11">
        <f>Dec!T39</f>
        <v>89</v>
      </c>
      <c r="P36" s="11" t="e">
        <f>Dec!#REF!</f>
        <v>#REF!</v>
      </c>
      <c r="Q36" s="11" t="e">
        <f>Dec!#REF!</f>
        <v>#REF!</v>
      </c>
      <c r="R36" s="11" t="e">
        <f>Dec!#REF!</f>
        <v>#REF!</v>
      </c>
      <c r="X36" s="67">
        <f t="shared" si="10"/>
        <v>0.32352941176470584</v>
      </c>
      <c r="Y36" s="67">
        <f t="shared" si="9"/>
        <v>-1.2820512820512819</v>
      </c>
    </row>
    <row r="37" spans="1:25" x14ac:dyDescent="0.2">
      <c r="B37" s="50" t="s">
        <v>83</v>
      </c>
      <c r="C37" s="11">
        <f>'Jan 21'!Y39</f>
        <v>29</v>
      </c>
      <c r="D37" s="11">
        <v>0</v>
      </c>
      <c r="E37" s="11">
        <v>0</v>
      </c>
      <c r="F37" s="11">
        <v>-972052</v>
      </c>
      <c r="G37" s="11">
        <v>-78043</v>
      </c>
      <c r="H37" s="11">
        <v>-21758</v>
      </c>
      <c r="I37" s="11">
        <v>0</v>
      </c>
      <c r="J37" s="11">
        <f>'Jan 21'!AF39</f>
        <v>6</v>
      </c>
      <c r="K37" s="11">
        <f>'Jan 21'!AG39</f>
        <v>1</v>
      </c>
      <c r="L37" s="11">
        <v>-25018</v>
      </c>
      <c r="M37" s="11">
        <v>-103</v>
      </c>
      <c r="N37" s="11">
        <v>0</v>
      </c>
      <c r="O37" s="11">
        <f>'Jan 21'!AK39</f>
        <v>73</v>
      </c>
      <c r="P37" s="11">
        <v>-410800</v>
      </c>
      <c r="Q37" s="11">
        <v>-584400</v>
      </c>
      <c r="R37" s="11">
        <v>-21490</v>
      </c>
      <c r="X37" s="67">
        <f t="shared" si="10"/>
        <v>-0.26086956521739135</v>
      </c>
      <c r="Y37" s="67">
        <f t="shared" si="9"/>
        <v>0.1797752808988764</v>
      </c>
    </row>
    <row r="39" spans="1:25" x14ac:dyDescent="0.2">
      <c r="B39" s="47" t="s">
        <v>71</v>
      </c>
      <c r="C39" s="51">
        <f>AVERAGEIF($A$4:$A$16, "x", C25:C37)</f>
        <v>49.866985539488326</v>
      </c>
      <c r="D39" s="51">
        <f t="shared" ref="D39:R39" si="11">AVERAGEIF($A$4:$A$16, "x", D25:D37)</f>
        <v>0</v>
      </c>
      <c r="E39" s="51">
        <f t="shared" si="11"/>
        <v>0</v>
      </c>
      <c r="F39" s="51">
        <f t="shared" si="11"/>
        <v>-32040.066681497956</v>
      </c>
      <c r="G39" s="51">
        <f t="shared" si="11"/>
        <v>-2570.2418984056358</v>
      </c>
      <c r="H39" s="51">
        <f t="shared" si="11"/>
        <v>-718.60118650352251</v>
      </c>
      <c r="I39" s="51"/>
      <c r="J39" s="51">
        <f t="shared" si="11"/>
        <v>14.413288839451241</v>
      </c>
      <c r="K39" s="51">
        <f t="shared" si="11"/>
        <v>3.0925398591027067</v>
      </c>
      <c r="L39" s="51">
        <f t="shared" si="11"/>
        <v>-829.56795698924725</v>
      </c>
      <c r="M39" s="51">
        <f t="shared" si="11"/>
        <v>-3.7526585094549496</v>
      </c>
      <c r="N39" s="51"/>
      <c r="O39" s="51">
        <f t="shared" si="11"/>
        <v>57.138813496477567</v>
      </c>
      <c r="P39" s="51">
        <f t="shared" si="11"/>
        <v>-13572.520830552467</v>
      </c>
      <c r="Q39" s="51">
        <f t="shared" si="11"/>
        <v>-19245.791501668522</v>
      </c>
      <c r="R39" s="51">
        <f t="shared" si="11"/>
        <v>-719.5042120875047</v>
      </c>
    </row>
    <row r="40" spans="1:25" x14ac:dyDescent="0.2">
      <c r="B40" s="52">
        <v>1.5</v>
      </c>
      <c r="C40" s="11">
        <f t="shared" ref="C40:H40" si="12">C39*$B$40</f>
        <v>74.800478309232489</v>
      </c>
      <c r="D40" s="11">
        <f t="shared" si="12"/>
        <v>0</v>
      </c>
      <c r="E40" s="11">
        <f t="shared" si="12"/>
        <v>0</v>
      </c>
      <c r="F40" s="11">
        <f t="shared" si="12"/>
        <v>-48060.10002224693</v>
      </c>
      <c r="G40" s="11">
        <f t="shared" si="12"/>
        <v>-3855.3628476084536</v>
      </c>
      <c r="H40" s="11">
        <f t="shared" si="12"/>
        <v>-1077.9017797552838</v>
      </c>
      <c r="I40" s="11"/>
      <c r="J40" s="11">
        <f>J39*$B$40</f>
        <v>21.619933259176861</v>
      </c>
      <c r="K40" s="11">
        <f>K39*$B$40</f>
        <v>4.6388097886540596</v>
      </c>
      <c r="L40" s="11">
        <f>L39*$B$40</f>
        <v>-1244.3519354838709</v>
      </c>
      <c r="M40" s="11">
        <f>M39*$B$40</f>
        <v>-5.6289877641824244</v>
      </c>
      <c r="N40" s="11"/>
      <c r="O40" s="11">
        <f>O39*$B$40</f>
        <v>85.708220244716358</v>
      </c>
      <c r="P40" s="11">
        <f>P39*$B$40</f>
        <v>-20358.781245828701</v>
      </c>
      <c r="Q40" s="11">
        <f>Q39*$B$40</f>
        <v>-28868.687252502783</v>
      </c>
      <c r="R40" s="11">
        <f>R39*$B$40</f>
        <v>-1079.2563181312571</v>
      </c>
    </row>
    <row r="41" spans="1:25" x14ac:dyDescent="0.2">
      <c r="B41" s="52">
        <v>0.5</v>
      </c>
      <c r="C41" s="11">
        <f t="shared" ref="C41:H41" si="13">C39*$B$41</f>
        <v>24.933492769744163</v>
      </c>
      <c r="D41" s="11">
        <f t="shared" si="13"/>
        <v>0</v>
      </c>
      <c r="E41" s="11">
        <f t="shared" si="13"/>
        <v>0</v>
      </c>
      <c r="F41" s="11">
        <f t="shared" si="13"/>
        <v>-16020.033340748978</v>
      </c>
      <c r="G41" s="11">
        <f t="shared" si="13"/>
        <v>-1285.1209492028179</v>
      </c>
      <c r="H41" s="11">
        <f t="shared" si="13"/>
        <v>-359.30059325176126</v>
      </c>
      <c r="I41" s="11"/>
      <c r="J41" s="11">
        <f>J39*$B$41</f>
        <v>7.2066444197256203</v>
      </c>
      <c r="K41" s="11">
        <f>K39*$B$41</f>
        <v>1.5462699295513533</v>
      </c>
      <c r="L41" s="11">
        <f>L39*$B$41</f>
        <v>-414.78397849462363</v>
      </c>
      <c r="M41" s="11">
        <f>M39*$B$41</f>
        <v>-1.8763292547274748</v>
      </c>
      <c r="N41" s="11"/>
      <c r="O41" s="11">
        <f>O39*$B$41</f>
        <v>28.569406748238784</v>
      </c>
      <c r="P41" s="11">
        <f>P39*$B$41</f>
        <v>-6786.2604152762333</v>
      </c>
      <c r="Q41" s="11">
        <v>0</v>
      </c>
      <c r="R41" s="11">
        <v>0</v>
      </c>
    </row>
  </sheetData>
  <mergeCells count="12">
    <mergeCell ref="T23:V23"/>
    <mergeCell ref="J22:M22"/>
    <mergeCell ref="C23:H23"/>
    <mergeCell ref="J23:K23"/>
    <mergeCell ref="L23:M23"/>
    <mergeCell ref="O23:R23"/>
    <mergeCell ref="T2:V2"/>
    <mergeCell ref="J1:M1"/>
    <mergeCell ref="C2:H2"/>
    <mergeCell ref="J2:K2"/>
    <mergeCell ref="L2:M2"/>
    <mergeCell ref="O2:R2"/>
  </mergeCells>
  <conditionalFormatting sqref="C4:C16">
    <cfRule type="cellIs" dxfId="916" priority="95" operator="between">
      <formula>$C$20</formula>
      <formula>1</formula>
    </cfRule>
    <cfRule type="cellIs" dxfId="915" priority="107" operator="greaterThan">
      <formula>$C$19</formula>
    </cfRule>
  </conditionalFormatting>
  <conditionalFormatting sqref="F4:F16">
    <cfRule type="cellIs" dxfId="914" priority="93" operator="between">
      <formula>$F$20</formula>
      <formula>1</formula>
    </cfRule>
    <cfRule type="cellIs" dxfId="913" priority="106" operator="greaterThan">
      <formula>$F$19</formula>
    </cfRule>
  </conditionalFormatting>
  <conditionalFormatting sqref="G4:G16">
    <cfRule type="cellIs" dxfId="912" priority="92" operator="between">
      <formula>$G$20</formula>
      <formula>1</formula>
    </cfRule>
    <cfRule type="cellIs" dxfId="911" priority="105" operator="greaterThan">
      <formula>$G$19</formula>
    </cfRule>
  </conditionalFormatting>
  <conditionalFormatting sqref="H4:H16">
    <cfRule type="cellIs" dxfId="910" priority="91" operator="between">
      <formula>$H$20</formula>
      <formula>1</formula>
    </cfRule>
    <cfRule type="cellIs" dxfId="909" priority="104" operator="greaterThan">
      <formula>$H$19</formula>
    </cfRule>
  </conditionalFormatting>
  <conditionalFormatting sqref="J4:J16">
    <cfRule type="cellIs" dxfId="908" priority="90" operator="between">
      <formula>$J$20</formula>
      <formula>1</formula>
    </cfRule>
    <cfRule type="cellIs" dxfId="907" priority="103" operator="greaterThan">
      <formula>$J$19</formula>
    </cfRule>
  </conditionalFormatting>
  <conditionalFormatting sqref="K4:K16">
    <cfRule type="cellIs" dxfId="906" priority="89" operator="between">
      <formula>$K$20</formula>
      <formula>1</formula>
    </cfRule>
    <cfRule type="cellIs" dxfId="905" priority="102" operator="greaterThan">
      <formula>$K$19</formula>
    </cfRule>
  </conditionalFormatting>
  <conditionalFormatting sqref="L4:L16">
    <cfRule type="cellIs" dxfId="904" priority="88" operator="between">
      <formula>$L$20</formula>
      <formula>1</formula>
    </cfRule>
    <cfRule type="cellIs" dxfId="903" priority="101" operator="greaterThan">
      <formula>$L$19</formula>
    </cfRule>
  </conditionalFormatting>
  <conditionalFormatting sqref="M4:M16">
    <cfRule type="cellIs" dxfId="902" priority="87" operator="between">
      <formula>$M$20</formula>
      <formula>1</formula>
    </cfRule>
    <cfRule type="cellIs" dxfId="901" priority="100" operator="greaterThan">
      <formula>$M$19</formula>
    </cfRule>
  </conditionalFormatting>
  <conditionalFormatting sqref="O4:O16">
    <cfRule type="cellIs" dxfId="900" priority="86" operator="between">
      <formula>$O$20</formula>
      <formula>1</formula>
    </cfRule>
    <cfRule type="cellIs" dxfId="899" priority="99" operator="greaterThan">
      <formula>$O$19</formula>
    </cfRule>
  </conditionalFormatting>
  <conditionalFormatting sqref="P4:P16">
    <cfRule type="cellIs" dxfId="898" priority="85" operator="between">
      <formula>$P$20</formula>
      <formula>1</formula>
    </cfRule>
    <cfRule type="cellIs" dxfId="897" priority="98" operator="greaterThan">
      <formula>$P$19</formula>
    </cfRule>
  </conditionalFormatting>
  <conditionalFormatting sqref="Q4:Q16">
    <cfRule type="cellIs" dxfId="896" priority="84" operator="between">
      <formula>$Q$20</formula>
      <formula>1</formula>
    </cfRule>
    <cfRule type="cellIs" dxfId="895" priority="97" operator="greaterThan">
      <formula>$Q$19</formula>
    </cfRule>
  </conditionalFormatting>
  <conditionalFormatting sqref="R4:R16">
    <cfRule type="cellIs" dxfId="894" priority="83" operator="between">
      <formula>$R$20</formula>
      <formula>1</formula>
    </cfRule>
    <cfRule type="cellIs" dxfId="893" priority="96" operator="greaterThan">
      <formula>$R$19</formula>
    </cfRule>
  </conditionalFormatting>
  <conditionalFormatting sqref="C4:V16">
    <cfRule type="cellIs" dxfId="892" priority="82" operator="lessThan">
      <formula>0</formula>
    </cfRule>
  </conditionalFormatting>
  <conditionalFormatting sqref="C25:C36">
    <cfRule type="cellIs" dxfId="891" priority="79" operator="between">
      <formula>$C$41</formula>
      <formula>1</formula>
    </cfRule>
    <cfRule type="cellIs" dxfId="890" priority="80" operator="greaterThan">
      <formula>$C$40</formula>
    </cfRule>
    <cfRule type="cellIs" dxfId="889" priority="81" operator="lessThan">
      <formula>0</formula>
    </cfRule>
  </conditionalFormatting>
  <conditionalFormatting sqref="D25:D36">
    <cfRule type="cellIs" dxfId="888" priority="78" operator="lessThan">
      <formula>0</formula>
    </cfRule>
  </conditionalFormatting>
  <conditionalFormatting sqref="E25:E36">
    <cfRule type="cellIs" dxfId="887" priority="77" operator="lessThan">
      <formula>0</formula>
    </cfRule>
  </conditionalFormatting>
  <conditionalFormatting sqref="F25:F36">
    <cfRule type="cellIs" dxfId="886" priority="74" operator="between">
      <formula>$F$41</formula>
      <formula>1</formula>
    </cfRule>
    <cfRule type="cellIs" dxfId="885" priority="75" operator="lessThan">
      <formula>0</formula>
    </cfRule>
    <cfRule type="cellIs" dxfId="884" priority="76" operator="greaterThan">
      <formula>$F$40</formula>
    </cfRule>
  </conditionalFormatting>
  <conditionalFormatting sqref="G25:G36">
    <cfRule type="cellIs" dxfId="883" priority="71" operator="between">
      <formula>$G$41</formula>
      <formula>1</formula>
    </cfRule>
    <cfRule type="cellIs" dxfId="882" priority="72" operator="lessThan">
      <formula>0</formula>
    </cfRule>
    <cfRule type="cellIs" dxfId="881" priority="73" operator="greaterThan">
      <formula>$G$40</formula>
    </cfRule>
  </conditionalFormatting>
  <conditionalFormatting sqref="H25:H36">
    <cfRule type="cellIs" dxfId="880" priority="68" operator="between">
      <formula>$H$41</formula>
      <formula>1</formula>
    </cfRule>
    <cfRule type="cellIs" dxfId="879" priority="69" operator="lessThan">
      <formula>0</formula>
    </cfRule>
    <cfRule type="cellIs" dxfId="878" priority="70" operator="greaterThan">
      <formula>$H$40</formula>
    </cfRule>
  </conditionalFormatting>
  <conditionalFormatting sqref="J25:J36">
    <cfRule type="cellIs" dxfId="877" priority="65" operator="between">
      <formula>$J$41</formula>
      <formula>1</formula>
    </cfRule>
    <cfRule type="cellIs" dxfId="876" priority="66" operator="lessThan">
      <formula>0</formula>
    </cfRule>
    <cfRule type="cellIs" dxfId="875" priority="67" operator="greaterThan">
      <formula>$J$40</formula>
    </cfRule>
  </conditionalFormatting>
  <conditionalFormatting sqref="K25:K36">
    <cfRule type="cellIs" dxfId="874" priority="62" operator="between">
      <formula>$K$41</formula>
      <formula>1</formula>
    </cfRule>
    <cfRule type="cellIs" dxfId="873" priority="63" operator="lessThan">
      <formula>0</formula>
    </cfRule>
    <cfRule type="cellIs" dxfId="872" priority="64" operator="greaterThan">
      <formula>$K$40</formula>
    </cfRule>
  </conditionalFormatting>
  <conditionalFormatting sqref="L25:L36">
    <cfRule type="cellIs" dxfId="871" priority="59" operator="between">
      <formula>$L$41</formula>
      <formula>1</formula>
    </cfRule>
    <cfRule type="cellIs" dxfId="870" priority="60" operator="lessThan">
      <formula>0</formula>
    </cfRule>
    <cfRule type="cellIs" dxfId="869" priority="61" operator="greaterThan">
      <formula>$L$40</formula>
    </cfRule>
  </conditionalFormatting>
  <conditionalFormatting sqref="M25:M36">
    <cfRule type="cellIs" dxfId="868" priority="56" operator="between">
      <formula>$M$41</formula>
      <formula>1</formula>
    </cfRule>
    <cfRule type="cellIs" dxfId="867" priority="57" operator="lessThan">
      <formula>0</formula>
    </cfRule>
    <cfRule type="cellIs" dxfId="866" priority="58" operator="greaterThan">
      <formula>$M$40</formula>
    </cfRule>
  </conditionalFormatting>
  <conditionalFormatting sqref="O25:O36">
    <cfRule type="cellIs" dxfId="865" priority="53" operator="between">
      <formula>$O$41</formula>
      <formula>1</formula>
    </cfRule>
    <cfRule type="cellIs" dxfId="864" priority="54" operator="lessThan">
      <formula>0</formula>
    </cfRule>
    <cfRule type="cellIs" dxfId="863" priority="55" operator="greaterThan">
      <formula>$O$40</formula>
    </cfRule>
  </conditionalFormatting>
  <conditionalFormatting sqref="P25:P36">
    <cfRule type="cellIs" dxfId="862" priority="50" operator="between">
      <formula>$P$41</formula>
      <formula>1</formula>
    </cfRule>
    <cfRule type="cellIs" dxfId="861" priority="51" operator="lessThan">
      <formula>0</formula>
    </cfRule>
    <cfRule type="cellIs" dxfId="860" priority="52" operator="greaterThan">
      <formula>$P$40</formula>
    </cfRule>
  </conditionalFormatting>
  <conditionalFormatting sqref="Q25:Q36">
    <cfRule type="cellIs" dxfId="859" priority="48" operator="lessThan">
      <formula>0</formula>
    </cfRule>
    <cfRule type="cellIs" dxfId="858" priority="49" operator="greaterThan">
      <formula>$Q$40</formula>
    </cfRule>
  </conditionalFormatting>
  <conditionalFormatting sqref="R25:R36">
    <cfRule type="cellIs" dxfId="857" priority="45" operator="lessThan">
      <formula>0</formula>
    </cfRule>
    <cfRule type="cellIs" dxfId="856" priority="46" operator="greaterThan">
      <formula>$R$40</formula>
    </cfRule>
  </conditionalFormatting>
  <conditionalFormatting sqref="C37">
    <cfRule type="cellIs" dxfId="855" priority="41" operator="between">
      <formula>$C$41</formula>
      <formula>1</formula>
    </cfRule>
    <cfRule type="cellIs" dxfId="854" priority="42" operator="greaterThan">
      <formula>$C$40</formula>
    </cfRule>
    <cfRule type="cellIs" dxfId="853" priority="43" operator="lessThan">
      <formula>0</formula>
    </cfRule>
  </conditionalFormatting>
  <conditionalFormatting sqref="D37">
    <cfRule type="cellIs" dxfId="852" priority="40" operator="lessThan">
      <formula>0</formula>
    </cfRule>
  </conditionalFormatting>
  <conditionalFormatting sqref="E37">
    <cfRule type="cellIs" dxfId="851" priority="39" operator="lessThan">
      <formula>0</formula>
    </cfRule>
  </conditionalFormatting>
  <conditionalFormatting sqref="F37">
    <cfRule type="cellIs" dxfId="850" priority="36" operator="between">
      <formula>$F$41</formula>
      <formula>1</formula>
    </cfRule>
    <cfRule type="cellIs" dxfId="849" priority="37" operator="lessThan">
      <formula>0</formula>
    </cfRule>
    <cfRule type="cellIs" dxfId="848" priority="38" operator="greaterThan">
      <formula>$F$40</formula>
    </cfRule>
  </conditionalFormatting>
  <conditionalFormatting sqref="G37">
    <cfRule type="cellIs" dxfId="847" priority="33" operator="between">
      <formula>$G$41</formula>
      <formula>1</formula>
    </cfRule>
    <cfRule type="cellIs" dxfId="846" priority="34" operator="lessThan">
      <formula>0</formula>
    </cfRule>
    <cfRule type="cellIs" dxfId="845" priority="35" operator="greaterThan">
      <formula>$G$40</formula>
    </cfRule>
  </conditionalFormatting>
  <conditionalFormatting sqref="H37">
    <cfRule type="cellIs" dxfId="844" priority="30" operator="between">
      <formula>$H$41</formula>
      <formula>1</formula>
    </cfRule>
    <cfRule type="cellIs" dxfId="843" priority="31" operator="lessThan">
      <formula>0</formula>
    </cfRule>
    <cfRule type="cellIs" dxfId="842" priority="32" operator="greaterThan">
      <formula>$H$40</formula>
    </cfRule>
  </conditionalFormatting>
  <conditionalFormatting sqref="J37">
    <cfRule type="cellIs" dxfId="841" priority="27" operator="between">
      <formula>$J$41</formula>
      <formula>1</formula>
    </cfRule>
    <cfRule type="cellIs" dxfId="840" priority="28" operator="lessThan">
      <formula>0</formula>
    </cfRule>
    <cfRule type="cellIs" dxfId="839" priority="29" operator="greaterThan">
      <formula>$J$40</formula>
    </cfRule>
  </conditionalFormatting>
  <conditionalFormatting sqref="K37">
    <cfRule type="cellIs" dxfId="838" priority="24" operator="between">
      <formula>$K$41</formula>
      <formula>1</formula>
    </cfRule>
    <cfRule type="cellIs" dxfId="837" priority="25" operator="lessThan">
      <formula>0</formula>
    </cfRule>
    <cfRule type="cellIs" dxfId="836" priority="26" operator="greaterThan">
      <formula>$K$40</formula>
    </cfRule>
  </conditionalFormatting>
  <conditionalFormatting sqref="L37">
    <cfRule type="cellIs" dxfId="835" priority="21" operator="between">
      <formula>$L$41</formula>
      <formula>1</formula>
    </cfRule>
    <cfRule type="cellIs" dxfId="834" priority="22" operator="lessThan">
      <formula>0</formula>
    </cfRule>
    <cfRule type="cellIs" dxfId="833" priority="23" operator="greaterThan">
      <formula>$L$40</formula>
    </cfRule>
  </conditionalFormatting>
  <conditionalFormatting sqref="M37">
    <cfRule type="cellIs" dxfId="832" priority="18" operator="between">
      <formula>$M$41</formula>
      <formula>1</formula>
    </cfRule>
    <cfRule type="cellIs" dxfId="831" priority="19" operator="lessThan">
      <formula>0</formula>
    </cfRule>
    <cfRule type="cellIs" dxfId="830" priority="20" operator="greaterThan">
      <formula>$M$40</formula>
    </cfRule>
  </conditionalFormatting>
  <conditionalFormatting sqref="O37">
    <cfRule type="cellIs" dxfId="829" priority="15" operator="between">
      <formula>$O$41</formula>
      <formula>1</formula>
    </cfRule>
    <cfRule type="cellIs" dxfId="828" priority="16" operator="lessThan">
      <formula>0</formula>
    </cfRule>
    <cfRule type="cellIs" dxfId="827" priority="17" operator="greaterThan">
      <formula>$O$40</formula>
    </cfRule>
  </conditionalFormatting>
  <conditionalFormatting sqref="P37">
    <cfRule type="cellIs" dxfId="826" priority="12" operator="between">
      <formula>$P$41</formula>
      <formula>1</formula>
    </cfRule>
    <cfRule type="cellIs" dxfId="825" priority="13" operator="lessThan">
      <formula>0</formula>
    </cfRule>
    <cfRule type="cellIs" dxfId="824" priority="14" operator="greaterThan">
      <formula>$P$40</formula>
    </cfRule>
  </conditionalFormatting>
  <conditionalFormatting sqref="Q37">
    <cfRule type="cellIs" dxfId="823" priority="10" operator="lessThan">
      <formula>0</formula>
    </cfRule>
    <cfRule type="cellIs" dxfId="822" priority="11" operator="greaterThan">
      <formula>$Q$40</formula>
    </cfRule>
  </conditionalFormatting>
  <conditionalFormatting sqref="R37">
    <cfRule type="cellIs" dxfId="821" priority="8" operator="lessThan">
      <formula>0</formula>
    </cfRule>
    <cfRule type="cellIs" dxfId="820" priority="9" operator="greaterThan">
      <formula>$R$40</formula>
    </cfRule>
  </conditionalFormatting>
  <conditionalFormatting sqref="X26:Y37">
    <cfRule type="cellIs" dxfId="819" priority="1" operator="equal">
      <formula>0</formula>
    </cfRule>
    <cfRule type="cellIs" dxfId="818" priority="7" operator="lessThan">
      <formula>0</formula>
    </cfRule>
  </conditionalFormatting>
  <conditionalFormatting sqref="Y5:Z15">
    <cfRule type="cellIs" dxfId="817" priority="2" operator="equal">
      <formula>0</formula>
    </cfRule>
    <cfRule type="cellIs" dxfId="816" priority="3" operator="lessThan">
      <formula>0</formula>
    </cfRule>
  </conditionalFormatting>
  <printOptions horizontalCentered="1"/>
  <pageMargins left="0.7" right="0.7" top="0.75" bottom="0.75" header="0.3" footer="0.3"/>
  <pageSetup scale="88"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51"/>
  <sheetViews>
    <sheetView zoomScaleNormal="100" workbookViewId="0">
      <pane ySplit="3" topLeftCell="A4" activePane="bottomLeft" state="frozen"/>
      <selection pane="bottomLeft" activeCell="A4" sqref="A4:V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8.5703125" hidden="1" customWidth="1"/>
    <col min="6" max="7" width="8" hidden="1" customWidth="1"/>
    <col min="8" max="8" width="0.85546875" customWidth="1"/>
    <col min="9" max="9" width="9.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3" x14ac:dyDescent="0.2">
      <c r="A1" s="93"/>
      <c r="B1" s="87" t="s">
        <v>0</v>
      </c>
      <c r="C1" s="88"/>
      <c r="D1" s="88"/>
      <c r="E1" s="88"/>
      <c r="F1" s="88"/>
      <c r="G1" s="89"/>
      <c r="H1" s="1"/>
      <c r="I1" s="86" t="s">
        <v>1</v>
      </c>
      <c r="J1" s="86"/>
      <c r="K1" s="86"/>
      <c r="L1" s="86"/>
      <c r="M1" s="1"/>
      <c r="N1" s="87" t="s">
        <v>2</v>
      </c>
      <c r="O1" s="88"/>
      <c r="P1" s="88"/>
      <c r="Q1" s="89"/>
      <c r="R1" s="78"/>
      <c r="S1" s="1"/>
      <c r="T1" s="84" t="s">
        <v>3</v>
      </c>
      <c r="U1" s="84"/>
      <c r="V1" s="84"/>
      <c r="X1" s="93"/>
      <c r="Y1" s="87" t="s">
        <v>0</v>
      </c>
      <c r="Z1" s="88"/>
      <c r="AA1" s="88"/>
      <c r="AB1" s="88"/>
      <c r="AC1" s="88"/>
      <c r="AD1" s="89"/>
      <c r="AE1" s="1"/>
      <c r="AF1" s="86" t="s">
        <v>1</v>
      </c>
      <c r="AG1" s="86"/>
      <c r="AH1" s="86"/>
      <c r="AI1" s="86"/>
      <c r="AJ1" s="1"/>
      <c r="AK1" s="87" t="s">
        <v>2</v>
      </c>
      <c r="AL1" s="88"/>
      <c r="AM1" s="88"/>
      <c r="AN1" s="89"/>
    </row>
    <row r="2" spans="1:43" x14ac:dyDescent="0.2">
      <c r="A2" s="94"/>
      <c r="B2" s="84" t="s">
        <v>6</v>
      </c>
      <c r="C2" s="84"/>
      <c r="D2" s="84"/>
      <c r="E2" s="90"/>
      <c r="F2" s="91"/>
      <c r="G2" s="92"/>
      <c r="H2" s="2"/>
      <c r="I2" s="84" t="s">
        <v>7</v>
      </c>
      <c r="J2" s="84"/>
      <c r="K2" s="84" t="s">
        <v>8</v>
      </c>
      <c r="L2" s="84"/>
      <c r="M2" s="2"/>
      <c r="N2" s="84" t="s">
        <v>6</v>
      </c>
      <c r="O2" s="84"/>
      <c r="P2" s="76"/>
      <c r="Q2" s="76" t="s">
        <v>9</v>
      </c>
      <c r="R2" s="76"/>
      <c r="S2" s="2"/>
      <c r="T2" s="84" t="s">
        <v>10</v>
      </c>
      <c r="U2" s="84"/>
      <c r="V2" s="84"/>
      <c r="X2" s="94"/>
      <c r="Y2" s="84" t="s">
        <v>6</v>
      </c>
      <c r="Z2" s="84"/>
      <c r="AA2" s="84"/>
      <c r="AB2" s="90"/>
      <c r="AC2" s="91"/>
      <c r="AD2" s="92"/>
      <c r="AE2" s="2"/>
      <c r="AF2" s="84" t="s">
        <v>7</v>
      </c>
      <c r="AG2" s="84"/>
      <c r="AH2" s="84" t="s">
        <v>8</v>
      </c>
      <c r="AI2" s="84"/>
      <c r="AJ2" s="2"/>
      <c r="AK2" s="84" t="s">
        <v>6</v>
      </c>
      <c r="AL2" s="84"/>
      <c r="AM2" s="76"/>
      <c r="AN2" s="76" t="s">
        <v>9</v>
      </c>
    </row>
    <row r="3" spans="1:43"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3"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3" ht="12.95" customHeight="1" x14ac:dyDescent="0.2">
      <c r="A5" s="7" t="s">
        <v>29</v>
      </c>
      <c r="B5" s="26">
        <f>'Dec 19'!B39</f>
        <v>641288</v>
      </c>
      <c r="C5" s="26">
        <v>0</v>
      </c>
      <c r="D5" s="26">
        <v>0</v>
      </c>
      <c r="E5" s="26">
        <v>973328</v>
      </c>
      <c r="F5" s="26">
        <v>78080</v>
      </c>
      <c r="G5" s="26">
        <v>21830</v>
      </c>
      <c r="H5" s="15"/>
      <c r="I5" s="26">
        <f>'Dec 19'!I39</f>
        <v>19163</v>
      </c>
      <c r="J5" s="26">
        <f>'Dec 19'!J39</f>
        <v>1474</v>
      </c>
      <c r="K5" s="26">
        <v>25201</v>
      </c>
      <c r="L5" s="26">
        <v>114</v>
      </c>
      <c r="M5" s="15"/>
      <c r="N5" s="26">
        <f>'Dec 19'!N39</f>
        <v>218830</v>
      </c>
      <c r="O5" s="26">
        <v>411805</v>
      </c>
      <c r="P5" s="26">
        <v>584582</v>
      </c>
      <c r="Q5" s="26">
        <v>21490</v>
      </c>
      <c r="R5" s="11"/>
      <c r="S5" s="15"/>
      <c r="T5" s="26">
        <f>'Dec 19'!T39</f>
        <v>0</v>
      </c>
      <c r="U5" s="26">
        <f>'Dec 19'!U39</f>
        <v>0</v>
      </c>
      <c r="V5" s="26">
        <f>'Dec 19'!V39</f>
        <v>0</v>
      </c>
      <c r="X5"/>
    </row>
    <row r="6" spans="1:43" x14ac:dyDescent="0.2">
      <c r="A6" s="7">
        <v>1</v>
      </c>
      <c r="B6" s="27">
        <v>642279</v>
      </c>
      <c r="C6" s="14"/>
      <c r="D6" s="14"/>
      <c r="E6" s="28"/>
      <c r="F6" s="13"/>
      <c r="G6" s="13"/>
      <c r="H6" s="15"/>
      <c r="I6" s="27">
        <v>19168</v>
      </c>
      <c r="J6" s="24">
        <v>1479</v>
      </c>
      <c r="K6" s="24"/>
      <c r="L6" s="24"/>
      <c r="M6" s="15"/>
      <c r="N6" s="28">
        <v>219107</v>
      </c>
      <c r="O6" s="28">
        <v>411859</v>
      </c>
      <c r="P6" s="28">
        <v>584582</v>
      </c>
      <c r="Q6" s="10">
        <v>21490</v>
      </c>
      <c r="R6" s="11">
        <f>Q6-Q5</f>
        <v>0</v>
      </c>
      <c r="S6" s="16"/>
      <c r="T6" s="17">
        <v>0</v>
      </c>
      <c r="U6" s="17">
        <v>0</v>
      </c>
      <c r="V6" s="17">
        <v>0</v>
      </c>
      <c r="W6" s="44" t="s">
        <v>30</v>
      </c>
      <c r="X6" s="80">
        <v>1</v>
      </c>
      <c r="Y6" s="11">
        <f>B6-B5</f>
        <v>991</v>
      </c>
      <c r="Z6" s="11">
        <v>0</v>
      </c>
      <c r="AA6" s="11">
        <v>0</v>
      </c>
      <c r="AB6" s="11">
        <f t="shared" ref="AB6:AD6" si="0">E6-E5</f>
        <v>-973328</v>
      </c>
      <c r="AC6" s="11">
        <f t="shared" si="0"/>
        <v>-78080</v>
      </c>
      <c r="AD6" s="11">
        <f t="shared" si="0"/>
        <v>-21830</v>
      </c>
      <c r="AE6" s="34"/>
      <c r="AF6" s="11">
        <f t="shared" ref="AF6:AI6" si="1">I6-I5</f>
        <v>5</v>
      </c>
      <c r="AG6" s="11">
        <f t="shared" si="1"/>
        <v>5</v>
      </c>
      <c r="AH6" s="11">
        <f t="shared" si="1"/>
        <v>-25201</v>
      </c>
      <c r="AI6" s="11">
        <f t="shared" si="1"/>
        <v>-114</v>
      </c>
      <c r="AJ6" s="34"/>
      <c r="AK6" s="11">
        <f t="shared" ref="AK6:AN6" si="2">N6-N5</f>
        <v>277</v>
      </c>
      <c r="AL6" s="11">
        <f t="shared" si="2"/>
        <v>54</v>
      </c>
      <c r="AM6" s="11">
        <f t="shared" si="2"/>
        <v>0</v>
      </c>
      <c r="AN6" s="11">
        <f t="shared" si="2"/>
        <v>0</v>
      </c>
      <c r="AO6" s="34"/>
      <c r="AQ6" s="24">
        <v>5006</v>
      </c>
    </row>
    <row r="7" spans="1:43" x14ac:dyDescent="0.2">
      <c r="A7" s="80">
        <v>2</v>
      </c>
      <c r="B7" s="27">
        <v>642368</v>
      </c>
      <c r="C7" s="14"/>
      <c r="D7" s="14"/>
      <c r="E7" s="28"/>
      <c r="F7" s="18"/>
      <c r="G7" s="18"/>
      <c r="H7" s="15"/>
      <c r="I7" s="27">
        <v>19173</v>
      </c>
      <c r="J7" s="24">
        <v>1479</v>
      </c>
      <c r="K7" s="24"/>
      <c r="L7" s="24"/>
      <c r="M7" s="15"/>
      <c r="N7" s="28">
        <v>219273</v>
      </c>
      <c r="O7" s="28">
        <v>411917</v>
      </c>
      <c r="P7" s="28">
        <v>584582</v>
      </c>
      <c r="Q7" s="10">
        <v>21490</v>
      </c>
      <c r="R7" s="11">
        <f t="shared" ref="R7:R36" si="3">Q7-Q6</f>
        <v>0</v>
      </c>
      <c r="S7" s="16"/>
      <c r="T7" s="17">
        <v>0</v>
      </c>
      <c r="U7" s="17">
        <v>0</v>
      </c>
      <c r="V7" s="17">
        <v>0</v>
      </c>
      <c r="W7" s="44" t="s">
        <v>30</v>
      </c>
      <c r="X7" s="80">
        <v>2</v>
      </c>
      <c r="Y7" s="11">
        <f t="shared" ref="Y7:Y36" si="4">B7-B6</f>
        <v>89</v>
      </c>
      <c r="Z7" s="11">
        <v>0</v>
      </c>
      <c r="AA7" s="11">
        <v>0</v>
      </c>
      <c r="AB7" s="11">
        <f t="shared" ref="AB7:AB36" si="5">E7-E6</f>
        <v>0</v>
      </c>
      <c r="AC7" s="11">
        <f t="shared" ref="AC7:AC36" si="6">F7-F6</f>
        <v>0</v>
      </c>
      <c r="AD7" s="11">
        <f t="shared" ref="AD7:AD36" si="7">G7-G6</f>
        <v>0</v>
      </c>
      <c r="AE7" s="34"/>
      <c r="AF7" s="11">
        <f t="shared" ref="AF7:AF36" si="8">I7-I6</f>
        <v>5</v>
      </c>
      <c r="AG7" s="11">
        <f t="shared" ref="AG7:AG36" si="9">J7-J6</f>
        <v>0</v>
      </c>
      <c r="AH7" s="11">
        <f t="shared" ref="AH7:AH36" si="10">K7-K6</f>
        <v>0</v>
      </c>
      <c r="AI7" s="11">
        <f t="shared" ref="AI7:AI36" si="11">L7-L6</f>
        <v>0</v>
      </c>
      <c r="AJ7" s="34"/>
      <c r="AK7" s="11">
        <f t="shared" ref="AK7:AK36" si="12">N7-N6</f>
        <v>166</v>
      </c>
      <c r="AL7" s="11">
        <f t="shared" ref="AL7:AL36" si="13">O7-O6</f>
        <v>58</v>
      </c>
      <c r="AM7" s="11">
        <f t="shared" ref="AM7:AM36" si="14">P7-P6</f>
        <v>0</v>
      </c>
      <c r="AN7" s="11">
        <f t="shared" ref="AN7:AN36" si="15">Q7-Q6</f>
        <v>0</v>
      </c>
      <c r="AO7" s="35"/>
      <c r="AQ7" s="24">
        <v>5286</v>
      </c>
    </row>
    <row r="8" spans="1:43" x14ac:dyDescent="0.2">
      <c r="A8" s="80">
        <v>3</v>
      </c>
      <c r="B8" s="27">
        <v>642438</v>
      </c>
      <c r="C8" s="14"/>
      <c r="D8" s="14"/>
      <c r="E8" s="28"/>
      <c r="F8" s="18"/>
      <c r="G8" s="18"/>
      <c r="H8" s="15"/>
      <c r="I8" s="27">
        <v>19202</v>
      </c>
      <c r="J8" s="24">
        <v>1481</v>
      </c>
      <c r="K8" s="24"/>
      <c r="L8" s="24"/>
      <c r="M8" s="15"/>
      <c r="N8" s="28">
        <v>219349</v>
      </c>
      <c r="O8" s="28">
        <v>411979</v>
      </c>
      <c r="P8" s="28">
        <v>584582</v>
      </c>
      <c r="Q8" s="10">
        <v>21490</v>
      </c>
      <c r="R8" s="11">
        <f t="shared" si="3"/>
        <v>0</v>
      </c>
      <c r="S8" s="16"/>
      <c r="T8" s="17">
        <v>0</v>
      </c>
      <c r="U8" s="17">
        <v>0</v>
      </c>
      <c r="V8" s="17">
        <v>0</v>
      </c>
      <c r="W8" s="44" t="s">
        <v>30</v>
      </c>
      <c r="X8" s="80">
        <v>3</v>
      </c>
      <c r="Y8" s="11">
        <f t="shared" si="4"/>
        <v>70</v>
      </c>
      <c r="Z8" s="11">
        <v>0</v>
      </c>
      <c r="AA8" s="11">
        <v>0</v>
      </c>
      <c r="AB8" s="11">
        <f t="shared" si="5"/>
        <v>0</v>
      </c>
      <c r="AC8" s="11">
        <f t="shared" si="6"/>
        <v>0</v>
      </c>
      <c r="AD8" s="11">
        <f t="shared" si="7"/>
        <v>0</v>
      </c>
      <c r="AE8" s="34"/>
      <c r="AF8" s="11">
        <f t="shared" si="8"/>
        <v>29</v>
      </c>
      <c r="AG8" s="11">
        <f t="shared" si="9"/>
        <v>2</v>
      </c>
      <c r="AH8" s="11">
        <f t="shared" si="10"/>
        <v>0</v>
      </c>
      <c r="AI8" s="11">
        <f t="shared" si="11"/>
        <v>0</v>
      </c>
      <c r="AJ8" s="34"/>
      <c r="AK8" s="11">
        <f t="shared" si="12"/>
        <v>76</v>
      </c>
      <c r="AL8" s="11">
        <f t="shared" si="13"/>
        <v>62</v>
      </c>
      <c r="AM8" s="11">
        <f t="shared" si="14"/>
        <v>0</v>
      </c>
      <c r="AN8" s="11">
        <f t="shared" si="15"/>
        <v>0</v>
      </c>
      <c r="AO8" s="35"/>
      <c r="AQ8" s="24">
        <v>5562</v>
      </c>
    </row>
    <row r="9" spans="1:43" x14ac:dyDescent="0.2">
      <c r="A9" s="80">
        <v>4</v>
      </c>
      <c r="B9" s="27">
        <v>642499</v>
      </c>
      <c r="C9" s="14"/>
      <c r="D9" s="14"/>
      <c r="E9" s="28"/>
      <c r="F9" s="18"/>
      <c r="G9" s="18"/>
      <c r="H9" s="15"/>
      <c r="I9" s="27">
        <v>19213</v>
      </c>
      <c r="J9" s="24">
        <v>1483</v>
      </c>
      <c r="K9" s="24"/>
      <c r="L9" s="24"/>
      <c r="M9" s="15"/>
      <c r="N9" s="28">
        <v>219439</v>
      </c>
      <c r="O9" s="28">
        <v>412047</v>
      </c>
      <c r="P9" s="28">
        <v>584582</v>
      </c>
      <c r="Q9" s="10">
        <v>21490</v>
      </c>
      <c r="R9" s="11">
        <f t="shared" si="3"/>
        <v>0</v>
      </c>
      <c r="S9" s="16"/>
      <c r="T9" s="17">
        <v>0</v>
      </c>
      <c r="U9" s="17">
        <v>0</v>
      </c>
      <c r="V9" s="17">
        <v>0</v>
      </c>
      <c r="W9" s="44" t="s">
        <v>30</v>
      </c>
      <c r="X9" s="80">
        <v>4</v>
      </c>
      <c r="Y9" s="11">
        <f t="shared" si="4"/>
        <v>61</v>
      </c>
      <c r="Z9" s="11">
        <v>0</v>
      </c>
      <c r="AA9" s="11">
        <v>0</v>
      </c>
      <c r="AB9" s="11">
        <f t="shared" si="5"/>
        <v>0</v>
      </c>
      <c r="AC9" s="11">
        <f t="shared" si="6"/>
        <v>0</v>
      </c>
      <c r="AD9" s="11">
        <f t="shared" si="7"/>
        <v>0</v>
      </c>
      <c r="AE9" s="34"/>
      <c r="AF9" s="11">
        <f t="shared" si="8"/>
        <v>11</v>
      </c>
      <c r="AG9" s="11">
        <f t="shared" si="9"/>
        <v>2</v>
      </c>
      <c r="AH9" s="11">
        <f t="shared" si="10"/>
        <v>0</v>
      </c>
      <c r="AI9" s="11">
        <f t="shared" si="11"/>
        <v>0</v>
      </c>
      <c r="AJ9" s="34"/>
      <c r="AK9" s="11">
        <f t="shared" si="12"/>
        <v>90</v>
      </c>
      <c r="AL9" s="11">
        <f t="shared" si="13"/>
        <v>68</v>
      </c>
      <c r="AM9" s="11">
        <f t="shared" si="14"/>
        <v>0</v>
      </c>
      <c r="AN9" s="11">
        <f t="shared" si="15"/>
        <v>0</v>
      </c>
      <c r="AO9" s="35"/>
      <c r="AQ9" s="24">
        <v>5856</v>
      </c>
    </row>
    <row r="10" spans="1:43" x14ac:dyDescent="0.2">
      <c r="A10" s="80">
        <v>5</v>
      </c>
      <c r="B10" s="27">
        <v>642598</v>
      </c>
      <c r="C10" s="14"/>
      <c r="D10" s="14"/>
      <c r="E10" s="28"/>
      <c r="F10" s="18"/>
      <c r="G10" s="18"/>
      <c r="H10" s="15"/>
      <c r="I10" s="27">
        <v>19224</v>
      </c>
      <c r="J10" s="24">
        <v>1483</v>
      </c>
      <c r="K10" s="24"/>
      <c r="L10" s="24"/>
      <c r="M10" s="15"/>
      <c r="N10" s="28">
        <v>219470</v>
      </c>
      <c r="O10" s="28">
        <v>412144</v>
      </c>
      <c r="P10" s="28">
        <v>584676</v>
      </c>
      <c r="Q10" s="10">
        <v>21490</v>
      </c>
      <c r="R10" s="11">
        <f t="shared" si="3"/>
        <v>0</v>
      </c>
      <c r="S10" s="16"/>
      <c r="T10" s="17">
        <v>0</v>
      </c>
      <c r="U10" s="17">
        <v>0</v>
      </c>
      <c r="V10" s="17">
        <v>0</v>
      </c>
      <c r="W10" s="44" t="s">
        <v>30</v>
      </c>
      <c r="X10" s="80">
        <v>5</v>
      </c>
      <c r="Y10" s="11">
        <f t="shared" si="4"/>
        <v>99</v>
      </c>
      <c r="Z10" s="11">
        <v>0</v>
      </c>
      <c r="AA10" s="11">
        <v>0</v>
      </c>
      <c r="AB10" s="11">
        <f t="shared" si="5"/>
        <v>0</v>
      </c>
      <c r="AC10" s="11">
        <f t="shared" si="6"/>
        <v>0</v>
      </c>
      <c r="AD10" s="11">
        <f t="shared" si="7"/>
        <v>0</v>
      </c>
      <c r="AE10" s="34"/>
      <c r="AF10" s="11">
        <f t="shared" si="8"/>
        <v>11</v>
      </c>
      <c r="AG10" s="11">
        <f t="shared" si="9"/>
        <v>0</v>
      </c>
      <c r="AH10" s="11">
        <f t="shared" si="10"/>
        <v>0</v>
      </c>
      <c r="AI10" s="11">
        <f t="shared" si="11"/>
        <v>0</v>
      </c>
      <c r="AJ10" s="34"/>
      <c r="AK10" s="11">
        <f t="shared" si="12"/>
        <v>31</v>
      </c>
      <c r="AL10" s="11">
        <f t="shared" si="13"/>
        <v>97</v>
      </c>
      <c r="AM10" s="11">
        <f t="shared" si="14"/>
        <v>94</v>
      </c>
      <c r="AN10" s="11">
        <f t="shared" si="15"/>
        <v>0</v>
      </c>
      <c r="AO10" s="35"/>
      <c r="AQ10" s="24">
        <v>6090</v>
      </c>
    </row>
    <row r="11" spans="1:43" x14ac:dyDescent="0.2">
      <c r="A11" s="80">
        <v>6</v>
      </c>
      <c r="B11" s="27">
        <v>642258</v>
      </c>
      <c r="C11" s="14"/>
      <c r="D11" s="14"/>
      <c r="E11" s="28"/>
      <c r="F11" s="18"/>
      <c r="G11" s="18"/>
      <c r="H11" s="15"/>
      <c r="I11" s="27">
        <v>19237</v>
      </c>
      <c r="J11" s="24">
        <v>1486</v>
      </c>
      <c r="K11" s="24"/>
      <c r="L11" s="24"/>
      <c r="M11" s="15"/>
      <c r="N11" s="28">
        <v>219606</v>
      </c>
      <c r="O11" s="28">
        <v>412219</v>
      </c>
      <c r="P11" s="28">
        <v>584676</v>
      </c>
      <c r="Q11" s="10">
        <v>21585</v>
      </c>
      <c r="R11" s="11">
        <f t="shared" si="3"/>
        <v>95</v>
      </c>
      <c r="S11" s="16"/>
      <c r="T11" s="17">
        <v>0</v>
      </c>
      <c r="U11" s="17">
        <v>0</v>
      </c>
      <c r="V11" s="17">
        <v>0</v>
      </c>
      <c r="W11" s="44" t="s">
        <v>30</v>
      </c>
      <c r="X11" s="80">
        <v>6</v>
      </c>
      <c r="Y11" s="11">
        <f t="shared" si="4"/>
        <v>-340</v>
      </c>
      <c r="Z11" s="11">
        <v>0</v>
      </c>
      <c r="AA11" s="11">
        <v>0</v>
      </c>
      <c r="AB11" s="11">
        <f t="shared" si="5"/>
        <v>0</v>
      </c>
      <c r="AC11" s="11">
        <f t="shared" si="6"/>
        <v>0</v>
      </c>
      <c r="AD11" s="11">
        <f t="shared" si="7"/>
        <v>0</v>
      </c>
      <c r="AE11" s="34"/>
      <c r="AF11" s="11">
        <f t="shared" si="8"/>
        <v>13</v>
      </c>
      <c r="AG11" s="11">
        <f t="shared" si="9"/>
        <v>3</v>
      </c>
      <c r="AH11" s="11">
        <f t="shared" si="10"/>
        <v>0</v>
      </c>
      <c r="AI11" s="11">
        <f t="shared" si="11"/>
        <v>0</v>
      </c>
      <c r="AJ11" s="34"/>
      <c r="AK11" s="11">
        <f t="shared" si="12"/>
        <v>136</v>
      </c>
      <c r="AL11" s="11">
        <f t="shared" si="13"/>
        <v>75</v>
      </c>
      <c r="AM11" s="11">
        <f t="shared" si="14"/>
        <v>0</v>
      </c>
      <c r="AN11" s="11">
        <f t="shared" si="15"/>
        <v>95</v>
      </c>
      <c r="AO11" s="35"/>
      <c r="AQ11" s="24">
        <v>6354</v>
      </c>
    </row>
    <row r="12" spans="1:43" x14ac:dyDescent="0.2">
      <c r="A12" s="80">
        <v>7</v>
      </c>
      <c r="B12" s="27">
        <v>642301</v>
      </c>
      <c r="C12" s="14"/>
      <c r="D12" s="14"/>
      <c r="E12" s="28"/>
      <c r="F12" s="18"/>
      <c r="G12" s="18"/>
      <c r="H12" s="15"/>
      <c r="I12" s="27">
        <v>19257</v>
      </c>
      <c r="J12" s="24">
        <v>1488</v>
      </c>
      <c r="K12" s="24"/>
      <c r="L12" s="24"/>
      <c r="M12" s="15"/>
      <c r="N12" s="28">
        <v>219674</v>
      </c>
      <c r="O12" s="28">
        <v>412326</v>
      </c>
      <c r="P12" s="28">
        <v>584676</v>
      </c>
      <c r="Q12" s="10">
        <v>21754</v>
      </c>
      <c r="R12" s="11">
        <f t="shared" si="3"/>
        <v>169</v>
      </c>
      <c r="S12" s="16"/>
      <c r="T12" s="17">
        <v>0</v>
      </c>
      <c r="U12" s="17">
        <v>0</v>
      </c>
      <c r="V12" s="17">
        <v>0</v>
      </c>
      <c r="W12" s="44" t="s">
        <v>30</v>
      </c>
      <c r="X12" s="80">
        <v>7</v>
      </c>
      <c r="Y12" s="11">
        <f t="shared" si="4"/>
        <v>43</v>
      </c>
      <c r="Z12" s="11">
        <v>0</v>
      </c>
      <c r="AA12" s="11">
        <v>0</v>
      </c>
      <c r="AB12" s="11">
        <f t="shared" si="5"/>
        <v>0</v>
      </c>
      <c r="AC12" s="11">
        <f t="shared" si="6"/>
        <v>0</v>
      </c>
      <c r="AD12" s="11">
        <f t="shared" si="7"/>
        <v>0</v>
      </c>
      <c r="AE12" s="34"/>
      <c r="AF12" s="11">
        <f t="shared" si="8"/>
        <v>20</v>
      </c>
      <c r="AG12" s="11">
        <f t="shared" si="9"/>
        <v>2</v>
      </c>
      <c r="AH12" s="11">
        <f t="shared" si="10"/>
        <v>0</v>
      </c>
      <c r="AI12" s="11">
        <f t="shared" si="11"/>
        <v>0</v>
      </c>
      <c r="AJ12" s="34"/>
      <c r="AK12" s="11">
        <f t="shared" si="12"/>
        <v>68</v>
      </c>
      <c r="AL12" s="11">
        <f t="shared" si="13"/>
        <v>107</v>
      </c>
      <c r="AM12" s="11">
        <f t="shared" si="14"/>
        <v>0</v>
      </c>
      <c r="AN12" s="11">
        <f t="shared" si="15"/>
        <v>169</v>
      </c>
      <c r="AO12" s="35"/>
      <c r="AQ12" s="24">
        <v>6723</v>
      </c>
    </row>
    <row r="13" spans="1:43" x14ac:dyDescent="0.2">
      <c r="A13" s="80">
        <v>8</v>
      </c>
      <c r="B13" s="27">
        <v>642399</v>
      </c>
      <c r="C13" s="14"/>
      <c r="D13" s="14"/>
      <c r="E13" s="28"/>
      <c r="F13" s="18"/>
      <c r="G13" s="18"/>
      <c r="H13" s="15"/>
      <c r="I13" s="27">
        <v>19258</v>
      </c>
      <c r="J13" s="24">
        <v>1488</v>
      </c>
      <c r="K13" s="24"/>
      <c r="L13" s="24"/>
      <c r="M13" s="15"/>
      <c r="N13" s="28">
        <v>219763</v>
      </c>
      <c r="O13" s="28">
        <v>412436</v>
      </c>
      <c r="P13" s="28">
        <v>584676</v>
      </c>
      <c r="Q13" s="10">
        <v>21947</v>
      </c>
      <c r="R13" s="11">
        <f t="shared" si="3"/>
        <v>193</v>
      </c>
      <c r="S13" s="16"/>
      <c r="T13" s="17">
        <v>0</v>
      </c>
      <c r="U13" s="17">
        <v>0</v>
      </c>
      <c r="V13" s="17">
        <v>0</v>
      </c>
      <c r="W13" s="44" t="s">
        <v>30</v>
      </c>
      <c r="X13" s="80">
        <v>8</v>
      </c>
      <c r="Y13" s="11">
        <f t="shared" si="4"/>
        <v>98</v>
      </c>
      <c r="Z13" s="11">
        <v>0</v>
      </c>
      <c r="AA13" s="11">
        <v>0</v>
      </c>
      <c r="AB13" s="11">
        <f t="shared" si="5"/>
        <v>0</v>
      </c>
      <c r="AC13" s="11">
        <f t="shared" si="6"/>
        <v>0</v>
      </c>
      <c r="AD13" s="11">
        <f t="shared" si="7"/>
        <v>0</v>
      </c>
      <c r="AE13" s="34"/>
      <c r="AF13" s="11">
        <f t="shared" si="8"/>
        <v>1</v>
      </c>
      <c r="AG13" s="11">
        <f t="shared" si="9"/>
        <v>0</v>
      </c>
      <c r="AH13" s="11">
        <f t="shared" si="10"/>
        <v>0</v>
      </c>
      <c r="AI13" s="11">
        <f t="shared" si="11"/>
        <v>0</v>
      </c>
      <c r="AJ13" s="34"/>
      <c r="AK13" s="11">
        <f t="shared" si="12"/>
        <v>89</v>
      </c>
      <c r="AL13" s="11">
        <f t="shared" si="13"/>
        <v>110</v>
      </c>
      <c r="AM13" s="11">
        <f t="shared" si="14"/>
        <v>0</v>
      </c>
      <c r="AN13" s="11">
        <f t="shared" si="15"/>
        <v>193</v>
      </c>
      <c r="AO13" s="35"/>
      <c r="AQ13" s="24">
        <v>7089</v>
      </c>
    </row>
    <row r="14" spans="1:43" x14ac:dyDescent="0.2">
      <c r="A14" s="80">
        <v>9</v>
      </c>
      <c r="B14" s="27">
        <v>642497</v>
      </c>
      <c r="C14" s="14"/>
      <c r="D14" s="14"/>
      <c r="E14" s="28"/>
      <c r="F14" s="18"/>
      <c r="G14" s="18"/>
      <c r="H14" s="15"/>
      <c r="I14" s="27">
        <v>19273</v>
      </c>
      <c r="J14" s="33">
        <v>1490</v>
      </c>
      <c r="K14" s="24"/>
      <c r="L14" s="24"/>
      <c r="M14" s="15"/>
      <c r="N14" s="28">
        <v>219838</v>
      </c>
      <c r="O14" s="28"/>
      <c r="P14" s="28"/>
      <c r="Q14" s="10"/>
      <c r="R14" s="11">
        <f t="shared" si="3"/>
        <v>-21947</v>
      </c>
      <c r="S14" s="16"/>
      <c r="T14" s="17">
        <v>0</v>
      </c>
      <c r="U14" s="17">
        <v>0</v>
      </c>
      <c r="V14" s="17">
        <v>0</v>
      </c>
      <c r="W14" s="44" t="s">
        <v>30</v>
      </c>
      <c r="X14" s="80">
        <v>9</v>
      </c>
      <c r="Y14" s="11">
        <f t="shared" si="4"/>
        <v>98</v>
      </c>
      <c r="Z14" s="11">
        <v>0</v>
      </c>
      <c r="AA14" s="11">
        <v>0</v>
      </c>
      <c r="AB14" s="11">
        <f t="shared" si="5"/>
        <v>0</v>
      </c>
      <c r="AC14" s="11">
        <f t="shared" si="6"/>
        <v>0</v>
      </c>
      <c r="AD14" s="11">
        <f t="shared" si="7"/>
        <v>0</v>
      </c>
      <c r="AE14" s="34"/>
      <c r="AF14" s="11">
        <f t="shared" si="8"/>
        <v>15</v>
      </c>
      <c r="AG14" s="11">
        <f t="shared" si="9"/>
        <v>2</v>
      </c>
      <c r="AH14" s="11">
        <f t="shared" si="10"/>
        <v>0</v>
      </c>
      <c r="AI14" s="11">
        <f t="shared" si="11"/>
        <v>0</v>
      </c>
      <c r="AJ14" s="34"/>
      <c r="AK14" s="11">
        <f t="shared" si="12"/>
        <v>75</v>
      </c>
      <c r="AL14" s="11">
        <f t="shared" si="13"/>
        <v>-412436</v>
      </c>
      <c r="AM14" s="11">
        <f t="shared" si="14"/>
        <v>-584676</v>
      </c>
      <c r="AN14" s="11">
        <f t="shared" si="15"/>
        <v>-21947</v>
      </c>
      <c r="AO14" s="35"/>
      <c r="AQ14" s="24">
        <v>7139</v>
      </c>
    </row>
    <row r="15" spans="1:43" x14ac:dyDescent="0.2">
      <c r="A15" s="80">
        <v>10</v>
      </c>
      <c r="B15" s="27">
        <v>642590</v>
      </c>
      <c r="C15" s="14"/>
      <c r="D15" s="14"/>
      <c r="E15" s="28"/>
      <c r="F15" s="18"/>
      <c r="G15" s="18"/>
      <c r="H15" s="15"/>
      <c r="I15" s="27">
        <v>19286</v>
      </c>
      <c r="J15" s="24">
        <v>1491</v>
      </c>
      <c r="K15" s="24"/>
      <c r="L15" s="24"/>
      <c r="M15" s="15"/>
      <c r="N15" s="28">
        <v>219870</v>
      </c>
      <c r="O15" s="28"/>
      <c r="P15" s="28"/>
      <c r="Q15" s="10"/>
      <c r="R15" s="11">
        <f t="shared" si="3"/>
        <v>0</v>
      </c>
      <c r="S15" s="16"/>
      <c r="T15" s="17">
        <v>0</v>
      </c>
      <c r="U15" s="17">
        <v>0</v>
      </c>
      <c r="V15" s="17">
        <v>0</v>
      </c>
      <c r="W15" s="44" t="s">
        <v>30</v>
      </c>
      <c r="X15" s="80">
        <v>10</v>
      </c>
      <c r="Y15" s="11">
        <f t="shared" si="4"/>
        <v>93</v>
      </c>
      <c r="Z15" s="11">
        <v>0</v>
      </c>
      <c r="AA15" s="11">
        <v>0</v>
      </c>
      <c r="AB15" s="11">
        <f t="shared" si="5"/>
        <v>0</v>
      </c>
      <c r="AC15" s="11">
        <f t="shared" si="6"/>
        <v>0</v>
      </c>
      <c r="AD15" s="11">
        <f t="shared" si="7"/>
        <v>0</v>
      </c>
      <c r="AE15" s="34"/>
      <c r="AF15" s="11">
        <f t="shared" si="8"/>
        <v>13</v>
      </c>
      <c r="AG15" s="11">
        <f t="shared" si="9"/>
        <v>1</v>
      </c>
      <c r="AH15" s="11">
        <f t="shared" si="10"/>
        <v>0</v>
      </c>
      <c r="AI15" s="11">
        <f t="shared" si="11"/>
        <v>0</v>
      </c>
      <c r="AJ15" s="34"/>
      <c r="AK15" s="11">
        <f t="shared" si="12"/>
        <v>32</v>
      </c>
      <c r="AL15" s="11">
        <f t="shared" si="13"/>
        <v>0</v>
      </c>
      <c r="AM15" s="11">
        <f t="shared" si="14"/>
        <v>0</v>
      </c>
      <c r="AN15" s="11">
        <f t="shared" si="15"/>
        <v>0</v>
      </c>
      <c r="AO15" s="35"/>
      <c r="AQ15" s="24">
        <v>7538</v>
      </c>
    </row>
    <row r="16" spans="1:43" x14ac:dyDescent="0.2">
      <c r="A16" s="80">
        <v>11</v>
      </c>
      <c r="B16" s="27">
        <v>642688</v>
      </c>
      <c r="C16" s="14"/>
      <c r="D16" s="14"/>
      <c r="E16" s="28"/>
      <c r="F16" s="18"/>
      <c r="G16" s="18"/>
      <c r="H16" s="15"/>
      <c r="I16" s="27">
        <v>19311</v>
      </c>
      <c r="J16" s="24">
        <v>1500</v>
      </c>
      <c r="K16" s="24"/>
      <c r="L16" s="24"/>
      <c r="M16" s="15"/>
      <c r="N16" s="28">
        <v>219970</v>
      </c>
      <c r="O16" s="28"/>
      <c r="P16" s="28"/>
      <c r="Q16" s="10"/>
      <c r="R16" s="11">
        <f t="shared" si="3"/>
        <v>0</v>
      </c>
      <c r="S16" s="16"/>
      <c r="T16" s="17">
        <v>0</v>
      </c>
      <c r="U16" s="17">
        <v>0</v>
      </c>
      <c r="V16" s="17">
        <v>0</v>
      </c>
      <c r="W16" s="44" t="s">
        <v>30</v>
      </c>
      <c r="X16" s="80">
        <v>11</v>
      </c>
      <c r="Y16" s="11">
        <f t="shared" si="4"/>
        <v>98</v>
      </c>
      <c r="Z16" s="11">
        <v>0</v>
      </c>
      <c r="AA16" s="11">
        <v>0</v>
      </c>
      <c r="AB16" s="11">
        <f t="shared" si="5"/>
        <v>0</v>
      </c>
      <c r="AC16" s="11">
        <f t="shared" si="6"/>
        <v>0</v>
      </c>
      <c r="AD16" s="11">
        <f t="shared" si="7"/>
        <v>0</v>
      </c>
      <c r="AE16" s="34"/>
      <c r="AF16" s="11">
        <f t="shared" si="8"/>
        <v>25</v>
      </c>
      <c r="AG16" s="11">
        <f t="shared" si="9"/>
        <v>9</v>
      </c>
      <c r="AH16" s="11">
        <f t="shared" si="10"/>
        <v>0</v>
      </c>
      <c r="AI16" s="11">
        <f t="shared" si="11"/>
        <v>0</v>
      </c>
      <c r="AJ16" s="34"/>
      <c r="AK16" s="11">
        <f t="shared" si="12"/>
        <v>100</v>
      </c>
      <c r="AL16" s="11">
        <f t="shared" si="13"/>
        <v>0</v>
      </c>
      <c r="AM16" s="11">
        <f t="shared" si="14"/>
        <v>0</v>
      </c>
      <c r="AN16" s="11">
        <f t="shared" si="15"/>
        <v>0</v>
      </c>
      <c r="AO16" s="35"/>
      <c r="AQ16" s="24">
        <v>7411</v>
      </c>
    </row>
    <row r="17" spans="1:43" x14ac:dyDescent="0.2">
      <c r="A17" s="80">
        <v>12</v>
      </c>
      <c r="B17" s="27">
        <v>642585</v>
      </c>
      <c r="C17" s="14"/>
      <c r="D17" s="14"/>
      <c r="E17" s="28"/>
      <c r="F17" s="18"/>
      <c r="G17" s="18"/>
      <c r="H17" s="15"/>
      <c r="I17" s="27">
        <v>19324</v>
      </c>
      <c r="J17" s="24">
        <v>1500</v>
      </c>
      <c r="K17" s="24"/>
      <c r="L17" s="24"/>
      <c r="M17" s="15"/>
      <c r="N17" s="28">
        <v>220109</v>
      </c>
      <c r="O17" s="28"/>
      <c r="P17" s="28"/>
      <c r="Q17" s="10"/>
      <c r="R17" s="11">
        <f t="shared" si="3"/>
        <v>0</v>
      </c>
      <c r="S17" s="16"/>
      <c r="T17" s="17">
        <v>0</v>
      </c>
      <c r="U17" s="17">
        <v>0</v>
      </c>
      <c r="V17" s="17">
        <v>0</v>
      </c>
      <c r="W17" s="44" t="s">
        <v>30</v>
      </c>
      <c r="X17" s="80">
        <v>12</v>
      </c>
      <c r="Y17" s="11">
        <f t="shared" si="4"/>
        <v>-103</v>
      </c>
      <c r="Z17" s="11">
        <v>0</v>
      </c>
      <c r="AA17" s="11">
        <v>0</v>
      </c>
      <c r="AB17" s="11">
        <f t="shared" si="5"/>
        <v>0</v>
      </c>
      <c r="AC17" s="11">
        <f t="shared" si="6"/>
        <v>0</v>
      </c>
      <c r="AD17" s="11">
        <f t="shared" si="7"/>
        <v>0</v>
      </c>
      <c r="AE17" s="34"/>
      <c r="AF17" s="11">
        <f t="shared" si="8"/>
        <v>13</v>
      </c>
      <c r="AG17" s="11">
        <f t="shared" si="9"/>
        <v>0</v>
      </c>
      <c r="AH17" s="11">
        <f t="shared" si="10"/>
        <v>0</v>
      </c>
      <c r="AI17" s="11">
        <f t="shared" si="11"/>
        <v>0</v>
      </c>
      <c r="AJ17" s="34"/>
      <c r="AK17" s="11">
        <f t="shared" si="12"/>
        <v>139</v>
      </c>
      <c r="AL17" s="11">
        <f t="shared" si="13"/>
        <v>0</v>
      </c>
      <c r="AM17" s="11">
        <f t="shared" si="14"/>
        <v>0</v>
      </c>
      <c r="AN17" s="11">
        <f t="shared" si="15"/>
        <v>0</v>
      </c>
      <c r="AO17" s="35"/>
      <c r="AQ17" s="24">
        <v>7466</v>
      </c>
    </row>
    <row r="18" spans="1:43" x14ac:dyDescent="0.2">
      <c r="A18" s="80">
        <v>13</v>
      </c>
      <c r="B18" s="27">
        <v>642645</v>
      </c>
      <c r="C18" s="14"/>
      <c r="D18" s="14"/>
      <c r="E18" s="28"/>
      <c r="F18" s="18"/>
      <c r="G18" s="18"/>
      <c r="H18" s="15"/>
      <c r="I18" s="27">
        <v>19344</v>
      </c>
      <c r="J18" s="24">
        <v>1500</v>
      </c>
      <c r="K18" s="24"/>
      <c r="L18" s="24"/>
      <c r="M18" s="15"/>
      <c r="N18" s="28">
        <v>220190</v>
      </c>
      <c r="O18" s="28"/>
      <c r="P18" s="28"/>
      <c r="Q18" s="10"/>
      <c r="R18" s="11">
        <f t="shared" si="3"/>
        <v>0</v>
      </c>
      <c r="S18" s="16"/>
      <c r="T18" s="17">
        <v>0</v>
      </c>
      <c r="U18" s="17">
        <v>0</v>
      </c>
      <c r="V18" s="17">
        <v>0</v>
      </c>
      <c r="W18" s="44" t="s">
        <v>30</v>
      </c>
      <c r="X18" s="80">
        <v>13</v>
      </c>
      <c r="Y18" s="11">
        <f t="shared" si="4"/>
        <v>60</v>
      </c>
      <c r="Z18" s="11">
        <v>0</v>
      </c>
      <c r="AA18" s="11">
        <v>0</v>
      </c>
      <c r="AB18" s="11">
        <f t="shared" si="5"/>
        <v>0</v>
      </c>
      <c r="AC18" s="11">
        <f t="shared" si="6"/>
        <v>0</v>
      </c>
      <c r="AD18" s="11">
        <f t="shared" si="7"/>
        <v>0</v>
      </c>
      <c r="AE18" s="34"/>
      <c r="AF18" s="11">
        <f t="shared" si="8"/>
        <v>20</v>
      </c>
      <c r="AG18" s="11">
        <f t="shared" si="9"/>
        <v>0</v>
      </c>
      <c r="AH18" s="11">
        <f t="shared" si="10"/>
        <v>0</v>
      </c>
      <c r="AI18" s="11">
        <f t="shared" si="11"/>
        <v>0</v>
      </c>
      <c r="AJ18" s="34"/>
      <c r="AK18" s="11">
        <f t="shared" si="12"/>
        <v>81</v>
      </c>
      <c r="AL18" s="11">
        <f t="shared" si="13"/>
        <v>0</v>
      </c>
      <c r="AM18" s="11">
        <f t="shared" si="14"/>
        <v>0</v>
      </c>
      <c r="AN18" s="11">
        <f t="shared" si="15"/>
        <v>0</v>
      </c>
      <c r="AO18" s="35"/>
      <c r="AQ18" s="24">
        <v>7442</v>
      </c>
    </row>
    <row r="19" spans="1:43" x14ac:dyDescent="0.2">
      <c r="A19" s="80">
        <v>14</v>
      </c>
      <c r="B19" s="27">
        <v>642701</v>
      </c>
      <c r="C19" s="14"/>
      <c r="D19" s="14"/>
      <c r="E19" s="28"/>
      <c r="F19" s="18"/>
      <c r="G19" s="18"/>
      <c r="H19" s="15"/>
      <c r="I19" s="27">
        <v>19358</v>
      </c>
      <c r="J19" s="24">
        <v>1503</v>
      </c>
      <c r="K19" s="24"/>
      <c r="L19" s="24"/>
      <c r="M19" s="15"/>
      <c r="N19" s="28">
        <v>220272</v>
      </c>
      <c r="O19" s="28"/>
      <c r="P19" s="28"/>
      <c r="Q19" s="10"/>
      <c r="R19" s="11">
        <f t="shared" si="3"/>
        <v>0</v>
      </c>
      <c r="S19" s="16"/>
      <c r="T19" s="17">
        <v>0</v>
      </c>
      <c r="U19" s="17">
        <v>0</v>
      </c>
      <c r="V19" s="17">
        <v>0</v>
      </c>
      <c r="W19" s="44" t="s">
        <v>30</v>
      </c>
      <c r="X19" s="80">
        <v>14</v>
      </c>
      <c r="Y19" s="11">
        <f t="shared" si="4"/>
        <v>56</v>
      </c>
      <c r="Z19" s="11">
        <v>0</v>
      </c>
      <c r="AA19" s="11">
        <v>0</v>
      </c>
      <c r="AB19" s="11">
        <f t="shared" si="5"/>
        <v>0</v>
      </c>
      <c r="AC19" s="11">
        <f t="shared" si="6"/>
        <v>0</v>
      </c>
      <c r="AD19" s="11">
        <f t="shared" si="7"/>
        <v>0</v>
      </c>
      <c r="AE19" s="34"/>
      <c r="AF19" s="11">
        <f t="shared" si="8"/>
        <v>14</v>
      </c>
      <c r="AG19" s="11">
        <f t="shared" si="9"/>
        <v>3</v>
      </c>
      <c r="AH19" s="11">
        <f t="shared" si="10"/>
        <v>0</v>
      </c>
      <c r="AI19" s="11">
        <f t="shared" si="11"/>
        <v>0</v>
      </c>
      <c r="AJ19" s="34"/>
      <c r="AK19" s="11">
        <f t="shared" si="12"/>
        <v>82</v>
      </c>
      <c r="AL19" s="11">
        <f t="shared" si="13"/>
        <v>0</v>
      </c>
      <c r="AM19" s="11">
        <f t="shared" si="14"/>
        <v>0</v>
      </c>
      <c r="AN19" s="11">
        <f t="shared" si="15"/>
        <v>0</v>
      </c>
      <c r="AO19" s="35"/>
      <c r="AQ19" s="24">
        <v>7568</v>
      </c>
    </row>
    <row r="20" spans="1:43" x14ac:dyDescent="0.2">
      <c r="A20" s="80">
        <v>15</v>
      </c>
      <c r="B20" s="27">
        <v>642778</v>
      </c>
      <c r="C20" s="14"/>
      <c r="D20" s="14"/>
      <c r="E20" s="28"/>
      <c r="F20" s="18"/>
      <c r="G20" s="18"/>
      <c r="H20" s="15"/>
      <c r="I20" s="27">
        <v>19366</v>
      </c>
      <c r="J20" s="24">
        <v>1507</v>
      </c>
      <c r="K20" s="24"/>
      <c r="L20" s="24"/>
      <c r="M20" s="15"/>
      <c r="N20" s="28">
        <v>220299</v>
      </c>
      <c r="O20" s="28"/>
      <c r="P20" s="28"/>
      <c r="Q20" s="10"/>
      <c r="R20" s="11">
        <f t="shared" si="3"/>
        <v>0</v>
      </c>
      <c r="S20" s="16"/>
      <c r="T20" s="17">
        <v>0</v>
      </c>
      <c r="U20" s="17">
        <v>0</v>
      </c>
      <c r="V20" s="17">
        <v>0</v>
      </c>
      <c r="W20" s="44" t="s">
        <v>30</v>
      </c>
      <c r="X20" s="80">
        <v>15</v>
      </c>
      <c r="Y20" s="11">
        <f t="shared" si="4"/>
        <v>77</v>
      </c>
      <c r="Z20" s="11">
        <v>0</v>
      </c>
      <c r="AA20" s="11">
        <v>0</v>
      </c>
      <c r="AB20" s="11">
        <f t="shared" si="5"/>
        <v>0</v>
      </c>
      <c r="AC20" s="11">
        <f t="shared" si="6"/>
        <v>0</v>
      </c>
      <c r="AD20" s="11">
        <f t="shared" si="7"/>
        <v>0</v>
      </c>
      <c r="AE20" s="34"/>
      <c r="AF20" s="11">
        <f t="shared" si="8"/>
        <v>8</v>
      </c>
      <c r="AG20" s="11">
        <f t="shared" si="9"/>
        <v>4</v>
      </c>
      <c r="AH20" s="11">
        <f t="shared" si="10"/>
        <v>0</v>
      </c>
      <c r="AI20" s="11">
        <f t="shared" si="11"/>
        <v>0</v>
      </c>
      <c r="AJ20" s="34"/>
      <c r="AK20" s="11">
        <f t="shared" si="12"/>
        <v>27</v>
      </c>
      <c r="AL20" s="11">
        <f t="shared" si="13"/>
        <v>0</v>
      </c>
      <c r="AM20" s="11">
        <f t="shared" si="14"/>
        <v>0</v>
      </c>
      <c r="AN20" s="11">
        <f t="shared" si="15"/>
        <v>0</v>
      </c>
      <c r="AO20" s="35"/>
      <c r="AQ20" s="24">
        <v>7677</v>
      </c>
    </row>
    <row r="21" spans="1:43" x14ac:dyDescent="0.2">
      <c r="A21" s="80">
        <v>16</v>
      </c>
      <c r="B21" s="27">
        <v>642868</v>
      </c>
      <c r="C21" s="14"/>
      <c r="D21" s="14"/>
      <c r="E21" s="28"/>
      <c r="F21" s="18"/>
      <c r="G21" s="18"/>
      <c r="H21" s="15"/>
      <c r="I21" s="27">
        <v>19374</v>
      </c>
      <c r="J21" s="24">
        <v>1511</v>
      </c>
      <c r="K21" s="24"/>
      <c r="L21" s="24"/>
      <c r="M21" s="15"/>
      <c r="N21" s="28">
        <v>220396</v>
      </c>
      <c r="O21" s="28"/>
      <c r="P21" s="28"/>
      <c r="Q21" s="10"/>
      <c r="R21" s="11">
        <f t="shared" si="3"/>
        <v>0</v>
      </c>
      <c r="S21" s="16"/>
      <c r="T21" s="17">
        <v>0</v>
      </c>
      <c r="U21" s="17">
        <v>0</v>
      </c>
      <c r="V21" s="17">
        <v>0</v>
      </c>
      <c r="W21" s="44" t="s">
        <v>30</v>
      </c>
      <c r="X21" s="80">
        <v>16</v>
      </c>
      <c r="Y21" s="11">
        <f t="shared" si="4"/>
        <v>90</v>
      </c>
      <c r="Z21" s="11">
        <v>0</v>
      </c>
      <c r="AA21" s="11">
        <v>0</v>
      </c>
      <c r="AB21" s="11">
        <f t="shared" si="5"/>
        <v>0</v>
      </c>
      <c r="AC21" s="11">
        <f t="shared" si="6"/>
        <v>0</v>
      </c>
      <c r="AD21" s="11">
        <f t="shared" si="7"/>
        <v>0</v>
      </c>
      <c r="AE21" s="34"/>
      <c r="AF21" s="11">
        <f t="shared" si="8"/>
        <v>8</v>
      </c>
      <c r="AG21" s="11">
        <f t="shared" si="9"/>
        <v>4</v>
      </c>
      <c r="AH21" s="11">
        <f t="shared" si="10"/>
        <v>0</v>
      </c>
      <c r="AI21" s="11">
        <f t="shared" si="11"/>
        <v>0</v>
      </c>
      <c r="AJ21" s="34"/>
      <c r="AK21" s="11">
        <f t="shared" si="12"/>
        <v>97</v>
      </c>
      <c r="AL21" s="11">
        <f t="shared" si="13"/>
        <v>0</v>
      </c>
      <c r="AM21" s="11">
        <f t="shared" si="14"/>
        <v>0</v>
      </c>
      <c r="AN21" s="11">
        <f t="shared" si="15"/>
        <v>0</v>
      </c>
      <c r="AO21" s="35"/>
      <c r="AQ21" s="24">
        <v>7813</v>
      </c>
    </row>
    <row r="22" spans="1:43" x14ac:dyDescent="0.2">
      <c r="A22" s="80">
        <v>17</v>
      </c>
      <c r="B22" s="27">
        <v>642918</v>
      </c>
      <c r="C22" s="14"/>
      <c r="D22" s="14"/>
      <c r="E22" s="28"/>
      <c r="F22" s="18"/>
      <c r="G22" s="18"/>
      <c r="H22" s="15"/>
      <c r="I22" s="27">
        <v>19389</v>
      </c>
      <c r="J22" s="24">
        <v>1512</v>
      </c>
      <c r="K22" s="24"/>
      <c r="L22" s="24"/>
      <c r="M22" s="15"/>
      <c r="N22" s="28">
        <v>220456</v>
      </c>
      <c r="O22" s="28"/>
      <c r="P22" s="28"/>
      <c r="Q22" s="10"/>
      <c r="R22" s="11">
        <f t="shared" si="3"/>
        <v>0</v>
      </c>
      <c r="S22" s="16"/>
      <c r="T22" s="17">
        <v>0</v>
      </c>
      <c r="U22" s="17">
        <v>0</v>
      </c>
      <c r="V22" s="17">
        <v>0</v>
      </c>
      <c r="W22" s="44" t="s">
        <v>30</v>
      </c>
      <c r="X22" s="80">
        <v>17</v>
      </c>
      <c r="Y22" s="11">
        <f t="shared" si="4"/>
        <v>50</v>
      </c>
      <c r="Z22" s="11">
        <v>0</v>
      </c>
      <c r="AA22" s="11">
        <v>0</v>
      </c>
      <c r="AB22" s="11">
        <f t="shared" si="5"/>
        <v>0</v>
      </c>
      <c r="AC22" s="11">
        <f t="shared" si="6"/>
        <v>0</v>
      </c>
      <c r="AD22" s="11">
        <f t="shared" si="7"/>
        <v>0</v>
      </c>
      <c r="AE22" s="34"/>
      <c r="AF22" s="11">
        <f t="shared" si="8"/>
        <v>15</v>
      </c>
      <c r="AG22" s="11">
        <f t="shared" si="9"/>
        <v>1</v>
      </c>
      <c r="AH22" s="11">
        <f t="shared" si="10"/>
        <v>0</v>
      </c>
      <c r="AI22" s="11">
        <f t="shared" si="11"/>
        <v>0</v>
      </c>
      <c r="AJ22" s="34"/>
      <c r="AK22" s="11">
        <f t="shared" si="12"/>
        <v>60</v>
      </c>
      <c r="AL22" s="11">
        <f t="shared" si="13"/>
        <v>0</v>
      </c>
      <c r="AM22" s="11">
        <f t="shared" si="14"/>
        <v>0</v>
      </c>
      <c r="AN22" s="11">
        <f t="shared" si="15"/>
        <v>0</v>
      </c>
      <c r="AO22" s="35"/>
      <c r="AQ22" s="24">
        <v>7919</v>
      </c>
    </row>
    <row r="23" spans="1:43" x14ac:dyDescent="0.2">
      <c r="A23" s="80">
        <v>18</v>
      </c>
      <c r="B23" s="27">
        <v>642955</v>
      </c>
      <c r="C23" s="14"/>
      <c r="D23" s="14"/>
      <c r="E23" s="28"/>
      <c r="F23" s="18"/>
      <c r="G23" s="18"/>
      <c r="H23" s="15"/>
      <c r="I23" s="27">
        <v>19392</v>
      </c>
      <c r="J23" s="24">
        <v>1514</v>
      </c>
      <c r="K23" s="24"/>
      <c r="L23" s="24"/>
      <c r="M23" s="15"/>
      <c r="N23" s="28">
        <v>220489</v>
      </c>
      <c r="O23" s="28"/>
      <c r="P23" s="28"/>
      <c r="Q23" s="10"/>
      <c r="R23" s="11">
        <f t="shared" si="3"/>
        <v>0</v>
      </c>
      <c r="S23" s="16"/>
      <c r="T23" s="17">
        <v>0</v>
      </c>
      <c r="U23" s="17">
        <v>0</v>
      </c>
      <c r="V23" s="17">
        <v>0</v>
      </c>
      <c r="W23" s="44" t="s">
        <v>30</v>
      </c>
      <c r="X23" s="80">
        <v>18</v>
      </c>
      <c r="Y23" s="11">
        <f t="shared" si="4"/>
        <v>37</v>
      </c>
      <c r="Z23" s="11">
        <v>0</v>
      </c>
      <c r="AA23" s="11">
        <v>0</v>
      </c>
      <c r="AB23" s="11">
        <f t="shared" si="5"/>
        <v>0</v>
      </c>
      <c r="AC23" s="11">
        <f t="shared" si="6"/>
        <v>0</v>
      </c>
      <c r="AD23" s="11">
        <f t="shared" si="7"/>
        <v>0</v>
      </c>
      <c r="AE23" s="34"/>
      <c r="AF23" s="11">
        <f t="shared" si="8"/>
        <v>3</v>
      </c>
      <c r="AG23" s="11">
        <f t="shared" si="9"/>
        <v>2</v>
      </c>
      <c r="AH23" s="11">
        <f t="shared" si="10"/>
        <v>0</v>
      </c>
      <c r="AI23" s="11">
        <f t="shared" si="11"/>
        <v>0</v>
      </c>
      <c r="AJ23" s="34"/>
      <c r="AK23" s="11">
        <f t="shared" si="12"/>
        <v>33</v>
      </c>
      <c r="AL23" s="11">
        <f t="shared" si="13"/>
        <v>0</v>
      </c>
      <c r="AM23" s="11">
        <f t="shared" si="14"/>
        <v>0</v>
      </c>
      <c r="AN23" s="11">
        <f t="shared" si="15"/>
        <v>0</v>
      </c>
      <c r="AO23" s="35"/>
      <c r="AQ23" s="24">
        <v>8102</v>
      </c>
    </row>
    <row r="24" spans="1:43" x14ac:dyDescent="0.2">
      <c r="A24" s="80">
        <v>19</v>
      </c>
      <c r="B24" s="27">
        <v>643049</v>
      </c>
      <c r="C24" s="14"/>
      <c r="D24" s="14"/>
      <c r="E24" s="28"/>
      <c r="F24" s="18"/>
      <c r="G24" s="18"/>
      <c r="H24" s="15"/>
      <c r="I24" s="27">
        <v>19417</v>
      </c>
      <c r="J24" s="24">
        <v>1517</v>
      </c>
      <c r="K24" s="24"/>
      <c r="L24" s="24"/>
      <c r="M24" s="15"/>
      <c r="N24" s="28">
        <v>220610</v>
      </c>
      <c r="O24" s="28"/>
      <c r="P24" s="28"/>
      <c r="Q24" s="10"/>
      <c r="R24" s="11">
        <f t="shared" si="3"/>
        <v>0</v>
      </c>
      <c r="S24" s="16"/>
      <c r="T24" s="17">
        <v>0</v>
      </c>
      <c r="U24" s="17">
        <v>0</v>
      </c>
      <c r="V24" s="17">
        <v>0</v>
      </c>
      <c r="W24" s="44" t="s">
        <v>30</v>
      </c>
      <c r="X24" s="80">
        <v>19</v>
      </c>
      <c r="Y24" s="11">
        <f t="shared" si="4"/>
        <v>94</v>
      </c>
      <c r="Z24" s="11">
        <v>0</v>
      </c>
      <c r="AA24" s="11">
        <v>0</v>
      </c>
      <c r="AB24" s="11">
        <f t="shared" si="5"/>
        <v>0</v>
      </c>
      <c r="AC24" s="11">
        <f t="shared" si="6"/>
        <v>0</v>
      </c>
      <c r="AD24" s="11">
        <f t="shared" si="7"/>
        <v>0</v>
      </c>
      <c r="AE24" s="34"/>
      <c r="AF24" s="11">
        <f t="shared" si="8"/>
        <v>25</v>
      </c>
      <c r="AG24" s="11">
        <f t="shared" si="9"/>
        <v>3</v>
      </c>
      <c r="AH24" s="11">
        <f t="shared" si="10"/>
        <v>0</v>
      </c>
      <c r="AI24" s="11">
        <f t="shared" si="11"/>
        <v>0</v>
      </c>
      <c r="AJ24" s="34"/>
      <c r="AK24" s="11">
        <f t="shared" si="12"/>
        <v>121</v>
      </c>
      <c r="AL24" s="11">
        <f t="shared" si="13"/>
        <v>0</v>
      </c>
      <c r="AM24" s="11">
        <f t="shared" si="14"/>
        <v>0</v>
      </c>
      <c r="AN24" s="11">
        <f t="shared" si="15"/>
        <v>0</v>
      </c>
      <c r="AO24" s="35"/>
      <c r="AQ24" s="24">
        <v>8282</v>
      </c>
    </row>
    <row r="25" spans="1:43" x14ac:dyDescent="0.2">
      <c r="A25" s="80">
        <v>20</v>
      </c>
      <c r="B25" s="27">
        <v>643115</v>
      </c>
      <c r="C25" s="14"/>
      <c r="D25" s="14"/>
      <c r="E25" s="28"/>
      <c r="F25" s="18"/>
      <c r="G25" s="18"/>
      <c r="H25" s="15"/>
      <c r="I25" s="27">
        <v>19425</v>
      </c>
      <c r="J25" s="24">
        <v>1517</v>
      </c>
      <c r="K25" s="24"/>
      <c r="L25" s="24"/>
      <c r="M25" s="15"/>
      <c r="N25" s="28">
        <v>220716</v>
      </c>
      <c r="O25" s="28"/>
      <c r="P25" s="28"/>
      <c r="Q25" s="10"/>
      <c r="R25" s="11">
        <f t="shared" si="3"/>
        <v>0</v>
      </c>
      <c r="S25" s="16"/>
      <c r="T25" s="17">
        <v>0</v>
      </c>
      <c r="U25" s="17">
        <v>0</v>
      </c>
      <c r="V25" s="17">
        <v>0</v>
      </c>
      <c r="W25" s="44" t="s">
        <v>30</v>
      </c>
      <c r="X25" s="80">
        <v>20</v>
      </c>
      <c r="Y25" s="11">
        <f t="shared" si="4"/>
        <v>66</v>
      </c>
      <c r="Z25" s="11">
        <v>0</v>
      </c>
      <c r="AA25" s="11">
        <v>0</v>
      </c>
      <c r="AB25" s="11">
        <f t="shared" si="5"/>
        <v>0</v>
      </c>
      <c r="AC25" s="11">
        <f t="shared" si="6"/>
        <v>0</v>
      </c>
      <c r="AD25" s="11">
        <f t="shared" si="7"/>
        <v>0</v>
      </c>
      <c r="AE25" s="34"/>
      <c r="AF25" s="11">
        <f t="shared" si="8"/>
        <v>8</v>
      </c>
      <c r="AG25" s="11">
        <f t="shared" si="9"/>
        <v>0</v>
      </c>
      <c r="AH25" s="11">
        <f t="shared" si="10"/>
        <v>0</v>
      </c>
      <c r="AI25" s="11">
        <f t="shared" si="11"/>
        <v>0</v>
      </c>
      <c r="AJ25" s="34"/>
      <c r="AK25" s="11">
        <f t="shared" si="12"/>
        <v>106</v>
      </c>
      <c r="AL25" s="11">
        <f t="shared" si="13"/>
        <v>0</v>
      </c>
      <c r="AM25" s="11">
        <f t="shared" si="14"/>
        <v>0</v>
      </c>
      <c r="AN25" s="11">
        <f t="shared" si="15"/>
        <v>0</v>
      </c>
      <c r="AO25" s="35"/>
      <c r="AQ25" s="24">
        <v>8490</v>
      </c>
    </row>
    <row r="26" spans="1:43" x14ac:dyDescent="0.2">
      <c r="A26" s="80">
        <v>21</v>
      </c>
      <c r="B26" s="27">
        <v>643161</v>
      </c>
      <c r="C26" s="14"/>
      <c r="D26" s="14"/>
      <c r="E26" s="28"/>
      <c r="F26" s="18"/>
      <c r="G26" s="18"/>
      <c r="H26" s="15"/>
      <c r="I26" s="27">
        <v>19436</v>
      </c>
      <c r="J26" s="24">
        <v>1517</v>
      </c>
      <c r="K26" s="24"/>
      <c r="L26" s="24"/>
      <c r="M26" s="15"/>
      <c r="N26" s="28">
        <v>220825</v>
      </c>
      <c r="O26" s="28"/>
      <c r="P26" s="28"/>
      <c r="Q26" s="10"/>
      <c r="R26" s="11">
        <f t="shared" si="3"/>
        <v>0</v>
      </c>
      <c r="S26" s="16"/>
      <c r="T26" s="17">
        <v>0</v>
      </c>
      <c r="U26" s="17">
        <v>0</v>
      </c>
      <c r="V26" s="17">
        <v>0</v>
      </c>
      <c r="W26" s="44" t="s">
        <v>30</v>
      </c>
      <c r="X26" s="80">
        <v>21</v>
      </c>
      <c r="Y26" s="11">
        <f t="shared" si="4"/>
        <v>46</v>
      </c>
      <c r="Z26" s="11">
        <v>0</v>
      </c>
      <c r="AA26" s="11">
        <v>0</v>
      </c>
      <c r="AB26" s="11">
        <f t="shared" si="5"/>
        <v>0</v>
      </c>
      <c r="AC26" s="11">
        <f t="shared" si="6"/>
        <v>0</v>
      </c>
      <c r="AD26" s="11">
        <f t="shared" si="7"/>
        <v>0</v>
      </c>
      <c r="AE26" s="34"/>
      <c r="AF26" s="11">
        <f t="shared" si="8"/>
        <v>11</v>
      </c>
      <c r="AG26" s="11">
        <f t="shared" si="9"/>
        <v>0</v>
      </c>
      <c r="AH26" s="11">
        <f t="shared" si="10"/>
        <v>0</v>
      </c>
      <c r="AI26" s="11">
        <f t="shared" si="11"/>
        <v>0</v>
      </c>
      <c r="AJ26" s="34"/>
      <c r="AK26" s="11">
        <f t="shared" si="12"/>
        <v>109</v>
      </c>
      <c r="AL26" s="11">
        <f t="shared" si="13"/>
        <v>0</v>
      </c>
      <c r="AM26" s="11">
        <f t="shared" si="14"/>
        <v>0</v>
      </c>
      <c r="AN26" s="11">
        <f t="shared" si="15"/>
        <v>0</v>
      </c>
      <c r="AO26" s="35"/>
      <c r="AQ26" s="24">
        <v>8719</v>
      </c>
    </row>
    <row r="27" spans="1:43" x14ac:dyDescent="0.2">
      <c r="A27" s="80">
        <v>22</v>
      </c>
      <c r="B27" s="27">
        <v>643211</v>
      </c>
      <c r="C27" s="14"/>
      <c r="D27" s="14"/>
      <c r="E27" s="28"/>
      <c r="F27" s="18"/>
      <c r="G27" s="18"/>
      <c r="H27" s="15"/>
      <c r="I27" s="27">
        <v>19448</v>
      </c>
      <c r="J27" s="24">
        <v>1517</v>
      </c>
      <c r="K27" s="24"/>
      <c r="L27" s="24"/>
      <c r="M27" s="15"/>
      <c r="N27" s="28">
        <v>220925</v>
      </c>
      <c r="O27" s="28"/>
      <c r="P27" s="28"/>
      <c r="Q27" s="10"/>
      <c r="R27" s="11">
        <f t="shared" si="3"/>
        <v>0</v>
      </c>
      <c r="S27" s="16"/>
      <c r="T27" s="17">
        <v>0</v>
      </c>
      <c r="U27" s="17">
        <v>0</v>
      </c>
      <c r="V27" s="17">
        <v>0</v>
      </c>
      <c r="W27" s="44" t="s">
        <v>30</v>
      </c>
      <c r="X27" s="80">
        <v>22</v>
      </c>
      <c r="Y27" s="11">
        <f t="shared" si="4"/>
        <v>50</v>
      </c>
      <c r="Z27" s="11">
        <v>0</v>
      </c>
      <c r="AA27" s="11">
        <v>0</v>
      </c>
      <c r="AB27" s="11">
        <f t="shared" si="5"/>
        <v>0</v>
      </c>
      <c r="AC27" s="11">
        <f t="shared" si="6"/>
        <v>0</v>
      </c>
      <c r="AD27" s="11">
        <f t="shared" si="7"/>
        <v>0</v>
      </c>
      <c r="AE27" s="34"/>
      <c r="AF27" s="11">
        <f t="shared" si="8"/>
        <v>12</v>
      </c>
      <c r="AG27" s="11">
        <f t="shared" si="9"/>
        <v>0</v>
      </c>
      <c r="AH27" s="11">
        <f t="shared" si="10"/>
        <v>0</v>
      </c>
      <c r="AI27" s="11">
        <f t="shared" si="11"/>
        <v>0</v>
      </c>
      <c r="AJ27" s="34"/>
      <c r="AK27" s="11">
        <f t="shared" si="12"/>
        <v>100</v>
      </c>
      <c r="AL27" s="11">
        <f t="shared" si="13"/>
        <v>0</v>
      </c>
      <c r="AM27" s="11">
        <f t="shared" si="14"/>
        <v>0</v>
      </c>
      <c r="AN27" s="11">
        <f t="shared" si="15"/>
        <v>0</v>
      </c>
      <c r="AO27" s="35"/>
      <c r="AQ27" s="24">
        <v>8799</v>
      </c>
    </row>
    <row r="28" spans="1:43" x14ac:dyDescent="0.2">
      <c r="A28" s="80">
        <v>23</v>
      </c>
      <c r="B28" s="27">
        <v>643299</v>
      </c>
      <c r="C28" s="14"/>
      <c r="D28" s="14"/>
      <c r="E28" s="28"/>
      <c r="F28" s="18"/>
      <c r="G28" s="18"/>
      <c r="H28" s="15"/>
      <c r="I28" s="27">
        <v>19450</v>
      </c>
      <c r="J28" s="24">
        <v>1518</v>
      </c>
      <c r="K28" s="24"/>
      <c r="L28" s="24"/>
      <c r="M28" s="15"/>
      <c r="N28" s="28">
        <v>221038</v>
      </c>
      <c r="O28" s="28"/>
      <c r="P28" s="28"/>
      <c r="Q28" s="10"/>
      <c r="R28" s="11">
        <f t="shared" si="3"/>
        <v>0</v>
      </c>
      <c r="S28" s="16"/>
      <c r="T28" s="17">
        <v>0</v>
      </c>
      <c r="U28" s="17">
        <v>0</v>
      </c>
      <c r="V28" s="17">
        <v>0</v>
      </c>
      <c r="W28" s="44" t="s">
        <v>30</v>
      </c>
      <c r="X28" s="80">
        <v>23</v>
      </c>
      <c r="Y28" s="11">
        <f t="shared" si="4"/>
        <v>88</v>
      </c>
      <c r="Z28" s="11">
        <v>0</v>
      </c>
      <c r="AA28" s="11">
        <v>0</v>
      </c>
      <c r="AB28" s="11">
        <f t="shared" si="5"/>
        <v>0</v>
      </c>
      <c r="AC28" s="11">
        <f t="shared" si="6"/>
        <v>0</v>
      </c>
      <c r="AD28" s="11">
        <f t="shared" si="7"/>
        <v>0</v>
      </c>
      <c r="AE28" s="34"/>
      <c r="AF28" s="11">
        <f t="shared" si="8"/>
        <v>2</v>
      </c>
      <c r="AG28" s="11">
        <f t="shared" si="9"/>
        <v>1</v>
      </c>
      <c r="AH28" s="11">
        <f t="shared" si="10"/>
        <v>0</v>
      </c>
      <c r="AI28" s="11">
        <f t="shared" si="11"/>
        <v>0</v>
      </c>
      <c r="AJ28" s="34"/>
      <c r="AK28" s="11">
        <f t="shared" si="12"/>
        <v>113</v>
      </c>
      <c r="AL28" s="11">
        <f t="shared" si="13"/>
        <v>0</v>
      </c>
      <c r="AM28" s="11">
        <f t="shared" si="14"/>
        <v>0</v>
      </c>
      <c r="AN28" s="11">
        <f t="shared" si="15"/>
        <v>0</v>
      </c>
      <c r="AO28" s="35"/>
      <c r="AQ28" s="24">
        <v>8879</v>
      </c>
    </row>
    <row r="29" spans="1:43" x14ac:dyDescent="0.2">
      <c r="A29" s="80">
        <v>24</v>
      </c>
      <c r="B29" s="27">
        <v>643388</v>
      </c>
      <c r="C29" s="14"/>
      <c r="D29" s="14"/>
      <c r="E29" s="28"/>
      <c r="F29" s="18"/>
      <c r="G29" s="18"/>
      <c r="H29" s="15"/>
      <c r="I29" s="27">
        <v>19452</v>
      </c>
      <c r="J29" s="24">
        <v>1518</v>
      </c>
      <c r="K29" s="24"/>
      <c r="L29" s="24"/>
      <c r="M29" s="15"/>
      <c r="N29" s="28">
        <v>221060</v>
      </c>
      <c r="O29" s="28"/>
      <c r="P29" s="28"/>
      <c r="Q29" s="10"/>
      <c r="R29" s="11">
        <f t="shared" si="3"/>
        <v>0</v>
      </c>
      <c r="S29" s="16"/>
      <c r="T29" s="17">
        <v>0</v>
      </c>
      <c r="U29" s="17">
        <v>0</v>
      </c>
      <c r="V29" s="17">
        <v>0</v>
      </c>
      <c r="W29" s="44" t="s">
        <v>30</v>
      </c>
      <c r="X29" s="80">
        <v>24</v>
      </c>
      <c r="Y29" s="11">
        <f t="shared" si="4"/>
        <v>89</v>
      </c>
      <c r="Z29" s="11">
        <v>0</v>
      </c>
      <c r="AA29" s="11">
        <v>0</v>
      </c>
      <c r="AB29" s="11">
        <f t="shared" si="5"/>
        <v>0</v>
      </c>
      <c r="AC29" s="11">
        <f t="shared" si="6"/>
        <v>0</v>
      </c>
      <c r="AD29" s="11">
        <f t="shared" si="7"/>
        <v>0</v>
      </c>
      <c r="AE29" s="34"/>
      <c r="AF29" s="11">
        <f t="shared" si="8"/>
        <v>2</v>
      </c>
      <c r="AG29" s="11">
        <f t="shared" si="9"/>
        <v>0</v>
      </c>
      <c r="AH29" s="11">
        <f t="shared" si="10"/>
        <v>0</v>
      </c>
      <c r="AI29" s="11">
        <f t="shared" si="11"/>
        <v>0</v>
      </c>
      <c r="AJ29" s="34"/>
      <c r="AK29" s="11">
        <f t="shared" si="12"/>
        <v>22</v>
      </c>
      <c r="AL29" s="11">
        <f t="shared" si="13"/>
        <v>0</v>
      </c>
      <c r="AM29" s="11">
        <f t="shared" si="14"/>
        <v>0</v>
      </c>
      <c r="AN29" s="11">
        <f t="shared" si="15"/>
        <v>0</v>
      </c>
      <c r="AO29" s="35"/>
      <c r="AQ29" s="24">
        <v>8983</v>
      </c>
    </row>
    <row r="30" spans="1:43" x14ac:dyDescent="0.2">
      <c r="A30" s="80">
        <v>25</v>
      </c>
      <c r="B30" s="27">
        <v>643399</v>
      </c>
      <c r="C30" s="14"/>
      <c r="D30" s="14"/>
      <c r="E30" s="28"/>
      <c r="F30" s="18"/>
      <c r="G30" s="18"/>
      <c r="H30" s="15"/>
      <c r="I30" s="27">
        <v>19459</v>
      </c>
      <c r="J30" s="24">
        <v>1519</v>
      </c>
      <c r="K30" s="24"/>
      <c r="L30" s="24"/>
      <c r="M30" s="15"/>
      <c r="N30" s="28">
        <v>221090</v>
      </c>
      <c r="O30" s="28"/>
      <c r="P30" s="28"/>
      <c r="Q30" s="10"/>
      <c r="R30" s="11">
        <f t="shared" si="3"/>
        <v>0</v>
      </c>
      <c r="S30" s="16"/>
      <c r="T30" s="17">
        <v>0</v>
      </c>
      <c r="U30" s="17">
        <v>0</v>
      </c>
      <c r="V30" s="17">
        <v>0</v>
      </c>
      <c r="W30" s="44" t="s">
        <v>30</v>
      </c>
      <c r="X30" s="80">
        <v>25</v>
      </c>
      <c r="Y30" s="11">
        <f t="shared" si="4"/>
        <v>11</v>
      </c>
      <c r="Z30" s="11">
        <v>0</v>
      </c>
      <c r="AA30" s="11">
        <v>0</v>
      </c>
      <c r="AB30" s="11">
        <f t="shared" si="5"/>
        <v>0</v>
      </c>
      <c r="AC30" s="11">
        <f t="shared" si="6"/>
        <v>0</v>
      </c>
      <c r="AD30" s="11">
        <f t="shared" si="7"/>
        <v>0</v>
      </c>
      <c r="AE30" s="34"/>
      <c r="AF30" s="11">
        <f t="shared" si="8"/>
        <v>7</v>
      </c>
      <c r="AG30" s="11">
        <f t="shared" si="9"/>
        <v>1</v>
      </c>
      <c r="AH30" s="11">
        <f t="shared" si="10"/>
        <v>0</v>
      </c>
      <c r="AI30" s="11">
        <f t="shared" si="11"/>
        <v>0</v>
      </c>
      <c r="AJ30" s="34"/>
      <c r="AK30" s="11">
        <f t="shared" si="12"/>
        <v>30</v>
      </c>
      <c r="AL30" s="11">
        <f t="shared" si="13"/>
        <v>0</v>
      </c>
      <c r="AM30" s="11">
        <f t="shared" si="14"/>
        <v>0</v>
      </c>
      <c r="AN30" s="11">
        <f t="shared" si="15"/>
        <v>0</v>
      </c>
      <c r="AO30" s="35"/>
      <c r="AQ30" s="24">
        <v>9190</v>
      </c>
    </row>
    <row r="31" spans="1:43" x14ac:dyDescent="0.2">
      <c r="A31" s="80">
        <v>26</v>
      </c>
      <c r="B31" s="27">
        <v>643489</v>
      </c>
      <c r="C31" s="14"/>
      <c r="D31" s="14"/>
      <c r="E31" s="28"/>
      <c r="F31" s="18"/>
      <c r="G31" s="18"/>
      <c r="H31" s="15"/>
      <c r="I31" s="27">
        <v>19479</v>
      </c>
      <c r="J31" s="24">
        <v>1519</v>
      </c>
      <c r="K31" s="24"/>
      <c r="L31" s="24"/>
      <c r="M31" s="15"/>
      <c r="N31" s="28">
        <v>221310</v>
      </c>
      <c r="O31" s="28"/>
      <c r="P31" s="28"/>
      <c r="Q31" s="10"/>
      <c r="R31" s="11">
        <f t="shared" si="3"/>
        <v>0</v>
      </c>
      <c r="S31" s="16"/>
      <c r="T31" s="17">
        <v>0</v>
      </c>
      <c r="U31" s="17">
        <v>0</v>
      </c>
      <c r="V31" s="17">
        <v>0</v>
      </c>
      <c r="W31" s="44" t="s">
        <v>30</v>
      </c>
      <c r="X31" s="80">
        <v>26</v>
      </c>
      <c r="Y31" s="11">
        <f t="shared" si="4"/>
        <v>90</v>
      </c>
      <c r="Z31" s="11">
        <v>0</v>
      </c>
      <c r="AA31" s="11">
        <v>0</v>
      </c>
      <c r="AB31" s="11">
        <f t="shared" si="5"/>
        <v>0</v>
      </c>
      <c r="AC31" s="11">
        <f t="shared" si="6"/>
        <v>0</v>
      </c>
      <c r="AD31" s="11">
        <f t="shared" si="7"/>
        <v>0</v>
      </c>
      <c r="AE31" s="34"/>
      <c r="AF31" s="11">
        <f t="shared" si="8"/>
        <v>20</v>
      </c>
      <c r="AG31" s="11">
        <f t="shared" si="9"/>
        <v>0</v>
      </c>
      <c r="AH31" s="11">
        <f t="shared" si="10"/>
        <v>0</v>
      </c>
      <c r="AI31" s="11">
        <f t="shared" si="11"/>
        <v>0</v>
      </c>
      <c r="AJ31" s="34"/>
      <c r="AK31" s="11">
        <f t="shared" si="12"/>
        <v>220</v>
      </c>
      <c r="AL31" s="11">
        <f t="shared" si="13"/>
        <v>0</v>
      </c>
      <c r="AM31" s="11">
        <f t="shared" si="14"/>
        <v>0</v>
      </c>
      <c r="AN31" s="11">
        <f t="shared" si="15"/>
        <v>0</v>
      </c>
      <c r="AO31" s="35"/>
      <c r="AQ31" s="24">
        <v>9373</v>
      </c>
    </row>
    <row r="32" spans="1:43" x14ac:dyDescent="0.2">
      <c r="A32" s="80">
        <v>27</v>
      </c>
      <c r="B32" s="27">
        <v>643533</v>
      </c>
      <c r="C32" s="14"/>
      <c r="D32" s="14"/>
      <c r="E32" s="28"/>
      <c r="F32" s="18"/>
      <c r="G32" s="18"/>
      <c r="H32" s="15"/>
      <c r="I32" s="27">
        <v>19493</v>
      </c>
      <c r="J32" s="24">
        <v>1526</v>
      </c>
      <c r="K32" s="24"/>
      <c r="L32" s="24"/>
      <c r="M32" s="15"/>
      <c r="N32" s="28">
        <v>221375</v>
      </c>
      <c r="O32" s="28"/>
      <c r="P32" s="28"/>
      <c r="Q32" s="10"/>
      <c r="R32" s="11">
        <f t="shared" si="3"/>
        <v>0</v>
      </c>
      <c r="S32" s="16"/>
      <c r="T32" s="17">
        <v>0</v>
      </c>
      <c r="U32" s="17">
        <v>0</v>
      </c>
      <c r="V32" s="17">
        <v>0</v>
      </c>
      <c r="W32" s="44" t="s">
        <v>30</v>
      </c>
      <c r="X32" s="80">
        <v>27</v>
      </c>
      <c r="Y32" s="11">
        <f t="shared" si="4"/>
        <v>44</v>
      </c>
      <c r="Z32" s="11">
        <v>0</v>
      </c>
      <c r="AA32" s="11">
        <v>0</v>
      </c>
      <c r="AB32" s="11">
        <f t="shared" si="5"/>
        <v>0</v>
      </c>
      <c r="AC32" s="11">
        <f t="shared" si="6"/>
        <v>0</v>
      </c>
      <c r="AD32" s="11">
        <f t="shared" si="7"/>
        <v>0</v>
      </c>
      <c r="AE32" s="34"/>
      <c r="AF32" s="11">
        <f t="shared" si="8"/>
        <v>14</v>
      </c>
      <c r="AG32" s="11">
        <f t="shared" si="9"/>
        <v>7</v>
      </c>
      <c r="AH32" s="11">
        <f t="shared" si="10"/>
        <v>0</v>
      </c>
      <c r="AI32" s="11">
        <f t="shared" si="11"/>
        <v>0</v>
      </c>
      <c r="AJ32" s="34"/>
      <c r="AK32" s="11">
        <f t="shared" si="12"/>
        <v>65</v>
      </c>
      <c r="AL32" s="11">
        <f t="shared" si="13"/>
        <v>0</v>
      </c>
      <c r="AM32" s="11">
        <f t="shared" si="14"/>
        <v>0</v>
      </c>
      <c r="AN32" s="11">
        <f t="shared" si="15"/>
        <v>0</v>
      </c>
      <c r="AO32" s="35"/>
      <c r="AQ32" s="24">
        <v>9504</v>
      </c>
    </row>
    <row r="33" spans="1:43" x14ac:dyDescent="0.2">
      <c r="A33" s="80">
        <v>28</v>
      </c>
      <c r="B33" s="27">
        <v>643583</v>
      </c>
      <c r="C33" s="14"/>
      <c r="D33" s="14"/>
      <c r="E33" s="28"/>
      <c r="F33" s="18"/>
      <c r="G33" s="18"/>
      <c r="H33" s="15"/>
      <c r="I33" s="27">
        <v>19505</v>
      </c>
      <c r="J33" s="24">
        <v>1526</v>
      </c>
      <c r="K33" s="24"/>
      <c r="L33" s="24"/>
      <c r="M33" s="15"/>
      <c r="N33" s="28">
        <v>221460</v>
      </c>
      <c r="O33" s="28"/>
      <c r="P33" s="28"/>
      <c r="Q33" s="10"/>
      <c r="R33" s="11">
        <f t="shared" si="3"/>
        <v>0</v>
      </c>
      <c r="S33" s="16"/>
      <c r="T33" s="17">
        <v>0</v>
      </c>
      <c r="U33" s="17">
        <v>0</v>
      </c>
      <c r="V33" s="17">
        <v>0</v>
      </c>
      <c r="W33" s="44" t="s">
        <v>30</v>
      </c>
      <c r="X33" s="80">
        <v>28</v>
      </c>
      <c r="Y33" s="11">
        <f t="shared" si="4"/>
        <v>50</v>
      </c>
      <c r="Z33" s="11">
        <v>0</v>
      </c>
      <c r="AA33" s="11">
        <v>0</v>
      </c>
      <c r="AB33" s="11">
        <f t="shared" si="5"/>
        <v>0</v>
      </c>
      <c r="AC33" s="11">
        <f t="shared" si="6"/>
        <v>0</v>
      </c>
      <c r="AD33" s="11">
        <f t="shared" si="7"/>
        <v>0</v>
      </c>
      <c r="AE33" s="34"/>
      <c r="AF33" s="11">
        <f t="shared" si="8"/>
        <v>12</v>
      </c>
      <c r="AG33" s="11">
        <f t="shared" si="9"/>
        <v>0</v>
      </c>
      <c r="AH33" s="11">
        <f t="shared" si="10"/>
        <v>0</v>
      </c>
      <c r="AI33" s="11">
        <f t="shared" si="11"/>
        <v>0</v>
      </c>
      <c r="AJ33" s="34"/>
      <c r="AK33" s="11">
        <f t="shared" si="12"/>
        <v>85</v>
      </c>
      <c r="AL33" s="11">
        <f t="shared" si="13"/>
        <v>0</v>
      </c>
      <c r="AM33" s="11">
        <f t="shared" si="14"/>
        <v>0</v>
      </c>
      <c r="AN33" s="11">
        <f t="shared" si="15"/>
        <v>0</v>
      </c>
      <c r="AO33" s="35"/>
      <c r="AQ33" s="24">
        <v>9575</v>
      </c>
    </row>
    <row r="34" spans="1:43" x14ac:dyDescent="0.2">
      <c r="A34" s="80">
        <v>29</v>
      </c>
      <c r="B34" s="27">
        <v>643558</v>
      </c>
      <c r="C34" s="14"/>
      <c r="D34" s="14"/>
      <c r="E34" s="28"/>
      <c r="F34" s="18"/>
      <c r="G34" s="18"/>
      <c r="H34" s="15"/>
      <c r="I34" s="27">
        <v>19513</v>
      </c>
      <c r="J34" s="24">
        <v>1527</v>
      </c>
      <c r="K34" s="24"/>
      <c r="L34" s="24"/>
      <c r="M34" s="15"/>
      <c r="N34" s="28">
        <v>221568</v>
      </c>
      <c r="O34" s="28"/>
      <c r="P34" s="28"/>
      <c r="Q34" s="10"/>
      <c r="R34" s="11">
        <f t="shared" si="3"/>
        <v>0</v>
      </c>
      <c r="S34" s="16"/>
      <c r="T34" s="17">
        <v>0</v>
      </c>
      <c r="U34" s="17">
        <v>0</v>
      </c>
      <c r="V34" s="17">
        <v>0</v>
      </c>
      <c r="W34" s="44" t="s">
        <v>30</v>
      </c>
      <c r="X34" s="80">
        <v>29</v>
      </c>
      <c r="Y34" s="11">
        <f t="shared" si="4"/>
        <v>-25</v>
      </c>
      <c r="Z34" s="11">
        <v>0</v>
      </c>
      <c r="AA34" s="11">
        <v>0</v>
      </c>
      <c r="AB34" s="11">
        <f t="shared" si="5"/>
        <v>0</v>
      </c>
      <c r="AC34" s="11">
        <f t="shared" si="6"/>
        <v>0</v>
      </c>
      <c r="AD34" s="11">
        <f t="shared" si="7"/>
        <v>0</v>
      </c>
      <c r="AE34" s="34"/>
      <c r="AF34" s="11">
        <f t="shared" si="8"/>
        <v>8</v>
      </c>
      <c r="AG34" s="11">
        <f t="shared" si="9"/>
        <v>1</v>
      </c>
      <c r="AH34" s="11">
        <f t="shared" si="10"/>
        <v>0</v>
      </c>
      <c r="AI34" s="11">
        <f>L34-L33</f>
        <v>0</v>
      </c>
      <c r="AJ34" s="34"/>
      <c r="AK34" s="11">
        <f t="shared" si="12"/>
        <v>108</v>
      </c>
      <c r="AL34" s="11">
        <f t="shared" si="13"/>
        <v>0</v>
      </c>
      <c r="AM34" s="11">
        <f t="shared" si="14"/>
        <v>0</v>
      </c>
      <c r="AN34" s="11">
        <f t="shared" si="15"/>
        <v>0</v>
      </c>
      <c r="AO34" s="35"/>
      <c r="AQ34" s="24">
        <v>9773</v>
      </c>
    </row>
    <row r="35" spans="1:43" x14ac:dyDescent="0.2">
      <c r="A35" s="80">
        <v>30</v>
      </c>
      <c r="B35" s="27">
        <v>643668</v>
      </c>
      <c r="C35" s="14"/>
      <c r="D35" s="14"/>
      <c r="E35" s="28"/>
      <c r="F35" s="18"/>
      <c r="G35" s="18"/>
      <c r="H35" s="15"/>
      <c r="I35" s="27">
        <v>19524</v>
      </c>
      <c r="J35" s="24">
        <v>1529</v>
      </c>
      <c r="K35" s="24"/>
      <c r="L35" s="24"/>
      <c r="M35" s="15"/>
      <c r="N35" s="28">
        <v>221660</v>
      </c>
      <c r="O35" s="28"/>
      <c r="P35" s="28"/>
      <c r="Q35" s="10"/>
      <c r="R35" s="11">
        <f t="shared" si="3"/>
        <v>0</v>
      </c>
      <c r="S35" s="16"/>
      <c r="T35" s="17">
        <v>0</v>
      </c>
      <c r="U35" s="17">
        <v>0</v>
      </c>
      <c r="V35" s="17">
        <v>0</v>
      </c>
      <c r="W35" s="44" t="s">
        <v>30</v>
      </c>
      <c r="X35" s="80">
        <v>30</v>
      </c>
      <c r="Y35" s="11">
        <f t="shared" si="4"/>
        <v>110</v>
      </c>
      <c r="Z35" s="11">
        <v>0</v>
      </c>
      <c r="AA35" s="11">
        <v>0</v>
      </c>
      <c r="AB35" s="11">
        <f t="shared" si="5"/>
        <v>0</v>
      </c>
      <c r="AC35" s="11">
        <f t="shared" si="6"/>
        <v>0</v>
      </c>
      <c r="AD35" s="11">
        <f t="shared" si="7"/>
        <v>0</v>
      </c>
      <c r="AE35" s="34"/>
      <c r="AF35" s="11">
        <f t="shared" si="8"/>
        <v>11</v>
      </c>
      <c r="AG35" s="11">
        <f t="shared" si="9"/>
        <v>2</v>
      </c>
      <c r="AH35" s="11">
        <f t="shared" si="10"/>
        <v>0</v>
      </c>
      <c r="AI35" s="11">
        <f t="shared" si="11"/>
        <v>0</v>
      </c>
      <c r="AJ35" s="34"/>
      <c r="AK35" s="11">
        <f t="shared" si="12"/>
        <v>92</v>
      </c>
      <c r="AL35" s="11">
        <f t="shared" si="13"/>
        <v>0</v>
      </c>
      <c r="AM35" s="11">
        <f t="shared" si="14"/>
        <v>0</v>
      </c>
      <c r="AN35" s="11">
        <f t="shared" si="15"/>
        <v>0</v>
      </c>
      <c r="AO35" s="35"/>
      <c r="AQ35" s="24">
        <v>9953</v>
      </c>
    </row>
    <row r="36" spans="1:43" x14ac:dyDescent="0.2">
      <c r="A36" s="80">
        <v>31</v>
      </c>
      <c r="B36" s="27">
        <v>643734</v>
      </c>
      <c r="C36" s="14"/>
      <c r="D36" s="14"/>
      <c r="E36" s="28"/>
      <c r="F36" s="18"/>
      <c r="G36" s="18"/>
      <c r="H36" s="15"/>
      <c r="I36" s="27">
        <v>19525</v>
      </c>
      <c r="J36" s="24">
        <v>1530</v>
      </c>
      <c r="K36" s="24"/>
      <c r="L36" s="24"/>
      <c r="M36" s="15"/>
      <c r="N36" s="28">
        <v>221799</v>
      </c>
      <c r="O36" s="28"/>
      <c r="P36" s="28"/>
      <c r="Q36" s="10"/>
      <c r="R36" s="11">
        <f t="shared" si="3"/>
        <v>0</v>
      </c>
      <c r="S36" s="16"/>
      <c r="T36" s="17">
        <v>0</v>
      </c>
      <c r="U36" s="17">
        <v>0</v>
      </c>
      <c r="V36" s="17">
        <v>0</v>
      </c>
      <c r="W36" s="44" t="s">
        <v>30</v>
      </c>
      <c r="X36" s="80">
        <v>31</v>
      </c>
      <c r="Y36" s="11">
        <f t="shared" si="4"/>
        <v>66</v>
      </c>
      <c r="Z36" s="11">
        <v>0</v>
      </c>
      <c r="AA36" s="11">
        <v>0</v>
      </c>
      <c r="AB36" s="11">
        <f t="shared" si="5"/>
        <v>0</v>
      </c>
      <c r="AC36" s="11">
        <f t="shared" si="6"/>
        <v>0</v>
      </c>
      <c r="AD36" s="11">
        <f t="shared" si="7"/>
        <v>0</v>
      </c>
      <c r="AE36" s="34"/>
      <c r="AF36" s="11">
        <f t="shared" si="8"/>
        <v>1</v>
      </c>
      <c r="AG36" s="11">
        <f t="shared" si="9"/>
        <v>1</v>
      </c>
      <c r="AH36" s="11">
        <f t="shared" si="10"/>
        <v>0</v>
      </c>
      <c r="AI36" s="11">
        <f t="shared" si="11"/>
        <v>0</v>
      </c>
      <c r="AJ36" s="34"/>
      <c r="AK36" s="11">
        <f t="shared" si="12"/>
        <v>139</v>
      </c>
      <c r="AL36" s="11">
        <f t="shared" si="13"/>
        <v>0</v>
      </c>
      <c r="AM36" s="11">
        <f t="shared" si="14"/>
        <v>0</v>
      </c>
      <c r="AN36" s="11">
        <f t="shared" si="15"/>
        <v>0</v>
      </c>
      <c r="AO36" s="36"/>
      <c r="AQ36" s="24">
        <v>10273</v>
      </c>
    </row>
    <row r="37" spans="1:43" x14ac:dyDescent="0.2">
      <c r="B37" s="19"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3" x14ac:dyDescent="0.2">
      <c r="A39" s="80" t="s">
        <v>34</v>
      </c>
      <c r="B39" s="10">
        <f t="shared" ref="B39:G39" si="16">LARGE(B5:B36, 1)</f>
        <v>643734</v>
      </c>
      <c r="C39" s="11">
        <f t="shared" si="16"/>
        <v>0</v>
      </c>
      <c r="D39" s="11">
        <f t="shared" si="16"/>
        <v>0</v>
      </c>
      <c r="E39" s="22">
        <f t="shared" si="16"/>
        <v>973328</v>
      </c>
      <c r="F39" s="10">
        <f t="shared" si="16"/>
        <v>78080</v>
      </c>
      <c r="G39" s="10">
        <f t="shared" si="16"/>
        <v>21830</v>
      </c>
      <c r="H39" s="23"/>
      <c r="I39" s="10">
        <f>LARGE(I5:I36, 1)</f>
        <v>19525</v>
      </c>
      <c r="J39" s="24">
        <f>LARGE(J5:J36, 1)</f>
        <v>1530</v>
      </c>
      <c r="K39" s="24">
        <f>LARGE(K5:K36, 1)</f>
        <v>25201</v>
      </c>
      <c r="L39" s="24">
        <f>LARGE(L5:L36, 1)</f>
        <v>114</v>
      </c>
      <c r="M39" s="8"/>
      <c r="N39" s="22">
        <f>LARGE(N5:N36, 1)</f>
        <v>221799</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7">AVERAGEIF($W$6:$W$36, "x",Y6:Y36)</f>
        <v>78.903225806451616</v>
      </c>
      <c r="Z39" s="55">
        <f t="shared" si="17"/>
        <v>0</v>
      </c>
      <c r="AA39" s="55">
        <f t="shared" si="17"/>
        <v>0</v>
      </c>
      <c r="AB39" s="55">
        <f t="shared" si="17"/>
        <v>-31397.677419354837</v>
      </c>
      <c r="AC39" s="55">
        <f t="shared" si="17"/>
        <v>-2518.7096774193546</v>
      </c>
      <c r="AD39" s="55">
        <f t="shared" si="17"/>
        <v>-704.19354838709683</v>
      </c>
      <c r="AE39" s="56"/>
      <c r="AF39" s="55">
        <f>AVERAGEIF($W$6:$W$36, "x",AF6:AF36)</f>
        <v>11.67741935483871</v>
      </c>
      <c r="AG39" s="55">
        <f>AVERAGEIF($W$6:$W$36, "x",AG6:AG36)</f>
        <v>1.8064516129032258</v>
      </c>
      <c r="AH39" s="55">
        <f>AVERAGEIF($W$6:$W$36, "x",AH6:AH36)</f>
        <v>-812.93548387096769</v>
      </c>
      <c r="AI39" s="55">
        <f>AVERAGEIF($W$6:$W$36, "x",AI6:AI36)</f>
        <v>-3.6774193548387095</v>
      </c>
      <c r="AJ39" s="56"/>
      <c r="AK39" s="55">
        <f>AVERAGEIF($W$6:$W$36, "x",AK6:AK36)</f>
        <v>95.774193548387103</v>
      </c>
      <c r="AL39" s="55">
        <f>AVERAGEIF($W$6:$W$36, "x",AL6:AL36)</f>
        <v>-13284.032258064517</v>
      </c>
      <c r="AM39" s="55">
        <f>AVERAGEIF($W$6:$W$36, "x",AM6:AM36)</f>
        <v>-18857.483870967742</v>
      </c>
      <c r="AN39" s="55">
        <f>AVERAGEIF($W$6:$W$36, "x",AN6:AN36)</f>
        <v>-693.22580645161293</v>
      </c>
    </row>
    <row r="40" spans="1:43" x14ac:dyDescent="0.2">
      <c r="Y40" s="56"/>
      <c r="Z40" s="56"/>
      <c r="AA40" s="56"/>
      <c r="AB40" s="56"/>
      <c r="AC40" s="56"/>
      <c r="AD40" s="56"/>
      <c r="AE40" s="56"/>
      <c r="AF40" s="56"/>
      <c r="AG40" s="56"/>
      <c r="AH40" s="56"/>
      <c r="AI40" s="56"/>
      <c r="AJ40" s="56"/>
      <c r="AK40" s="56"/>
      <c r="AL40" s="56"/>
      <c r="AM40" s="56"/>
      <c r="AN40" s="56"/>
    </row>
    <row r="41" spans="1:43" x14ac:dyDescent="0.2">
      <c r="B41" s="25" t="s">
        <v>36</v>
      </c>
      <c r="X41" s="95" t="s">
        <v>37</v>
      </c>
      <c r="Y41" s="56"/>
      <c r="Z41" s="56"/>
      <c r="AA41" s="56"/>
      <c r="AB41" s="56"/>
      <c r="AC41" s="56"/>
      <c r="AD41" s="56"/>
      <c r="AE41" s="56"/>
      <c r="AF41" s="56"/>
      <c r="AG41" s="56"/>
      <c r="AH41" s="56"/>
      <c r="AI41" s="56"/>
      <c r="AJ41" s="56"/>
      <c r="AK41" s="56"/>
      <c r="AL41" s="56"/>
      <c r="AM41" s="56"/>
      <c r="AN41" s="56"/>
    </row>
    <row r="42" spans="1:43" x14ac:dyDescent="0.2">
      <c r="B42" s="26">
        <f>B39-B5</f>
        <v>2446</v>
      </c>
      <c r="C42" s="26">
        <f t="shared" ref="C42:V42" si="18">C39-C5</f>
        <v>0</v>
      </c>
      <c r="D42" s="26">
        <f t="shared" si="18"/>
        <v>0</v>
      </c>
      <c r="E42" s="26">
        <f t="shared" si="18"/>
        <v>0</v>
      </c>
      <c r="F42" s="26">
        <f t="shared" si="18"/>
        <v>0</v>
      </c>
      <c r="G42" s="26">
        <f t="shared" si="18"/>
        <v>0</v>
      </c>
      <c r="I42" s="26">
        <f t="shared" si="18"/>
        <v>362</v>
      </c>
      <c r="J42" s="26">
        <f t="shared" si="18"/>
        <v>56</v>
      </c>
      <c r="K42" s="26">
        <f t="shared" si="18"/>
        <v>0</v>
      </c>
      <c r="L42" s="26">
        <f t="shared" si="18"/>
        <v>0</v>
      </c>
      <c r="N42" s="26">
        <f t="shared" si="18"/>
        <v>2969</v>
      </c>
      <c r="O42" s="26">
        <f t="shared" si="18"/>
        <v>631</v>
      </c>
      <c r="P42" s="26">
        <f t="shared" si="18"/>
        <v>94</v>
      </c>
      <c r="Q42" s="26">
        <f t="shared" si="18"/>
        <v>457</v>
      </c>
      <c r="R42" s="26"/>
      <c r="T42" s="26">
        <f t="shared" si="18"/>
        <v>0</v>
      </c>
      <c r="U42" s="26">
        <f t="shared" si="18"/>
        <v>0</v>
      </c>
      <c r="V42" s="26">
        <f t="shared" si="18"/>
        <v>0</v>
      </c>
      <c r="X42" s="96"/>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3" x14ac:dyDescent="0.2">
      <c r="X43" s="80">
        <v>1.5</v>
      </c>
      <c r="Y43" s="54">
        <f>Y42*$X$43</f>
        <v>53.225806451612904</v>
      </c>
      <c r="Z43" s="54">
        <f t="shared" ref="Z43:AD43" si="19">Z42*$X$43</f>
        <v>0</v>
      </c>
      <c r="AA43" s="54">
        <f t="shared" si="19"/>
        <v>0</v>
      </c>
      <c r="AB43" s="54">
        <f t="shared" si="19"/>
        <v>0</v>
      </c>
      <c r="AC43" s="54">
        <f t="shared" si="19"/>
        <v>0</v>
      </c>
      <c r="AD43" s="54">
        <f t="shared" si="19"/>
        <v>0</v>
      </c>
      <c r="AE43" s="56"/>
      <c r="AF43" s="54">
        <f t="shared" ref="AF43:AI43" si="20">AF42*$X$43</f>
        <v>18.338709677419356</v>
      </c>
      <c r="AG43" s="54">
        <f t="shared" si="20"/>
        <v>2.7096774193548385</v>
      </c>
      <c r="AH43" s="54">
        <f t="shared" si="20"/>
        <v>0</v>
      </c>
      <c r="AI43" s="54">
        <f t="shared" si="20"/>
        <v>0</v>
      </c>
      <c r="AJ43" s="56"/>
      <c r="AK43" s="54">
        <f t="shared" ref="AK43:AN43" si="21">AK42*$X$43</f>
        <v>114.67741935483872</v>
      </c>
      <c r="AL43" s="54">
        <f t="shared" si="21"/>
        <v>0</v>
      </c>
      <c r="AM43" s="54">
        <f t="shared" si="21"/>
        <v>0</v>
      </c>
      <c r="AN43" s="54">
        <f t="shared" si="21"/>
        <v>0</v>
      </c>
    </row>
    <row r="44" spans="1:43" x14ac:dyDescent="0.2">
      <c r="B44" s="38"/>
      <c r="R44" s="31" t="s">
        <v>35</v>
      </c>
      <c r="X44" s="80">
        <v>0.5</v>
      </c>
      <c r="Y44" s="54">
        <f>Y42*$X$44</f>
        <v>17.741935483870968</v>
      </c>
      <c r="Z44" s="54">
        <f t="shared" ref="Z44:AD44" si="22">Z42*$X$44</f>
        <v>0</v>
      </c>
      <c r="AA44" s="54">
        <f t="shared" si="22"/>
        <v>0</v>
      </c>
      <c r="AB44" s="54">
        <f t="shared" si="22"/>
        <v>0</v>
      </c>
      <c r="AC44" s="54">
        <f t="shared" si="22"/>
        <v>0</v>
      </c>
      <c r="AD44" s="54">
        <f t="shared" si="22"/>
        <v>0</v>
      </c>
      <c r="AE44" s="56"/>
      <c r="AF44" s="54">
        <f t="shared" ref="AF44:AI44" si="23">AF42*$X$44</f>
        <v>6.112903225806452</v>
      </c>
      <c r="AG44" s="54">
        <f t="shared" si="23"/>
        <v>0.90322580645161288</v>
      </c>
      <c r="AH44" s="54">
        <f t="shared" si="23"/>
        <v>0</v>
      </c>
      <c r="AI44" s="54">
        <f t="shared" si="23"/>
        <v>0</v>
      </c>
      <c r="AJ44" s="56"/>
      <c r="AK44" s="54">
        <f t="shared" ref="AK44:AN44" si="24">AK42*$X$44</f>
        <v>38.225806451612904</v>
      </c>
      <c r="AL44" s="54">
        <f t="shared" si="24"/>
        <v>0</v>
      </c>
      <c r="AM44" s="54">
        <f t="shared" si="24"/>
        <v>0</v>
      </c>
      <c r="AN44" s="54">
        <f t="shared" si="24"/>
        <v>0</v>
      </c>
    </row>
    <row r="45" spans="1:43" x14ac:dyDescent="0.2">
      <c r="R45" s="11">
        <f>AVERAGE(R6:R36)</f>
        <v>-693.22580645161293</v>
      </c>
    </row>
    <row r="46" spans="1:43" ht="32.1" customHeight="1" x14ac:dyDescent="0.2">
      <c r="Y46" s="58" t="s">
        <v>38</v>
      </c>
      <c r="Z46" s="82" t="s">
        <v>39</v>
      </c>
      <c r="AA46" s="82"/>
      <c r="AB46" s="82"/>
      <c r="AC46" s="82"/>
      <c r="AD46" s="82"/>
      <c r="AE46" s="82"/>
      <c r="AF46" s="82"/>
      <c r="AG46" s="82"/>
      <c r="AH46" s="82"/>
      <c r="AI46" s="82"/>
      <c r="AJ46" s="82"/>
      <c r="AK46" s="82"/>
      <c r="AL46" s="82"/>
      <c r="AM46" s="82"/>
      <c r="AN46" s="82"/>
    </row>
    <row r="47" spans="1:43" ht="32.1" customHeight="1" x14ac:dyDescent="0.2">
      <c r="Y47" s="59" t="s">
        <v>40</v>
      </c>
      <c r="Z47" s="82" t="s">
        <v>41</v>
      </c>
      <c r="AA47" s="82"/>
      <c r="AB47" s="82"/>
      <c r="AC47" s="82"/>
      <c r="AD47" s="82"/>
      <c r="AE47" s="82"/>
      <c r="AF47" s="82"/>
      <c r="AG47" s="82"/>
      <c r="AH47" s="82"/>
      <c r="AI47" s="82"/>
      <c r="AJ47" s="82"/>
      <c r="AK47" s="82"/>
      <c r="AL47" s="82"/>
      <c r="AM47" s="82"/>
      <c r="AN47" s="82"/>
    </row>
    <row r="48" spans="1:43"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-693.22580645161293</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815" priority="193" operator="lessThan">
      <formula>0</formula>
    </cfRule>
  </conditionalFormatting>
  <conditionalFormatting sqref="Y43:AD44 AF43:AI44 AK43:AN44">
    <cfRule type="cellIs" dxfId="814" priority="192" operator="lessThan">
      <formula>0</formula>
    </cfRule>
  </conditionalFormatting>
  <conditionalFormatting sqref="Y39:AN39">
    <cfRule type="cellIs" dxfId="813" priority="52" operator="lessThan">
      <formula>0</formula>
    </cfRule>
  </conditionalFormatting>
  <conditionalFormatting sqref="Y39">
    <cfRule type="cellIs" dxfId="812" priority="50" operator="lessThan">
      <formula>$Y$44</formula>
    </cfRule>
    <cfRule type="cellIs" dxfId="811" priority="51" operator="greaterThan">
      <formula>$Y$43</formula>
    </cfRule>
  </conditionalFormatting>
  <conditionalFormatting sqref="AB39">
    <cfRule type="cellIs" dxfId="810" priority="48" operator="lessThan">
      <formula>$AB$44</formula>
    </cfRule>
    <cfRule type="cellIs" dxfId="809" priority="49" operator="greaterThan">
      <formula>$AB$43</formula>
    </cfRule>
  </conditionalFormatting>
  <conditionalFormatting sqref="AC39">
    <cfRule type="cellIs" dxfId="808" priority="46" operator="lessThan">
      <formula>$AC$44</formula>
    </cfRule>
    <cfRule type="cellIs" dxfId="807" priority="47" operator="greaterThan">
      <formula>$AC$43</formula>
    </cfRule>
  </conditionalFormatting>
  <conditionalFormatting sqref="AD39">
    <cfRule type="cellIs" dxfId="806" priority="44" operator="lessThan">
      <formula>$AD$44</formula>
    </cfRule>
    <cfRule type="cellIs" dxfId="805" priority="45" operator="greaterThan">
      <formula>$AD$43</formula>
    </cfRule>
  </conditionalFormatting>
  <conditionalFormatting sqref="AF39">
    <cfRule type="cellIs" dxfId="804" priority="42" operator="lessThan">
      <formula>$AF$44</formula>
    </cfRule>
    <cfRule type="cellIs" dxfId="803" priority="43" operator="greaterThan">
      <formula>$AF$43</formula>
    </cfRule>
  </conditionalFormatting>
  <conditionalFormatting sqref="AG39">
    <cfRule type="cellIs" dxfId="802" priority="40" operator="lessThan">
      <formula>$AG$44</formula>
    </cfRule>
    <cfRule type="cellIs" dxfId="801" priority="41" operator="greaterThan">
      <formula>$AG$43</formula>
    </cfRule>
  </conditionalFormatting>
  <conditionalFormatting sqref="AH39">
    <cfRule type="cellIs" dxfId="800" priority="38" operator="lessThan">
      <formula>$AH$44</formula>
    </cfRule>
    <cfRule type="cellIs" dxfId="799" priority="39" operator="greaterThan">
      <formula>$AH$43</formula>
    </cfRule>
  </conditionalFormatting>
  <conditionalFormatting sqref="AI39">
    <cfRule type="cellIs" dxfId="798" priority="36" operator="lessThan">
      <formula>$AI$44</formula>
    </cfRule>
    <cfRule type="cellIs" dxfId="797" priority="37" operator="greaterThan">
      <formula>$AI$43</formula>
    </cfRule>
  </conditionalFormatting>
  <conditionalFormatting sqref="AK39">
    <cfRule type="cellIs" dxfId="796" priority="34" operator="lessThan">
      <formula>$AK$44</formula>
    </cfRule>
    <cfRule type="cellIs" dxfId="795" priority="35" operator="greaterThan">
      <formula>$AK$43</formula>
    </cfRule>
  </conditionalFormatting>
  <conditionalFormatting sqref="AL39">
    <cfRule type="cellIs" dxfId="794" priority="32" operator="lessThan">
      <formula>$AL$44</formula>
    </cfRule>
    <cfRule type="cellIs" dxfId="793" priority="33" operator="greaterThan">
      <formula>$AL$43</formula>
    </cfRule>
  </conditionalFormatting>
  <conditionalFormatting sqref="AM39">
    <cfRule type="cellIs" dxfId="792" priority="30" operator="lessThan">
      <formula>$AM$44</formula>
    </cfRule>
    <cfRule type="cellIs" dxfId="791" priority="31" operator="greaterThan">
      <formula>$AM$43</formula>
    </cfRule>
  </conditionalFormatting>
  <conditionalFormatting sqref="AN39">
    <cfRule type="cellIs" dxfId="790" priority="28" operator="lessThan">
      <formula>$AN$44</formula>
    </cfRule>
    <cfRule type="cellIs" dxfId="789" priority="29" operator="greaterThan">
      <formula>$AN$43</formula>
    </cfRule>
  </conditionalFormatting>
  <conditionalFormatting sqref="AB6:AB36">
    <cfRule type="cellIs" dxfId="788" priority="27" operator="notBetween">
      <formula>$AB$44</formula>
      <formula>$AB$43</formula>
    </cfRule>
  </conditionalFormatting>
  <conditionalFormatting sqref="AC6:AC36">
    <cfRule type="cellIs" dxfId="787" priority="16" operator="notBetween">
      <formula>$AC$43</formula>
      <formula>$AC$44</formula>
    </cfRule>
  </conditionalFormatting>
  <conditionalFormatting sqref="Y6:AN36">
    <cfRule type="cellIs" dxfId="786" priority="2" stopIfTrue="1" operator="equal">
      <formula>0</formula>
    </cfRule>
    <cfRule type="cellIs" dxfId="785" priority="3" stopIfTrue="1" operator="lessThan">
      <formula>0</formula>
    </cfRule>
  </conditionalFormatting>
  <conditionalFormatting sqref="Y6:Y36">
    <cfRule type="cellIs" dxfId="784" priority="25" operator="notBetween">
      <formula>$Y$44</formula>
      <formula>$Y$43</formula>
    </cfRule>
  </conditionalFormatting>
  <conditionalFormatting sqref="AD6:AD36">
    <cfRule type="cellIs" dxfId="783" priority="17" operator="notBetween">
      <formula>$AD$44</formula>
      <formula>$AD$43</formula>
    </cfRule>
  </conditionalFormatting>
  <conditionalFormatting sqref="AF6:AF36">
    <cfRule type="cellIs" dxfId="782" priority="18" operator="notBetween">
      <formula>$AF$44</formula>
      <formula>$AF$43</formula>
    </cfRule>
  </conditionalFormatting>
  <conditionalFormatting sqref="AG6:AG36">
    <cfRule type="cellIs" dxfId="781" priority="19" operator="notBetween">
      <formula>$AG$44</formula>
      <formula>$AG$43</formula>
    </cfRule>
  </conditionalFormatting>
  <conditionalFormatting sqref="AH6:AH36">
    <cfRule type="cellIs" dxfId="780" priority="20" operator="notBetween">
      <formula>$AH$44</formula>
      <formula>$AH$43</formula>
    </cfRule>
  </conditionalFormatting>
  <conditionalFormatting sqref="AI6:AI36">
    <cfRule type="cellIs" dxfId="779" priority="21" operator="notBetween">
      <formula>$AI$44</formula>
      <formula>$AI$43</formula>
    </cfRule>
  </conditionalFormatting>
  <conditionalFormatting sqref="AK6:AK36">
    <cfRule type="cellIs" dxfId="778" priority="22" operator="notBetween">
      <formula>$AK$44</formula>
      <formula>$AK$43</formula>
    </cfRule>
  </conditionalFormatting>
  <conditionalFormatting sqref="AL6:AL36">
    <cfRule type="cellIs" dxfId="777" priority="23" operator="notBetween">
      <formula>$AL$44</formula>
      <formula>$AL$43</formula>
    </cfRule>
  </conditionalFormatting>
  <conditionalFormatting sqref="AM6:AM36">
    <cfRule type="cellIs" dxfId="776" priority="26" operator="notBetween">
      <formula>$AM$44</formula>
      <formula>$AM$43</formula>
    </cfRule>
  </conditionalFormatting>
  <conditionalFormatting sqref="AN6:AN36">
    <cfRule type="cellIs" dxfId="775" priority="24" operator="notBetween">
      <formula>$AN$44</formula>
      <formula>$AN$43</formula>
    </cfRule>
  </conditionalFormatting>
  <conditionalFormatting sqref="AG6:AG39">
    <cfRule type="cellIs" dxfId="774" priority="13" stopIfTrue="1" operator="greaterThan">
      <formula>$AG$43*2</formula>
    </cfRule>
  </conditionalFormatting>
  <conditionalFormatting sqref="Y6:Y39">
    <cfRule type="cellIs" dxfId="773" priority="15" stopIfTrue="1" operator="greaterThan">
      <formula>$Y$43*2</formula>
    </cfRule>
  </conditionalFormatting>
  <conditionalFormatting sqref="AB6:AB39">
    <cfRule type="cellIs" dxfId="772" priority="14" stopIfTrue="1" operator="greaterThan">
      <formula>$AB$43*2</formula>
    </cfRule>
  </conditionalFormatting>
  <conditionalFormatting sqref="AC6:AC39">
    <cfRule type="cellIs" dxfId="771" priority="4" stopIfTrue="1" operator="greaterThan">
      <formula>$AC$43*2</formula>
    </cfRule>
  </conditionalFormatting>
  <conditionalFormatting sqref="AD6:AD39">
    <cfRule type="cellIs" dxfId="770" priority="5" stopIfTrue="1" operator="greaterThan">
      <formula>$AD$43*2</formula>
    </cfRule>
  </conditionalFormatting>
  <conditionalFormatting sqref="AF6:AF39">
    <cfRule type="cellIs" dxfId="769" priority="6" stopIfTrue="1" operator="greaterThan">
      <formula>$AF$43*2</formula>
    </cfRule>
  </conditionalFormatting>
  <conditionalFormatting sqref="AH6:AH39">
    <cfRule type="cellIs" dxfId="768" priority="7" stopIfTrue="1" operator="greaterThan">
      <formula>$AH$43*2</formula>
    </cfRule>
  </conditionalFormatting>
  <conditionalFormatting sqref="AI6:AI39">
    <cfRule type="cellIs" dxfId="767" priority="8" stopIfTrue="1" operator="greaterThan">
      <formula>$AI$43*2</formula>
    </cfRule>
  </conditionalFormatting>
  <conditionalFormatting sqref="AK6:AK39">
    <cfRule type="cellIs" dxfId="766" priority="10" stopIfTrue="1" operator="greaterThan">
      <formula>$AK$43*2</formula>
    </cfRule>
  </conditionalFormatting>
  <conditionalFormatting sqref="AL6:AL39">
    <cfRule type="cellIs" dxfId="765" priority="9" stopIfTrue="1" operator="greaterThan">
      <formula>$AL$43*2</formula>
    </cfRule>
  </conditionalFormatting>
  <conditionalFormatting sqref="AM6:AM39">
    <cfRule type="cellIs" dxfId="764" priority="11" stopIfTrue="1" operator="greaterThan">
      <formula>$AM$43*2</formula>
    </cfRule>
  </conditionalFormatting>
  <conditionalFormatting sqref="AN6:AN39">
    <cfRule type="cellIs" dxfId="763"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horizontalDpi="4294967295" verticalDpi="4294967295" r:id="rId1"/>
  <headerFooter alignWithMargins="0">
    <oddHeader>&amp;CJanuary 2019 Meter Reading</oddHead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51"/>
  <sheetViews>
    <sheetView zoomScaleNormal="100" workbookViewId="0">
      <pane ySplit="3" topLeftCell="A4" activePane="bottomLeft" state="frozen"/>
      <selection pane="bottomLeft" activeCell="A4" sqref="A4:V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93"/>
      <c r="B1" s="87" t="s">
        <v>0</v>
      </c>
      <c r="C1" s="88"/>
      <c r="D1" s="88"/>
      <c r="E1" s="88"/>
      <c r="F1" s="88"/>
      <c r="G1" s="89"/>
      <c r="H1" s="1"/>
      <c r="I1" s="86" t="s">
        <v>1</v>
      </c>
      <c r="J1" s="86"/>
      <c r="K1" s="86"/>
      <c r="L1" s="86"/>
      <c r="M1" s="1"/>
      <c r="N1" s="87" t="s">
        <v>2</v>
      </c>
      <c r="O1" s="88"/>
      <c r="P1" s="88"/>
      <c r="Q1" s="89"/>
      <c r="R1" s="78"/>
      <c r="S1" s="1"/>
      <c r="T1" s="84" t="s">
        <v>3</v>
      </c>
      <c r="U1" s="84"/>
      <c r="V1" s="84"/>
      <c r="X1" s="93"/>
      <c r="Y1" s="87" t="s">
        <v>0</v>
      </c>
      <c r="Z1" s="88"/>
      <c r="AA1" s="88"/>
      <c r="AB1" s="88"/>
      <c r="AC1" s="88"/>
      <c r="AD1" s="89"/>
      <c r="AE1" s="1"/>
      <c r="AF1" s="86" t="s">
        <v>1</v>
      </c>
      <c r="AG1" s="86"/>
      <c r="AH1" s="86"/>
      <c r="AI1" s="86"/>
      <c r="AJ1" s="1"/>
      <c r="AK1" s="87" t="s">
        <v>2</v>
      </c>
      <c r="AL1" s="88"/>
      <c r="AM1" s="88"/>
      <c r="AN1" s="89"/>
    </row>
    <row r="2" spans="1:41" x14ac:dyDescent="0.2">
      <c r="A2" s="94"/>
      <c r="B2" s="84" t="s">
        <v>6</v>
      </c>
      <c r="C2" s="84"/>
      <c r="D2" s="84"/>
      <c r="E2" s="90"/>
      <c r="F2" s="91"/>
      <c r="G2" s="92"/>
      <c r="H2" s="2"/>
      <c r="I2" s="84" t="s">
        <v>7</v>
      </c>
      <c r="J2" s="84"/>
      <c r="K2" s="84" t="s">
        <v>8</v>
      </c>
      <c r="L2" s="84"/>
      <c r="M2" s="2"/>
      <c r="N2" s="84" t="s">
        <v>6</v>
      </c>
      <c r="O2" s="84"/>
      <c r="P2" s="76"/>
      <c r="Q2" s="76" t="s">
        <v>9</v>
      </c>
      <c r="R2" s="76"/>
      <c r="S2" s="2"/>
      <c r="T2" s="84" t="s">
        <v>10</v>
      </c>
      <c r="U2" s="84"/>
      <c r="V2" s="84"/>
      <c r="X2" s="94"/>
      <c r="Y2" s="84" t="s">
        <v>6</v>
      </c>
      <c r="Z2" s="84"/>
      <c r="AA2" s="84"/>
      <c r="AB2" s="90"/>
      <c r="AC2" s="91"/>
      <c r="AD2" s="92"/>
      <c r="AE2" s="2"/>
      <c r="AF2" s="84" t="s">
        <v>7</v>
      </c>
      <c r="AG2" s="84"/>
      <c r="AH2" s="84" t="s">
        <v>8</v>
      </c>
      <c r="AI2" s="84"/>
      <c r="AJ2" s="2"/>
      <c r="AK2" s="84" t="s">
        <v>6</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39">
        <f>Jan!B39</f>
        <v>643734</v>
      </c>
      <c r="C5" s="39">
        <f>Jan!C39</f>
        <v>0</v>
      </c>
      <c r="D5" s="39">
        <f>Jan!D39</f>
        <v>0</v>
      </c>
      <c r="E5" s="39">
        <f>Jan!E39</f>
        <v>973328</v>
      </c>
      <c r="F5" s="39">
        <f>Jan!F39</f>
        <v>78080</v>
      </c>
      <c r="G5" s="39">
        <f>Jan!G39</f>
        <v>21830</v>
      </c>
      <c r="H5" s="15"/>
      <c r="I5" s="39">
        <f>Jan!I39</f>
        <v>19525</v>
      </c>
      <c r="J5" s="39">
        <f>Jan!J39</f>
        <v>1530</v>
      </c>
      <c r="K5" s="39">
        <f>Jan!K39</f>
        <v>25201</v>
      </c>
      <c r="L5" s="39">
        <f>Jan!L39</f>
        <v>114</v>
      </c>
      <c r="M5" s="15"/>
      <c r="N5" s="39">
        <f>Jan!N39</f>
        <v>221799</v>
      </c>
      <c r="O5" s="39">
        <f>Jan!O39</f>
        <v>412436</v>
      </c>
      <c r="P5" s="39">
        <f>Jan!P39</f>
        <v>584676</v>
      </c>
      <c r="Q5" s="39">
        <f>Jan!Q39</f>
        <v>21947</v>
      </c>
      <c r="R5" s="11"/>
      <c r="S5" s="15"/>
      <c r="T5" s="26">
        <f>Jan!T39</f>
        <v>0</v>
      </c>
      <c r="U5" s="26">
        <f>Jan!U39</f>
        <v>0</v>
      </c>
      <c r="V5" s="26">
        <f>Jan!V39</f>
        <v>0</v>
      </c>
      <c r="X5"/>
    </row>
    <row r="6" spans="1:41" x14ac:dyDescent="0.2">
      <c r="A6" s="7">
        <v>1</v>
      </c>
      <c r="B6" s="41">
        <v>643799</v>
      </c>
      <c r="C6" s="14"/>
      <c r="D6" s="14"/>
      <c r="E6" s="41"/>
      <c r="F6" s="13"/>
      <c r="G6" s="13"/>
      <c r="H6" s="15"/>
      <c r="I6" s="40">
        <v>19528</v>
      </c>
      <c r="J6" s="42">
        <v>1531</v>
      </c>
      <c r="K6" s="42"/>
      <c r="L6" s="42"/>
      <c r="M6" s="15"/>
      <c r="N6" s="41">
        <v>221915</v>
      </c>
      <c r="O6" s="41"/>
      <c r="P6" s="41"/>
      <c r="Q6" s="18"/>
      <c r="R6" s="11">
        <f>Q6-Q5</f>
        <v>-21947</v>
      </c>
      <c r="S6" s="16"/>
      <c r="T6" s="17">
        <v>0</v>
      </c>
      <c r="U6" s="17">
        <v>0</v>
      </c>
      <c r="V6" s="17">
        <v>0</v>
      </c>
      <c r="W6" s="43" t="s">
        <v>30</v>
      </c>
      <c r="X6" s="80">
        <v>1</v>
      </c>
      <c r="Y6" s="11">
        <f>B6-B5</f>
        <v>65</v>
      </c>
      <c r="Z6" s="11">
        <f t="shared" ref="Z6:AD21" si="0">C6-C5</f>
        <v>0</v>
      </c>
      <c r="AA6" s="11">
        <f t="shared" si="0"/>
        <v>0</v>
      </c>
      <c r="AB6" s="11">
        <f t="shared" si="0"/>
        <v>-973328</v>
      </c>
      <c r="AC6" s="11">
        <f t="shared" si="0"/>
        <v>-78080</v>
      </c>
      <c r="AD6" s="11">
        <f t="shared" si="0"/>
        <v>-21830</v>
      </c>
      <c r="AE6" s="34"/>
      <c r="AF6" s="11">
        <f t="shared" ref="AF6:AI21" si="1">I6-I5</f>
        <v>3</v>
      </c>
      <c r="AG6" s="11">
        <f t="shared" si="1"/>
        <v>1</v>
      </c>
      <c r="AH6" s="11">
        <f t="shared" si="1"/>
        <v>-25201</v>
      </c>
      <c r="AI6" s="11">
        <f t="shared" si="1"/>
        <v>-114</v>
      </c>
      <c r="AJ6" s="34"/>
      <c r="AK6" s="11">
        <f t="shared" ref="AK6:AN21" si="2">N6-N5</f>
        <v>116</v>
      </c>
      <c r="AL6" s="11">
        <f t="shared" si="2"/>
        <v>-412436</v>
      </c>
      <c r="AM6" s="11">
        <f t="shared" si="2"/>
        <v>-584676</v>
      </c>
      <c r="AN6" s="11">
        <f t="shared" si="2"/>
        <v>-21947</v>
      </c>
      <c r="AO6" s="34"/>
    </row>
    <row r="7" spans="1:41" x14ac:dyDescent="0.2">
      <c r="A7" s="80">
        <v>2</v>
      </c>
      <c r="B7" s="41">
        <v>643899</v>
      </c>
      <c r="C7" s="14"/>
      <c r="D7" s="14"/>
      <c r="E7" s="41"/>
      <c r="F7" s="18"/>
      <c r="G7" s="18"/>
      <c r="H7" s="15"/>
      <c r="I7" s="40">
        <v>19550</v>
      </c>
      <c r="J7" s="42">
        <v>1532</v>
      </c>
      <c r="K7" s="42"/>
      <c r="L7" s="42"/>
      <c r="M7" s="15"/>
      <c r="N7" s="41">
        <v>221965</v>
      </c>
      <c r="O7" s="41"/>
      <c r="P7" s="41"/>
      <c r="Q7" s="18"/>
      <c r="R7" s="11">
        <f t="shared" ref="R7:R33" si="3">Q7-Q6</f>
        <v>0</v>
      </c>
      <c r="S7" s="16"/>
      <c r="T7" s="17">
        <v>0</v>
      </c>
      <c r="U7" s="17">
        <v>0</v>
      </c>
      <c r="V7" s="17">
        <v>0</v>
      </c>
      <c r="W7" s="43" t="s">
        <v>30</v>
      </c>
      <c r="X7" s="80">
        <v>2</v>
      </c>
      <c r="Y7" s="11">
        <f t="shared" ref="Y7:AD33" si="4">B7-B6</f>
        <v>100</v>
      </c>
      <c r="Z7" s="11">
        <f t="shared" si="0"/>
        <v>0</v>
      </c>
      <c r="AA7" s="11">
        <f t="shared" si="0"/>
        <v>0</v>
      </c>
      <c r="AB7" s="11">
        <f t="shared" si="0"/>
        <v>0</v>
      </c>
      <c r="AC7" s="11">
        <f t="shared" si="0"/>
        <v>0</v>
      </c>
      <c r="AD7" s="11">
        <f t="shared" si="0"/>
        <v>0</v>
      </c>
      <c r="AE7" s="34"/>
      <c r="AF7" s="11">
        <f t="shared" si="1"/>
        <v>22</v>
      </c>
      <c r="AG7" s="11">
        <f t="shared" si="1"/>
        <v>1</v>
      </c>
      <c r="AH7" s="11">
        <f t="shared" si="1"/>
        <v>0</v>
      </c>
      <c r="AI7" s="11">
        <f t="shared" si="1"/>
        <v>0</v>
      </c>
      <c r="AJ7" s="34"/>
      <c r="AK7" s="11">
        <f t="shared" si="2"/>
        <v>50</v>
      </c>
      <c r="AL7" s="11">
        <f t="shared" si="2"/>
        <v>0</v>
      </c>
      <c r="AM7" s="11">
        <f t="shared" si="2"/>
        <v>0</v>
      </c>
      <c r="AN7" s="11">
        <f t="shared" si="2"/>
        <v>0</v>
      </c>
      <c r="AO7" s="35"/>
    </row>
    <row r="8" spans="1:41" x14ac:dyDescent="0.2">
      <c r="A8" s="80">
        <v>3</v>
      </c>
      <c r="B8" s="41">
        <v>643957</v>
      </c>
      <c r="C8" s="14"/>
      <c r="D8" s="14"/>
      <c r="E8" s="41"/>
      <c r="F8" s="18"/>
      <c r="G8" s="18"/>
      <c r="H8" s="15"/>
      <c r="I8" s="40">
        <v>19565</v>
      </c>
      <c r="J8" s="42">
        <v>1540</v>
      </c>
      <c r="K8" s="42"/>
      <c r="L8" s="42"/>
      <c r="M8" s="15"/>
      <c r="N8" s="41">
        <v>222096</v>
      </c>
      <c r="O8" s="41"/>
      <c r="P8" s="41"/>
      <c r="Q8" s="18"/>
      <c r="R8" s="11">
        <f t="shared" si="3"/>
        <v>0</v>
      </c>
      <c r="S8" s="16"/>
      <c r="T8" s="17">
        <v>0</v>
      </c>
      <c r="U8" s="17">
        <v>0</v>
      </c>
      <c r="V8" s="17">
        <v>0</v>
      </c>
      <c r="W8" s="43" t="s">
        <v>30</v>
      </c>
      <c r="X8" s="80">
        <v>3</v>
      </c>
      <c r="Y8" s="11">
        <f t="shared" si="4"/>
        <v>58</v>
      </c>
      <c r="Z8" s="11">
        <f t="shared" si="0"/>
        <v>0</v>
      </c>
      <c r="AA8" s="11">
        <f t="shared" si="0"/>
        <v>0</v>
      </c>
      <c r="AB8" s="11">
        <f t="shared" si="0"/>
        <v>0</v>
      </c>
      <c r="AC8" s="11">
        <f t="shared" si="0"/>
        <v>0</v>
      </c>
      <c r="AD8" s="11">
        <f t="shared" si="0"/>
        <v>0</v>
      </c>
      <c r="AE8" s="34"/>
      <c r="AF8" s="11">
        <f t="shared" si="1"/>
        <v>15</v>
      </c>
      <c r="AG8" s="11">
        <f t="shared" si="1"/>
        <v>8</v>
      </c>
      <c r="AH8" s="11">
        <f t="shared" si="1"/>
        <v>0</v>
      </c>
      <c r="AI8" s="11">
        <f t="shared" si="1"/>
        <v>0</v>
      </c>
      <c r="AJ8" s="34"/>
      <c r="AK8" s="11">
        <f t="shared" si="2"/>
        <v>131</v>
      </c>
      <c r="AL8" s="11">
        <f t="shared" si="2"/>
        <v>0</v>
      </c>
      <c r="AM8" s="11">
        <f t="shared" si="2"/>
        <v>0</v>
      </c>
      <c r="AN8" s="11">
        <f t="shared" si="2"/>
        <v>0</v>
      </c>
      <c r="AO8" s="35"/>
    </row>
    <row r="9" spans="1:41" x14ac:dyDescent="0.2">
      <c r="A9" s="80">
        <v>4</v>
      </c>
      <c r="B9" s="41">
        <v>644016</v>
      </c>
      <c r="C9" s="14"/>
      <c r="D9" s="14"/>
      <c r="E9" s="41"/>
      <c r="F9" s="18"/>
      <c r="G9" s="18"/>
      <c r="H9" s="15"/>
      <c r="I9" s="40">
        <v>19577</v>
      </c>
      <c r="J9" s="42">
        <v>1545</v>
      </c>
      <c r="K9" s="42"/>
      <c r="L9" s="42"/>
      <c r="M9" s="15"/>
      <c r="N9" s="41">
        <v>222163</v>
      </c>
      <c r="O9" s="41"/>
      <c r="P9" s="41"/>
      <c r="Q9" s="18"/>
      <c r="R9" s="11">
        <f t="shared" si="3"/>
        <v>0</v>
      </c>
      <c r="S9" s="16"/>
      <c r="T9" s="17">
        <v>0</v>
      </c>
      <c r="U9" s="17">
        <v>0</v>
      </c>
      <c r="V9" s="17">
        <v>0</v>
      </c>
      <c r="W9" s="43" t="s">
        <v>30</v>
      </c>
      <c r="X9" s="80">
        <v>4</v>
      </c>
      <c r="Y9" s="11">
        <f t="shared" si="4"/>
        <v>59</v>
      </c>
      <c r="Z9" s="11">
        <f t="shared" si="0"/>
        <v>0</v>
      </c>
      <c r="AA9" s="11">
        <f t="shared" si="0"/>
        <v>0</v>
      </c>
      <c r="AB9" s="11">
        <f t="shared" si="0"/>
        <v>0</v>
      </c>
      <c r="AC9" s="11">
        <f t="shared" si="0"/>
        <v>0</v>
      </c>
      <c r="AD9" s="11">
        <f t="shared" si="0"/>
        <v>0</v>
      </c>
      <c r="AE9" s="34"/>
      <c r="AF9" s="11">
        <f t="shared" si="1"/>
        <v>12</v>
      </c>
      <c r="AG9" s="11">
        <f t="shared" si="1"/>
        <v>5</v>
      </c>
      <c r="AH9" s="11">
        <f t="shared" si="1"/>
        <v>0</v>
      </c>
      <c r="AI9" s="11">
        <f t="shared" si="1"/>
        <v>0</v>
      </c>
      <c r="AJ9" s="34"/>
      <c r="AK9" s="11">
        <f t="shared" si="2"/>
        <v>67</v>
      </c>
      <c r="AL9" s="11">
        <f t="shared" si="2"/>
        <v>0</v>
      </c>
      <c r="AM9" s="11">
        <f t="shared" si="2"/>
        <v>0</v>
      </c>
      <c r="AN9" s="11">
        <f t="shared" si="2"/>
        <v>0</v>
      </c>
      <c r="AO9" s="35"/>
    </row>
    <row r="10" spans="1:41" x14ac:dyDescent="0.2">
      <c r="A10" s="80">
        <v>5</v>
      </c>
      <c r="B10" s="41">
        <v>644099</v>
      </c>
      <c r="C10" s="14"/>
      <c r="D10" s="14"/>
      <c r="E10" s="41"/>
      <c r="F10" s="18"/>
      <c r="G10" s="18"/>
      <c r="H10" s="15"/>
      <c r="I10" s="40">
        <v>19583</v>
      </c>
      <c r="J10" s="42">
        <v>1546</v>
      </c>
      <c r="K10" s="42"/>
      <c r="L10" s="42"/>
      <c r="M10" s="15"/>
      <c r="N10" s="41">
        <v>222231</v>
      </c>
      <c r="O10" s="41"/>
      <c r="P10" s="41"/>
      <c r="Q10" s="18"/>
      <c r="R10" s="11">
        <f t="shared" si="3"/>
        <v>0</v>
      </c>
      <c r="S10" s="16"/>
      <c r="T10" s="17">
        <v>0</v>
      </c>
      <c r="U10" s="17">
        <v>0</v>
      </c>
      <c r="V10" s="17">
        <v>0</v>
      </c>
      <c r="W10" s="43" t="s">
        <v>30</v>
      </c>
      <c r="X10" s="80">
        <v>5</v>
      </c>
      <c r="Y10" s="11">
        <f t="shared" si="4"/>
        <v>83</v>
      </c>
      <c r="Z10" s="11">
        <f t="shared" si="0"/>
        <v>0</v>
      </c>
      <c r="AA10" s="11">
        <f t="shared" si="0"/>
        <v>0</v>
      </c>
      <c r="AB10" s="11">
        <f t="shared" si="0"/>
        <v>0</v>
      </c>
      <c r="AC10" s="11">
        <f t="shared" si="0"/>
        <v>0</v>
      </c>
      <c r="AD10" s="11">
        <f t="shared" si="0"/>
        <v>0</v>
      </c>
      <c r="AE10" s="34"/>
      <c r="AF10" s="11">
        <f t="shared" si="1"/>
        <v>6</v>
      </c>
      <c r="AG10" s="11">
        <f t="shared" si="1"/>
        <v>1</v>
      </c>
      <c r="AH10" s="11">
        <f t="shared" si="1"/>
        <v>0</v>
      </c>
      <c r="AI10" s="11">
        <f t="shared" si="1"/>
        <v>0</v>
      </c>
      <c r="AJ10" s="34"/>
      <c r="AK10" s="11">
        <f t="shared" si="2"/>
        <v>68</v>
      </c>
      <c r="AL10" s="11">
        <f t="shared" si="2"/>
        <v>0</v>
      </c>
      <c r="AM10" s="11">
        <f t="shared" si="2"/>
        <v>0</v>
      </c>
      <c r="AN10" s="11">
        <f t="shared" si="2"/>
        <v>0</v>
      </c>
      <c r="AO10" s="35"/>
    </row>
    <row r="11" spans="1:41" x14ac:dyDescent="0.2">
      <c r="A11" s="80">
        <v>6</v>
      </c>
      <c r="B11" s="41">
        <v>644186</v>
      </c>
      <c r="C11" s="14"/>
      <c r="D11" s="14"/>
      <c r="E11" s="41"/>
      <c r="F11" s="18"/>
      <c r="G11" s="18"/>
      <c r="H11" s="15"/>
      <c r="I11" s="40">
        <v>19588</v>
      </c>
      <c r="J11" s="42">
        <v>1551</v>
      </c>
      <c r="K11" s="42"/>
      <c r="L11" s="42"/>
      <c r="M11" s="15"/>
      <c r="N11" s="41">
        <v>222364</v>
      </c>
      <c r="O11" s="41"/>
      <c r="P11" s="41"/>
      <c r="Q11" s="18"/>
      <c r="R11" s="11">
        <f t="shared" si="3"/>
        <v>0</v>
      </c>
      <c r="S11" s="16"/>
      <c r="T11" s="17">
        <v>0</v>
      </c>
      <c r="U11" s="17">
        <v>0</v>
      </c>
      <c r="V11" s="17">
        <v>0</v>
      </c>
      <c r="W11" s="43" t="s">
        <v>30</v>
      </c>
      <c r="X11" s="80">
        <v>6</v>
      </c>
      <c r="Y11" s="11">
        <f t="shared" si="4"/>
        <v>87</v>
      </c>
      <c r="Z11" s="11">
        <f t="shared" si="0"/>
        <v>0</v>
      </c>
      <c r="AA11" s="11">
        <f t="shared" si="0"/>
        <v>0</v>
      </c>
      <c r="AB11" s="11">
        <f t="shared" si="0"/>
        <v>0</v>
      </c>
      <c r="AC11" s="11">
        <f t="shared" si="0"/>
        <v>0</v>
      </c>
      <c r="AD11" s="11">
        <f t="shared" si="0"/>
        <v>0</v>
      </c>
      <c r="AE11" s="34"/>
      <c r="AF11" s="11">
        <f t="shared" si="1"/>
        <v>5</v>
      </c>
      <c r="AG11" s="11">
        <f t="shared" si="1"/>
        <v>5</v>
      </c>
      <c r="AH11" s="11">
        <f t="shared" si="1"/>
        <v>0</v>
      </c>
      <c r="AI11" s="11">
        <f t="shared" si="1"/>
        <v>0</v>
      </c>
      <c r="AJ11" s="34"/>
      <c r="AK11" s="11">
        <f t="shared" si="2"/>
        <v>133</v>
      </c>
      <c r="AL11" s="11">
        <f t="shared" si="2"/>
        <v>0</v>
      </c>
      <c r="AM11" s="11">
        <f t="shared" si="2"/>
        <v>0</v>
      </c>
      <c r="AN11" s="11">
        <f t="shared" si="2"/>
        <v>0</v>
      </c>
      <c r="AO11" s="35"/>
    </row>
    <row r="12" spans="1:41" x14ac:dyDescent="0.2">
      <c r="A12" s="80">
        <v>7</v>
      </c>
      <c r="B12" s="41">
        <v>644278</v>
      </c>
      <c r="C12" s="14"/>
      <c r="D12" s="14"/>
      <c r="E12" s="41"/>
      <c r="F12" s="18"/>
      <c r="G12" s="18"/>
      <c r="H12" s="15"/>
      <c r="I12" s="40">
        <v>19594</v>
      </c>
      <c r="J12" s="42">
        <v>1552</v>
      </c>
      <c r="K12" s="42"/>
      <c r="L12" s="42"/>
      <c r="M12" s="15"/>
      <c r="N12" s="41">
        <v>222503</v>
      </c>
      <c r="O12" s="41"/>
      <c r="P12" s="41"/>
      <c r="Q12" s="18"/>
      <c r="R12" s="11">
        <f t="shared" si="3"/>
        <v>0</v>
      </c>
      <c r="S12" s="16"/>
      <c r="T12" s="17">
        <v>0</v>
      </c>
      <c r="U12" s="17">
        <v>0</v>
      </c>
      <c r="V12" s="17">
        <v>0</v>
      </c>
      <c r="W12" s="43" t="s">
        <v>30</v>
      </c>
      <c r="X12" s="80">
        <v>7</v>
      </c>
      <c r="Y12" s="11">
        <f t="shared" si="4"/>
        <v>92</v>
      </c>
      <c r="Z12" s="11">
        <f t="shared" si="0"/>
        <v>0</v>
      </c>
      <c r="AA12" s="11">
        <f t="shared" si="0"/>
        <v>0</v>
      </c>
      <c r="AB12" s="11">
        <f t="shared" si="0"/>
        <v>0</v>
      </c>
      <c r="AC12" s="11">
        <f t="shared" si="0"/>
        <v>0</v>
      </c>
      <c r="AD12" s="11">
        <f t="shared" si="0"/>
        <v>0</v>
      </c>
      <c r="AE12" s="34"/>
      <c r="AF12" s="11">
        <f t="shared" si="1"/>
        <v>6</v>
      </c>
      <c r="AG12" s="11">
        <f t="shared" si="1"/>
        <v>1</v>
      </c>
      <c r="AH12" s="11">
        <f t="shared" si="1"/>
        <v>0</v>
      </c>
      <c r="AI12" s="11">
        <f t="shared" si="1"/>
        <v>0</v>
      </c>
      <c r="AJ12" s="34"/>
      <c r="AK12" s="11">
        <f t="shared" si="2"/>
        <v>139</v>
      </c>
      <c r="AL12" s="11">
        <f t="shared" si="2"/>
        <v>0</v>
      </c>
      <c r="AM12" s="11">
        <f t="shared" si="2"/>
        <v>0</v>
      </c>
      <c r="AN12" s="11">
        <f t="shared" si="2"/>
        <v>0</v>
      </c>
      <c r="AO12" s="35"/>
    </row>
    <row r="13" spans="1:41" x14ac:dyDescent="0.2">
      <c r="A13" s="80">
        <v>8</v>
      </c>
      <c r="B13" s="41">
        <v>644367</v>
      </c>
      <c r="C13" s="14"/>
      <c r="D13" s="14"/>
      <c r="E13" s="41"/>
      <c r="F13" s="18"/>
      <c r="G13" s="18"/>
      <c r="H13" s="15"/>
      <c r="I13" s="40">
        <v>19625</v>
      </c>
      <c r="J13" s="42">
        <v>1553</v>
      </c>
      <c r="K13" s="42"/>
      <c r="L13" s="42"/>
      <c r="M13" s="15"/>
      <c r="N13" s="41">
        <v>222587</v>
      </c>
      <c r="O13" s="41"/>
      <c r="P13" s="41"/>
      <c r="Q13" s="18"/>
      <c r="R13" s="11">
        <f t="shared" si="3"/>
        <v>0</v>
      </c>
      <c r="S13" s="16"/>
      <c r="T13" s="17">
        <v>0</v>
      </c>
      <c r="U13" s="17">
        <v>0</v>
      </c>
      <c r="V13" s="17">
        <v>0</v>
      </c>
      <c r="W13" s="43" t="s">
        <v>30</v>
      </c>
      <c r="X13" s="80">
        <v>8</v>
      </c>
      <c r="Y13" s="11">
        <f t="shared" si="4"/>
        <v>89</v>
      </c>
      <c r="Z13" s="11">
        <f t="shared" si="0"/>
        <v>0</v>
      </c>
      <c r="AA13" s="11">
        <f t="shared" si="0"/>
        <v>0</v>
      </c>
      <c r="AB13" s="11">
        <f t="shared" si="0"/>
        <v>0</v>
      </c>
      <c r="AC13" s="11">
        <f t="shared" si="0"/>
        <v>0</v>
      </c>
      <c r="AD13" s="11">
        <f t="shared" si="0"/>
        <v>0</v>
      </c>
      <c r="AE13" s="34"/>
      <c r="AF13" s="11">
        <f t="shared" si="1"/>
        <v>31</v>
      </c>
      <c r="AG13" s="11">
        <f t="shared" si="1"/>
        <v>1</v>
      </c>
      <c r="AH13" s="11">
        <f t="shared" si="1"/>
        <v>0</v>
      </c>
      <c r="AI13" s="11">
        <f t="shared" si="1"/>
        <v>0</v>
      </c>
      <c r="AJ13" s="34"/>
      <c r="AK13" s="11">
        <f t="shared" si="2"/>
        <v>84</v>
      </c>
      <c r="AL13" s="11">
        <f t="shared" si="2"/>
        <v>0</v>
      </c>
      <c r="AM13" s="11">
        <f t="shared" si="2"/>
        <v>0</v>
      </c>
      <c r="AN13" s="11">
        <f t="shared" si="2"/>
        <v>0</v>
      </c>
      <c r="AO13" s="35"/>
    </row>
    <row r="14" spans="1:41" x14ac:dyDescent="0.2">
      <c r="A14" s="80">
        <v>9</v>
      </c>
      <c r="B14" s="41">
        <v>644396</v>
      </c>
      <c r="C14" s="14"/>
      <c r="D14" s="14"/>
      <c r="E14" s="41"/>
      <c r="F14" s="18"/>
      <c r="G14" s="18"/>
      <c r="H14" s="15"/>
      <c r="I14" s="40">
        <v>19639</v>
      </c>
      <c r="J14" s="42">
        <v>1554</v>
      </c>
      <c r="K14" s="42"/>
      <c r="L14" s="42"/>
      <c r="M14" s="15"/>
      <c r="N14" s="41">
        <v>222662</v>
      </c>
      <c r="O14" s="41"/>
      <c r="P14" s="41"/>
      <c r="Q14" s="18"/>
      <c r="R14" s="11">
        <f t="shared" si="3"/>
        <v>0</v>
      </c>
      <c r="S14" s="16"/>
      <c r="T14" s="17">
        <v>0</v>
      </c>
      <c r="U14" s="17">
        <v>0</v>
      </c>
      <c r="V14" s="17">
        <v>0</v>
      </c>
      <c r="W14" s="16" t="s">
        <v>30</v>
      </c>
      <c r="X14" s="80">
        <v>9</v>
      </c>
      <c r="Y14" s="11">
        <f t="shared" si="4"/>
        <v>29</v>
      </c>
      <c r="Z14" s="11">
        <f t="shared" si="0"/>
        <v>0</v>
      </c>
      <c r="AA14" s="11">
        <f t="shared" si="0"/>
        <v>0</v>
      </c>
      <c r="AB14" s="11">
        <f t="shared" si="0"/>
        <v>0</v>
      </c>
      <c r="AC14" s="11">
        <f t="shared" si="0"/>
        <v>0</v>
      </c>
      <c r="AD14" s="11">
        <f t="shared" si="0"/>
        <v>0</v>
      </c>
      <c r="AE14" s="34"/>
      <c r="AF14" s="11">
        <f t="shared" si="1"/>
        <v>14</v>
      </c>
      <c r="AG14" s="11">
        <f t="shared" si="1"/>
        <v>1</v>
      </c>
      <c r="AH14" s="11">
        <f t="shared" si="1"/>
        <v>0</v>
      </c>
      <c r="AI14" s="11">
        <f t="shared" si="1"/>
        <v>0</v>
      </c>
      <c r="AJ14" s="34"/>
      <c r="AK14" s="11">
        <f t="shared" si="2"/>
        <v>75</v>
      </c>
      <c r="AL14" s="11">
        <f t="shared" si="2"/>
        <v>0</v>
      </c>
      <c r="AM14" s="11">
        <f t="shared" si="2"/>
        <v>0</v>
      </c>
      <c r="AN14" s="11">
        <f t="shared" si="2"/>
        <v>0</v>
      </c>
      <c r="AO14" s="35"/>
    </row>
    <row r="15" spans="1:41" x14ac:dyDescent="0.2">
      <c r="A15" s="80">
        <v>10</v>
      </c>
      <c r="B15" s="41">
        <v>644436</v>
      </c>
      <c r="C15" s="14"/>
      <c r="D15" s="14"/>
      <c r="E15" s="41"/>
      <c r="F15" s="18"/>
      <c r="G15" s="18"/>
      <c r="H15" s="15"/>
      <c r="I15" s="40">
        <v>19660</v>
      </c>
      <c r="J15" s="42">
        <v>1563</v>
      </c>
      <c r="K15" s="42"/>
      <c r="L15" s="42"/>
      <c r="M15" s="15"/>
      <c r="N15" s="41">
        <v>222721</v>
      </c>
      <c r="O15" s="41"/>
      <c r="P15" s="41"/>
      <c r="Q15" s="18"/>
      <c r="R15" s="11">
        <f t="shared" si="3"/>
        <v>0</v>
      </c>
      <c r="S15" s="16"/>
      <c r="T15" s="17">
        <v>0</v>
      </c>
      <c r="U15" s="17">
        <v>0</v>
      </c>
      <c r="V15" s="17">
        <v>0</v>
      </c>
      <c r="W15" s="16" t="s">
        <v>30</v>
      </c>
      <c r="X15" s="80">
        <v>10</v>
      </c>
      <c r="Y15" s="11">
        <f t="shared" si="4"/>
        <v>40</v>
      </c>
      <c r="Z15" s="11">
        <f t="shared" si="0"/>
        <v>0</v>
      </c>
      <c r="AA15" s="11">
        <f t="shared" si="0"/>
        <v>0</v>
      </c>
      <c r="AB15" s="11">
        <f t="shared" si="0"/>
        <v>0</v>
      </c>
      <c r="AC15" s="11">
        <f t="shared" si="0"/>
        <v>0</v>
      </c>
      <c r="AD15" s="11">
        <f t="shared" si="0"/>
        <v>0</v>
      </c>
      <c r="AE15" s="34"/>
      <c r="AF15" s="11">
        <f t="shared" si="1"/>
        <v>21</v>
      </c>
      <c r="AG15" s="11">
        <f t="shared" si="1"/>
        <v>9</v>
      </c>
      <c r="AH15" s="11">
        <f t="shared" si="1"/>
        <v>0</v>
      </c>
      <c r="AI15" s="11">
        <f t="shared" si="1"/>
        <v>0</v>
      </c>
      <c r="AJ15" s="34"/>
      <c r="AK15" s="11">
        <f t="shared" si="2"/>
        <v>59</v>
      </c>
      <c r="AL15" s="11">
        <f t="shared" si="2"/>
        <v>0</v>
      </c>
      <c r="AM15" s="11">
        <f t="shared" si="2"/>
        <v>0</v>
      </c>
      <c r="AN15" s="11">
        <f t="shared" si="2"/>
        <v>0</v>
      </c>
      <c r="AO15" s="35"/>
    </row>
    <row r="16" spans="1:41" x14ac:dyDescent="0.2">
      <c r="A16" s="80">
        <v>11</v>
      </c>
      <c r="B16" s="41">
        <v>644513</v>
      </c>
      <c r="C16" s="14"/>
      <c r="D16" s="14"/>
      <c r="E16" s="41"/>
      <c r="F16" s="18"/>
      <c r="G16" s="18"/>
      <c r="H16" s="15"/>
      <c r="I16" s="40">
        <v>19675</v>
      </c>
      <c r="J16" s="42">
        <v>1568</v>
      </c>
      <c r="K16" s="42"/>
      <c r="L16" s="42"/>
      <c r="M16" s="15"/>
      <c r="N16" s="41">
        <v>222789</v>
      </c>
      <c r="O16" s="41"/>
      <c r="P16" s="41"/>
      <c r="Q16" s="18"/>
      <c r="R16" s="11">
        <f t="shared" si="3"/>
        <v>0</v>
      </c>
      <c r="S16" s="16"/>
      <c r="T16" s="17">
        <v>0</v>
      </c>
      <c r="U16" s="17">
        <v>0</v>
      </c>
      <c r="V16" s="17">
        <v>0</v>
      </c>
      <c r="W16" s="16" t="s">
        <v>30</v>
      </c>
      <c r="X16" s="80">
        <v>11</v>
      </c>
      <c r="Y16" s="11">
        <f t="shared" si="4"/>
        <v>77</v>
      </c>
      <c r="Z16" s="11">
        <f t="shared" si="0"/>
        <v>0</v>
      </c>
      <c r="AA16" s="11">
        <f t="shared" si="0"/>
        <v>0</v>
      </c>
      <c r="AB16" s="11">
        <f t="shared" si="0"/>
        <v>0</v>
      </c>
      <c r="AC16" s="11">
        <f t="shared" si="0"/>
        <v>0</v>
      </c>
      <c r="AD16" s="11">
        <f t="shared" si="0"/>
        <v>0</v>
      </c>
      <c r="AE16" s="34"/>
      <c r="AF16" s="11">
        <f t="shared" si="1"/>
        <v>15</v>
      </c>
      <c r="AG16" s="11">
        <f t="shared" si="1"/>
        <v>5</v>
      </c>
      <c r="AH16" s="11">
        <f t="shared" si="1"/>
        <v>0</v>
      </c>
      <c r="AI16" s="11">
        <f t="shared" si="1"/>
        <v>0</v>
      </c>
      <c r="AJ16" s="34"/>
      <c r="AK16" s="11">
        <f t="shared" si="2"/>
        <v>68</v>
      </c>
      <c r="AL16" s="11">
        <f t="shared" si="2"/>
        <v>0</v>
      </c>
      <c r="AM16" s="11">
        <f t="shared" si="2"/>
        <v>0</v>
      </c>
      <c r="AN16" s="11">
        <f t="shared" si="2"/>
        <v>0</v>
      </c>
      <c r="AO16" s="35"/>
    </row>
    <row r="17" spans="1:41" x14ac:dyDescent="0.2">
      <c r="A17" s="80">
        <v>12</v>
      </c>
      <c r="B17" s="41">
        <v>644599</v>
      </c>
      <c r="C17" s="14"/>
      <c r="D17" s="14"/>
      <c r="E17" s="41"/>
      <c r="F17" s="18"/>
      <c r="G17" s="18"/>
      <c r="H17" s="15"/>
      <c r="I17" s="40">
        <v>19676</v>
      </c>
      <c r="J17" s="42">
        <v>1568</v>
      </c>
      <c r="K17" s="42"/>
      <c r="L17" s="42"/>
      <c r="M17" s="15"/>
      <c r="N17" s="41">
        <v>222826</v>
      </c>
      <c r="O17" s="41"/>
      <c r="P17" s="41"/>
      <c r="Q17" s="18"/>
      <c r="R17" s="11">
        <f t="shared" si="3"/>
        <v>0</v>
      </c>
      <c r="S17" s="16"/>
      <c r="T17" s="17">
        <v>0</v>
      </c>
      <c r="U17" s="17">
        <v>0</v>
      </c>
      <c r="V17" s="17">
        <v>0</v>
      </c>
      <c r="W17" s="16" t="s">
        <v>30</v>
      </c>
      <c r="X17" s="80">
        <v>12</v>
      </c>
      <c r="Y17" s="11">
        <f t="shared" si="4"/>
        <v>86</v>
      </c>
      <c r="Z17" s="11">
        <f t="shared" si="0"/>
        <v>0</v>
      </c>
      <c r="AA17" s="11">
        <f t="shared" si="0"/>
        <v>0</v>
      </c>
      <c r="AB17" s="11">
        <f t="shared" si="0"/>
        <v>0</v>
      </c>
      <c r="AC17" s="11">
        <f t="shared" si="0"/>
        <v>0</v>
      </c>
      <c r="AD17" s="11">
        <f t="shared" si="0"/>
        <v>0</v>
      </c>
      <c r="AE17" s="34"/>
      <c r="AF17" s="11">
        <f t="shared" si="1"/>
        <v>1</v>
      </c>
      <c r="AG17" s="11">
        <f t="shared" si="1"/>
        <v>0</v>
      </c>
      <c r="AH17" s="11">
        <f t="shared" si="1"/>
        <v>0</v>
      </c>
      <c r="AI17" s="11">
        <f t="shared" si="1"/>
        <v>0</v>
      </c>
      <c r="AJ17" s="34"/>
      <c r="AK17" s="11">
        <f t="shared" si="2"/>
        <v>37</v>
      </c>
      <c r="AL17" s="11">
        <f t="shared" si="2"/>
        <v>0</v>
      </c>
      <c r="AM17" s="11">
        <f t="shared" si="2"/>
        <v>0</v>
      </c>
      <c r="AN17" s="11">
        <f t="shared" si="2"/>
        <v>0</v>
      </c>
      <c r="AO17" s="35"/>
    </row>
    <row r="18" spans="1:41" x14ac:dyDescent="0.2">
      <c r="A18" s="80">
        <v>13</v>
      </c>
      <c r="B18" s="41">
        <v>644688</v>
      </c>
      <c r="C18" s="14"/>
      <c r="D18" s="14"/>
      <c r="E18" s="41"/>
      <c r="F18" s="18"/>
      <c r="G18" s="18"/>
      <c r="H18" s="15"/>
      <c r="I18" s="40">
        <v>19687</v>
      </c>
      <c r="J18" s="42">
        <v>1568</v>
      </c>
      <c r="K18" s="42"/>
      <c r="L18" s="42"/>
      <c r="M18" s="15"/>
      <c r="N18" s="41">
        <v>222927</v>
      </c>
      <c r="O18" s="41"/>
      <c r="P18" s="41"/>
      <c r="Q18" s="18"/>
      <c r="R18" s="11">
        <f t="shared" si="3"/>
        <v>0</v>
      </c>
      <c r="S18" s="16"/>
      <c r="T18" s="17">
        <v>0</v>
      </c>
      <c r="U18" s="17">
        <v>0</v>
      </c>
      <c r="V18" s="17">
        <v>0</v>
      </c>
      <c r="W18" s="16" t="s">
        <v>30</v>
      </c>
      <c r="X18" s="80">
        <v>13</v>
      </c>
      <c r="Y18" s="11">
        <f t="shared" si="4"/>
        <v>89</v>
      </c>
      <c r="Z18" s="11">
        <f t="shared" si="0"/>
        <v>0</v>
      </c>
      <c r="AA18" s="11">
        <f t="shared" si="0"/>
        <v>0</v>
      </c>
      <c r="AB18" s="11">
        <f t="shared" si="0"/>
        <v>0</v>
      </c>
      <c r="AC18" s="11">
        <f t="shared" si="0"/>
        <v>0</v>
      </c>
      <c r="AD18" s="11">
        <f t="shared" si="0"/>
        <v>0</v>
      </c>
      <c r="AE18" s="34"/>
      <c r="AF18" s="11">
        <f t="shared" si="1"/>
        <v>11</v>
      </c>
      <c r="AG18" s="11">
        <f t="shared" si="1"/>
        <v>0</v>
      </c>
      <c r="AH18" s="11">
        <f t="shared" si="1"/>
        <v>0</v>
      </c>
      <c r="AI18" s="11">
        <f t="shared" si="1"/>
        <v>0</v>
      </c>
      <c r="AJ18" s="34"/>
      <c r="AK18" s="11">
        <f t="shared" si="2"/>
        <v>101</v>
      </c>
      <c r="AL18" s="11">
        <f t="shared" si="2"/>
        <v>0</v>
      </c>
      <c r="AM18" s="11">
        <f t="shared" si="2"/>
        <v>0</v>
      </c>
      <c r="AN18" s="11">
        <f t="shared" si="2"/>
        <v>0</v>
      </c>
      <c r="AO18" s="35"/>
    </row>
    <row r="19" spans="1:41" x14ac:dyDescent="0.2">
      <c r="A19" s="80">
        <v>14</v>
      </c>
      <c r="B19" s="41">
        <v>644779</v>
      </c>
      <c r="C19" s="14"/>
      <c r="D19" s="14"/>
      <c r="E19" s="41"/>
      <c r="F19" s="18"/>
      <c r="G19" s="18"/>
      <c r="H19" s="15"/>
      <c r="I19" s="40">
        <v>19698</v>
      </c>
      <c r="J19" s="42">
        <v>1568</v>
      </c>
      <c r="K19" s="42"/>
      <c r="L19" s="42"/>
      <c r="M19" s="15"/>
      <c r="N19" s="41">
        <v>223109</v>
      </c>
      <c r="O19" s="41"/>
      <c r="P19" s="41"/>
      <c r="Q19" s="18"/>
      <c r="R19" s="11">
        <f t="shared" si="3"/>
        <v>0</v>
      </c>
      <c r="S19" s="16"/>
      <c r="T19" s="17">
        <v>0</v>
      </c>
      <c r="U19" s="17">
        <v>0</v>
      </c>
      <c r="V19" s="17">
        <v>0</v>
      </c>
      <c r="W19" s="16" t="s">
        <v>30</v>
      </c>
      <c r="X19" s="80">
        <v>14</v>
      </c>
      <c r="Y19" s="11">
        <f t="shared" si="4"/>
        <v>91</v>
      </c>
      <c r="Z19" s="11">
        <f t="shared" si="0"/>
        <v>0</v>
      </c>
      <c r="AA19" s="11">
        <f t="shared" si="0"/>
        <v>0</v>
      </c>
      <c r="AB19" s="11">
        <f t="shared" si="0"/>
        <v>0</v>
      </c>
      <c r="AC19" s="11">
        <f t="shared" si="0"/>
        <v>0</v>
      </c>
      <c r="AD19" s="11">
        <f t="shared" si="0"/>
        <v>0</v>
      </c>
      <c r="AE19" s="34"/>
      <c r="AF19" s="11">
        <f t="shared" si="1"/>
        <v>11</v>
      </c>
      <c r="AG19" s="11">
        <f t="shared" si="1"/>
        <v>0</v>
      </c>
      <c r="AH19" s="11">
        <f t="shared" si="1"/>
        <v>0</v>
      </c>
      <c r="AI19" s="11">
        <f t="shared" si="1"/>
        <v>0</v>
      </c>
      <c r="AJ19" s="34"/>
      <c r="AK19" s="11">
        <f t="shared" si="2"/>
        <v>182</v>
      </c>
      <c r="AL19" s="11">
        <f t="shared" si="2"/>
        <v>0</v>
      </c>
      <c r="AM19" s="11">
        <f t="shared" si="2"/>
        <v>0</v>
      </c>
      <c r="AN19" s="11">
        <f t="shared" si="2"/>
        <v>0</v>
      </c>
      <c r="AO19" s="35"/>
    </row>
    <row r="20" spans="1:41" x14ac:dyDescent="0.2">
      <c r="A20" s="80">
        <v>15</v>
      </c>
      <c r="B20" s="41">
        <v>644866</v>
      </c>
      <c r="C20" s="14"/>
      <c r="D20" s="14"/>
      <c r="E20" s="41"/>
      <c r="F20" s="18"/>
      <c r="G20" s="18"/>
      <c r="H20" s="15"/>
      <c r="I20" s="40">
        <v>19702</v>
      </c>
      <c r="J20" s="42">
        <v>1569</v>
      </c>
      <c r="K20" s="42"/>
      <c r="L20" s="42"/>
      <c r="M20" s="15"/>
      <c r="N20" s="41">
        <v>223219</v>
      </c>
      <c r="O20" s="41"/>
      <c r="P20" s="41"/>
      <c r="Q20" s="18"/>
      <c r="R20" s="11">
        <f t="shared" si="3"/>
        <v>0</v>
      </c>
      <c r="S20" s="16"/>
      <c r="T20" s="17">
        <v>0</v>
      </c>
      <c r="U20" s="17">
        <v>0</v>
      </c>
      <c r="V20" s="17">
        <v>0</v>
      </c>
      <c r="W20" s="16" t="s">
        <v>30</v>
      </c>
      <c r="X20" s="80">
        <v>15</v>
      </c>
      <c r="Y20" s="11">
        <f t="shared" si="4"/>
        <v>87</v>
      </c>
      <c r="Z20" s="11">
        <f t="shared" si="0"/>
        <v>0</v>
      </c>
      <c r="AA20" s="11">
        <f t="shared" si="0"/>
        <v>0</v>
      </c>
      <c r="AB20" s="11">
        <f t="shared" si="0"/>
        <v>0</v>
      </c>
      <c r="AC20" s="11">
        <f t="shared" si="0"/>
        <v>0</v>
      </c>
      <c r="AD20" s="11">
        <f t="shared" si="0"/>
        <v>0</v>
      </c>
      <c r="AE20" s="34"/>
      <c r="AF20" s="11">
        <f t="shared" si="1"/>
        <v>4</v>
      </c>
      <c r="AG20" s="11">
        <f t="shared" si="1"/>
        <v>1</v>
      </c>
      <c r="AH20" s="11">
        <f t="shared" si="1"/>
        <v>0</v>
      </c>
      <c r="AI20" s="11">
        <f t="shared" si="1"/>
        <v>0</v>
      </c>
      <c r="AJ20" s="34"/>
      <c r="AK20" s="11">
        <f t="shared" si="2"/>
        <v>110</v>
      </c>
      <c r="AL20" s="11">
        <f t="shared" si="2"/>
        <v>0</v>
      </c>
      <c r="AM20" s="11">
        <f t="shared" si="2"/>
        <v>0</v>
      </c>
      <c r="AN20" s="11">
        <f t="shared" si="2"/>
        <v>0</v>
      </c>
      <c r="AO20" s="35"/>
    </row>
    <row r="21" spans="1:41" x14ac:dyDescent="0.2">
      <c r="A21" s="80">
        <v>16</v>
      </c>
      <c r="B21" s="41">
        <v>644873</v>
      </c>
      <c r="C21" s="14"/>
      <c r="D21" s="14"/>
      <c r="E21" s="41"/>
      <c r="F21" s="18"/>
      <c r="G21" s="18"/>
      <c r="H21" s="15"/>
      <c r="I21" s="40">
        <v>19716</v>
      </c>
      <c r="J21" s="42">
        <v>1572</v>
      </c>
      <c r="K21" s="42"/>
      <c r="L21" s="42"/>
      <c r="M21" s="15"/>
      <c r="N21" s="41">
        <v>223303</v>
      </c>
      <c r="O21" s="41"/>
      <c r="P21" s="41"/>
      <c r="Q21" s="18"/>
      <c r="R21" s="11">
        <f t="shared" si="3"/>
        <v>0</v>
      </c>
      <c r="S21" s="16"/>
      <c r="T21" s="17">
        <v>0</v>
      </c>
      <c r="U21" s="17">
        <v>0</v>
      </c>
      <c r="V21" s="17">
        <v>0</v>
      </c>
      <c r="W21" s="16" t="s">
        <v>30</v>
      </c>
      <c r="X21" s="80">
        <v>16</v>
      </c>
      <c r="Y21" s="11">
        <f t="shared" si="4"/>
        <v>7</v>
      </c>
      <c r="Z21" s="11">
        <f t="shared" si="0"/>
        <v>0</v>
      </c>
      <c r="AA21" s="11">
        <f t="shared" si="0"/>
        <v>0</v>
      </c>
      <c r="AB21" s="11">
        <f t="shared" si="0"/>
        <v>0</v>
      </c>
      <c r="AC21" s="11">
        <f t="shared" si="0"/>
        <v>0</v>
      </c>
      <c r="AD21" s="11">
        <f t="shared" si="0"/>
        <v>0</v>
      </c>
      <c r="AE21" s="34"/>
      <c r="AF21" s="11">
        <f t="shared" si="1"/>
        <v>14</v>
      </c>
      <c r="AG21" s="11">
        <f t="shared" si="1"/>
        <v>3</v>
      </c>
      <c r="AH21" s="11">
        <f t="shared" si="1"/>
        <v>0</v>
      </c>
      <c r="AI21" s="11">
        <f t="shared" si="1"/>
        <v>0</v>
      </c>
      <c r="AJ21" s="34"/>
      <c r="AK21" s="11">
        <f t="shared" si="2"/>
        <v>84</v>
      </c>
      <c r="AL21" s="11">
        <f t="shared" si="2"/>
        <v>0</v>
      </c>
      <c r="AM21" s="11">
        <f t="shared" si="2"/>
        <v>0</v>
      </c>
      <c r="AN21" s="11">
        <f t="shared" si="2"/>
        <v>0</v>
      </c>
      <c r="AO21" s="35"/>
    </row>
    <row r="22" spans="1:41" x14ac:dyDescent="0.2">
      <c r="A22" s="80">
        <v>17</v>
      </c>
      <c r="B22" s="41">
        <v>644833</v>
      </c>
      <c r="C22" s="14"/>
      <c r="D22" s="14"/>
      <c r="E22" s="41"/>
      <c r="F22" s="18"/>
      <c r="G22" s="18"/>
      <c r="H22" s="15"/>
      <c r="I22" s="40">
        <v>19731</v>
      </c>
      <c r="J22" s="42">
        <v>1577</v>
      </c>
      <c r="K22" s="42"/>
      <c r="L22" s="42"/>
      <c r="M22" s="15"/>
      <c r="N22" s="41">
        <v>223373</v>
      </c>
      <c r="O22" s="41"/>
      <c r="P22" s="41"/>
      <c r="Q22" s="18"/>
      <c r="R22" s="11">
        <f t="shared" si="3"/>
        <v>0</v>
      </c>
      <c r="S22" s="16"/>
      <c r="T22" s="17">
        <v>0</v>
      </c>
      <c r="U22" s="17">
        <v>0</v>
      </c>
      <c r="V22" s="17">
        <v>0</v>
      </c>
      <c r="W22" s="16" t="s">
        <v>30</v>
      </c>
      <c r="X22" s="80">
        <v>17</v>
      </c>
      <c r="Y22" s="11">
        <f t="shared" si="4"/>
        <v>-40</v>
      </c>
      <c r="Z22" s="11">
        <f t="shared" si="4"/>
        <v>0</v>
      </c>
      <c r="AA22" s="11">
        <f t="shared" si="4"/>
        <v>0</v>
      </c>
      <c r="AB22" s="11">
        <f t="shared" si="4"/>
        <v>0</v>
      </c>
      <c r="AC22" s="11">
        <f t="shared" si="4"/>
        <v>0</v>
      </c>
      <c r="AD22" s="11">
        <f t="shared" si="4"/>
        <v>0</v>
      </c>
      <c r="AE22" s="34"/>
      <c r="AF22" s="11">
        <f t="shared" ref="AF22:AI36" si="5">I22-I21</f>
        <v>15</v>
      </c>
      <c r="AG22" s="11">
        <f t="shared" si="5"/>
        <v>5</v>
      </c>
      <c r="AH22" s="11">
        <f t="shared" si="5"/>
        <v>0</v>
      </c>
      <c r="AI22" s="11">
        <f t="shared" si="5"/>
        <v>0</v>
      </c>
      <c r="AJ22" s="34"/>
      <c r="AK22" s="11">
        <f t="shared" ref="AK22:AN36" si="6">N22-N21</f>
        <v>70</v>
      </c>
      <c r="AL22" s="11">
        <f t="shared" si="6"/>
        <v>0</v>
      </c>
      <c r="AM22" s="11">
        <f t="shared" si="6"/>
        <v>0</v>
      </c>
      <c r="AN22" s="11">
        <f t="shared" si="6"/>
        <v>0</v>
      </c>
      <c r="AO22" s="35"/>
    </row>
    <row r="23" spans="1:41" x14ac:dyDescent="0.2">
      <c r="A23" s="80">
        <v>18</v>
      </c>
      <c r="B23" s="41">
        <v>644890</v>
      </c>
      <c r="C23" s="14"/>
      <c r="D23" s="14"/>
      <c r="E23" s="41"/>
      <c r="F23" s="18"/>
      <c r="G23" s="18"/>
      <c r="H23" s="15"/>
      <c r="I23" s="40">
        <v>19746</v>
      </c>
      <c r="J23" s="42">
        <v>1584</v>
      </c>
      <c r="K23" s="42"/>
      <c r="L23" s="42"/>
      <c r="M23" s="15"/>
      <c r="N23" s="41">
        <v>223419</v>
      </c>
      <c r="O23" s="41"/>
      <c r="P23" s="41"/>
      <c r="Q23" s="18"/>
      <c r="R23" s="11">
        <f t="shared" si="3"/>
        <v>0</v>
      </c>
      <c r="S23" s="16"/>
      <c r="T23" s="17">
        <v>0</v>
      </c>
      <c r="U23" s="17">
        <v>0</v>
      </c>
      <c r="V23" s="17">
        <v>0</v>
      </c>
      <c r="W23" s="16" t="s">
        <v>30</v>
      </c>
      <c r="X23" s="80">
        <v>18</v>
      </c>
      <c r="Y23" s="11">
        <f t="shared" si="4"/>
        <v>57</v>
      </c>
      <c r="Z23" s="11">
        <f t="shared" si="4"/>
        <v>0</v>
      </c>
      <c r="AA23" s="11">
        <f t="shared" si="4"/>
        <v>0</v>
      </c>
      <c r="AB23" s="11">
        <f t="shared" si="4"/>
        <v>0</v>
      </c>
      <c r="AC23" s="11">
        <f t="shared" si="4"/>
        <v>0</v>
      </c>
      <c r="AD23" s="11">
        <f t="shared" si="4"/>
        <v>0</v>
      </c>
      <c r="AE23" s="34"/>
      <c r="AF23" s="11">
        <f t="shared" si="5"/>
        <v>15</v>
      </c>
      <c r="AG23" s="11">
        <f t="shared" si="5"/>
        <v>7</v>
      </c>
      <c r="AH23" s="11">
        <f t="shared" si="5"/>
        <v>0</v>
      </c>
      <c r="AI23" s="11">
        <f t="shared" si="5"/>
        <v>0</v>
      </c>
      <c r="AJ23" s="34"/>
      <c r="AK23" s="11">
        <f t="shared" si="6"/>
        <v>46</v>
      </c>
      <c r="AL23" s="11">
        <f t="shared" si="6"/>
        <v>0</v>
      </c>
      <c r="AM23" s="11">
        <f t="shared" si="6"/>
        <v>0</v>
      </c>
      <c r="AN23" s="11">
        <f t="shared" si="6"/>
        <v>0</v>
      </c>
      <c r="AO23" s="35"/>
    </row>
    <row r="24" spans="1:41" x14ac:dyDescent="0.2">
      <c r="A24" s="80">
        <v>19</v>
      </c>
      <c r="B24" s="41">
        <v>644964</v>
      </c>
      <c r="C24" s="14"/>
      <c r="D24" s="14"/>
      <c r="E24" s="41"/>
      <c r="F24" s="18"/>
      <c r="G24" s="18"/>
      <c r="H24" s="15"/>
      <c r="I24" s="40">
        <v>19770</v>
      </c>
      <c r="J24" s="42">
        <v>1589</v>
      </c>
      <c r="K24" s="42"/>
      <c r="L24" s="42"/>
      <c r="M24" s="15"/>
      <c r="N24" s="41">
        <v>223460</v>
      </c>
      <c r="O24" s="41"/>
      <c r="P24" s="41"/>
      <c r="Q24" s="18"/>
      <c r="R24" s="11">
        <f t="shared" si="3"/>
        <v>0</v>
      </c>
      <c r="S24" s="16"/>
      <c r="T24" s="17">
        <v>0</v>
      </c>
      <c r="U24" s="17">
        <v>0</v>
      </c>
      <c r="V24" s="17">
        <v>0</v>
      </c>
      <c r="W24" s="16" t="s">
        <v>30</v>
      </c>
      <c r="X24" s="80">
        <v>19</v>
      </c>
      <c r="Y24" s="11">
        <f t="shared" si="4"/>
        <v>74</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41</v>
      </c>
      <c r="AL24" s="11">
        <f t="shared" si="6"/>
        <v>0</v>
      </c>
      <c r="AM24" s="11">
        <f t="shared" si="6"/>
        <v>0</v>
      </c>
      <c r="AN24" s="11">
        <f t="shared" si="6"/>
        <v>0</v>
      </c>
      <c r="AO24" s="35"/>
    </row>
    <row r="25" spans="1:41" x14ac:dyDescent="0.2">
      <c r="A25" s="80">
        <v>20</v>
      </c>
      <c r="B25" s="41">
        <v>645058</v>
      </c>
      <c r="C25" s="14"/>
      <c r="D25" s="14"/>
      <c r="E25" s="41"/>
      <c r="F25" s="18"/>
      <c r="G25" s="18"/>
      <c r="H25" s="15"/>
      <c r="I25" s="40">
        <v>19776</v>
      </c>
      <c r="J25" s="42">
        <v>1589</v>
      </c>
      <c r="K25" s="42"/>
      <c r="L25" s="42"/>
      <c r="M25" s="15"/>
      <c r="N25" s="41">
        <v>223606</v>
      </c>
      <c r="O25" s="41"/>
      <c r="P25" s="41"/>
      <c r="Q25" s="18"/>
      <c r="R25" s="11">
        <f t="shared" si="3"/>
        <v>0</v>
      </c>
      <c r="S25" s="16"/>
      <c r="T25" s="17">
        <v>0</v>
      </c>
      <c r="U25" s="17">
        <v>0</v>
      </c>
      <c r="V25" s="17">
        <v>0</v>
      </c>
      <c r="W25" s="16" t="s">
        <v>30</v>
      </c>
      <c r="X25" s="80">
        <v>20</v>
      </c>
      <c r="Y25" s="11">
        <f t="shared" si="4"/>
        <v>94</v>
      </c>
      <c r="Z25" s="11">
        <f t="shared" si="4"/>
        <v>0</v>
      </c>
      <c r="AA25" s="11">
        <f t="shared" si="4"/>
        <v>0</v>
      </c>
      <c r="AB25" s="11">
        <f t="shared" si="4"/>
        <v>0</v>
      </c>
      <c r="AC25" s="11">
        <f t="shared" si="4"/>
        <v>0</v>
      </c>
      <c r="AD25" s="11">
        <f t="shared" si="4"/>
        <v>0</v>
      </c>
      <c r="AE25" s="34"/>
      <c r="AF25" s="11">
        <f t="shared" si="5"/>
        <v>6</v>
      </c>
      <c r="AG25" s="11">
        <f t="shared" si="5"/>
        <v>0</v>
      </c>
      <c r="AH25" s="11">
        <f t="shared" si="5"/>
        <v>0</v>
      </c>
      <c r="AI25" s="11">
        <f t="shared" si="5"/>
        <v>0</v>
      </c>
      <c r="AJ25" s="34"/>
      <c r="AK25" s="11">
        <f t="shared" si="6"/>
        <v>146</v>
      </c>
      <c r="AL25" s="11">
        <f t="shared" si="6"/>
        <v>0</v>
      </c>
      <c r="AM25" s="11">
        <f t="shared" si="6"/>
        <v>0</v>
      </c>
      <c r="AN25" s="11">
        <f t="shared" si="6"/>
        <v>0</v>
      </c>
      <c r="AO25" s="35"/>
    </row>
    <row r="26" spans="1:41" x14ac:dyDescent="0.2">
      <c r="A26" s="80">
        <v>21</v>
      </c>
      <c r="B26" s="41">
        <v>645149</v>
      </c>
      <c r="C26" s="14"/>
      <c r="D26" s="14"/>
      <c r="E26" s="41"/>
      <c r="F26" s="18"/>
      <c r="G26" s="18"/>
      <c r="H26" s="15"/>
      <c r="I26" s="40">
        <v>19784</v>
      </c>
      <c r="J26" s="42">
        <v>1589</v>
      </c>
      <c r="K26" s="42"/>
      <c r="L26" s="42"/>
      <c r="M26" s="15"/>
      <c r="N26" s="41">
        <v>223670</v>
      </c>
      <c r="O26" s="41"/>
      <c r="P26" s="41"/>
      <c r="Q26" s="18"/>
      <c r="R26" s="11">
        <f t="shared" si="3"/>
        <v>0</v>
      </c>
      <c r="S26" s="16"/>
      <c r="T26" s="17">
        <v>0</v>
      </c>
      <c r="U26" s="17">
        <v>0</v>
      </c>
      <c r="V26" s="17">
        <v>0</v>
      </c>
      <c r="W26" s="16" t="s">
        <v>30</v>
      </c>
      <c r="X26" s="80">
        <v>21</v>
      </c>
      <c r="Y26" s="11">
        <f t="shared" si="4"/>
        <v>91</v>
      </c>
      <c r="Z26" s="11">
        <f t="shared" si="4"/>
        <v>0</v>
      </c>
      <c r="AA26" s="11">
        <f t="shared" si="4"/>
        <v>0</v>
      </c>
      <c r="AB26" s="11">
        <f t="shared" si="4"/>
        <v>0</v>
      </c>
      <c r="AC26" s="11">
        <f t="shared" si="4"/>
        <v>0</v>
      </c>
      <c r="AD26" s="11">
        <f t="shared" si="4"/>
        <v>0</v>
      </c>
      <c r="AE26" s="34"/>
      <c r="AF26" s="11">
        <f t="shared" si="5"/>
        <v>8</v>
      </c>
      <c r="AG26" s="11">
        <f t="shared" si="5"/>
        <v>0</v>
      </c>
      <c r="AH26" s="11">
        <f t="shared" si="5"/>
        <v>0</v>
      </c>
      <c r="AI26" s="11">
        <f t="shared" si="5"/>
        <v>0</v>
      </c>
      <c r="AJ26" s="34"/>
      <c r="AK26" s="11">
        <f t="shared" si="6"/>
        <v>64</v>
      </c>
      <c r="AL26" s="11">
        <f t="shared" si="6"/>
        <v>0</v>
      </c>
      <c r="AM26" s="11">
        <f t="shared" si="6"/>
        <v>0</v>
      </c>
      <c r="AN26" s="11">
        <f t="shared" si="6"/>
        <v>0</v>
      </c>
      <c r="AO26" s="35"/>
    </row>
    <row r="27" spans="1:41" x14ac:dyDescent="0.2">
      <c r="A27" s="80">
        <v>22</v>
      </c>
      <c r="B27" s="41">
        <v>645250</v>
      </c>
      <c r="C27" s="14"/>
      <c r="D27" s="14"/>
      <c r="E27" s="41"/>
      <c r="F27" s="18"/>
      <c r="G27" s="18"/>
      <c r="H27" s="15"/>
      <c r="I27" s="40">
        <v>19790</v>
      </c>
      <c r="J27" s="42">
        <v>1589</v>
      </c>
      <c r="K27" s="42"/>
      <c r="L27" s="42"/>
      <c r="M27" s="15"/>
      <c r="N27" s="41">
        <v>223852</v>
      </c>
      <c r="O27" s="41"/>
      <c r="P27" s="41"/>
      <c r="Q27" s="18"/>
      <c r="R27" s="11">
        <f t="shared" si="3"/>
        <v>0</v>
      </c>
      <c r="S27" s="16"/>
      <c r="T27" s="17">
        <v>0</v>
      </c>
      <c r="U27" s="17">
        <v>0</v>
      </c>
      <c r="V27" s="17">
        <v>0</v>
      </c>
      <c r="W27" s="16" t="s">
        <v>30</v>
      </c>
      <c r="X27" s="80">
        <v>22</v>
      </c>
      <c r="Y27" s="11">
        <f t="shared" si="4"/>
        <v>101</v>
      </c>
      <c r="Z27" s="11">
        <f t="shared" si="4"/>
        <v>0</v>
      </c>
      <c r="AA27" s="11">
        <f t="shared" si="4"/>
        <v>0</v>
      </c>
      <c r="AB27" s="11">
        <f t="shared" si="4"/>
        <v>0</v>
      </c>
      <c r="AC27" s="11">
        <f t="shared" si="4"/>
        <v>0</v>
      </c>
      <c r="AD27" s="11">
        <f t="shared" si="4"/>
        <v>0</v>
      </c>
      <c r="AE27" s="34"/>
      <c r="AF27" s="11">
        <f t="shared" si="5"/>
        <v>6</v>
      </c>
      <c r="AG27" s="11">
        <f t="shared" si="5"/>
        <v>0</v>
      </c>
      <c r="AH27" s="11">
        <f t="shared" si="5"/>
        <v>0</v>
      </c>
      <c r="AI27" s="11">
        <f t="shared" si="5"/>
        <v>0</v>
      </c>
      <c r="AJ27" s="34"/>
      <c r="AK27" s="11">
        <f t="shared" si="6"/>
        <v>182</v>
      </c>
      <c r="AL27" s="11">
        <f t="shared" si="6"/>
        <v>0</v>
      </c>
      <c r="AM27" s="11">
        <f t="shared" si="6"/>
        <v>0</v>
      </c>
      <c r="AN27" s="11">
        <f t="shared" si="6"/>
        <v>0</v>
      </c>
      <c r="AO27" s="35"/>
    </row>
    <row r="28" spans="1:41" x14ac:dyDescent="0.2">
      <c r="A28" s="80">
        <v>23</v>
      </c>
      <c r="B28" s="41">
        <v>645338</v>
      </c>
      <c r="C28" s="14"/>
      <c r="D28" s="14"/>
      <c r="E28" s="41"/>
      <c r="F28" s="18"/>
      <c r="G28" s="18"/>
      <c r="H28" s="15"/>
      <c r="I28" s="40">
        <v>19799</v>
      </c>
      <c r="J28" s="42">
        <v>1589</v>
      </c>
      <c r="K28" s="42"/>
      <c r="L28" s="42"/>
      <c r="M28" s="15"/>
      <c r="N28" s="41">
        <v>223954</v>
      </c>
      <c r="O28" s="41"/>
      <c r="P28" s="41"/>
      <c r="Q28" s="18"/>
      <c r="R28" s="11">
        <f t="shared" si="3"/>
        <v>0</v>
      </c>
      <c r="S28" s="16"/>
      <c r="T28" s="17">
        <v>0</v>
      </c>
      <c r="U28" s="17">
        <v>0</v>
      </c>
      <c r="V28" s="17">
        <v>0</v>
      </c>
      <c r="W28" s="16" t="s">
        <v>30</v>
      </c>
      <c r="X28" s="80">
        <v>23</v>
      </c>
      <c r="Y28" s="11">
        <f t="shared" si="4"/>
        <v>88</v>
      </c>
      <c r="Z28" s="11">
        <f t="shared" si="4"/>
        <v>0</v>
      </c>
      <c r="AA28" s="11">
        <f t="shared" si="4"/>
        <v>0</v>
      </c>
      <c r="AB28" s="11">
        <f t="shared" si="4"/>
        <v>0</v>
      </c>
      <c r="AC28" s="11">
        <f t="shared" si="4"/>
        <v>0</v>
      </c>
      <c r="AD28" s="11">
        <f t="shared" si="4"/>
        <v>0</v>
      </c>
      <c r="AE28" s="34"/>
      <c r="AF28" s="11">
        <f t="shared" si="5"/>
        <v>9</v>
      </c>
      <c r="AG28" s="11">
        <f t="shared" si="5"/>
        <v>0</v>
      </c>
      <c r="AH28" s="11">
        <f t="shared" si="5"/>
        <v>0</v>
      </c>
      <c r="AI28" s="11">
        <f t="shared" si="5"/>
        <v>0</v>
      </c>
      <c r="AJ28" s="34"/>
      <c r="AK28" s="11">
        <f t="shared" si="6"/>
        <v>102</v>
      </c>
      <c r="AL28" s="11">
        <f t="shared" si="6"/>
        <v>0</v>
      </c>
      <c r="AM28" s="11">
        <f t="shared" si="6"/>
        <v>0</v>
      </c>
      <c r="AN28" s="11">
        <f t="shared" si="6"/>
        <v>0</v>
      </c>
      <c r="AO28" s="35"/>
    </row>
    <row r="29" spans="1:41" x14ac:dyDescent="0.2">
      <c r="A29" s="80">
        <v>24</v>
      </c>
      <c r="B29" s="41">
        <v>645216</v>
      </c>
      <c r="C29" s="14"/>
      <c r="D29" s="14"/>
      <c r="E29" s="41"/>
      <c r="F29" s="18"/>
      <c r="G29" s="18"/>
      <c r="H29" s="15"/>
      <c r="I29" s="40">
        <v>19814</v>
      </c>
      <c r="J29" s="42">
        <v>1596</v>
      </c>
      <c r="K29" s="42"/>
      <c r="L29" s="42"/>
      <c r="M29" s="15"/>
      <c r="N29" s="41">
        <v>224029</v>
      </c>
      <c r="O29" s="41"/>
      <c r="P29" s="41"/>
      <c r="Q29" s="18"/>
      <c r="R29" s="11">
        <f t="shared" si="3"/>
        <v>0</v>
      </c>
      <c r="S29" s="16"/>
      <c r="T29" s="17">
        <v>0</v>
      </c>
      <c r="U29" s="17">
        <v>0</v>
      </c>
      <c r="V29" s="17">
        <v>0</v>
      </c>
      <c r="W29" s="16" t="s">
        <v>30</v>
      </c>
      <c r="X29" s="80">
        <v>24</v>
      </c>
      <c r="Y29" s="11">
        <f t="shared" si="4"/>
        <v>-122</v>
      </c>
      <c r="Z29" s="11">
        <f t="shared" si="4"/>
        <v>0</v>
      </c>
      <c r="AA29" s="11">
        <f t="shared" si="4"/>
        <v>0</v>
      </c>
      <c r="AB29" s="11">
        <f t="shared" si="4"/>
        <v>0</v>
      </c>
      <c r="AC29" s="11">
        <f t="shared" si="4"/>
        <v>0</v>
      </c>
      <c r="AD29" s="11">
        <f t="shared" si="4"/>
        <v>0</v>
      </c>
      <c r="AE29" s="34"/>
      <c r="AF29" s="11">
        <f t="shared" si="5"/>
        <v>15</v>
      </c>
      <c r="AG29" s="11">
        <f t="shared" si="5"/>
        <v>7</v>
      </c>
      <c r="AH29" s="11">
        <f t="shared" si="5"/>
        <v>0</v>
      </c>
      <c r="AI29" s="11">
        <f t="shared" si="5"/>
        <v>0</v>
      </c>
      <c r="AJ29" s="34"/>
      <c r="AK29" s="11">
        <f t="shared" si="6"/>
        <v>75</v>
      </c>
      <c r="AL29" s="11">
        <f t="shared" si="6"/>
        <v>0</v>
      </c>
      <c r="AM29" s="11">
        <f t="shared" si="6"/>
        <v>0</v>
      </c>
      <c r="AN29" s="11">
        <f t="shared" si="6"/>
        <v>0</v>
      </c>
      <c r="AO29" s="35"/>
    </row>
    <row r="30" spans="1:41" x14ac:dyDescent="0.2">
      <c r="A30" s="80">
        <v>25</v>
      </c>
      <c r="B30" s="41">
        <v>645274</v>
      </c>
      <c r="C30" s="14"/>
      <c r="D30" s="14"/>
      <c r="E30" s="41"/>
      <c r="F30" s="18"/>
      <c r="G30" s="18"/>
      <c r="H30" s="15"/>
      <c r="I30" s="40">
        <v>19828</v>
      </c>
      <c r="J30" s="42">
        <v>1600</v>
      </c>
      <c r="K30" s="42"/>
      <c r="L30" s="42"/>
      <c r="M30" s="15"/>
      <c r="N30" s="41">
        <v>224110</v>
      </c>
      <c r="O30" s="41"/>
      <c r="P30" s="41"/>
      <c r="Q30" s="18"/>
      <c r="R30" s="11">
        <f t="shared" si="3"/>
        <v>0</v>
      </c>
      <c r="S30" s="16"/>
      <c r="T30" s="17">
        <v>0</v>
      </c>
      <c r="U30" s="17">
        <v>0</v>
      </c>
      <c r="V30" s="17">
        <v>0</v>
      </c>
      <c r="W30" s="16" t="s">
        <v>30</v>
      </c>
      <c r="X30" s="80">
        <v>25</v>
      </c>
      <c r="Y30" s="11">
        <f t="shared" si="4"/>
        <v>58</v>
      </c>
      <c r="Z30" s="11">
        <f t="shared" si="4"/>
        <v>0</v>
      </c>
      <c r="AA30" s="11">
        <f t="shared" si="4"/>
        <v>0</v>
      </c>
      <c r="AB30" s="11">
        <f t="shared" si="4"/>
        <v>0</v>
      </c>
      <c r="AC30" s="11">
        <f t="shared" si="4"/>
        <v>0</v>
      </c>
      <c r="AD30" s="11">
        <f t="shared" si="4"/>
        <v>0</v>
      </c>
      <c r="AE30" s="34"/>
      <c r="AF30" s="11">
        <f t="shared" si="5"/>
        <v>14</v>
      </c>
      <c r="AG30" s="11">
        <f t="shared" si="5"/>
        <v>4</v>
      </c>
      <c r="AH30" s="11">
        <f t="shared" si="5"/>
        <v>0</v>
      </c>
      <c r="AI30" s="11">
        <f t="shared" si="5"/>
        <v>0</v>
      </c>
      <c r="AJ30" s="34"/>
      <c r="AK30" s="11">
        <f t="shared" si="6"/>
        <v>81</v>
      </c>
      <c r="AL30" s="11">
        <f t="shared" si="6"/>
        <v>0</v>
      </c>
      <c r="AM30" s="11">
        <f t="shared" si="6"/>
        <v>0</v>
      </c>
      <c r="AN30" s="11">
        <f t="shared" si="6"/>
        <v>0</v>
      </c>
      <c r="AO30" s="35"/>
    </row>
    <row r="31" spans="1:41" x14ac:dyDescent="0.2">
      <c r="A31" s="80">
        <v>26</v>
      </c>
      <c r="B31" s="41">
        <v>645348</v>
      </c>
      <c r="C31" s="14"/>
      <c r="D31" s="14"/>
      <c r="E31" s="41"/>
      <c r="F31" s="18"/>
      <c r="G31" s="18"/>
      <c r="H31" s="15"/>
      <c r="I31" s="40">
        <v>19832</v>
      </c>
      <c r="J31" s="42">
        <v>1602</v>
      </c>
      <c r="K31" s="42"/>
      <c r="L31" s="42"/>
      <c r="M31" s="15"/>
      <c r="N31" s="41">
        <v>224202</v>
      </c>
      <c r="O31" s="41"/>
      <c r="P31" s="41"/>
      <c r="Q31" s="18"/>
      <c r="R31" s="11">
        <f t="shared" si="3"/>
        <v>0</v>
      </c>
      <c r="S31" s="16"/>
      <c r="T31" s="17">
        <v>0</v>
      </c>
      <c r="U31" s="17">
        <v>0</v>
      </c>
      <c r="V31" s="17">
        <v>0</v>
      </c>
      <c r="W31" s="16" t="s">
        <v>30</v>
      </c>
      <c r="X31" s="80">
        <v>26</v>
      </c>
      <c r="Y31" s="11">
        <f t="shared" si="4"/>
        <v>74</v>
      </c>
      <c r="Z31" s="11">
        <f t="shared" si="4"/>
        <v>0</v>
      </c>
      <c r="AA31" s="11">
        <f t="shared" si="4"/>
        <v>0</v>
      </c>
      <c r="AB31" s="11">
        <f t="shared" si="4"/>
        <v>0</v>
      </c>
      <c r="AC31" s="11">
        <f t="shared" si="4"/>
        <v>0</v>
      </c>
      <c r="AD31" s="11">
        <f t="shared" si="4"/>
        <v>0</v>
      </c>
      <c r="AE31" s="34"/>
      <c r="AF31" s="11">
        <f t="shared" si="5"/>
        <v>4</v>
      </c>
      <c r="AG31" s="11">
        <f t="shared" si="5"/>
        <v>2</v>
      </c>
      <c r="AH31" s="11">
        <f t="shared" si="5"/>
        <v>0</v>
      </c>
      <c r="AI31" s="11">
        <f t="shared" si="5"/>
        <v>0</v>
      </c>
      <c r="AJ31" s="34"/>
      <c r="AK31" s="11">
        <f t="shared" si="6"/>
        <v>92</v>
      </c>
      <c r="AL31" s="11">
        <f t="shared" si="6"/>
        <v>0</v>
      </c>
      <c r="AM31" s="11">
        <f t="shared" si="6"/>
        <v>0</v>
      </c>
      <c r="AN31" s="11">
        <f t="shared" si="6"/>
        <v>0</v>
      </c>
      <c r="AO31" s="35"/>
    </row>
    <row r="32" spans="1:41" x14ac:dyDescent="0.2">
      <c r="A32" s="80">
        <v>27</v>
      </c>
      <c r="B32" s="41">
        <v>645418</v>
      </c>
      <c r="C32" s="14"/>
      <c r="D32" s="14"/>
      <c r="E32" s="41"/>
      <c r="F32" s="18"/>
      <c r="G32" s="18"/>
      <c r="H32" s="15"/>
      <c r="I32" s="40">
        <v>19849</v>
      </c>
      <c r="J32" s="42">
        <v>1603</v>
      </c>
      <c r="K32" s="42"/>
      <c r="L32" s="42"/>
      <c r="M32" s="15"/>
      <c r="N32" s="41">
        <v>224311</v>
      </c>
      <c r="O32" s="41"/>
      <c r="P32" s="41"/>
      <c r="Q32" s="18"/>
      <c r="R32" s="11">
        <f t="shared" si="3"/>
        <v>0</v>
      </c>
      <c r="S32" s="16"/>
      <c r="T32" s="17">
        <v>0</v>
      </c>
      <c r="U32" s="17">
        <v>0</v>
      </c>
      <c r="V32" s="17">
        <v>0</v>
      </c>
      <c r="W32" s="16" t="s">
        <v>30</v>
      </c>
      <c r="X32" s="80">
        <v>27</v>
      </c>
      <c r="Y32" s="11">
        <f t="shared" si="4"/>
        <v>70</v>
      </c>
      <c r="Z32" s="11">
        <f t="shared" si="4"/>
        <v>0</v>
      </c>
      <c r="AA32" s="11">
        <f t="shared" si="4"/>
        <v>0</v>
      </c>
      <c r="AB32" s="11">
        <f t="shared" si="4"/>
        <v>0</v>
      </c>
      <c r="AC32" s="11">
        <f t="shared" si="4"/>
        <v>0</v>
      </c>
      <c r="AD32" s="11">
        <f t="shared" si="4"/>
        <v>0</v>
      </c>
      <c r="AE32" s="34"/>
      <c r="AF32" s="11">
        <f t="shared" si="5"/>
        <v>17</v>
      </c>
      <c r="AG32" s="11">
        <f t="shared" si="5"/>
        <v>1</v>
      </c>
      <c r="AH32" s="11">
        <f t="shared" si="5"/>
        <v>0</v>
      </c>
      <c r="AI32" s="11">
        <f t="shared" si="5"/>
        <v>0</v>
      </c>
      <c r="AJ32" s="34"/>
      <c r="AK32" s="11">
        <f t="shared" si="6"/>
        <v>109</v>
      </c>
      <c r="AL32" s="11">
        <f t="shared" si="6"/>
        <v>0</v>
      </c>
      <c r="AM32" s="11">
        <f t="shared" si="6"/>
        <v>0</v>
      </c>
      <c r="AN32" s="11">
        <f t="shared" si="6"/>
        <v>0</v>
      </c>
      <c r="AO32" s="35"/>
    </row>
    <row r="33" spans="1:41" x14ac:dyDescent="0.2">
      <c r="A33" s="80">
        <v>28</v>
      </c>
      <c r="B33" s="41">
        <v>645493</v>
      </c>
      <c r="C33" s="14"/>
      <c r="D33" s="14"/>
      <c r="E33" s="41"/>
      <c r="F33" s="18"/>
      <c r="G33" s="18"/>
      <c r="H33" s="15"/>
      <c r="I33" s="40">
        <v>19859</v>
      </c>
      <c r="J33" s="42">
        <v>1605</v>
      </c>
      <c r="K33" s="42"/>
      <c r="L33" s="42"/>
      <c r="M33" s="15"/>
      <c r="N33" s="41">
        <v>224407</v>
      </c>
      <c r="O33" s="41"/>
      <c r="P33" s="41"/>
      <c r="Q33" s="18"/>
      <c r="R33" s="11">
        <f t="shared" si="3"/>
        <v>0</v>
      </c>
      <c r="S33" s="16"/>
      <c r="T33" s="17">
        <v>0</v>
      </c>
      <c r="U33" s="17">
        <v>0</v>
      </c>
      <c r="V33" s="17">
        <v>0</v>
      </c>
      <c r="W33" s="16" t="s">
        <v>30</v>
      </c>
      <c r="X33" s="80">
        <v>28</v>
      </c>
      <c r="Y33" s="11">
        <f t="shared" si="4"/>
        <v>75</v>
      </c>
      <c r="Z33" s="11">
        <f t="shared" si="4"/>
        <v>0</v>
      </c>
      <c r="AA33" s="11">
        <f t="shared" si="4"/>
        <v>0</v>
      </c>
      <c r="AB33" s="11">
        <f t="shared" si="4"/>
        <v>0</v>
      </c>
      <c r="AC33" s="11">
        <f t="shared" si="4"/>
        <v>0</v>
      </c>
      <c r="AD33" s="11">
        <f t="shared" si="4"/>
        <v>0</v>
      </c>
      <c r="AE33" s="34"/>
      <c r="AF33" s="11">
        <f t="shared" si="5"/>
        <v>10</v>
      </c>
      <c r="AG33" s="11">
        <f t="shared" si="5"/>
        <v>2</v>
      </c>
      <c r="AH33" s="11">
        <f t="shared" si="5"/>
        <v>0</v>
      </c>
      <c r="AI33" s="11">
        <f t="shared" si="5"/>
        <v>0</v>
      </c>
      <c r="AJ33" s="34"/>
      <c r="AK33" s="11">
        <f t="shared" si="6"/>
        <v>96</v>
      </c>
      <c r="AL33" s="11">
        <f t="shared" si="6"/>
        <v>0</v>
      </c>
      <c r="AM33" s="11">
        <f t="shared" si="6"/>
        <v>0</v>
      </c>
      <c r="AN33" s="11">
        <f t="shared" si="6"/>
        <v>0</v>
      </c>
      <c r="AO33" s="35"/>
    </row>
    <row r="34" spans="1:41" x14ac:dyDescent="0.2">
      <c r="A34" s="80">
        <v>29</v>
      </c>
      <c r="B34" s="41">
        <v>645568</v>
      </c>
      <c r="C34" s="14"/>
      <c r="D34" s="14"/>
      <c r="E34" s="41"/>
      <c r="F34" s="18"/>
      <c r="G34" s="18"/>
      <c r="H34" s="15"/>
      <c r="I34" s="40">
        <v>19870</v>
      </c>
      <c r="J34" s="42">
        <v>1607</v>
      </c>
      <c r="K34" s="42"/>
      <c r="L34" s="42"/>
      <c r="M34" s="15"/>
      <c r="N34" s="41">
        <v>224503</v>
      </c>
      <c r="O34" s="41"/>
      <c r="P34" s="41"/>
      <c r="Q34" s="18"/>
      <c r="R34" s="11"/>
      <c r="S34" s="16"/>
      <c r="T34" s="17">
        <v>0</v>
      </c>
      <c r="U34" s="17">
        <v>0</v>
      </c>
      <c r="V34" s="17">
        <v>0</v>
      </c>
      <c r="W34" s="16" t="s">
        <v>30</v>
      </c>
      <c r="X34" s="80">
        <v>29</v>
      </c>
      <c r="Y34" s="11">
        <f t="shared" ref="Y34:Y36" si="7">B34-B33</f>
        <v>75</v>
      </c>
      <c r="Z34" s="11">
        <f t="shared" ref="Z34:AD36" si="8">C34-C33</f>
        <v>0</v>
      </c>
      <c r="AA34" s="11">
        <f t="shared" si="8"/>
        <v>0</v>
      </c>
      <c r="AB34" s="11">
        <f t="shared" si="8"/>
        <v>0</v>
      </c>
      <c r="AC34" s="11">
        <f t="shared" si="8"/>
        <v>0</v>
      </c>
      <c r="AD34" s="11">
        <f t="shared" si="8"/>
        <v>0</v>
      </c>
      <c r="AE34" s="34"/>
      <c r="AF34" s="11">
        <f t="shared" si="5"/>
        <v>11</v>
      </c>
      <c r="AG34" s="11">
        <f t="shared" si="5"/>
        <v>2</v>
      </c>
      <c r="AH34" s="11">
        <f t="shared" si="5"/>
        <v>0</v>
      </c>
      <c r="AI34" s="11">
        <f t="shared" si="5"/>
        <v>0</v>
      </c>
      <c r="AJ34" s="34"/>
      <c r="AK34" s="11">
        <f t="shared" si="6"/>
        <v>96</v>
      </c>
      <c r="AL34" s="11">
        <f t="shared" si="6"/>
        <v>0</v>
      </c>
      <c r="AM34" s="11">
        <f t="shared" si="6"/>
        <v>0</v>
      </c>
      <c r="AN34" s="11">
        <f t="shared" si="6"/>
        <v>0</v>
      </c>
      <c r="AO34" s="35"/>
    </row>
    <row r="35" spans="1:41" x14ac:dyDescent="0.2">
      <c r="A35" s="80">
        <v>30</v>
      </c>
      <c r="B35" s="41"/>
      <c r="C35" s="14"/>
      <c r="D35" s="14"/>
      <c r="E35" s="41"/>
      <c r="F35" s="18"/>
      <c r="G35" s="18"/>
      <c r="H35" s="15"/>
      <c r="I35" s="40"/>
      <c r="J35" s="42"/>
      <c r="K35" s="42"/>
      <c r="L35" s="42"/>
      <c r="M35" s="15"/>
      <c r="N35" s="41"/>
      <c r="O35" s="41"/>
      <c r="P35" s="41"/>
      <c r="Q35" s="18"/>
      <c r="R35" s="11"/>
      <c r="S35" s="16"/>
      <c r="T35" s="17">
        <v>0</v>
      </c>
      <c r="U35" s="17">
        <v>0</v>
      </c>
      <c r="V35" s="17">
        <v>0</v>
      </c>
      <c r="W35" s="16"/>
      <c r="X35" s="80">
        <v>30</v>
      </c>
      <c r="Y35" s="11">
        <f t="shared" si="7"/>
        <v>-645568</v>
      </c>
      <c r="Z35" s="11">
        <f t="shared" si="8"/>
        <v>0</v>
      </c>
      <c r="AA35" s="11">
        <f t="shared" si="8"/>
        <v>0</v>
      </c>
      <c r="AB35" s="11">
        <f t="shared" si="8"/>
        <v>0</v>
      </c>
      <c r="AC35" s="11">
        <f t="shared" si="8"/>
        <v>0</v>
      </c>
      <c r="AD35" s="11">
        <f t="shared" si="8"/>
        <v>0</v>
      </c>
      <c r="AE35" s="34"/>
      <c r="AF35" s="11">
        <f t="shared" si="5"/>
        <v>-19870</v>
      </c>
      <c r="AG35" s="11">
        <f t="shared" si="5"/>
        <v>-1607</v>
      </c>
      <c r="AH35" s="11">
        <f t="shared" si="5"/>
        <v>0</v>
      </c>
      <c r="AI35" s="11">
        <f t="shared" si="5"/>
        <v>0</v>
      </c>
      <c r="AJ35" s="34"/>
      <c r="AK35" s="11">
        <f t="shared" si="6"/>
        <v>-224503</v>
      </c>
      <c r="AL35" s="11">
        <f t="shared" si="6"/>
        <v>0</v>
      </c>
      <c r="AM35" s="11">
        <f t="shared" si="6"/>
        <v>0</v>
      </c>
      <c r="AN35" s="11">
        <f t="shared" si="6"/>
        <v>0</v>
      </c>
      <c r="AO35" s="35"/>
    </row>
    <row r="36" spans="1:41" x14ac:dyDescent="0.2">
      <c r="A36" s="80">
        <v>31</v>
      </c>
      <c r="B36" s="41"/>
      <c r="C36" s="14"/>
      <c r="D36" s="14"/>
      <c r="E36" s="41"/>
      <c r="F36" s="18"/>
      <c r="G36" s="18"/>
      <c r="H36" s="15"/>
      <c r="I36" s="40"/>
      <c r="J36" s="42"/>
      <c r="K36" s="42"/>
      <c r="L36" s="42"/>
      <c r="M36" s="15"/>
      <c r="N36" s="41"/>
      <c r="O36" s="41"/>
      <c r="P36" s="41"/>
      <c r="Q36" s="18"/>
      <c r="R36" s="11"/>
      <c r="S36" s="16"/>
      <c r="T36" s="17">
        <v>0</v>
      </c>
      <c r="U36" s="17">
        <v>0</v>
      </c>
      <c r="V36" s="17">
        <v>0</v>
      </c>
      <c r="W36" s="16"/>
      <c r="X36" s="80">
        <v>31</v>
      </c>
      <c r="Y36" s="11">
        <f t="shared" si="7"/>
        <v>0</v>
      </c>
      <c r="Z36" s="11">
        <f t="shared" si="8"/>
        <v>0</v>
      </c>
      <c r="AA36" s="11">
        <f t="shared" si="8"/>
        <v>0</v>
      </c>
      <c r="AB36" s="11">
        <f t="shared" si="8"/>
        <v>0</v>
      </c>
      <c r="AC36" s="11">
        <f t="shared" si="8"/>
        <v>0</v>
      </c>
      <c r="AD36" s="11">
        <f t="shared" si="8"/>
        <v>0</v>
      </c>
      <c r="AE36" s="34"/>
      <c r="AF36" s="11">
        <f t="shared" si="5"/>
        <v>0</v>
      </c>
      <c r="AG36" s="11">
        <f t="shared" si="5"/>
        <v>0</v>
      </c>
      <c r="AH36" s="11">
        <f t="shared" si="5"/>
        <v>0</v>
      </c>
      <c r="AI36" s="11">
        <f t="shared" si="5"/>
        <v>0</v>
      </c>
      <c r="AJ36" s="34"/>
      <c r="AK36" s="11">
        <f t="shared" si="6"/>
        <v>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80" t="s">
        <v>34</v>
      </c>
      <c r="B39" s="10">
        <f t="shared" ref="B39:G39" si="9">LARGE(B5:B36, 1)</f>
        <v>645568</v>
      </c>
      <c r="C39" s="11">
        <f t="shared" si="9"/>
        <v>0</v>
      </c>
      <c r="D39" s="11">
        <f t="shared" si="9"/>
        <v>0</v>
      </c>
      <c r="E39" s="22">
        <f t="shared" si="9"/>
        <v>973328</v>
      </c>
      <c r="F39" s="10">
        <f t="shared" si="9"/>
        <v>78080</v>
      </c>
      <c r="G39" s="10">
        <f t="shared" si="9"/>
        <v>21830</v>
      </c>
      <c r="H39" s="23"/>
      <c r="I39" s="10">
        <f>LARGE(I5:I36, 1)</f>
        <v>19870</v>
      </c>
      <c r="J39" s="24">
        <f>LARGE(J5:J36, 1)</f>
        <v>1607</v>
      </c>
      <c r="K39" s="24">
        <f>LARGE(K5:K36, 1)</f>
        <v>25201</v>
      </c>
      <c r="L39" s="24">
        <f>LARGE(L5:L36, 1)</f>
        <v>114</v>
      </c>
      <c r="M39" s="8"/>
      <c r="N39" s="22">
        <f>LARGE(N5:N36, 1)</f>
        <v>224503</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0">AVERAGEIF($W$6:$W$36, "x",Y6:Y36)</f>
        <v>63.241379310344826</v>
      </c>
      <c r="Z39" s="55">
        <f t="shared" si="10"/>
        <v>0</v>
      </c>
      <c r="AA39" s="55">
        <f t="shared" si="10"/>
        <v>0</v>
      </c>
      <c r="AB39" s="55">
        <f t="shared" si="10"/>
        <v>-33563.034482758623</v>
      </c>
      <c r="AC39" s="55">
        <f t="shared" si="10"/>
        <v>-2692.4137931034484</v>
      </c>
      <c r="AD39" s="55">
        <f t="shared" si="10"/>
        <v>-752.75862068965512</v>
      </c>
      <c r="AE39" s="56"/>
      <c r="AF39" s="55">
        <f>AVERAGEIF($W$6:$W$36, "x",AF6:AF36)</f>
        <v>11.896551724137931</v>
      </c>
      <c r="AG39" s="55">
        <f>AVERAGEIF($W$6:$W$36, "x",AG6:AG36)</f>
        <v>2.6551724137931036</v>
      </c>
      <c r="AH39" s="55">
        <f>AVERAGEIF($W$6:$W$36, "x",AH6:AH36)</f>
        <v>-869</v>
      </c>
      <c r="AI39" s="55">
        <f>AVERAGEIF($W$6:$W$36, "x",AI6:AI36)</f>
        <v>-3.9310344827586206</v>
      </c>
      <c r="AJ39" s="56"/>
      <c r="AK39" s="55">
        <f>AVERAGEIF($W$6:$W$36, "x",AK6:AK36)</f>
        <v>93.241379310344826</v>
      </c>
      <c r="AL39" s="55">
        <f>AVERAGEIF($W$6:$W$36, "x",AL6:AL36)</f>
        <v>-14221.931034482759</v>
      </c>
      <c r="AM39" s="55">
        <f>AVERAGEIF($W$6:$W$36, "x",AM6:AM36)</f>
        <v>-20161.241379310344</v>
      </c>
      <c r="AN39" s="55">
        <f>AVERAGEIF($W$6:$W$36, "x",AN6:AN36)</f>
        <v>-756.79310344827582</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1834</v>
      </c>
      <c r="C42" s="26">
        <f t="shared" ref="C42:V42" si="11">C39-C5</f>
        <v>0</v>
      </c>
      <c r="D42" s="26">
        <f t="shared" si="11"/>
        <v>0</v>
      </c>
      <c r="E42" s="26">
        <f t="shared" si="11"/>
        <v>0</v>
      </c>
      <c r="F42" s="26">
        <f t="shared" si="11"/>
        <v>0</v>
      </c>
      <c r="G42" s="26">
        <f t="shared" si="11"/>
        <v>0</v>
      </c>
      <c r="I42" s="26">
        <f t="shared" si="11"/>
        <v>345</v>
      </c>
      <c r="J42" s="26">
        <f t="shared" si="11"/>
        <v>77</v>
      </c>
      <c r="K42" s="26">
        <f t="shared" si="11"/>
        <v>0</v>
      </c>
      <c r="L42" s="26">
        <f t="shared" si="11"/>
        <v>0</v>
      </c>
      <c r="N42" s="26">
        <f t="shared" si="11"/>
        <v>2704</v>
      </c>
      <c r="O42" s="26">
        <f t="shared" si="11"/>
        <v>0</v>
      </c>
      <c r="P42" s="26">
        <f t="shared" si="11"/>
        <v>0</v>
      </c>
      <c r="Q42" s="26">
        <f t="shared" si="11"/>
        <v>0</v>
      </c>
      <c r="R42" s="26"/>
      <c r="T42" s="26">
        <f t="shared" si="11"/>
        <v>0</v>
      </c>
      <c r="U42" s="26">
        <f t="shared" si="11"/>
        <v>0</v>
      </c>
      <c r="V42" s="26">
        <f t="shared" si="11"/>
        <v>0</v>
      </c>
      <c r="X42" s="96"/>
      <c r="Y42" s="53">
        <f>Jan!Y39</f>
        <v>78.903225806451616</v>
      </c>
      <c r="Z42" s="53">
        <f>Jan!Z39</f>
        <v>0</v>
      </c>
      <c r="AA42" s="53">
        <f>Jan!AA39</f>
        <v>0</v>
      </c>
      <c r="AB42" s="53">
        <f>Jan!AB39</f>
        <v>-31397.677419354837</v>
      </c>
      <c r="AC42" s="53">
        <f>Jan!AC39</f>
        <v>-2518.7096774193546</v>
      </c>
      <c r="AD42" s="53">
        <f>Jan!AD39</f>
        <v>-704.19354838709683</v>
      </c>
      <c r="AE42" s="57"/>
      <c r="AF42" s="53">
        <f>Jan!AF39</f>
        <v>11.67741935483871</v>
      </c>
      <c r="AG42" s="53">
        <f>Jan!AG39</f>
        <v>1.8064516129032258</v>
      </c>
      <c r="AH42" s="53">
        <f>Jan!AH39</f>
        <v>-812.93548387096769</v>
      </c>
      <c r="AI42" s="53">
        <f>Jan!AI39</f>
        <v>-3.6774193548387095</v>
      </c>
      <c r="AJ42" s="57"/>
      <c r="AK42" s="53">
        <f>Jan!AK39</f>
        <v>95.774193548387103</v>
      </c>
      <c r="AL42" s="53">
        <f>Jan!AL39</f>
        <v>-13284.032258064517</v>
      </c>
      <c r="AM42" s="53">
        <f>Jan!AM39</f>
        <v>-18857.483870967742</v>
      </c>
      <c r="AN42" s="53">
        <f>Jan!AN39</f>
        <v>-693.22580645161293</v>
      </c>
    </row>
    <row r="43" spans="1:41" x14ac:dyDescent="0.2">
      <c r="X43" s="80">
        <v>1.5</v>
      </c>
      <c r="Y43" s="54">
        <f>Y42*$X$43</f>
        <v>118.35483870967742</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17.516129032258064</v>
      </c>
      <c r="AG43" s="54">
        <f t="shared" si="13"/>
        <v>2.7096774193548385</v>
      </c>
      <c r="AH43" s="54">
        <f t="shared" si="13"/>
        <v>-1219.4032258064515</v>
      </c>
      <c r="AI43" s="54">
        <f t="shared" si="13"/>
        <v>-5.5161290322580641</v>
      </c>
      <c r="AJ43" s="56"/>
      <c r="AK43" s="54">
        <f t="shared" ref="AK43:AN43" si="14">AK42*$X$43</f>
        <v>143.66129032258067</v>
      </c>
      <c r="AL43" s="54">
        <f t="shared" si="14"/>
        <v>-19926.048387096776</v>
      </c>
      <c r="AM43" s="54">
        <f t="shared" si="14"/>
        <v>-28286.225806451614</v>
      </c>
      <c r="AN43" s="54">
        <f t="shared" si="14"/>
        <v>-1039.8387096774195</v>
      </c>
    </row>
    <row r="44" spans="1:41" x14ac:dyDescent="0.2">
      <c r="R44" s="31" t="s">
        <v>35</v>
      </c>
      <c r="X44" s="80">
        <v>0.5</v>
      </c>
      <c r="Y44" s="54">
        <f>Y42*$X$44</f>
        <v>39.451612903225808</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5.838709677419355</v>
      </c>
      <c r="AG44" s="54">
        <f t="shared" si="16"/>
        <v>0.90322580645161288</v>
      </c>
      <c r="AH44" s="54">
        <f t="shared" si="16"/>
        <v>-406.46774193548384</v>
      </c>
      <c r="AI44" s="54">
        <f t="shared" si="16"/>
        <v>-1.8387096774193548</v>
      </c>
      <c r="AJ44" s="56"/>
      <c r="AK44" s="54">
        <f t="shared" ref="AK44:AL44" si="17">AK42*$X$44</f>
        <v>47.887096774193552</v>
      </c>
      <c r="AL44" s="54">
        <f t="shared" si="17"/>
        <v>-6642.0161290322585</v>
      </c>
      <c r="AM44" s="54">
        <v>0</v>
      </c>
      <c r="AN44" s="54">
        <v>0</v>
      </c>
    </row>
    <row r="45" spans="1:41" x14ac:dyDescent="0.2">
      <c r="R45" s="11">
        <f>AVERAGE(R6:R36)</f>
        <v>-783.82142857142856</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-783.82142857142856</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762" priority="159" operator="lessThan">
      <formula>0</formula>
    </cfRule>
  </conditionalFormatting>
  <conditionalFormatting sqref="Y43:AD44 AF43:AI44 AK43:AN44">
    <cfRule type="cellIs" dxfId="761" priority="158" operator="lessThan">
      <formula>0</formula>
    </cfRule>
  </conditionalFormatting>
  <conditionalFormatting sqref="Y39:AN39">
    <cfRule type="cellIs" dxfId="760" priority="52" operator="lessThan">
      <formula>0</formula>
    </cfRule>
  </conditionalFormatting>
  <conditionalFormatting sqref="Y39">
    <cfRule type="cellIs" dxfId="759" priority="50" operator="lessThan">
      <formula>$Y$44</formula>
    </cfRule>
    <cfRule type="cellIs" dxfId="758" priority="51" operator="greaterThan">
      <formula>$Y$43</formula>
    </cfRule>
  </conditionalFormatting>
  <conditionalFormatting sqref="AB39">
    <cfRule type="cellIs" dxfId="757" priority="48" operator="lessThan">
      <formula>$AB$44</formula>
    </cfRule>
    <cfRule type="cellIs" dxfId="756" priority="49" operator="greaterThan">
      <formula>$AB$43</formula>
    </cfRule>
  </conditionalFormatting>
  <conditionalFormatting sqref="AC39">
    <cfRule type="cellIs" dxfId="755" priority="46" operator="lessThan">
      <formula>$AC$44</formula>
    </cfRule>
    <cfRule type="cellIs" dxfId="754" priority="47" operator="greaterThan">
      <formula>$AC$43</formula>
    </cfRule>
  </conditionalFormatting>
  <conditionalFormatting sqref="AD39">
    <cfRule type="cellIs" dxfId="753" priority="44" operator="lessThan">
      <formula>$AD$44</formula>
    </cfRule>
    <cfRule type="cellIs" dxfId="752" priority="45" operator="greaterThan">
      <formula>$AD$43</formula>
    </cfRule>
  </conditionalFormatting>
  <conditionalFormatting sqref="AF39">
    <cfRule type="cellIs" dxfId="751" priority="42" operator="lessThan">
      <formula>$AF$44</formula>
    </cfRule>
    <cfRule type="cellIs" dxfId="750" priority="43" operator="greaterThan">
      <formula>$AF$43</formula>
    </cfRule>
  </conditionalFormatting>
  <conditionalFormatting sqref="AG39">
    <cfRule type="cellIs" dxfId="749" priority="40" operator="lessThan">
      <formula>$AG$44</formula>
    </cfRule>
    <cfRule type="cellIs" dxfId="748" priority="41" operator="greaterThan">
      <formula>$AG$43</formula>
    </cfRule>
  </conditionalFormatting>
  <conditionalFormatting sqref="AH39">
    <cfRule type="cellIs" dxfId="747" priority="38" operator="lessThan">
      <formula>$AH$44</formula>
    </cfRule>
    <cfRule type="cellIs" dxfId="746" priority="39" operator="greaterThan">
      <formula>$AH$43</formula>
    </cfRule>
  </conditionalFormatting>
  <conditionalFormatting sqref="AI39">
    <cfRule type="cellIs" dxfId="745" priority="36" operator="lessThan">
      <formula>$AI$44</formula>
    </cfRule>
    <cfRule type="cellIs" dxfId="744" priority="37" operator="greaterThan">
      <formula>$AI$43</formula>
    </cfRule>
  </conditionalFormatting>
  <conditionalFormatting sqref="AK39">
    <cfRule type="cellIs" dxfId="743" priority="34" operator="lessThan">
      <formula>$AK$44</formula>
    </cfRule>
    <cfRule type="cellIs" dxfId="742" priority="35" operator="greaterThan">
      <formula>$AK$43</formula>
    </cfRule>
  </conditionalFormatting>
  <conditionalFormatting sqref="AL39">
    <cfRule type="cellIs" dxfId="741" priority="32" operator="lessThan">
      <formula>$AL$44</formula>
    </cfRule>
    <cfRule type="cellIs" dxfId="740" priority="33" operator="greaterThan">
      <formula>$AL$43</formula>
    </cfRule>
  </conditionalFormatting>
  <conditionalFormatting sqref="AM39">
    <cfRule type="cellIs" dxfId="739" priority="30" operator="lessThan">
      <formula>$AM$44</formula>
    </cfRule>
    <cfRule type="cellIs" dxfId="738" priority="31" operator="greaterThan">
      <formula>$AM$43</formula>
    </cfRule>
  </conditionalFormatting>
  <conditionalFormatting sqref="AN39">
    <cfRule type="cellIs" dxfId="737" priority="28" operator="lessThan">
      <formula>$AN$44</formula>
    </cfRule>
    <cfRule type="cellIs" dxfId="736" priority="29" operator="greaterThan">
      <formula>$AN$43</formula>
    </cfRule>
  </conditionalFormatting>
  <conditionalFormatting sqref="AB6:AB36">
    <cfRule type="cellIs" dxfId="735" priority="27" operator="notBetween">
      <formula>$AB$44</formula>
      <formula>$AB$43</formula>
    </cfRule>
  </conditionalFormatting>
  <conditionalFormatting sqref="AC6:AC36">
    <cfRule type="cellIs" dxfId="734" priority="16" operator="notBetween">
      <formula>$AC$43</formula>
      <formula>$AC$44</formula>
    </cfRule>
  </conditionalFormatting>
  <conditionalFormatting sqref="Y6:AN36">
    <cfRule type="cellIs" dxfId="733" priority="2" stopIfTrue="1" operator="equal">
      <formula>0</formula>
    </cfRule>
    <cfRule type="cellIs" dxfId="732" priority="3" stopIfTrue="1" operator="lessThan">
      <formula>0</formula>
    </cfRule>
  </conditionalFormatting>
  <conditionalFormatting sqref="Y6:Y36">
    <cfRule type="cellIs" dxfId="731" priority="25" operator="notBetween">
      <formula>$Y$44</formula>
      <formula>$Y$43</formula>
    </cfRule>
  </conditionalFormatting>
  <conditionalFormatting sqref="AD6:AD36">
    <cfRule type="cellIs" dxfId="730" priority="17" operator="notBetween">
      <formula>$AD$44</formula>
      <formula>$AD$43</formula>
    </cfRule>
  </conditionalFormatting>
  <conditionalFormatting sqref="AF6:AF36">
    <cfRule type="cellIs" dxfId="729" priority="18" operator="notBetween">
      <formula>$AF$44</formula>
      <formula>$AF$43</formula>
    </cfRule>
  </conditionalFormatting>
  <conditionalFormatting sqref="AG6:AG36">
    <cfRule type="cellIs" dxfId="728" priority="19" operator="notBetween">
      <formula>$AG$44</formula>
      <formula>$AG$43</formula>
    </cfRule>
  </conditionalFormatting>
  <conditionalFormatting sqref="AH6:AH36">
    <cfRule type="cellIs" dxfId="727" priority="20" operator="notBetween">
      <formula>$AH$44</formula>
      <formula>$AH$43</formula>
    </cfRule>
  </conditionalFormatting>
  <conditionalFormatting sqref="AI6:AI36">
    <cfRule type="cellIs" dxfId="726" priority="21" operator="notBetween">
      <formula>$AI$44</formula>
      <formula>$AI$43</formula>
    </cfRule>
  </conditionalFormatting>
  <conditionalFormatting sqref="AK6:AK36">
    <cfRule type="cellIs" dxfId="725" priority="22" operator="notBetween">
      <formula>$AK$44</formula>
      <formula>$AK$43</formula>
    </cfRule>
  </conditionalFormatting>
  <conditionalFormatting sqref="AL6:AL36">
    <cfRule type="cellIs" dxfId="724" priority="23" operator="notBetween">
      <formula>$AL$44</formula>
      <formula>$AL$43</formula>
    </cfRule>
  </conditionalFormatting>
  <conditionalFormatting sqref="AM6:AM36">
    <cfRule type="cellIs" dxfId="723" priority="26" operator="notBetween">
      <formula>$AM$44</formula>
      <formula>$AM$43</formula>
    </cfRule>
  </conditionalFormatting>
  <conditionalFormatting sqref="AN6:AN36">
    <cfRule type="cellIs" dxfId="722" priority="24" operator="notBetween">
      <formula>$AN$44</formula>
      <formula>$AN$43</formula>
    </cfRule>
  </conditionalFormatting>
  <conditionalFormatting sqref="AG6:AG39">
    <cfRule type="cellIs" dxfId="721" priority="13" stopIfTrue="1" operator="greaterThan">
      <formula>$AG$43*2</formula>
    </cfRule>
  </conditionalFormatting>
  <conditionalFormatting sqref="Y6:Y39">
    <cfRule type="cellIs" dxfId="720" priority="15" stopIfTrue="1" operator="greaterThan">
      <formula>$Y$43*2</formula>
    </cfRule>
  </conditionalFormatting>
  <conditionalFormatting sqref="AB6:AB39">
    <cfRule type="cellIs" dxfId="719" priority="14" stopIfTrue="1" operator="greaterThan">
      <formula>$AB$43*2</formula>
    </cfRule>
  </conditionalFormatting>
  <conditionalFormatting sqref="AC6:AC39">
    <cfRule type="cellIs" dxfId="718" priority="4" stopIfTrue="1" operator="greaterThan">
      <formula>$AC$43*2</formula>
    </cfRule>
  </conditionalFormatting>
  <conditionalFormatting sqref="AD6:AD39">
    <cfRule type="cellIs" dxfId="717" priority="5" stopIfTrue="1" operator="greaterThan">
      <formula>$AD$43*2</formula>
    </cfRule>
  </conditionalFormatting>
  <conditionalFormatting sqref="AF6:AF39">
    <cfRule type="cellIs" dxfId="716" priority="6" stopIfTrue="1" operator="greaterThan">
      <formula>$AF$43*2</formula>
    </cfRule>
  </conditionalFormatting>
  <conditionalFormatting sqref="AH6:AH39">
    <cfRule type="cellIs" dxfId="715" priority="7" stopIfTrue="1" operator="greaterThan">
      <formula>$AH$43*2</formula>
    </cfRule>
  </conditionalFormatting>
  <conditionalFormatting sqref="AI6:AI39">
    <cfRule type="cellIs" dxfId="714" priority="8" stopIfTrue="1" operator="greaterThan">
      <formula>$AI$43*2</formula>
    </cfRule>
  </conditionalFormatting>
  <conditionalFormatting sqref="AK6:AK39">
    <cfRule type="cellIs" dxfId="713" priority="10" stopIfTrue="1" operator="greaterThan">
      <formula>$AK$43*2</formula>
    </cfRule>
  </conditionalFormatting>
  <conditionalFormatting sqref="AL6:AL39">
    <cfRule type="cellIs" dxfId="712" priority="9" stopIfTrue="1" operator="greaterThan">
      <formula>$AL$43*2</formula>
    </cfRule>
  </conditionalFormatting>
  <conditionalFormatting sqref="AM6:AM39">
    <cfRule type="cellIs" dxfId="711" priority="11" stopIfTrue="1" operator="greaterThan">
      <formula>$AM$43*2</formula>
    </cfRule>
  </conditionalFormatting>
  <conditionalFormatting sqref="AN6:AN39">
    <cfRule type="cellIs" dxfId="710"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89" fitToWidth="2" orientation="landscape" horizontalDpi="4294967295" verticalDpi="4294967295" r:id="rId1"/>
  <headerFooter alignWithMargins="0">
    <oddHeader>&amp;CFebruary Meter Reading</oddHeader>
    <oddFooter>&amp;A</oddFooter>
  </headerFooter>
  <colBreaks count="1" manualBreakCount="1">
    <brk id="23" max="4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51"/>
  <sheetViews>
    <sheetView zoomScaleNormal="100" workbookViewId="0">
      <pane ySplit="3" topLeftCell="A4" activePane="bottomLeft" state="frozen"/>
      <selection pane="bottomLeft" activeCell="A4" sqref="A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93"/>
      <c r="B1" s="87" t="s">
        <v>0</v>
      </c>
      <c r="C1" s="88"/>
      <c r="D1" s="88"/>
      <c r="E1" s="88"/>
      <c r="F1" s="88"/>
      <c r="G1" s="89"/>
      <c r="H1" s="1"/>
      <c r="I1" s="86" t="s">
        <v>1</v>
      </c>
      <c r="J1" s="86"/>
      <c r="K1" s="86"/>
      <c r="L1" s="86"/>
      <c r="M1" s="1"/>
      <c r="N1" s="87" t="s">
        <v>2</v>
      </c>
      <c r="O1" s="88"/>
      <c r="P1" s="88"/>
      <c r="Q1" s="89"/>
      <c r="R1" s="78"/>
      <c r="S1" s="1"/>
      <c r="T1" s="84" t="s">
        <v>3</v>
      </c>
      <c r="U1" s="84"/>
      <c r="V1" s="84"/>
      <c r="X1" s="93"/>
      <c r="Y1" s="87" t="s">
        <v>0</v>
      </c>
      <c r="Z1" s="88"/>
      <c r="AA1" s="88"/>
      <c r="AB1" s="88"/>
      <c r="AC1" s="88"/>
      <c r="AD1" s="89"/>
      <c r="AE1" s="1"/>
      <c r="AF1" s="86" t="s">
        <v>1</v>
      </c>
      <c r="AG1" s="86"/>
      <c r="AH1" s="86"/>
      <c r="AI1" s="86"/>
      <c r="AJ1" s="1"/>
      <c r="AK1" s="87" t="s">
        <v>2</v>
      </c>
      <c r="AL1" s="88"/>
      <c r="AM1" s="88"/>
      <c r="AN1" s="89"/>
    </row>
    <row r="2" spans="1:41" x14ac:dyDescent="0.2">
      <c r="A2" s="94"/>
      <c r="B2" s="84" t="s">
        <v>6</v>
      </c>
      <c r="C2" s="84"/>
      <c r="D2" s="84"/>
      <c r="E2" s="90"/>
      <c r="F2" s="91"/>
      <c r="G2" s="92"/>
      <c r="H2" s="2"/>
      <c r="I2" s="84" t="s">
        <v>7</v>
      </c>
      <c r="J2" s="84"/>
      <c r="K2" s="84" t="s">
        <v>8</v>
      </c>
      <c r="L2" s="84"/>
      <c r="M2" s="2"/>
      <c r="N2" s="84" t="s">
        <v>6</v>
      </c>
      <c r="O2" s="84"/>
      <c r="P2" s="76"/>
      <c r="Q2" s="76" t="s">
        <v>9</v>
      </c>
      <c r="R2" s="76"/>
      <c r="S2" s="2"/>
      <c r="T2" s="84" t="s">
        <v>10</v>
      </c>
      <c r="U2" s="84"/>
      <c r="V2" s="84"/>
      <c r="X2" s="94"/>
      <c r="Y2" s="84" t="s">
        <v>6</v>
      </c>
      <c r="Z2" s="84"/>
      <c r="AA2" s="84"/>
      <c r="AB2" s="90"/>
      <c r="AC2" s="91"/>
      <c r="AD2" s="92"/>
      <c r="AE2" s="2"/>
      <c r="AF2" s="84" t="s">
        <v>7</v>
      </c>
      <c r="AG2" s="84"/>
      <c r="AH2" s="84" t="s">
        <v>8</v>
      </c>
      <c r="AI2" s="84"/>
      <c r="AJ2" s="2"/>
      <c r="AK2" s="84" t="s">
        <v>6</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39">
        <f>Feb!B39</f>
        <v>645568</v>
      </c>
      <c r="C5" s="39">
        <f>Feb!C39</f>
        <v>0</v>
      </c>
      <c r="D5" s="39">
        <f>Feb!D39</f>
        <v>0</v>
      </c>
      <c r="E5" s="39">
        <f>Feb!E39</f>
        <v>973328</v>
      </c>
      <c r="F5" s="39">
        <f>Feb!F39</f>
        <v>78080</v>
      </c>
      <c r="G5" s="39">
        <f>Feb!G39</f>
        <v>21830</v>
      </c>
      <c r="H5" s="15"/>
      <c r="I5" s="39">
        <f>Feb!I39</f>
        <v>19870</v>
      </c>
      <c r="J5" s="39">
        <f>Feb!J39</f>
        <v>1607</v>
      </c>
      <c r="K5" s="39">
        <f>Feb!K39</f>
        <v>25201</v>
      </c>
      <c r="L5" s="39">
        <f>Feb!L39</f>
        <v>114</v>
      </c>
      <c r="M5" s="15"/>
      <c r="N5" s="39">
        <f>Feb!N39</f>
        <v>224503</v>
      </c>
      <c r="O5" s="39">
        <f>Feb!O39</f>
        <v>412436</v>
      </c>
      <c r="P5" s="39">
        <f>Feb!P39</f>
        <v>584676</v>
      </c>
      <c r="Q5" s="39">
        <f>Feb!Q39</f>
        <v>21947</v>
      </c>
      <c r="R5" s="11"/>
      <c r="S5" s="15"/>
      <c r="T5" s="26">
        <f>Feb!T39</f>
        <v>0</v>
      </c>
      <c r="U5" s="26">
        <f>Feb!U39</f>
        <v>0</v>
      </c>
      <c r="V5" s="26">
        <f>Feb!V39</f>
        <v>0</v>
      </c>
      <c r="X5"/>
    </row>
    <row r="6" spans="1:41" x14ac:dyDescent="0.2">
      <c r="A6" s="7">
        <v>1</v>
      </c>
      <c r="B6" s="41">
        <v>645555</v>
      </c>
      <c r="C6" s="14"/>
      <c r="D6" s="14"/>
      <c r="E6" s="41"/>
      <c r="F6" s="13"/>
      <c r="G6" s="13"/>
      <c r="H6" s="15"/>
      <c r="I6" s="40">
        <v>19878</v>
      </c>
      <c r="J6" s="42">
        <v>1611</v>
      </c>
      <c r="K6" s="42"/>
      <c r="L6" s="42"/>
      <c r="M6" s="15"/>
      <c r="N6" s="41">
        <v>224555</v>
      </c>
      <c r="O6" s="41"/>
      <c r="P6" s="41"/>
      <c r="Q6" s="18"/>
      <c r="R6" s="11">
        <f>Q6-Q5</f>
        <v>-21947</v>
      </c>
      <c r="S6" s="16"/>
      <c r="T6" s="17">
        <v>0</v>
      </c>
      <c r="U6" s="17">
        <v>0</v>
      </c>
      <c r="V6" s="17">
        <v>0</v>
      </c>
      <c r="W6" s="43" t="s">
        <v>30</v>
      </c>
      <c r="X6" s="80">
        <v>1</v>
      </c>
      <c r="Y6" s="11">
        <f>B6-B5</f>
        <v>-13</v>
      </c>
      <c r="Z6" s="11">
        <f t="shared" ref="Z6:AD21" si="0">C6-C5</f>
        <v>0</v>
      </c>
      <c r="AA6" s="11">
        <f t="shared" si="0"/>
        <v>0</v>
      </c>
      <c r="AB6" s="11">
        <f t="shared" si="0"/>
        <v>-973328</v>
      </c>
      <c r="AC6" s="11">
        <f t="shared" si="0"/>
        <v>-78080</v>
      </c>
      <c r="AD6" s="11">
        <f t="shared" si="0"/>
        <v>-21830</v>
      </c>
      <c r="AE6" s="34"/>
      <c r="AF6" s="11">
        <f t="shared" ref="AF6:AI21" si="1">I6-I5</f>
        <v>8</v>
      </c>
      <c r="AG6" s="11">
        <f t="shared" si="1"/>
        <v>4</v>
      </c>
      <c r="AH6" s="11">
        <f t="shared" si="1"/>
        <v>-25201</v>
      </c>
      <c r="AI6" s="11">
        <f t="shared" si="1"/>
        <v>-114</v>
      </c>
      <c r="AJ6" s="34"/>
      <c r="AK6" s="11">
        <f t="shared" ref="AK6:AN21" si="2">N6-N5</f>
        <v>52</v>
      </c>
      <c r="AL6" s="11">
        <f t="shared" si="2"/>
        <v>-412436</v>
      </c>
      <c r="AM6" s="11">
        <f t="shared" si="2"/>
        <v>-584676</v>
      </c>
      <c r="AN6" s="11">
        <f t="shared" si="2"/>
        <v>-21947</v>
      </c>
      <c r="AO6" s="34"/>
    </row>
    <row r="7" spans="1:41" x14ac:dyDescent="0.2">
      <c r="A7" s="80">
        <v>2</v>
      </c>
      <c r="B7" s="41">
        <v>645622</v>
      </c>
      <c r="C7" s="14"/>
      <c r="D7" s="14"/>
      <c r="E7" s="41"/>
      <c r="F7" s="18"/>
      <c r="G7" s="18"/>
      <c r="H7" s="15"/>
      <c r="I7" s="40">
        <v>19903</v>
      </c>
      <c r="J7" s="42">
        <v>1616</v>
      </c>
      <c r="K7" s="42"/>
      <c r="L7" s="42"/>
      <c r="M7" s="15"/>
      <c r="N7" s="41">
        <v>224651</v>
      </c>
      <c r="O7" s="41"/>
      <c r="P7" s="41"/>
      <c r="Q7" s="18"/>
      <c r="R7" s="11">
        <f t="shared" ref="R7:R36" si="3">Q7-Q6</f>
        <v>0</v>
      </c>
      <c r="S7" s="16"/>
      <c r="T7" s="17">
        <v>0</v>
      </c>
      <c r="U7" s="17">
        <v>0</v>
      </c>
      <c r="V7" s="17">
        <v>0</v>
      </c>
      <c r="W7" s="43" t="s">
        <v>30</v>
      </c>
      <c r="X7" s="80">
        <v>2</v>
      </c>
      <c r="Y7" s="11">
        <f t="shared" ref="Y7:AD33" si="4">B7-B6</f>
        <v>67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96</v>
      </c>
      <c r="AL7" s="11">
        <f t="shared" si="2"/>
        <v>0</v>
      </c>
      <c r="AM7" s="11">
        <f t="shared" si="2"/>
        <v>0</v>
      </c>
      <c r="AN7" s="11">
        <f t="shared" si="2"/>
        <v>0</v>
      </c>
      <c r="AO7" s="35"/>
    </row>
    <row r="8" spans="1:41" x14ac:dyDescent="0.2">
      <c r="A8" s="80">
        <v>3</v>
      </c>
      <c r="B8" s="41">
        <v>645692</v>
      </c>
      <c r="C8" s="14"/>
      <c r="D8" s="14"/>
      <c r="E8" s="41"/>
      <c r="F8" s="18"/>
      <c r="G8" s="18"/>
      <c r="H8" s="15"/>
      <c r="I8" s="40">
        <v>19926</v>
      </c>
      <c r="J8" s="42">
        <v>1623</v>
      </c>
      <c r="K8" s="42"/>
      <c r="L8" s="42"/>
      <c r="M8" s="15"/>
      <c r="N8" s="41">
        <v>224718</v>
      </c>
      <c r="O8" s="41"/>
      <c r="P8" s="41"/>
      <c r="Q8" s="18"/>
      <c r="R8" s="11">
        <f t="shared" si="3"/>
        <v>0</v>
      </c>
      <c r="S8" s="16"/>
      <c r="T8" s="17">
        <v>0</v>
      </c>
      <c r="U8" s="17">
        <v>0</v>
      </c>
      <c r="V8" s="17">
        <v>0</v>
      </c>
      <c r="W8" s="43" t="s">
        <v>30</v>
      </c>
      <c r="X8" s="80">
        <v>3</v>
      </c>
      <c r="Y8" s="11">
        <f t="shared" si="4"/>
        <v>70</v>
      </c>
      <c r="Z8" s="11">
        <f t="shared" si="0"/>
        <v>0</v>
      </c>
      <c r="AA8" s="11">
        <f t="shared" si="0"/>
        <v>0</v>
      </c>
      <c r="AB8" s="11">
        <f t="shared" si="0"/>
        <v>0</v>
      </c>
      <c r="AC8" s="11">
        <f t="shared" si="0"/>
        <v>0</v>
      </c>
      <c r="AD8" s="11">
        <f t="shared" si="0"/>
        <v>0</v>
      </c>
      <c r="AE8" s="34"/>
      <c r="AF8" s="11">
        <f t="shared" si="1"/>
        <v>23</v>
      </c>
      <c r="AG8" s="11">
        <f t="shared" si="1"/>
        <v>7</v>
      </c>
      <c r="AH8" s="11">
        <f t="shared" si="1"/>
        <v>0</v>
      </c>
      <c r="AI8" s="11">
        <f t="shared" si="1"/>
        <v>0</v>
      </c>
      <c r="AJ8" s="34"/>
      <c r="AK8" s="11">
        <f t="shared" si="2"/>
        <v>67</v>
      </c>
      <c r="AL8" s="11">
        <f t="shared" si="2"/>
        <v>0</v>
      </c>
      <c r="AM8" s="11">
        <f t="shared" si="2"/>
        <v>0</v>
      </c>
      <c r="AN8" s="11">
        <f t="shared" si="2"/>
        <v>0</v>
      </c>
      <c r="AO8" s="35"/>
    </row>
    <row r="9" spans="1:41" x14ac:dyDescent="0.2">
      <c r="A9" s="80">
        <v>4</v>
      </c>
      <c r="B9" s="41">
        <v>645699</v>
      </c>
      <c r="C9" s="14"/>
      <c r="D9" s="14"/>
      <c r="E9" s="41"/>
      <c r="F9" s="18"/>
      <c r="G9" s="18"/>
      <c r="H9" s="15"/>
      <c r="I9" s="40">
        <v>19949</v>
      </c>
      <c r="J9" s="42">
        <v>1623</v>
      </c>
      <c r="K9" s="42"/>
      <c r="L9" s="42"/>
      <c r="M9" s="15"/>
      <c r="N9" s="41">
        <v>224792</v>
      </c>
      <c r="O9" s="41"/>
      <c r="P9" s="41"/>
      <c r="Q9" s="18"/>
      <c r="R9" s="11">
        <f t="shared" si="3"/>
        <v>0</v>
      </c>
      <c r="S9" s="16"/>
      <c r="T9" s="17">
        <v>0</v>
      </c>
      <c r="U9" s="17">
        <v>0</v>
      </c>
      <c r="V9" s="17">
        <v>0</v>
      </c>
      <c r="W9" s="43" t="s">
        <v>30</v>
      </c>
      <c r="X9" s="80">
        <v>4</v>
      </c>
      <c r="Y9" s="11">
        <f t="shared" si="4"/>
        <v>7</v>
      </c>
      <c r="Z9" s="11">
        <f t="shared" si="0"/>
        <v>0</v>
      </c>
      <c r="AA9" s="11">
        <f t="shared" si="0"/>
        <v>0</v>
      </c>
      <c r="AB9" s="11">
        <f t="shared" si="0"/>
        <v>0</v>
      </c>
      <c r="AC9" s="11">
        <f t="shared" si="0"/>
        <v>0</v>
      </c>
      <c r="AD9" s="11">
        <f t="shared" si="0"/>
        <v>0</v>
      </c>
      <c r="AE9" s="34"/>
      <c r="AF9" s="11">
        <f t="shared" si="1"/>
        <v>23</v>
      </c>
      <c r="AG9" s="11">
        <f t="shared" si="1"/>
        <v>0</v>
      </c>
      <c r="AH9" s="11">
        <f t="shared" si="1"/>
        <v>0</v>
      </c>
      <c r="AI9" s="11">
        <f t="shared" si="1"/>
        <v>0</v>
      </c>
      <c r="AJ9" s="34"/>
      <c r="AK9" s="11">
        <f t="shared" si="2"/>
        <v>74</v>
      </c>
      <c r="AL9" s="11">
        <f t="shared" si="2"/>
        <v>0</v>
      </c>
      <c r="AM9" s="11">
        <f t="shared" si="2"/>
        <v>0</v>
      </c>
      <c r="AN9" s="11">
        <f t="shared" si="2"/>
        <v>0</v>
      </c>
      <c r="AO9" s="35"/>
    </row>
    <row r="10" spans="1:41" x14ac:dyDescent="0.2">
      <c r="A10" s="80">
        <v>5</v>
      </c>
      <c r="B10" s="41">
        <v>645851</v>
      </c>
      <c r="C10" s="14"/>
      <c r="D10" s="14"/>
      <c r="E10" s="41"/>
      <c r="F10" s="18"/>
      <c r="G10" s="18"/>
      <c r="H10" s="15"/>
      <c r="I10" s="40">
        <v>19965</v>
      </c>
      <c r="J10" s="42">
        <v>1630</v>
      </c>
      <c r="K10" s="42"/>
      <c r="L10" s="42"/>
      <c r="M10" s="15"/>
      <c r="N10" s="41">
        <v>224869</v>
      </c>
      <c r="O10" s="41"/>
      <c r="P10" s="41"/>
      <c r="Q10" s="18"/>
      <c r="R10" s="11">
        <f t="shared" si="3"/>
        <v>0</v>
      </c>
      <c r="S10" s="16"/>
      <c r="T10" s="17">
        <v>0</v>
      </c>
      <c r="U10" s="17">
        <v>0</v>
      </c>
      <c r="V10" s="17">
        <v>0</v>
      </c>
      <c r="W10" s="43" t="s">
        <v>30</v>
      </c>
      <c r="X10" s="80">
        <v>5</v>
      </c>
      <c r="Y10" s="11">
        <f t="shared" si="4"/>
        <v>152</v>
      </c>
      <c r="Z10" s="11">
        <f t="shared" si="0"/>
        <v>0</v>
      </c>
      <c r="AA10" s="11">
        <f t="shared" si="0"/>
        <v>0</v>
      </c>
      <c r="AB10" s="11">
        <f t="shared" si="0"/>
        <v>0</v>
      </c>
      <c r="AC10" s="11">
        <f t="shared" si="0"/>
        <v>0</v>
      </c>
      <c r="AD10" s="11">
        <f t="shared" si="0"/>
        <v>0</v>
      </c>
      <c r="AE10" s="34"/>
      <c r="AF10" s="11">
        <f t="shared" si="1"/>
        <v>16</v>
      </c>
      <c r="AG10" s="11">
        <f t="shared" si="1"/>
        <v>7</v>
      </c>
      <c r="AH10" s="11">
        <f t="shared" si="1"/>
        <v>0</v>
      </c>
      <c r="AI10" s="11">
        <f t="shared" si="1"/>
        <v>0</v>
      </c>
      <c r="AJ10" s="34"/>
      <c r="AK10" s="11">
        <f t="shared" si="2"/>
        <v>77</v>
      </c>
      <c r="AL10" s="11">
        <f t="shared" si="2"/>
        <v>0</v>
      </c>
      <c r="AM10" s="11">
        <f t="shared" si="2"/>
        <v>0</v>
      </c>
      <c r="AN10" s="11">
        <f t="shared" si="2"/>
        <v>0</v>
      </c>
      <c r="AO10" s="35"/>
    </row>
    <row r="11" spans="1:41" x14ac:dyDescent="0.2">
      <c r="A11" s="80">
        <v>6</v>
      </c>
      <c r="B11" s="41">
        <v>645911</v>
      </c>
      <c r="C11" s="14"/>
      <c r="D11" s="14"/>
      <c r="E11" s="41"/>
      <c r="F11" s="18"/>
      <c r="G11" s="18"/>
      <c r="H11" s="15"/>
      <c r="I11" s="40">
        <v>19979</v>
      </c>
      <c r="J11" s="42">
        <v>1636</v>
      </c>
      <c r="K11" s="42"/>
      <c r="L11" s="42"/>
      <c r="M11" s="15"/>
      <c r="N11" s="41">
        <v>224956</v>
      </c>
      <c r="O11" s="41"/>
      <c r="P11" s="41"/>
      <c r="Q11" s="18"/>
      <c r="R11" s="11">
        <f t="shared" si="3"/>
        <v>0</v>
      </c>
      <c r="S11" s="16"/>
      <c r="T11" s="17">
        <v>0</v>
      </c>
      <c r="U11" s="17">
        <v>0</v>
      </c>
      <c r="V11" s="17">
        <v>0</v>
      </c>
      <c r="W11" s="43" t="s">
        <v>30</v>
      </c>
      <c r="X11" s="80">
        <v>6</v>
      </c>
      <c r="Y11" s="11">
        <f t="shared" si="4"/>
        <v>60</v>
      </c>
      <c r="Z11" s="11">
        <f t="shared" si="0"/>
        <v>0</v>
      </c>
      <c r="AA11" s="11">
        <f t="shared" si="0"/>
        <v>0</v>
      </c>
      <c r="AB11" s="11">
        <f t="shared" si="0"/>
        <v>0</v>
      </c>
      <c r="AC11" s="11">
        <f t="shared" si="0"/>
        <v>0</v>
      </c>
      <c r="AD11" s="11">
        <f t="shared" si="0"/>
        <v>0</v>
      </c>
      <c r="AE11" s="34"/>
      <c r="AF11" s="11">
        <f t="shared" si="1"/>
        <v>14</v>
      </c>
      <c r="AG11" s="11">
        <f t="shared" si="1"/>
        <v>6</v>
      </c>
      <c r="AH11" s="11">
        <f t="shared" si="1"/>
        <v>0</v>
      </c>
      <c r="AI11" s="11">
        <f t="shared" si="1"/>
        <v>0</v>
      </c>
      <c r="AJ11" s="34"/>
      <c r="AK11" s="11">
        <f t="shared" si="2"/>
        <v>87</v>
      </c>
      <c r="AL11" s="11">
        <f t="shared" si="2"/>
        <v>0</v>
      </c>
      <c r="AM11" s="11">
        <f t="shared" si="2"/>
        <v>0</v>
      </c>
      <c r="AN11" s="11">
        <f t="shared" si="2"/>
        <v>0</v>
      </c>
      <c r="AO11" s="35"/>
    </row>
    <row r="12" spans="1:41" x14ac:dyDescent="0.2">
      <c r="A12" s="80">
        <v>7</v>
      </c>
      <c r="B12" s="41">
        <v>645981</v>
      </c>
      <c r="C12" s="14"/>
      <c r="D12" s="14"/>
      <c r="E12" s="41"/>
      <c r="F12" s="18"/>
      <c r="G12" s="18"/>
      <c r="H12" s="15"/>
      <c r="I12" s="40">
        <v>19993</v>
      </c>
      <c r="J12" s="42">
        <v>1638</v>
      </c>
      <c r="K12" s="42"/>
      <c r="L12" s="42"/>
      <c r="M12" s="15"/>
      <c r="N12" s="41">
        <v>225049</v>
      </c>
      <c r="O12" s="41"/>
      <c r="P12" s="41"/>
      <c r="Q12" s="18"/>
      <c r="R12" s="11">
        <f t="shared" si="3"/>
        <v>0</v>
      </c>
      <c r="S12" s="16"/>
      <c r="T12" s="17">
        <v>0</v>
      </c>
      <c r="U12" s="17">
        <v>0</v>
      </c>
      <c r="V12" s="17">
        <v>0</v>
      </c>
      <c r="W12" s="43" t="s">
        <v>30</v>
      </c>
      <c r="X12" s="80">
        <v>7</v>
      </c>
      <c r="Y12" s="11">
        <f t="shared" si="4"/>
        <v>70</v>
      </c>
      <c r="Z12" s="11">
        <f t="shared" si="0"/>
        <v>0</v>
      </c>
      <c r="AA12" s="11">
        <f t="shared" si="0"/>
        <v>0</v>
      </c>
      <c r="AB12" s="11">
        <f t="shared" si="0"/>
        <v>0</v>
      </c>
      <c r="AC12" s="11">
        <f t="shared" si="0"/>
        <v>0</v>
      </c>
      <c r="AD12" s="11">
        <f t="shared" si="0"/>
        <v>0</v>
      </c>
      <c r="AE12" s="34"/>
      <c r="AF12" s="11">
        <f t="shared" si="1"/>
        <v>14</v>
      </c>
      <c r="AG12" s="11">
        <f t="shared" si="1"/>
        <v>2</v>
      </c>
      <c r="AH12" s="11">
        <f t="shared" si="1"/>
        <v>0</v>
      </c>
      <c r="AI12" s="11">
        <f t="shared" si="1"/>
        <v>0</v>
      </c>
      <c r="AJ12" s="34"/>
      <c r="AK12" s="11">
        <f t="shared" si="2"/>
        <v>93</v>
      </c>
      <c r="AL12" s="11">
        <f t="shared" si="2"/>
        <v>0</v>
      </c>
      <c r="AM12" s="11">
        <f t="shared" si="2"/>
        <v>0</v>
      </c>
      <c r="AN12" s="11">
        <f t="shared" si="2"/>
        <v>0</v>
      </c>
      <c r="AO12" s="35"/>
    </row>
    <row r="13" spans="1:41" x14ac:dyDescent="0.2">
      <c r="A13" s="80">
        <v>8</v>
      </c>
      <c r="B13" s="41">
        <v>646030</v>
      </c>
      <c r="C13" s="14"/>
      <c r="D13" s="14"/>
      <c r="E13" s="41"/>
      <c r="F13" s="18"/>
      <c r="G13" s="18"/>
      <c r="H13" s="15"/>
      <c r="I13" s="40">
        <v>20001</v>
      </c>
      <c r="J13" s="42">
        <v>1638</v>
      </c>
      <c r="K13" s="42"/>
      <c r="L13" s="42"/>
      <c r="M13" s="15"/>
      <c r="N13" s="41">
        <v>225130</v>
      </c>
      <c r="O13" s="41"/>
      <c r="P13" s="41"/>
      <c r="Q13" s="18"/>
      <c r="R13" s="11">
        <f t="shared" si="3"/>
        <v>0</v>
      </c>
      <c r="S13" s="16"/>
      <c r="T13" s="17">
        <v>0</v>
      </c>
      <c r="U13" s="17">
        <v>0</v>
      </c>
      <c r="V13" s="17">
        <v>0</v>
      </c>
      <c r="W13" s="43" t="s">
        <v>30</v>
      </c>
      <c r="X13" s="80">
        <v>8</v>
      </c>
      <c r="Y13" s="11">
        <f t="shared" si="4"/>
        <v>49</v>
      </c>
      <c r="Z13" s="11">
        <f t="shared" si="0"/>
        <v>0</v>
      </c>
      <c r="AA13" s="11">
        <f t="shared" si="0"/>
        <v>0</v>
      </c>
      <c r="AB13" s="11">
        <f t="shared" si="0"/>
        <v>0</v>
      </c>
      <c r="AC13" s="11">
        <f t="shared" si="0"/>
        <v>0</v>
      </c>
      <c r="AD13" s="11">
        <f t="shared" si="0"/>
        <v>0</v>
      </c>
      <c r="AE13" s="34"/>
      <c r="AF13" s="11">
        <f t="shared" si="1"/>
        <v>8</v>
      </c>
      <c r="AG13" s="11">
        <f t="shared" si="1"/>
        <v>0</v>
      </c>
      <c r="AH13" s="11">
        <f t="shared" si="1"/>
        <v>0</v>
      </c>
      <c r="AI13" s="11">
        <f t="shared" si="1"/>
        <v>0</v>
      </c>
      <c r="AJ13" s="34"/>
      <c r="AK13" s="11">
        <f t="shared" si="2"/>
        <v>81</v>
      </c>
      <c r="AL13" s="11">
        <f t="shared" si="2"/>
        <v>0</v>
      </c>
      <c r="AM13" s="11">
        <f t="shared" si="2"/>
        <v>0</v>
      </c>
      <c r="AN13" s="11">
        <f t="shared" si="2"/>
        <v>0</v>
      </c>
      <c r="AO13" s="35"/>
    </row>
    <row r="14" spans="1:41" x14ac:dyDescent="0.2">
      <c r="A14" s="80">
        <v>9</v>
      </c>
      <c r="B14" s="41">
        <v>646093</v>
      </c>
      <c r="C14" s="14"/>
      <c r="D14" s="14"/>
      <c r="E14" s="41"/>
      <c r="F14" s="18"/>
      <c r="G14" s="18"/>
      <c r="H14" s="15"/>
      <c r="I14" s="40">
        <v>20018</v>
      </c>
      <c r="J14" s="42">
        <v>1643</v>
      </c>
      <c r="K14" s="42"/>
      <c r="L14" s="42"/>
      <c r="M14" s="15"/>
      <c r="N14" s="41">
        <v>225216</v>
      </c>
      <c r="O14" s="41"/>
      <c r="P14" s="41"/>
      <c r="Q14" s="18"/>
      <c r="R14" s="11">
        <f t="shared" si="3"/>
        <v>0</v>
      </c>
      <c r="S14" s="16"/>
      <c r="T14" s="17">
        <v>0</v>
      </c>
      <c r="U14" s="17">
        <v>0</v>
      </c>
      <c r="V14" s="17">
        <v>0</v>
      </c>
      <c r="W14" s="43" t="s">
        <v>30</v>
      </c>
      <c r="X14" s="80">
        <v>9</v>
      </c>
      <c r="Y14" s="11">
        <f t="shared" si="4"/>
        <v>63</v>
      </c>
      <c r="Z14" s="11">
        <f t="shared" si="0"/>
        <v>0</v>
      </c>
      <c r="AA14" s="11">
        <f t="shared" si="0"/>
        <v>0</v>
      </c>
      <c r="AB14" s="11">
        <f t="shared" si="0"/>
        <v>0</v>
      </c>
      <c r="AC14" s="11">
        <f t="shared" si="0"/>
        <v>0</v>
      </c>
      <c r="AD14" s="11">
        <f t="shared" si="0"/>
        <v>0</v>
      </c>
      <c r="AE14" s="34"/>
      <c r="AF14" s="11">
        <f t="shared" si="1"/>
        <v>17</v>
      </c>
      <c r="AG14" s="11">
        <f t="shared" si="1"/>
        <v>5</v>
      </c>
      <c r="AH14" s="11">
        <f t="shared" si="1"/>
        <v>0</v>
      </c>
      <c r="AI14" s="11">
        <f t="shared" si="1"/>
        <v>0</v>
      </c>
      <c r="AJ14" s="34"/>
      <c r="AK14" s="11">
        <f t="shared" si="2"/>
        <v>86</v>
      </c>
      <c r="AL14" s="11">
        <f t="shared" si="2"/>
        <v>0</v>
      </c>
      <c r="AM14" s="11">
        <f t="shared" si="2"/>
        <v>0</v>
      </c>
      <c r="AN14" s="11">
        <f t="shared" si="2"/>
        <v>0</v>
      </c>
      <c r="AO14" s="35"/>
    </row>
    <row r="15" spans="1:41" x14ac:dyDescent="0.2">
      <c r="A15" s="80">
        <v>10</v>
      </c>
      <c r="B15" s="41">
        <v>646156</v>
      </c>
      <c r="C15" s="14"/>
      <c r="D15" s="14"/>
      <c r="E15" s="41"/>
      <c r="F15" s="18"/>
      <c r="G15" s="18"/>
      <c r="H15" s="15"/>
      <c r="I15" s="40">
        <v>20038</v>
      </c>
      <c r="J15" s="42">
        <v>1650</v>
      </c>
      <c r="K15" s="42"/>
      <c r="L15" s="42"/>
      <c r="M15" s="15"/>
      <c r="N15" s="41">
        <v>225290</v>
      </c>
      <c r="O15" s="41"/>
      <c r="P15" s="41"/>
      <c r="Q15" s="18"/>
      <c r="R15" s="11">
        <f t="shared" si="3"/>
        <v>0</v>
      </c>
      <c r="S15" s="16"/>
      <c r="T15" s="17">
        <v>0</v>
      </c>
      <c r="U15" s="17">
        <v>0</v>
      </c>
      <c r="V15" s="17">
        <v>0</v>
      </c>
      <c r="W15" s="43" t="s">
        <v>30</v>
      </c>
      <c r="X15" s="80">
        <v>10</v>
      </c>
      <c r="Y15" s="11">
        <f t="shared" si="4"/>
        <v>63</v>
      </c>
      <c r="Z15" s="11">
        <f t="shared" si="0"/>
        <v>0</v>
      </c>
      <c r="AA15" s="11">
        <f t="shared" si="0"/>
        <v>0</v>
      </c>
      <c r="AB15" s="11">
        <f t="shared" si="0"/>
        <v>0</v>
      </c>
      <c r="AC15" s="11">
        <f t="shared" si="0"/>
        <v>0</v>
      </c>
      <c r="AD15" s="11">
        <f t="shared" si="0"/>
        <v>0</v>
      </c>
      <c r="AE15" s="34"/>
      <c r="AF15" s="11">
        <f t="shared" si="1"/>
        <v>20</v>
      </c>
      <c r="AG15" s="11">
        <f t="shared" si="1"/>
        <v>7</v>
      </c>
      <c r="AH15" s="11">
        <f t="shared" si="1"/>
        <v>0</v>
      </c>
      <c r="AI15" s="11">
        <f t="shared" si="1"/>
        <v>0</v>
      </c>
      <c r="AJ15" s="34"/>
      <c r="AK15" s="11">
        <f t="shared" si="2"/>
        <v>74</v>
      </c>
      <c r="AL15" s="11">
        <f t="shared" si="2"/>
        <v>0</v>
      </c>
      <c r="AM15" s="11">
        <f t="shared" si="2"/>
        <v>0</v>
      </c>
      <c r="AN15" s="11">
        <f t="shared" si="2"/>
        <v>0</v>
      </c>
      <c r="AO15" s="35"/>
    </row>
    <row r="16" spans="1:41" x14ac:dyDescent="0.2">
      <c r="A16" s="80">
        <v>11</v>
      </c>
      <c r="B16" s="41">
        <v>646215</v>
      </c>
      <c r="C16" s="14"/>
      <c r="D16" s="14"/>
      <c r="E16" s="41"/>
      <c r="F16" s="18"/>
      <c r="G16" s="18"/>
      <c r="H16" s="15"/>
      <c r="I16" s="40">
        <v>20060</v>
      </c>
      <c r="J16" s="42">
        <v>1654</v>
      </c>
      <c r="K16" s="42"/>
      <c r="L16" s="42"/>
      <c r="M16" s="15"/>
      <c r="N16" s="41">
        <v>225358</v>
      </c>
      <c r="O16" s="41"/>
      <c r="P16" s="41"/>
      <c r="Q16" s="18"/>
      <c r="R16" s="11">
        <f t="shared" si="3"/>
        <v>0</v>
      </c>
      <c r="S16" s="16"/>
      <c r="T16" s="17">
        <v>0</v>
      </c>
      <c r="U16" s="17">
        <v>0</v>
      </c>
      <c r="V16" s="17">
        <v>0</v>
      </c>
      <c r="W16" s="43" t="s">
        <v>30</v>
      </c>
      <c r="X16" s="80">
        <v>11</v>
      </c>
      <c r="Y16" s="11">
        <f t="shared" si="4"/>
        <v>59</v>
      </c>
      <c r="Z16" s="11">
        <f t="shared" si="0"/>
        <v>0</v>
      </c>
      <c r="AA16" s="11">
        <f t="shared" si="0"/>
        <v>0</v>
      </c>
      <c r="AB16" s="11">
        <f t="shared" si="0"/>
        <v>0</v>
      </c>
      <c r="AC16" s="11">
        <f t="shared" si="0"/>
        <v>0</v>
      </c>
      <c r="AD16" s="11">
        <f t="shared" si="0"/>
        <v>0</v>
      </c>
      <c r="AE16" s="34"/>
      <c r="AF16" s="11">
        <f t="shared" si="1"/>
        <v>22</v>
      </c>
      <c r="AG16" s="11">
        <f t="shared" si="1"/>
        <v>4</v>
      </c>
      <c r="AH16" s="11">
        <f t="shared" si="1"/>
        <v>0</v>
      </c>
      <c r="AI16" s="11">
        <f t="shared" si="1"/>
        <v>0</v>
      </c>
      <c r="AJ16" s="34"/>
      <c r="AK16" s="11">
        <f t="shared" si="2"/>
        <v>68</v>
      </c>
      <c r="AL16" s="11">
        <f t="shared" si="2"/>
        <v>0</v>
      </c>
      <c r="AM16" s="11">
        <f t="shared" si="2"/>
        <v>0</v>
      </c>
      <c r="AN16" s="11">
        <f t="shared" si="2"/>
        <v>0</v>
      </c>
      <c r="AO16" s="35"/>
    </row>
    <row r="17" spans="1:41" x14ac:dyDescent="0.2">
      <c r="A17" s="80">
        <v>12</v>
      </c>
      <c r="B17" s="41">
        <v>646272</v>
      </c>
      <c r="C17" s="14"/>
      <c r="D17" s="14"/>
      <c r="E17" s="41"/>
      <c r="F17" s="18"/>
      <c r="G17" s="18"/>
      <c r="H17" s="15"/>
      <c r="I17" s="40">
        <v>20081</v>
      </c>
      <c r="J17" s="42">
        <v>1662</v>
      </c>
      <c r="K17" s="42"/>
      <c r="L17" s="42"/>
      <c r="M17" s="15"/>
      <c r="N17" s="41">
        <v>225418</v>
      </c>
      <c r="O17" s="41"/>
      <c r="P17" s="41"/>
      <c r="Q17" s="18"/>
      <c r="R17" s="11">
        <f t="shared" si="3"/>
        <v>0</v>
      </c>
      <c r="S17" s="16"/>
      <c r="T17" s="17">
        <v>0</v>
      </c>
      <c r="U17" s="17">
        <v>0</v>
      </c>
      <c r="V17" s="17">
        <v>0</v>
      </c>
      <c r="W17" s="43" t="s">
        <v>30</v>
      </c>
      <c r="X17" s="80">
        <v>12</v>
      </c>
      <c r="Y17" s="11">
        <f t="shared" si="4"/>
        <v>57</v>
      </c>
      <c r="Z17" s="11">
        <f t="shared" si="0"/>
        <v>0</v>
      </c>
      <c r="AA17" s="11">
        <f t="shared" si="0"/>
        <v>0</v>
      </c>
      <c r="AB17" s="11">
        <f t="shared" si="0"/>
        <v>0</v>
      </c>
      <c r="AC17" s="11">
        <f t="shared" si="0"/>
        <v>0</v>
      </c>
      <c r="AD17" s="11">
        <f t="shared" si="0"/>
        <v>0</v>
      </c>
      <c r="AE17" s="34"/>
      <c r="AF17" s="11">
        <f t="shared" si="1"/>
        <v>21</v>
      </c>
      <c r="AG17" s="11">
        <f t="shared" si="1"/>
        <v>8</v>
      </c>
      <c r="AH17" s="11">
        <f t="shared" si="1"/>
        <v>0</v>
      </c>
      <c r="AI17" s="11">
        <f t="shared" si="1"/>
        <v>0</v>
      </c>
      <c r="AJ17" s="34"/>
      <c r="AK17" s="11">
        <f t="shared" si="2"/>
        <v>60</v>
      </c>
      <c r="AL17" s="11">
        <f t="shared" si="2"/>
        <v>0</v>
      </c>
      <c r="AM17" s="11">
        <f t="shared" si="2"/>
        <v>0</v>
      </c>
      <c r="AN17" s="11">
        <f t="shared" si="2"/>
        <v>0</v>
      </c>
      <c r="AO17" s="35"/>
    </row>
    <row r="18" spans="1:41" x14ac:dyDescent="0.2">
      <c r="A18" s="80">
        <v>13</v>
      </c>
      <c r="B18" s="41">
        <v>646326</v>
      </c>
      <c r="C18" s="14"/>
      <c r="D18" s="14"/>
      <c r="E18" s="41"/>
      <c r="F18" s="18"/>
      <c r="G18" s="18"/>
      <c r="H18" s="15"/>
      <c r="I18" s="40">
        <v>20104</v>
      </c>
      <c r="J18" s="42">
        <v>1666</v>
      </c>
      <c r="K18" s="42"/>
      <c r="L18" s="42"/>
      <c r="M18" s="15"/>
      <c r="N18" s="41">
        <v>225479</v>
      </c>
      <c r="O18" s="41"/>
      <c r="P18" s="41"/>
      <c r="Q18" s="18"/>
      <c r="R18" s="11">
        <f t="shared" si="3"/>
        <v>0</v>
      </c>
      <c r="S18" s="16"/>
      <c r="T18" s="17">
        <v>0</v>
      </c>
      <c r="U18" s="17">
        <v>0</v>
      </c>
      <c r="V18" s="17">
        <v>0</v>
      </c>
      <c r="W18" s="43" t="s">
        <v>30</v>
      </c>
      <c r="X18" s="80">
        <v>13</v>
      </c>
      <c r="Y18" s="11">
        <f t="shared" si="4"/>
        <v>54</v>
      </c>
      <c r="Z18" s="11">
        <f t="shared" si="0"/>
        <v>0</v>
      </c>
      <c r="AA18" s="11">
        <f t="shared" si="0"/>
        <v>0</v>
      </c>
      <c r="AB18" s="11">
        <f t="shared" si="0"/>
        <v>0</v>
      </c>
      <c r="AC18" s="11">
        <f t="shared" si="0"/>
        <v>0</v>
      </c>
      <c r="AD18" s="11">
        <f t="shared" si="0"/>
        <v>0</v>
      </c>
      <c r="AE18" s="34"/>
      <c r="AF18" s="11">
        <f t="shared" si="1"/>
        <v>23</v>
      </c>
      <c r="AG18" s="11">
        <f t="shared" si="1"/>
        <v>4</v>
      </c>
      <c r="AH18" s="11">
        <f t="shared" si="1"/>
        <v>0</v>
      </c>
      <c r="AI18" s="11">
        <f t="shared" si="1"/>
        <v>0</v>
      </c>
      <c r="AJ18" s="34"/>
      <c r="AK18" s="11">
        <f t="shared" si="2"/>
        <v>61</v>
      </c>
      <c r="AL18" s="11">
        <f t="shared" si="2"/>
        <v>0</v>
      </c>
      <c r="AM18" s="11">
        <f t="shared" si="2"/>
        <v>0</v>
      </c>
      <c r="AN18" s="11">
        <f t="shared" si="2"/>
        <v>0</v>
      </c>
      <c r="AO18" s="35"/>
    </row>
    <row r="19" spans="1:41" x14ac:dyDescent="0.2">
      <c r="A19" s="80">
        <v>14</v>
      </c>
      <c r="B19" s="41">
        <v>646380</v>
      </c>
      <c r="C19" s="14"/>
      <c r="D19" s="14"/>
      <c r="E19" s="41"/>
      <c r="F19" s="18"/>
      <c r="G19" s="18"/>
      <c r="H19" s="15"/>
      <c r="I19" s="40">
        <v>20128</v>
      </c>
      <c r="J19" s="42">
        <v>1674</v>
      </c>
      <c r="K19" s="42"/>
      <c r="L19" s="42"/>
      <c r="M19" s="15"/>
      <c r="N19" s="41">
        <v>225536</v>
      </c>
      <c r="O19" s="41"/>
      <c r="P19" s="41"/>
      <c r="Q19" s="18"/>
      <c r="R19" s="11">
        <f t="shared" si="3"/>
        <v>0</v>
      </c>
      <c r="S19" s="16"/>
      <c r="T19" s="17">
        <v>0</v>
      </c>
      <c r="U19" s="17">
        <v>0</v>
      </c>
      <c r="V19" s="17">
        <v>0</v>
      </c>
      <c r="W19" s="43" t="s">
        <v>30</v>
      </c>
      <c r="X19" s="80">
        <v>14</v>
      </c>
      <c r="Y19" s="11">
        <f t="shared" si="4"/>
        <v>54</v>
      </c>
      <c r="Z19" s="11">
        <f t="shared" si="0"/>
        <v>0</v>
      </c>
      <c r="AA19" s="11">
        <f t="shared" si="0"/>
        <v>0</v>
      </c>
      <c r="AB19" s="11">
        <f t="shared" si="0"/>
        <v>0</v>
      </c>
      <c r="AC19" s="11">
        <f t="shared" si="0"/>
        <v>0</v>
      </c>
      <c r="AD19" s="11">
        <f t="shared" si="0"/>
        <v>0</v>
      </c>
      <c r="AE19" s="34"/>
      <c r="AF19" s="11">
        <f t="shared" si="1"/>
        <v>24</v>
      </c>
      <c r="AG19" s="11">
        <f t="shared" si="1"/>
        <v>8</v>
      </c>
      <c r="AH19" s="11">
        <f t="shared" si="1"/>
        <v>0</v>
      </c>
      <c r="AI19" s="11">
        <f t="shared" si="1"/>
        <v>0</v>
      </c>
      <c r="AJ19" s="34"/>
      <c r="AK19" s="11">
        <f t="shared" si="2"/>
        <v>57</v>
      </c>
      <c r="AL19" s="11">
        <f t="shared" si="2"/>
        <v>0</v>
      </c>
      <c r="AM19" s="11">
        <f t="shared" si="2"/>
        <v>0</v>
      </c>
      <c r="AN19" s="11">
        <f t="shared" si="2"/>
        <v>0</v>
      </c>
      <c r="AO19" s="35"/>
    </row>
    <row r="20" spans="1:41" x14ac:dyDescent="0.2">
      <c r="A20" s="80">
        <v>15</v>
      </c>
      <c r="B20" s="41">
        <v>646428</v>
      </c>
      <c r="C20" s="14"/>
      <c r="D20" s="14"/>
      <c r="E20" s="41"/>
      <c r="F20" s="18"/>
      <c r="G20" s="18"/>
      <c r="H20" s="15"/>
      <c r="I20" s="40">
        <v>20151</v>
      </c>
      <c r="J20" s="42">
        <v>1680</v>
      </c>
      <c r="K20" s="42"/>
      <c r="L20" s="42"/>
      <c r="M20" s="15"/>
      <c r="N20" s="41">
        <v>225598</v>
      </c>
      <c r="O20" s="41"/>
      <c r="P20" s="41"/>
      <c r="Q20" s="18"/>
      <c r="R20" s="11">
        <f t="shared" si="3"/>
        <v>0</v>
      </c>
      <c r="S20" s="16"/>
      <c r="T20" s="17">
        <v>0</v>
      </c>
      <c r="U20" s="17">
        <v>0</v>
      </c>
      <c r="V20" s="17">
        <v>0</v>
      </c>
      <c r="W20" s="43" t="s">
        <v>30</v>
      </c>
      <c r="X20" s="80">
        <v>15</v>
      </c>
      <c r="Y20" s="11">
        <f t="shared" si="4"/>
        <v>48</v>
      </c>
      <c r="Z20" s="11">
        <f t="shared" si="0"/>
        <v>0</v>
      </c>
      <c r="AA20" s="11">
        <f t="shared" si="0"/>
        <v>0</v>
      </c>
      <c r="AB20" s="11">
        <f t="shared" si="0"/>
        <v>0</v>
      </c>
      <c r="AC20" s="11">
        <f t="shared" si="0"/>
        <v>0</v>
      </c>
      <c r="AD20" s="11">
        <f t="shared" si="0"/>
        <v>0</v>
      </c>
      <c r="AE20" s="34"/>
      <c r="AF20" s="11">
        <f t="shared" si="1"/>
        <v>23</v>
      </c>
      <c r="AG20" s="11">
        <f t="shared" si="1"/>
        <v>6</v>
      </c>
      <c r="AH20" s="11">
        <f t="shared" si="1"/>
        <v>0</v>
      </c>
      <c r="AI20" s="11">
        <f t="shared" si="1"/>
        <v>0</v>
      </c>
      <c r="AJ20" s="34"/>
      <c r="AK20" s="11">
        <f t="shared" si="2"/>
        <v>62</v>
      </c>
      <c r="AL20" s="11">
        <f t="shared" si="2"/>
        <v>0</v>
      </c>
      <c r="AM20" s="11">
        <f t="shared" si="2"/>
        <v>0</v>
      </c>
      <c r="AN20" s="11">
        <f t="shared" si="2"/>
        <v>0</v>
      </c>
      <c r="AO20" s="35"/>
    </row>
    <row r="21" spans="1:41" x14ac:dyDescent="0.2">
      <c r="A21" s="80">
        <v>16</v>
      </c>
      <c r="B21" s="41">
        <v>646460</v>
      </c>
      <c r="C21" s="14"/>
      <c r="D21" s="14"/>
      <c r="E21" s="41"/>
      <c r="F21" s="18"/>
      <c r="G21" s="18"/>
      <c r="H21" s="15"/>
      <c r="I21" s="40">
        <v>20172</v>
      </c>
      <c r="J21" s="42">
        <v>1686</v>
      </c>
      <c r="K21" s="42"/>
      <c r="L21" s="42"/>
      <c r="M21" s="15"/>
      <c r="N21" s="41">
        <v>225642</v>
      </c>
      <c r="O21" s="41"/>
      <c r="P21" s="41"/>
      <c r="Q21" s="18"/>
      <c r="R21" s="11">
        <f t="shared" si="3"/>
        <v>0</v>
      </c>
      <c r="S21" s="16"/>
      <c r="T21" s="17">
        <v>0</v>
      </c>
      <c r="U21" s="17">
        <v>0</v>
      </c>
      <c r="V21" s="17">
        <v>0</v>
      </c>
      <c r="W21" s="43" t="s">
        <v>30</v>
      </c>
      <c r="X21" s="80">
        <v>16</v>
      </c>
      <c r="Y21" s="11">
        <f t="shared" si="4"/>
        <v>32</v>
      </c>
      <c r="Z21" s="11">
        <f t="shared" si="0"/>
        <v>0</v>
      </c>
      <c r="AA21" s="11">
        <f t="shared" si="0"/>
        <v>0</v>
      </c>
      <c r="AB21" s="11">
        <f t="shared" si="0"/>
        <v>0</v>
      </c>
      <c r="AC21" s="11">
        <f t="shared" si="0"/>
        <v>0</v>
      </c>
      <c r="AD21" s="11">
        <f t="shared" si="0"/>
        <v>0</v>
      </c>
      <c r="AE21" s="34"/>
      <c r="AF21" s="11">
        <f t="shared" si="1"/>
        <v>21</v>
      </c>
      <c r="AG21" s="11">
        <f t="shared" si="1"/>
        <v>6</v>
      </c>
      <c r="AH21" s="11">
        <f t="shared" si="1"/>
        <v>0</v>
      </c>
      <c r="AI21" s="11">
        <f t="shared" si="1"/>
        <v>0</v>
      </c>
      <c r="AJ21" s="34"/>
      <c r="AK21" s="11">
        <f t="shared" si="2"/>
        <v>44</v>
      </c>
      <c r="AL21" s="11">
        <f t="shared" si="2"/>
        <v>0</v>
      </c>
      <c r="AM21" s="11">
        <f t="shared" si="2"/>
        <v>0</v>
      </c>
      <c r="AN21" s="11">
        <f t="shared" si="2"/>
        <v>0</v>
      </c>
      <c r="AO21" s="35"/>
    </row>
    <row r="22" spans="1:41" x14ac:dyDescent="0.2">
      <c r="A22" s="80">
        <v>17</v>
      </c>
      <c r="B22" s="41">
        <v>646510</v>
      </c>
      <c r="C22" s="14"/>
      <c r="D22" s="14"/>
      <c r="E22" s="41"/>
      <c r="F22" s="18"/>
      <c r="G22" s="18"/>
      <c r="H22" s="15"/>
      <c r="I22" s="40">
        <v>20190</v>
      </c>
      <c r="J22" s="42">
        <v>1690</v>
      </c>
      <c r="K22" s="42"/>
      <c r="L22" s="42"/>
      <c r="M22" s="15"/>
      <c r="N22" s="41">
        <v>225699</v>
      </c>
      <c r="O22" s="41"/>
      <c r="P22" s="41"/>
      <c r="Q22" s="18"/>
      <c r="R22" s="11">
        <f t="shared" si="3"/>
        <v>0</v>
      </c>
      <c r="S22" s="16"/>
      <c r="T22" s="17">
        <v>0</v>
      </c>
      <c r="U22" s="17">
        <v>0</v>
      </c>
      <c r="V22" s="17">
        <v>0</v>
      </c>
      <c r="W22" s="43" t="s">
        <v>30</v>
      </c>
      <c r="X22" s="80">
        <v>17</v>
      </c>
      <c r="Y22" s="11">
        <f t="shared" si="4"/>
        <v>50</v>
      </c>
      <c r="Z22" s="11">
        <f t="shared" si="4"/>
        <v>0</v>
      </c>
      <c r="AA22" s="11">
        <f t="shared" si="4"/>
        <v>0</v>
      </c>
      <c r="AB22" s="11">
        <f t="shared" si="4"/>
        <v>0</v>
      </c>
      <c r="AC22" s="11">
        <f t="shared" si="4"/>
        <v>0</v>
      </c>
      <c r="AD22" s="11">
        <f t="shared" si="4"/>
        <v>0</v>
      </c>
      <c r="AE22" s="34"/>
      <c r="AF22" s="11">
        <f t="shared" ref="AF22:AI36" si="5">I22-I21</f>
        <v>18</v>
      </c>
      <c r="AG22" s="11">
        <f t="shared" si="5"/>
        <v>4</v>
      </c>
      <c r="AH22" s="11">
        <f t="shared" si="5"/>
        <v>0</v>
      </c>
      <c r="AI22" s="11">
        <f t="shared" si="5"/>
        <v>0</v>
      </c>
      <c r="AJ22" s="34"/>
      <c r="AK22" s="11">
        <f t="shared" ref="AK22:AN36" si="6">N22-N21</f>
        <v>57</v>
      </c>
      <c r="AL22" s="11">
        <f t="shared" si="6"/>
        <v>0</v>
      </c>
      <c r="AM22" s="11">
        <f t="shared" si="6"/>
        <v>0</v>
      </c>
      <c r="AN22" s="11">
        <f t="shared" si="6"/>
        <v>0</v>
      </c>
      <c r="AO22" s="35"/>
    </row>
    <row r="23" spans="1:41" x14ac:dyDescent="0.2">
      <c r="A23" s="80">
        <v>18</v>
      </c>
      <c r="B23" s="41">
        <v>646581</v>
      </c>
      <c r="C23" s="14"/>
      <c r="D23" s="14"/>
      <c r="E23" s="41"/>
      <c r="F23" s="18"/>
      <c r="G23" s="18"/>
      <c r="H23" s="15"/>
      <c r="I23" s="40">
        <v>20217</v>
      </c>
      <c r="J23" s="42">
        <v>1698</v>
      </c>
      <c r="K23" s="42"/>
      <c r="L23" s="42"/>
      <c r="M23" s="15"/>
      <c r="N23" s="41">
        <v>225761</v>
      </c>
      <c r="O23" s="41"/>
      <c r="P23" s="41"/>
      <c r="Q23" s="18"/>
      <c r="R23" s="11">
        <f t="shared" si="3"/>
        <v>0</v>
      </c>
      <c r="S23" s="16"/>
      <c r="T23" s="17">
        <v>0</v>
      </c>
      <c r="U23" s="17">
        <v>0</v>
      </c>
      <c r="V23" s="17">
        <v>0</v>
      </c>
      <c r="W23" s="43" t="s">
        <v>30</v>
      </c>
      <c r="X23" s="80">
        <v>18</v>
      </c>
      <c r="Y23" s="11">
        <f t="shared" si="4"/>
        <v>71</v>
      </c>
      <c r="Z23" s="11">
        <f t="shared" si="4"/>
        <v>0</v>
      </c>
      <c r="AA23" s="11">
        <f t="shared" si="4"/>
        <v>0</v>
      </c>
      <c r="AB23" s="11">
        <f t="shared" si="4"/>
        <v>0</v>
      </c>
      <c r="AC23" s="11">
        <f t="shared" si="4"/>
        <v>0</v>
      </c>
      <c r="AD23" s="11">
        <f t="shared" si="4"/>
        <v>0</v>
      </c>
      <c r="AE23" s="34"/>
      <c r="AF23" s="11">
        <f t="shared" si="5"/>
        <v>27</v>
      </c>
      <c r="AG23" s="11">
        <f t="shared" si="5"/>
        <v>8</v>
      </c>
      <c r="AH23" s="11">
        <f t="shared" si="5"/>
        <v>0</v>
      </c>
      <c r="AI23" s="11">
        <f t="shared" si="5"/>
        <v>0</v>
      </c>
      <c r="AJ23" s="34"/>
      <c r="AK23" s="11">
        <f t="shared" si="6"/>
        <v>62</v>
      </c>
      <c r="AL23" s="11">
        <f t="shared" si="6"/>
        <v>0</v>
      </c>
      <c r="AM23" s="11">
        <f t="shared" si="6"/>
        <v>0</v>
      </c>
      <c r="AN23" s="11">
        <f t="shared" si="6"/>
        <v>0</v>
      </c>
      <c r="AO23" s="35"/>
    </row>
    <row r="24" spans="1:41" x14ac:dyDescent="0.2">
      <c r="A24" s="80">
        <v>19</v>
      </c>
      <c r="B24" s="41">
        <v>646608</v>
      </c>
      <c r="C24" s="14"/>
      <c r="D24" s="14"/>
      <c r="E24" s="41"/>
      <c r="F24" s="18"/>
      <c r="G24" s="18"/>
      <c r="H24" s="15"/>
      <c r="I24" s="40">
        <v>20240</v>
      </c>
      <c r="J24" s="42">
        <v>1703</v>
      </c>
      <c r="K24" s="42"/>
      <c r="L24" s="42"/>
      <c r="M24" s="15"/>
      <c r="N24" s="41">
        <v>225816</v>
      </c>
      <c r="O24" s="41"/>
      <c r="P24" s="41"/>
      <c r="Q24" s="18"/>
      <c r="R24" s="11">
        <f t="shared" si="3"/>
        <v>0</v>
      </c>
      <c r="S24" s="16"/>
      <c r="T24" s="17">
        <v>0</v>
      </c>
      <c r="U24" s="17">
        <v>0</v>
      </c>
      <c r="V24" s="17">
        <v>0</v>
      </c>
      <c r="W24" s="43" t="s">
        <v>30</v>
      </c>
      <c r="X24" s="80">
        <v>19</v>
      </c>
      <c r="Y24" s="11">
        <f t="shared" si="4"/>
        <v>27</v>
      </c>
      <c r="Z24" s="11">
        <f t="shared" si="4"/>
        <v>0</v>
      </c>
      <c r="AA24" s="11">
        <f t="shared" si="4"/>
        <v>0</v>
      </c>
      <c r="AB24" s="11">
        <f t="shared" si="4"/>
        <v>0</v>
      </c>
      <c r="AC24" s="11">
        <f t="shared" si="4"/>
        <v>0</v>
      </c>
      <c r="AD24" s="11">
        <f t="shared" si="4"/>
        <v>0</v>
      </c>
      <c r="AE24" s="34"/>
      <c r="AF24" s="11">
        <f t="shared" si="5"/>
        <v>23</v>
      </c>
      <c r="AG24" s="11">
        <f t="shared" si="5"/>
        <v>5</v>
      </c>
      <c r="AH24" s="11">
        <f t="shared" si="5"/>
        <v>0</v>
      </c>
      <c r="AI24" s="11">
        <f t="shared" si="5"/>
        <v>0</v>
      </c>
      <c r="AJ24" s="34"/>
      <c r="AK24" s="11">
        <f t="shared" si="6"/>
        <v>55</v>
      </c>
      <c r="AL24" s="11">
        <f t="shared" si="6"/>
        <v>0</v>
      </c>
      <c r="AM24" s="11">
        <f t="shared" si="6"/>
        <v>0</v>
      </c>
      <c r="AN24" s="11">
        <f t="shared" si="6"/>
        <v>0</v>
      </c>
      <c r="AO24" s="35"/>
    </row>
    <row r="25" spans="1:41" x14ac:dyDescent="0.2">
      <c r="A25" s="80">
        <v>20</v>
      </c>
      <c r="B25" s="41">
        <v>646653</v>
      </c>
      <c r="C25" s="14"/>
      <c r="D25" s="14"/>
      <c r="E25" s="41"/>
      <c r="F25" s="18"/>
      <c r="G25" s="18"/>
      <c r="H25" s="15"/>
      <c r="I25" s="40">
        <v>20262</v>
      </c>
      <c r="J25" s="42">
        <v>1704</v>
      </c>
      <c r="K25" s="42"/>
      <c r="L25" s="42"/>
      <c r="M25" s="15"/>
      <c r="N25" s="41">
        <v>225875</v>
      </c>
      <c r="O25" s="41"/>
      <c r="P25" s="41"/>
      <c r="Q25" s="18"/>
      <c r="R25" s="11">
        <f t="shared" si="3"/>
        <v>0</v>
      </c>
      <c r="S25" s="16"/>
      <c r="T25" s="17">
        <v>0</v>
      </c>
      <c r="U25" s="17">
        <v>0</v>
      </c>
      <c r="V25" s="17">
        <v>0</v>
      </c>
      <c r="W25" s="43" t="s">
        <v>30</v>
      </c>
      <c r="X25" s="80">
        <v>20</v>
      </c>
      <c r="Y25" s="11">
        <f t="shared" si="4"/>
        <v>45</v>
      </c>
      <c r="Z25" s="11">
        <f t="shared" si="4"/>
        <v>0</v>
      </c>
      <c r="AA25" s="11">
        <f t="shared" si="4"/>
        <v>0</v>
      </c>
      <c r="AB25" s="11">
        <f t="shared" si="4"/>
        <v>0</v>
      </c>
      <c r="AC25" s="11">
        <f t="shared" si="4"/>
        <v>0</v>
      </c>
      <c r="AD25" s="11">
        <f t="shared" si="4"/>
        <v>0</v>
      </c>
      <c r="AE25" s="34"/>
      <c r="AF25" s="11">
        <f t="shared" si="5"/>
        <v>22</v>
      </c>
      <c r="AG25" s="11">
        <f t="shared" si="5"/>
        <v>1</v>
      </c>
      <c r="AH25" s="11">
        <f t="shared" si="5"/>
        <v>0</v>
      </c>
      <c r="AI25" s="11">
        <f t="shared" si="5"/>
        <v>0</v>
      </c>
      <c r="AJ25" s="34"/>
      <c r="AK25" s="11">
        <f t="shared" si="6"/>
        <v>59</v>
      </c>
      <c r="AL25" s="11">
        <f t="shared" si="6"/>
        <v>0</v>
      </c>
      <c r="AM25" s="11">
        <f t="shared" si="6"/>
        <v>0</v>
      </c>
      <c r="AN25" s="11">
        <f t="shared" si="6"/>
        <v>0</v>
      </c>
      <c r="AO25" s="35"/>
    </row>
    <row r="26" spans="1:41" x14ac:dyDescent="0.2">
      <c r="A26" s="80">
        <v>21</v>
      </c>
      <c r="B26" s="41">
        <v>646687</v>
      </c>
      <c r="C26" s="14"/>
      <c r="D26" s="14"/>
      <c r="E26" s="41"/>
      <c r="F26" s="18"/>
      <c r="G26" s="18"/>
      <c r="H26" s="15"/>
      <c r="I26" s="40">
        <v>20282</v>
      </c>
      <c r="J26" s="42">
        <v>1705</v>
      </c>
      <c r="K26" s="42"/>
      <c r="L26" s="42"/>
      <c r="M26" s="15"/>
      <c r="N26" s="41">
        <v>225939</v>
      </c>
      <c r="O26" s="41"/>
      <c r="P26" s="41"/>
      <c r="Q26" s="18"/>
      <c r="R26" s="11">
        <f t="shared" si="3"/>
        <v>0</v>
      </c>
      <c r="S26" s="16"/>
      <c r="T26" s="17">
        <v>0</v>
      </c>
      <c r="U26" s="17">
        <v>0</v>
      </c>
      <c r="V26" s="17">
        <v>0</v>
      </c>
      <c r="W26" s="43" t="s">
        <v>30</v>
      </c>
      <c r="X26" s="80">
        <v>21</v>
      </c>
      <c r="Y26" s="11">
        <f t="shared" si="4"/>
        <v>34</v>
      </c>
      <c r="Z26" s="11">
        <f t="shared" si="4"/>
        <v>0</v>
      </c>
      <c r="AA26" s="11">
        <f t="shared" si="4"/>
        <v>0</v>
      </c>
      <c r="AB26" s="11">
        <f t="shared" si="4"/>
        <v>0</v>
      </c>
      <c r="AC26" s="11">
        <f t="shared" si="4"/>
        <v>0</v>
      </c>
      <c r="AD26" s="11">
        <f t="shared" si="4"/>
        <v>0</v>
      </c>
      <c r="AE26" s="34"/>
      <c r="AF26" s="11">
        <f t="shared" si="5"/>
        <v>20</v>
      </c>
      <c r="AG26" s="11">
        <f t="shared" si="5"/>
        <v>1</v>
      </c>
      <c r="AH26" s="11">
        <f t="shared" si="5"/>
        <v>0</v>
      </c>
      <c r="AI26" s="11">
        <f t="shared" si="5"/>
        <v>0</v>
      </c>
      <c r="AJ26" s="34"/>
      <c r="AK26" s="11">
        <f t="shared" si="6"/>
        <v>64</v>
      </c>
      <c r="AL26" s="11">
        <f t="shared" si="6"/>
        <v>0</v>
      </c>
      <c r="AM26" s="11">
        <f t="shared" si="6"/>
        <v>0</v>
      </c>
      <c r="AN26" s="11">
        <f t="shared" si="6"/>
        <v>0</v>
      </c>
      <c r="AO26" s="35"/>
    </row>
    <row r="27" spans="1:41" x14ac:dyDescent="0.2">
      <c r="A27" s="80">
        <v>22</v>
      </c>
      <c r="B27" s="41">
        <v>646710</v>
      </c>
      <c r="C27" s="14"/>
      <c r="D27" s="14"/>
      <c r="E27" s="41"/>
      <c r="F27" s="18"/>
      <c r="G27" s="18"/>
      <c r="H27" s="15"/>
      <c r="I27" s="40">
        <v>20289</v>
      </c>
      <c r="J27" s="42">
        <v>1714</v>
      </c>
      <c r="K27" s="42"/>
      <c r="L27" s="42"/>
      <c r="M27" s="15"/>
      <c r="N27" s="41">
        <v>226009</v>
      </c>
      <c r="O27" s="41"/>
      <c r="P27" s="41"/>
      <c r="Q27" s="18"/>
      <c r="R27" s="11">
        <f t="shared" si="3"/>
        <v>0</v>
      </c>
      <c r="S27" s="16"/>
      <c r="T27" s="17">
        <v>0</v>
      </c>
      <c r="U27" s="17">
        <v>0</v>
      </c>
      <c r="V27" s="17">
        <v>0</v>
      </c>
      <c r="W27" s="43" t="s">
        <v>30</v>
      </c>
      <c r="X27" s="80">
        <v>22</v>
      </c>
      <c r="Y27" s="11">
        <f t="shared" si="4"/>
        <v>23</v>
      </c>
      <c r="Z27" s="11">
        <f t="shared" si="4"/>
        <v>0</v>
      </c>
      <c r="AA27" s="11">
        <f t="shared" si="4"/>
        <v>0</v>
      </c>
      <c r="AB27" s="11">
        <f t="shared" si="4"/>
        <v>0</v>
      </c>
      <c r="AC27" s="11">
        <f t="shared" si="4"/>
        <v>0</v>
      </c>
      <c r="AD27" s="11">
        <f t="shared" si="4"/>
        <v>0</v>
      </c>
      <c r="AE27" s="34"/>
      <c r="AF27" s="11">
        <f t="shared" si="5"/>
        <v>7</v>
      </c>
      <c r="AG27" s="11">
        <f t="shared" si="5"/>
        <v>9</v>
      </c>
      <c r="AH27" s="11">
        <f t="shared" si="5"/>
        <v>0</v>
      </c>
      <c r="AI27" s="11">
        <f t="shared" si="5"/>
        <v>0</v>
      </c>
      <c r="AJ27" s="34"/>
      <c r="AK27" s="11">
        <f t="shared" si="6"/>
        <v>70</v>
      </c>
      <c r="AL27" s="11">
        <f t="shared" si="6"/>
        <v>0</v>
      </c>
      <c r="AM27" s="11">
        <f t="shared" si="6"/>
        <v>0</v>
      </c>
      <c r="AN27" s="11">
        <f t="shared" si="6"/>
        <v>0</v>
      </c>
      <c r="AO27" s="35"/>
    </row>
    <row r="28" spans="1:41" x14ac:dyDescent="0.2">
      <c r="A28" s="80">
        <v>23</v>
      </c>
      <c r="B28" s="41">
        <v>646744</v>
      </c>
      <c r="C28" s="14"/>
      <c r="D28" s="14"/>
      <c r="E28" s="41"/>
      <c r="F28" s="18"/>
      <c r="G28" s="18"/>
      <c r="H28" s="15"/>
      <c r="I28" s="40">
        <v>20308</v>
      </c>
      <c r="J28" s="42">
        <v>1722</v>
      </c>
      <c r="K28" s="42"/>
      <c r="L28" s="42"/>
      <c r="M28" s="15"/>
      <c r="N28" s="41">
        <v>226060</v>
      </c>
      <c r="O28" s="41"/>
      <c r="P28" s="41"/>
      <c r="Q28" s="18"/>
      <c r="R28" s="11">
        <f t="shared" si="3"/>
        <v>0</v>
      </c>
      <c r="S28" s="16"/>
      <c r="T28" s="17">
        <v>0</v>
      </c>
      <c r="U28" s="17">
        <v>0</v>
      </c>
      <c r="V28" s="17">
        <v>0</v>
      </c>
      <c r="W28" s="43" t="s">
        <v>30</v>
      </c>
      <c r="X28" s="80">
        <v>23</v>
      </c>
      <c r="Y28" s="11">
        <f t="shared" si="4"/>
        <v>34</v>
      </c>
      <c r="Z28" s="11">
        <f t="shared" si="4"/>
        <v>0</v>
      </c>
      <c r="AA28" s="11">
        <f t="shared" si="4"/>
        <v>0</v>
      </c>
      <c r="AB28" s="11">
        <f t="shared" si="4"/>
        <v>0</v>
      </c>
      <c r="AC28" s="11">
        <f t="shared" si="4"/>
        <v>0</v>
      </c>
      <c r="AD28" s="11">
        <f t="shared" si="4"/>
        <v>0</v>
      </c>
      <c r="AE28" s="34"/>
      <c r="AF28" s="11">
        <f t="shared" si="5"/>
        <v>19</v>
      </c>
      <c r="AG28" s="11">
        <f t="shared" si="5"/>
        <v>8</v>
      </c>
      <c r="AH28" s="11">
        <f t="shared" si="5"/>
        <v>0</v>
      </c>
      <c r="AI28" s="11">
        <f t="shared" si="5"/>
        <v>0</v>
      </c>
      <c r="AJ28" s="34"/>
      <c r="AK28" s="11">
        <f t="shared" si="6"/>
        <v>51</v>
      </c>
      <c r="AL28" s="11">
        <f t="shared" si="6"/>
        <v>0</v>
      </c>
      <c r="AM28" s="11">
        <f t="shared" si="6"/>
        <v>0</v>
      </c>
      <c r="AN28" s="11">
        <f t="shared" si="6"/>
        <v>0</v>
      </c>
      <c r="AO28" s="35"/>
    </row>
    <row r="29" spans="1:41" x14ac:dyDescent="0.2">
      <c r="A29" s="80">
        <v>24</v>
      </c>
      <c r="B29" s="41">
        <v>646785</v>
      </c>
      <c r="C29" s="14"/>
      <c r="D29" s="14"/>
      <c r="E29" s="41"/>
      <c r="F29" s="18"/>
      <c r="G29" s="18"/>
      <c r="H29" s="15"/>
      <c r="I29" s="40">
        <v>20331</v>
      </c>
      <c r="J29" s="42">
        <v>1727</v>
      </c>
      <c r="K29" s="42"/>
      <c r="L29" s="42"/>
      <c r="M29" s="15"/>
      <c r="N29" s="41">
        <v>226106</v>
      </c>
      <c r="O29" s="41"/>
      <c r="P29" s="41"/>
      <c r="Q29" s="18"/>
      <c r="R29" s="11">
        <f t="shared" si="3"/>
        <v>0</v>
      </c>
      <c r="S29" s="16"/>
      <c r="T29" s="17">
        <v>0</v>
      </c>
      <c r="U29" s="17">
        <v>0</v>
      </c>
      <c r="V29" s="17">
        <v>0</v>
      </c>
      <c r="W29" s="43" t="s">
        <v>30</v>
      </c>
      <c r="X29" s="80">
        <v>24</v>
      </c>
      <c r="Y29" s="11">
        <f t="shared" si="4"/>
        <v>41</v>
      </c>
      <c r="Z29" s="11">
        <f t="shared" si="4"/>
        <v>0</v>
      </c>
      <c r="AA29" s="11">
        <f t="shared" si="4"/>
        <v>0</v>
      </c>
      <c r="AB29" s="11">
        <f t="shared" si="4"/>
        <v>0</v>
      </c>
      <c r="AC29" s="11">
        <f t="shared" si="4"/>
        <v>0</v>
      </c>
      <c r="AD29" s="11">
        <f t="shared" si="4"/>
        <v>0</v>
      </c>
      <c r="AE29" s="34"/>
      <c r="AF29" s="11">
        <f t="shared" si="5"/>
        <v>23</v>
      </c>
      <c r="AG29" s="11">
        <f t="shared" si="5"/>
        <v>5</v>
      </c>
      <c r="AH29" s="11">
        <f t="shared" si="5"/>
        <v>0</v>
      </c>
      <c r="AI29" s="11">
        <f t="shared" si="5"/>
        <v>0</v>
      </c>
      <c r="AJ29" s="34"/>
      <c r="AK29" s="11">
        <f t="shared" si="6"/>
        <v>46</v>
      </c>
      <c r="AL29" s="11">
        <f t="shared" si="6"/>
        <v>0</v>
      </c>
      <c r="AM29" s="11">
        <f t="shared" si="6"/>
        <v>0</v>
      </c>
      <c r="AN29" s="11">
        <f t="shared" si="6"/>
        <v>0</v>
      </c>
      <c r="AO29" s="35"/>
    </row>
    <row r="30" spans="1:41" x14ac:dyDescent="0.2">
      <c r="A30" s="80">
        <v>25</v>
      </c>
      <c r="B30" s="41">
        <v>646831</v>
      </c>
      <c r="C30" s="14"/>
      <c r="D30" s="14"/>
      <c r="E30" s="41"/>
      <c r="F30" s="18"/>
      <c r="G30" s="18"/>
      <c r="H30" s="15"/>
      <c r="I30" s="40">
        <v>20355</v>
      </c>
      <c r="J30" s="42">
        <v>1736</v>
      </c>
      <c r="K30" s="42"/>
      <c r="L30" s="42"/>
      <c r="M30" s="15"/>
      <c r="N30" s="41">
        <v>226148</v>
      </c>
      <c r="O30" s="41"/>
      <c r="P30" s="41"/>
      <c r="Q30" s="18"/>
      <c r="R30" s="11">
        <f t="shared" si="3"/>
        <v>0</v>
      </c>
      <c r="S30" s="16"/>
      <c r="T30" s="17">
        <v>0</v>
      </c>
      <c r="U30" s="17">
        <v>0</v>
      </c>
      <c r="V30" s="17">
        <v>0</v>
      </c>
      <c r="W30" s="43" t="s">
        <v>30</v>
      </c>
      <c r="X30" s="80">
        <v>25</v>
      </c>
      <c r="Y30" s="11">
        <f t="shared" si="4"/>
        <v>46</v>
      </c>
      <c r="Z30" s="11">
        <f t="shared" si="4"/>
        <v>0</v>
      </c>
      <c r="AA30" s="11">
        <f t="shared" si="4"/>
        <v>0</v>
      </c>
      <c r="AB30" s="11">
        <f t="shared" si="4"/>
        <v>0</v>
      </c>
      <c r="AC30" s="11">
        <f t="shared" si="4"/>
        <v>0</v>
      </c>
      <c r="AD30" s="11">
        <f t="shared" si="4"/>
        <v>0</v>
      </c>
      <c r="AE30" s="34"/>
      <c r="AF30" s="11">
        <f t="shared" si="5"/>
        <v>24</v>
      </c>
      <c r="AG30" s="11">
        <f t="shared" si="5"/>
        <v>9</v>
      </c>
      <c r="AH30" s="11">
        <f t="shared" si="5"/>
        <v>0</v>
      </c>
      <c r="AI30" s="11">
        <f t="shared" si="5"/>
        <v>0</v>
      </c>
      <c r="AJ30" s="34"/>
      <c r="AK30" s="11">
        <f t="shared" si="6"/>
        <v>42</v>
      </c>
      <c r="AL30" s="11">
        <f t="shared" si="6"/>
        <v>0</v>
      </c>
      <c r="AM30" s="11">
        <f t="shared" si="6"/>
        <v>0</v>
      </c>
      <c r="AN30" s="11">
        <f t="shared" si="6"/>
        <v>0</v>
      </c>
      <c r="AO30" s="35"/>
    </row>
    <row r="31" spans="1:41" x14ac:dyDescent="0.2">
      <c r="A31" s="80">
        <v>26</v>
      </c>
      <c r="B31" s="41">
        <v>646870</v>
      </c>
      <c r="C31" s="14"/>
      <c r="D31" s="14"/>
      <c r="E31" s="41"/>
      <c r="F31" s="18"/>
      <c r="G31" s="18"/>
      <c r="H31" s="15"/>
      <c r="I31" s="40">
        <v>20379</v>
      </c>
      <c r="J31" s="42">
        <v>1741</v>
      </c>
      <c r="K31" s="42"/>
      <c r="L31" s="42"/>
      <c r="M31" s="15"/>
      <c r="N31" s="41">
        <v>226178</v>
      </c>
      <c r="O31" s="41"/>
      <c r="P31" s="41"/>
      <c r="Q31" s="18"/>
      <c r="R31" s="11">
        <f t="shared" si="3"/>
        <v>0</v>
      </c>
      <c r="S31" s="16"/>
      <c r="T31" s="17">
        <v>0</v>
      </c>
      <c r="U31" s="17">
        <v>0</v>
      </c>
      <c r="V31" s="17">
        <v>0</v>
      </c>
      <c r="W31" s="43" t="s">
        <v>30</v>
      </c>
      <c r="X31" s="80">
        <v>26</v>
      </c>
      <c r="Y31" s="11">
        <f t="shared" si="4"/>
        <v>39</v>
      </c>
      <c r="Z31" s="11">
        <f t="shared" si="4"/>
        <v>0</v>
      </c>
      <c r="AA31" s="11">
        <f t="shared" si="4"/>
        <v>0</v>
      </c>
      <c r="AB31" s="11">
        <f t="shared" si="4"/>
        <v>0</v>
      </c>
      <c r="AC31" s="11">
        <f t="shared" si="4"/>
        <v>0</v>
      </c>
      <c r="AD31" s="11">
        <f t="shared" si="4"/>
        <v>0</v>
      </c>
      <c r="AE31" s="34"/>
      <c r="AF31" s="11">
        <f t="shared" si="5"/>
        <v>24</v>
      </c>
      <c r="AG31" s="11">
        <f t="shared" si="5"/>
        <v>5</v>
      </c>
      <c r="AH31" s="11">
        <f t="shared" si="5"/>
        <v>0</v>
      </c>
      <c r="AI31" s="11">
        <f t="shared" si="5"/>
        <v>0</v>
      </c>
      <c r="AJ31" s="34"/>
      <c r="AK31" s="11">
        <f t="shared" si="6"/>
        <v>30</v>
      </c>
      <c r="AL31" s="11">
        <f t="shared" si="6"/>
        <v>0</v>
      </c>
      <c r="AM31" s="11">
        <f t="shared" si="6"/>
        <v>0</v>
      </c>
      <c r="AN31" s="11">
        <f t="shared" si="6"/>
        <v>0</v>
      </c>
      <c r="AO31" s="35"/>
    </row>
    <row r="32" spans="1:41" x14ac:dyDescent="0.2">
      <c r="A32" s="80">
        <v>27</v>
      </c>
      <c r="B32" s="41">
        <v>646920</v>
      </c>
      <c r="C32" s="14"/>
      <c r="D32" s="14"/>
      <c r="E32" s="41"/>
      <c r="F32" s="18"/>
      <c r="G32" s="18"/>
      <c r="H32" s="15"/>
      <c r="I32" s="40">
        <v>20400</v>
      </c>
      <c r="J32" s="42">
        <v>1745</v>
      </c>
      <c r="K32" s="42"/>
      <c r="L32" s="42"/>
      <c r="M32" s="15"/>
      <c r="N32" s="41">
        <v>226205</v>
      </c>
      <c r="O32" s="41"/>
      <c r="P32" s="41"/>
      <c r="Q32" s="18"/>
      <c r="R32" s="11">
        <f t="shared" si="3"/>
        <v>0</v>
      </c>
      <c r="S32" s="16"/>
      <c r="T32" s="17">
        <v>0</v>
      </c>
      <c r="U32" s="17">
        <v>0</v>
      </c>
      <c r="V32" s="17">
        <v>0</v>
      </c>
      <c r="W32" s="43" t="s">
        <v>30</v>
      </c>
      <c r="X32" s="80">
        <v>27</v>
      </c>
      <c r="Y32" s="11">
        <f t="shared" si="4"/>
        <v>50</v>
      </c>
      <c r="Z32" s="11">
        <f t="shared" si="4"/>
        <v>0</v>
      </c>
      <c r="AA32" s="11">
        <f t="shared" si="4"/>
        <v>0</v>
      </c>
      <c r="AB32" s="11">
        <f t="shared" si="4"/>
        <v>0</v>
      </c>
      <c r="AC32" s="11">
        <f t="shared" si="4"/>
        <v>0</v>
      </c>
      <c r="AD32" s="11">
        <f t="shared" si="4"/>
        <v>0</v>
      </c>
      <c r="AE32" s="34"/>
      <c r="AF32" s="11">
        <f t="shared" si="5"/>
        <v>21</v>
      </c>
      <c r="AG32" s="11">
        <f t="shared" si="5"/>
        <v>4</v>
      </c>
      <c r="AH32" s="11">
        <f t="shared" si="5"/>
        <v>0</v>
      </c>
      <c r="AI32" s="11">
        <f t="shared" si="5"/>
        <v>0</v>
      </c>
      <c r="AJ32" s="34"/>
      <c r="AK32" s="11">
        <f t="shared" si="6"/>
        <v>27</v>
      </c>
      <c r="AL32" s="11">
        <f t="shared" si="6"/>
        <v>0</v>
      </c>
      <c r="AM32" s="11">
        <f t="shared" si="6"/>
        <v>0</v>
      </c>
      <c r="AN32" s="11">
        <f t="shared" si="6"/>
        <v>0</v>
      </c>
      <c r="AO32" s="35"/>
    </row>
    <row r="33" spans="1:41" x14ac:dyDescent="0.2">
      <c r="A33" s="80">
        <v>28</v>
      </c>
      <c r="B33" s="41">
        <v>646961</v>
      </c>
      <c r="C33" s="14"/>
      <c r="D33" s="14"/>
      <c r="E33" s="41"/>
      <c r="F33" s="18"/>
      <c r="G33" s="18"/>
      <c r="H33" s="15"/>
      <c r="I33" s="40">
        <v>20418</v>
      </c>
      <c r="J33" s="42">
        <v>1749</v>
      </c>
      <c r="K33" s="42"/>
      <c r="L33" s="42"/>
      <c r="M33" s="15"/>
      <c r="N33" s="41">
        <v>226227</v>
      </c>
      <c r="O33" s="41"/>
      <c r="P33" s="41"/>
      <c r="Q33" s="18"/>
      <c r="R33" s="11">
        <f t="shared" si="3"/>
        <v>0</v>
      </c>
      <c r="S33" s="16"/>
      <c r="T33" s="17">
        <v>0</v>
      </c>
      <c r="U33" s="17">
        <v>0</v>
      </c>
      <c r="V33" s="17">
        <v>0</v>
      </c>
      <c r="W33" s="43" t="s">
        <v>30</v>
      </c>
      <c r="X33" s="80">
        <v>28</v>
      </c>
      <c r="Y33" s="11">
        <f t="shared" si="4"/>
        <v>41</v>
      </c>
      <c r="Z33" s="11">
        <f t="shared" si="4"/>
        <v>0</v>
      </c>
      <c r="AA33" s="11">
        <f t="shared" si="4"/>
        <v>0</v>
      </c>
      <c r="AB33" s="11">
        <f t="shared" si="4"/>
        <v>0</v>
      </c>
      <c r="AC33" s="11">
        <f t="shared" si="4"/>
        <v>0</v>
      </c>
      <c r="AD33" s="11">
        <f t="shared" si="4"/>
        <v>0</v>
      </c>
      <c r="AE33" s="34"/>
      <c r="AF33" s="11">
        <f t="shared" si="5"/>
        <v>18</v>
      </c>
      <c r="AG33" s="11">
        <f t="shared" si="5"/>
        <v>4</v>
      </c>
      <c r="AH33" s="11">
        <f t="shared" si="5"/>
        <v>0</v>
      </c>
      <c r="AI33" s="11">
        <f t="shared" si="5"/>
        <v>0</v>
      </c>
      <c r="AJ33" s="34"/>
      <c r="AK33" s="11">
        <f t="shared" si="6"/>
        <v>22</v>
      </c>
      <c r="AL33" s="11">
        <f t="shared" si="6"/>
        <v>0</v>
      </c>
      <c r="AM33" s="11">
        <f t="shared" si="6"/>
        <v>0</v>
      </c>
      <c r="AN33" s="11">
        <f t="shared" si="6"/>
        <v>0</v>
      </c>
      <c r="AO33" s="35"/>
    </row>
    <row r="34" spans="1:41" x14ac:dyDescent="0.2">
      <c r="A34" s="80">
        <v>29</v>
      </c>
      <c r="B34" s="41">
        <v>646987</v>
      </c>
      <c r="C34" s="14"/>
      <c r="D34" s="14"/>
      <c r="E34" s="41"/>
      <c r="F34" s="18"/>
      <c r="G34" s="18"/>
      <c r="H34" s="15"/>
      <c r="I34" s="40">
        <v>20432</v>
      </c>
      <c r="J34" s="42">
        <v>1752</v>
      </c>
      <c r="K34" s="42"/>
      <c r="L34" s="42"/>
      <c r="M34" s="15"/>
      <c r="N34" s="41">
        <v>226252</v>
      </c>
      <c r="O34" s="41"/>
      <c r="P34" s="41"/>
      <c r="Q34" s="18"/>
      <c r="R34" s="11">
        <f t="shared" si="3"/>
        <v>0</v>
      </c>
      <c r="S34" s="16"/>
      <c r="T34" s="17">
        <v>0</v>
      </c>
      <c r="U34" s="17">
        <v>0</v>
      </c>
      <c r="V34" s="17">
        <v>0</v>
      </c>
      <c r="W34" s="43" t="s">
        <v>30</v>
      </c>
      <c r="X34" s="80">
        <v>29</v>
      </c>
      <c r="Y34" s="11">
        <f t="shared" ref="Y34:Y36" si="7">B34-B33</f>
        <v>26</v>
      </c>
      <c r="Z34" s="11">
        <f t="shared" ref="Z34:AD36" si="8">C34-C33</f>
        <v>0</v>
      </c>
      <c r="AA34" s="11">
        <f t="shared" si="8"/>
        <v>0</v>
      </c>
      <c r="AB34" s="11">
        <f t="shared" si="8"/>
        <v>0</v>
      </c>
      <c r="AC34" s="11">
        <f t="shared" si="8"/>
        <v>0</v>
      </c>
      <c r="AD34" s="11">
        <f t="shared" si="8"/>
        <v>0</v>
      </c>
      <c r="AE34" s="34"/>
      <c r="AF34" s="11">
        <f t="shared" si="5"/>
        <v>14</v>
      </c>
      <c r="AG34" s="11">
        <f t="shared" si="5"/>
        <v>3</v>
      </c>
      <c r="AH34" s="11">
        <f t="shared" si="5"/>
        <v>0</v>
      </c>
      <c r="AI34" s="11">
        <f t="shared" si="5"/>
        <v>0</v>
      </c>
      <c r="AJ34" s="34"/>
      <c r="AK34" s="11">
        <f t="shared" si="6"/>
        <v>25</v>
      </c>
      <c r="AL34" s="11">
        <f t="shared" si="6"/>
        <v>0</v>
      </c>
      <c r="AM34" s="11">
        <f t="shared" si="6"/>
        <v>0</v>
      </c>
      <c r="AN34" s="11">
        <f t="shared" si="6"/>
        <v>0</v>
      </c>
      <c r="AO34" s="35"/>
    </row>
    <row r="35" spans="1:41" x14ac:dyDescent="0.2">
      <c r="A35" s="80">
        <v>30</v>
      </c>
      <c r="B35" s="41">
        <v>647012</v>
      </c>
      <c r="C35" s="14"/>
      <c r="D35" s="14"/>
      <c r="E35" s="41"/>
      <c r="F35" s="18"/>
      <c r="G35" s="18"/>
      <c r="H35" s="15"/>
      <c r="I35" s="40">
        <v>20443</v>
      </c>
      <c r="J35" s="42">
        <v>1754</v>
      </c>
      <c r="K35" s="42"/>
      <c r="L35" s="42"/>
      <c r="M35" s="15"/>
      <c r="N35" s="41">
        <v>226279</v>
      </c>
      <c r="O35" s="41"/>
      <c r="P35" s="41"/>
      <c r="Q35" s="18"/>
      <c r="R35" s="11">
        <f t="shared" si="3"/>
        <v>0</v>
      </c>
      <c r="S35" s="16"/>
      <c r="T35" s="17">
        <v>0</v>
      </c>
      <c r="U35" s="17">
        <v>0</v>
      </c>
      <c r="V35" s="17">
        <v>0</v>
      </c>
      <c r="W35" s="43" t="s">
        <v>30</v>
      </c>
      <c r="X35" s="80">
        <v>30</v>
      </c>
      <c r="Y35" s="11">
        <f t="shared" si="7"/>
        <v>25</v>
      </c>
      <c r="Z35" s="11">
        <f t="shared" si="8"/>
        <v>0</v>
      </c>
      <c r="AA35" s="11">
        <f t="shared" si="8"/>
        <v>0</v>
      </c>
      <c r="AB35" s="11">
        <f t="shared" si="8"/>
        <v>0</v>
      </c>
      <c r="AC35" s="11">
        <f t="shared" si="8"/>
        <v>0</v>
      </c>
      <c r="AD35" s="11">
        <f t="shared" si="8"/>
        <v>0</v>
      </c>
      <c r="AE35" s="34"/>
      <c r="AF35" s="11">
        <f t="shared" si="5"/>
        <v>11</v>
      </c>
      <c r="AG35" s="11">
        <f t="shared" si="5"/>
        <v>2</v>
      </c>
      <c r="AH35" s="11">
        <f t="shared" si="5"/>
        <v>0</v>
      </c>
      <c r="AI35" s="11">
        <f t="shared" si="5"/>
        <v>0</v>
      </c>
      <c r="AJ35" s="34"/>
      <c r="AK35" s="11">
        <f t="shared" si="6"/>
        <v>27</v>
      </c>
      <c r="AL35" s="11">
        <f t="shared" si="6"/>
        <v>0</v>
      </c>
      <c r="AM35" s="11">
        <f t="shared" si="6"/>
        <v>0</v>
      </c>
      <c r="AN35" s="11">
        <f t="shared" si="6"/>
        <v>0</v>
      </c>
      <c r="AO35" s="35"/>
    </row>
    <row r="36" spans="1:41" x14ac:dyDescent="0.2">
      <c r="A36" s="80">
        <v>31</v>
      </c>
      <c r="B36" s="41">
        <v>647046</v>
      </c>
      <c r="C36" s="14"/>
      <c r="D36" s="14"/>
      <c r="E36" s="41"/>
      <c r="F36" s="18"/>
      <c r="G36" s="18"/>
      <c r="H36" s="15"/>
      <c r="I36" s="40">
        <v>20461</v>
      </c>
      <c r="J36" s="42">
        <v>1758</v>
      </c>
      <c r="K36" s="42"/>
      <c r="L36" s="42"/>
      <c r="M36" s="15"/>
      <c r="N36" s="41">
        <v>226299</v>
      </c>
      <c r="O36" s="41"/>
      <c r="P36" s="41"/>
      <c r="Q36" s="18"/>
      <c r="R36" s="11">
        <f t="shared" si="3"/>
        <v>0</v>
      </c>
      <c r="S36" s="16"/>
      <c r="T36" s="17">
        <v>0</v>
      </c>
      <c r="U36" s="17">
        <v>0</v>
      </c>
      <c r="V36" s="17">
        <v>0</v>
      </c>
      <c r="W36" s="43" t="s">
        <v>30</v>
      </c>
      <c r="X36" s="80">
        <v>31</v>
      </c>
      <c r="Y36" s="11">
        <f t="shared" si="7"/>
        <v>34</v>
      </c>
      <c r="Z36" s="11">
        <f t="shared" si="8"/>
        <v>0</v>
      </c>
      <c r="AA36" s="11">
        <f t="shared" si="8"/>
        <v>0</v>
      </c>
      <c r="AB36" s="11">
        <f t="shared" si="8"/>
        <v>0</v>
      </c>
      <c r="AC36" s="11">
        <f t="shared" si="8"/>
        <v>0</v>
      </c>
      <c r="AD36" s="11">
        <f t="shared" si="8"/>
        <v>0</v>
      </c>
      <c r="AE36" s="34"/>
      <c r="AF36" s="11">
        <f t="shared" si="5"/>
        <v>18</v>
      </c>
      <c r="AG36" s="11">
        <f t="shared" si="5"/>
        <v>4</v>
      </c>
      <c r="AH36" s="11">
        <f t="shared" si="5"/>
        <v>0</v>
      </c>
      <c r="AI36" s="11">
        <f t="shared" si="5"/>
        <v>0</v>
      </c>
      <c r="AJ36" s="34"/>
      <c r="AK36" s="11">
        <f t="shared" si="6"/>
        <v>20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80" t="s">
        <v>34</v>
      </c>
      <c r="B39" s="10">
        <f t="shared" ref="B39:G39" si="9">LARGE(B5:B36, 1)</f>
        <v>647046</v>
      </c>
      <c r="C39" s="11">
        <f t="shared" si="9"/>
        <v>0</v>
      </c>
      <c r="D39" s="11">
        <f t="shared" si="9"/>
        <v>0</v>
      </c>
      <c r="E39" s="22">
        <f t="shared" si="9"/>
        <v>973328</v>
      </c>
      <c r="F39" s="10">
        <f t="shared" si="9"/>
        <v>78080</v>
      </c>
      <c r="G39" s="10">
        <f t="shared" si="9"/>
        <v>21830</v>
      </c>
      <c r="H39" s="23"/>
      <c r="I39" s="10">
        <f>LARGE(I5:I36, 1)</f>
        <v>20461</v>
      </c>
      <c r="J39" s="24">
        <f>LARGE(J5:J36, 1)</f>
        <v>1758</v>
      </c>
      <c r="K39" s="24">
        <f>LARGE(K5:K36, 1)</f>
        <v>25201</v>
      </c>
      <c r="L39" s="24">
        <f>LARGE(L5:L36, 1)</f>
        <v>114</v>
      </c>
      <c r="M39" s="8"/>
      <c r="N39" s="22">
        <f>LARGE(N5:N36, 1)</f>
        <v>226299</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0">AVERAGEIF($W$6:$W$36, "x",Y6:Y36)</f>
        <v>47.677419354838712</v>
      </c>
      <c r="Z39" s="55">
        <f t="shared" si="10"/>
        <v>0</v>
      </c>
      <c r="AA39" s="55">
        <f t="shared" si="10"/>
        <v>0</v>
      </c>
      <c r="AB39" s="55">
        <f t="shared" si="10"/>
        <v>-31397.677419354837</v>
      </c>
      <c r="AC39" s="55">
        <f t="shared" si="10"/>
        <v>-2518.7096774193546</v>
      </c>
      <c r="AD39" s="55">
        <f t="shared" si="10"/>
        <v>-704.19354838709683</v>
      </c>
      <c r="AE39" s="56"/>
      <c r="AF39" s="55">
        <f>AVERAGEIF($W$6:$W$36, "x",AF6:AF36)</f>
        <v>19.06451612903226</v>
      </c>
      <c r="AG39" s="55">
        <f>AVERAGEIF($W$6:$W$36, "x",AG6:AG36)</f>
        <v>4.870967741935484</v>
      </c>
      <c r="AH39" s="55">
        <f>AVERAGEIF($W$6:$W$36, "x",AH6:AH36)</f>
        <v>-812.93548387096769</v>
      </c>
      <c r="AI39" s="55">
        <f>AVERAGEIF($W$6:$W$36, "x",AI6:AI36)</f>
        <v>-3.6774193548387095</v>
      </c>
      <c r="AJ39" s="56"/>
      <c r="AK39" s="55">
        <f>AVERAGEIF($W$6:$W$36, "x",AK6:AK36)</f>
        <v>57.935483870967744</v>
      </c>
      <c r="AL39" s="55">
        <f>AVERAGEIF($W$6:$W$36, "x",AL6:AL36)</f>
        <v>-13304.387096774193</v>
      </c>
      <c r="AM39" s="55">
        <f>AVERAGEIF($W$6:$W$36, "x",AM6:AM36)</f>
        <v>-18860.516129032258</v>
      </c>
      <c r="AN39" s="55">
        <f>AVERAGEIF($W$6:$W$36, "x",AN6:AN36)</f>
        <v>-707.9677419354839</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1478</v>
      </c>
      <c r="C42" s="26">
        <f t="shared" ref="C42:V42" si="11">C39-C5</f>
        <v>0</v>
      </c>
      <c r="D42" s="26">
        <f t="shared" si="11"/>
        <v>0</v>
      </c>
      <c r="E42" s="26">
        <f t="shared" si="11"/>
        <v>0</v>
      </c>
      <c r="F42" s="26">
        <f t="shared" si="11"/>
        <v>0</v>
      </c>
      <c r="G42" s="26">
        <f t="shared" si="11"/>
        <v>0</v>
      </c>
      <c r="I42" s="26">
        <f t="shared" si="11"/>
        <v>591</v>
      </c>
      <c r="J42" s="26">
        <f t="shared" si="11"/>
        <v>151</v>
      </c>
      <c r="K42" s="26">
        <f t="shared" si="11"/>
        <v>0</v>
      </c>
      <c r="L42" s="26">
        <f t="shared" si="11"/>
        <v>0</v>
      </c>
      <c r="N42" s="26">
        <f t="shared" si="11"/>
        <v>1796</v>
      </c>
      <c r="O42" s="26">
        <f t="shared" si="11"/>
        <v>0</v>
      </c>
      <c r="P42" s="26">
        <f t="shared" si="11"/>
        <v>0</v>
      </c>
      <c r="Q42" s="26">
        <f t="shared" si="11"/>
        <v>0</v>
      </c>
      <c r="R42" s="26"/>
      <c r="T42" s="26">
        <f t="shared" si="11"/>
        <v>0</v>
      </c>
      <c r="U42" s="26">
        <f t="shared" si="11"/>
        <v>0</v>
      </c>
      <c r="V42" s="26">
        <f t="shared" si="11"/>
        <v>0</v>
      </c>
      <c r="X42" s="96"/>
      <c r="Y42" s="53">
        <f>Feb!Y39</f>
        <v>63.241379310344826</v>
      </c>
      <c r="Z42" s="53">
        <f>Feb!Z39</f>
        <v>0</v>
      </c>
      <c r="AA42" s="53">
        <f>Feb!AA39</f>
        <v>0</v>
      </c>
      <c r="AB42" s="53">
        <f>Feb!AB39</f>
        <v>-33563.034482758623</v>
      </c>
      <c r="AC42" s="53">
        <f>Feb!AC39</f>
        <v>-2692.4137931034484</v>
      </c>
      <c r="AD42" s="53">
        <f>Feb!AD39</f>
        <v>-752.75862068965512</v>
      </c>
      <c r="AE42" s="57"/>
      <c r="AF42" s="53">
        <f>Feb!AF39</f>
        <v>11.896551724137931</v>
      </c>
      <c r="AG42" s="53">
        <f>Feb!AG39</f>
        <v>2.6551724137931036</v>
      </c>
      <c r="AH42" s="53">
        <f>Feb!AH39</f>
        <v>-869</v>
      </c>
      <c r="AI42" s="53">
        <f>Feb!AI39</f>
        <v>-3.9310344827586206</v>
      </c>
      <c r="AJ42" s="57"/>
      <c r="AK42" s="53">
        <f>Feb!AK39</f>
        <v>93.241379310344826</v>
      </c>
      <c r="AL42" s="53">
        <f>Feb!AL39</f>
        <v>-14221.931034482759</v>
      </c>
      <c r="AM42" s="53">
        <f>Feb!AM39</f>
        <v>-20161.241379310344</v>
      </c>
      <c r="AN42" s="53">
        <f>Feb!AN39</f>
        <v>-756.79310344827582</v>
      </c>
    </row>
    <row r="43" spans="1:41" x14ac:dyDescent="0.2">
      <c r="X43" s="80">
        <v>1.5</v>
      </c>
      <c r="Y43" s="54">
        <f>Y42*$X$43</f>
        <v>94.862068965517238</v>
      </c>
      <c r="Z43" s="54">
        <f t="shared" ref="Z43:AD43" si="12">Z42*$X$43</f>
        <v>0</v>
      </c>
      <c r="AA43" s="54">
        <f t="shared" si="12"/>
        <v>0</v>
      </c>
      <c r="AB43" s="54">
        <f t="shared" si="12"/>
        <v>-50344.551724137935</v>
      </c>
      <c r="AC43" s="54">
        <f t="shared" si="12"/>
        <v>-4038.6206896551726</v>
      </c>
      <c r="AD43" s="54">
        <f t="shared" si="12"/>
        <v>-1129.1379310344828</v>
      </c>
      <c r="AE43" s="56"/>
      <c r="AF43" s="54">
        <f t="shared" ref="AF43:AI43" si="13">AF42*$X$43</f>
        <v>17.844827586206897</v>
      </c>
      <c r="AG43" s="54">
        <f t="shared" si="13"/>
        <v>3.9827586206896557</v>
      </c>
      <c r="AH43" s="54">
        <f t="shared" si="13"/>
        <v>-1303.5</v>
      </c>
      <c r="AI43" s="54">
        <f t="shared" si="13"/>
        <v>-5.8965517241379306</v>
      </c>
      <c r="AJ43" s="56"/>
      <c r="AK43" s="54">
        <f t="shared" ref="AK43:AN43" si="14">AK42*$X$43</f>
        <v>139.86206896551724</v>
      </c>
      <c r="AL43" s="54">
        <f t="shared" si="14"/>
        <v>-21332.896551724138</v>
      </c>
      <c r="AM43" s="54">
        <f t="shared" si="14"/>
        <v>-30241.862068965514</v>
      </c>
      <c r="AN43" s="54">
        <f t="shared" si="14"/>
        <v>-1135.1896551724137</v>
      </c>
    </row>
    <row r="44" spans="1:41" x14ac:dyDescent="0.2">
      <c r="R44" s="31" t="s">
        <v>35</v>
      </c>
      <c r="X44" s="80">
        <v>0.5</v>
      </c>
      <c r="Y44" s="54">
        <f>Y42*$X$44</f>
        <v>31.620689655172413</v>
      </c>
      <c r="Z44" s="54">
        <f t="shared" ref="Z44:AD44" si="15">Z42*$X$44</f>
        <v>0</v>
      </c>
      <c r="AA44" s="54">
        <f t="shared" si="15"/>
        <v>0</v>
      </c>
      <c r="AB44" s="54">
        <f t="shared" si="15"/>
        <v>-16781.517241379312</v>
      </c>
      <c r="AC44" s="54">
        <f t="shared" si="15"/>
        <v>-1346.2068965517242</v>
      </c>
      <c r="AD44" s="54">
        <f t="shared" si="15"/>
        <v>-376.37931034482756</v>
      </c>
      <c r="AE44" s="56"/>
      <c r="AF44" s="54">
        <f t="shared" ref="AF44:AI44" si="16">AF42*$X$44</f>
        <v>5.9482758620689653</v>
      </c>
      <c r="AG44" s="54">
        <f t="shared" si="16"/>
        <v>1.3275862068965518</v>
      </c>
      <c r="AH44" s="54">
        <f t="shared" si="16"/>
        <v>-434.5</v>
      </c>
      <c r="AI44" s="54">
        <f t="shared" si="16"/>
        <v>-1.9655172413793103</v>
      </c>
      <c r="AJ44" s="56"/>
      <c r="AK44" s="54">
        <f t="shared" ref="AK44:AL44" si="17">AK42*$X$44</f>
        <v>46.620689655172413</v>
      </c>
      <c r="AL44" s="54">
        <f t="shared" si="17"/>
        <v>-7110.9655172413795</v>
      </c>
      <c r="AM44" s="54">
        <v>0</v>
      </c>
      <c r="AN44" s="54">
        <v>0</v>
      </c>
    </row>
    <row r="45" spans="1:41" x14ac:dyDescent="0.2">
      <c r="R45" s="11">
        <f>AVERAGE(R6:R36)</f>
        <v>-707.9677419354839</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709" priority="54" operator="lessThan">
      <formula>0</formula>
    </cfRule>
  </conditionalFormatting>
  <conditionalFormatting sqref="Y43:AD44 AF43:AI44 AK43:AN44">
    <cfRule type="cellIs" dxfId="708" priority="53" operator="lessThan">
      <formula>0</formula>
    </cfRule>
  </conditionalFormatting>
  <conditionalFormatting sqref="Y39:AN39">
    <cfRule type="cellIs" dxfId="707" priority="52" operator="lessThan">
      <formula>0</formula>
    </cfRule>
  </conditionalFormatting>
  <conditionalFormatting sqref="Y39">
    <cfRule type="cellIs" dxfId="706" priority="50" operator="lessThan">
      <formula>$Y$44</formula>
    </cfRule>
    <cfRule type="cellIs" dxfId="705" priority="51" operator="greaterThan">
      <formula>$Y$43</formula>
    </cfRule>
  </conditionalFormatting>
  <conditionalFormatting sqref="AB39">
    <cfRule type="cellIs" dxfId="704" priority="48" operator="lessThan">
      <formula>$AB$44</formula>
    </cfRule>
    <cfRule type="cellIs" dxfId="703" priority="49" operator="greaterThan">
      <formula>$AB$43</formula>
    </cfRule>
  </conditionalFormatting>
  <conditionalFormatting sqref="AC39">
    <cfRule type="cellIs" dxfId="702" priority="46" operator="lessThan">
      <formula>$AC$44</formula>
    </cfRule>
    <cfRule type="cellIs" dxfId="701" priority="47" operator="greaterThan">
      <formula>$AC$43</formula>
    </cfRule>
  </conditionalFormatting>
  <conditionalFormatting sqref="AD39">
    <cfRule type="cellIs" dxfId="700" priority="44" operator="lessThan">
      <formula>$AD$44</formula>
    </cfRule>
    <cfRule type="cellIs" dxfId="699" priority="45" operator="greaterThan">
      <formula>$AD$43</formula>
    </cfRule>
  </conditionalFormatting>
  <conditionalFormatting sqref="AF39">
    <cfRule type="cellIs" dxfId="698" priority="42" operator="lessThan">
      <formula>$AF$44</formula>
    </cfRule>
    <cfRule type="cellIs" dxfId="697" priority="43" operator="greaterThan">
      <formula>$AF$43</formula>
    </cfRule>
  </conditionalFormatting>
  <conditionalFormatting sqref="AG39">
    <cfRule type="cellIs" dxfId="696" priority="40" operator="lessThan">
      <formula>$AG$44</formula>
    </cfRule>
    <cfRule type="cellIs" dxfId="695" priority="41" operator="greaterThan">
      <formula>$AG$43</formula>
    </cfRule>
  </conditionalFormatting>
  <conditionalFormatting sqref="AH39">
    <cfRule type="cellIs" dxfId="694" priority="38" operator="lessThan">
      <formula>$AH$44</formula>
    </cfRule>
    <cfRule type="cellIs" dxfId="693" priority="39" operator="greaterThan">
      <formula>$AH$43</formula>
    </cfRule>
  </conditionalFormatting>
  <conditionalFormatting sqref="AI39">
    <cfRule type="cellIs" dxfId="692" priority="36" operator="lessThan">
      <formula>$AI$44</formula>
    </cfRule>
    <cfRule type="cellIs" dxfId="691" priority="37" operator="greaterThan">
      <formula>$AI$43</formula>
    </cfRule>
  </conditionalFormatting>
  <conditionalFormatting sqref="AK39">
    <cfRule type="cellIs" dxfId="690" priority="34" operator="lessThan">
      <formula>$AK$44</formula>
    </cfRule>
    <cfRule type="cellIs" dxfId="689" priority="35" operator="greaterThan">
      <formula>$AK$43</formula>
    </cfRule>
  </conditionalFormatting>
  <conditionalFormatting sqref="AL39">
    <cfRule type="cellIs" dxfId="688" priority="32" operator="lessThan">
      <formula>$AL$44</formula>
    </cfRule>
    <cfRule type="cellIs" dxfId="687" priority="33" operator="greaterThan">
      <formula>$AL$43</formula>
    </cfRule>
  </conditionalFormatting>
  <conditionalFormatting sqref="AM39">
    <cfRule type="cellIs" dxfId="686" priority="30" operator="lessThan">
      <formula>$AM$44</formula>
    </cfRule>
    <cfRule type="cellIs" dxfId="685" priority="31" operator="greaterThan">
      <formula>$AM$43</formula>
    </cfRule>
  </conditionalFormatting>
  <conditionalFormatting sqref="AN39">
    <cfRule type="cellIs" dxfId="684" priority="28" operator="lessThan">
      <formula>$AN$44</formula>
    </cfRule>
    <cfRule type="cellIs" dxfId="683" priority="29" operator="greaterThan">
      <formula>$AN$43</formula>
    </cfRule>
  </conditionalFormatting>
  <conditionalFormatting sqref="AB6:AB36">
    <cfRule type="cellIs" dxfId="682" priority="27" operator="notBetween">
      <formula>$AB$44</formula>
      <formula>$AB$43</formula>
    </cfRule>
  </conditionalFormatting>
  <conditionalFormatting sqref="AC6:AC36">
    <cfRule type="cellIs" dxfId="681" priority="16" operator="notBetween">
      <formula>$AC$43</formula>
      <formula>$AC$44</formula>
    </cfRule>
  </conditionalFormatting>
  <conditionalFormatting sqref="Y6:AN36">
    <cfRule type="cellIs" dxfId="680" priority="2" stopIfTrue="1" operator="equal">
      <formula>0</formula>
    </cfRule>
    <cfRule type="cellIs" dxfId="679" priority="3" stopIfTrue="1" operator="lessThan">
      <formula>0</formula>
    </cfRule>
  </conditionalFormatting>
  <conditionalFormatting sqref="Y6:Y36">
    <cfRule type="cellIs" dxfId="678" priority="25" operator="notBetween">
      <formula>$Y$44</formula>
      <formula>$Y$43</formula>
    </cfRule>
  </conditionalFormatting>
  <conditionalFormatting sqref="AD6:AD36">
    <cfRule type="cellIs" dxfId="677" priority="17" operator="notBetween">
      <formula>$AD$44</formula>
      <formula>$AD$43</formula>
    </cfRule>
  </conditionalFormatting>
  <conditionalFormatting sqref="AF6:AF36">
    <cfRule type="cellIs" dxfId="676" priority="18" operator="notBetween">
      <formula>$AF$44</formula>
      <formula>$AF$43</formula>
    </cfRule>
  </conditionalFormatting>
  <conditionalFormatting sqref="AG6:AG36">
    <cfRule type="cellIs" dxfId="675" priority="19" operator="notBetween">
      <formula>$AG$44</formula>
      <formula>$AG$43</formula>
    </cfRule>
  </conditionalFormatting>
  <conditionalFormatting sqref="AH6:AH36">
    <cfRule type="cellIs" dxfId="674" priority="20" operator="notBetween">
      <formula>$AH$44</formula>
      <formula>$AH$43</formula>
    </cfRule>
  </conditionalFormatting>
  <conditionalFormatting sqref="AI6:AI36">
    <cfRule type="cellIs" dxfId="673" priority="21" operator="notBetween">
      <formula>$AI$44</formula>
      <formula>$AI$43</formula>
    </cfRule>
  </conditionalFormatting>
  <conditionalFormatting sqref="AK6:AK36">
    <cfRule type="cellIs" dxfId="672" priority="22" operator="notBetween">
      <formula>$AK$44</formula>
      <formula>$AK$43</formula>
    </cfRule>
  </conditionalFormatting>
  <conditionalFormatting sqref="AL6:AL36">
    <cfRule type="cellIs" dxfId="671" priority="23" operator="notBetween">
      <formula>$AL$44</formula>
      <formula>$AL$43</formula>
    </cfRule>
  </conditionalFormatting>
  <conditionalFormatting sqref="AM6:AM36">
    <cfRule type="cellIs" dxfId="670" priority="26" operator="notBetween">
      <formula>$AM$44</formula>
      <formula>$AM$43</formula>
    </cfRule>
  </conditionalFormatting>
  <conditionalFormatting sqref="AN6:AN36">
    <cfRule type="cellIs" dxfId="669" priority="24" operator="notBetween">
      <formula>$AN$44</formula>
      <formula>$AN$43</formula>
    </cfRule>
  </conditionalFormatting>
  <conditionalFormatting sqref="AG6:AG39">
    <cfRule type="cellIs" dxfId="668" priority="13" stopIfTrue="1" operator="greaterThan">
      <formula>$AG$43*2</formula>
    </cfRule>
  </conditionalFormatting>
  <conditionalFormatting sqref="Y6:Y39">
    <cfRule type="cellIs" dxfId="667" priority="15" stopIfTrue="1" operator="greaterThan">
      <formula>$Y$43*2</formula>
    </cfRule>
  </conditionalFormatting>
  <conditionalFormatting sqref="AB6:AB39">
    <cfRule type="cellIs" dxfId="666" priority="14" stopIfTrue="1" operator="greaterThan">
      <formula>$AB$43*2</formula>
    </cfRule>
  </conditionalFormatting>
  <conditionalFormatting sqref="AC6:AC39">
    <cfRule type="cellIs" dxfId="665" priority="4" stopIfTrue="1" operator="greaterThan">
      <formula>$AC$43*2</formula>
    </cfRule>
  </conditionalFormatting>
  <conditionalFormatting sqref="AD6:AD39">
    <cfRule type="cellIs" dxfId="664" priority="5" stopIfTrue="1" operator="greaterThan">
      <formula>$AD$43*2</formula>
    </cfRule>
  </conditionalFormatting>
  <conditionalFormatting sqref="AF6:AF39">
    <cfRule type="cellIs" dxfId="663" priority="6" stopIfTrue="1" operator="greaterThan">
      <formula>$AF$43*2</formula>
    </cfRule>
  </conditionalFormatting>
  <conditionalFormatting sqref="AH6:AH39">
    <cfRule type="cellIs" dxfId="662" priority="7" stopIfTrue="1" operator="greaterThan">
      <formula>$AH$43*2</formula>
    </cfRule>
  </conditionalFormatting>
  <conditionalFormatting sqref="AI6:AI39">
    <cfRule type="cellIs" dxfId="661" priority="8" stopIfTrue="1" operator="greaterThan">
      <formula>$AI$43*2</formula>
    </cfRule>
  </conditionalFormatting>
  <conditionalFormatting sqref="AK6:AK39">
    <cfRule type="cellIs" dxfId="660" priority="10" stopIfTrue="1" operator="greaterThan">
      <formula>$AK$43*2</formula>
    </cfRule>
  </conditionalFormatting>
  <conditionalFormatting sqref="AL6:AL39">
    <cfRule type="cellIs" dxfId="659" priority="9" stopIfTrue="1" operator="greaterThan">
      <formula>$AL$43*2</formula>
    </cfRule>
  </conditionalFormatting>
  <conditionalFormatting sqref="AM6:AM39">
    <cfRule type="cellIs" dxfId="658" priority="11" stopIfTrue="1" operator="greaterThan">
      <formula>$AM$43*2</formula>
    </cfRule>
  </conditionalFormatting>
  <conditionalFormatting sqref="AN6:AN39">
    <cfRule type="cellIs" dxfId="657"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&amp;CMarch Meter Reading</oddHeader>
    <oddFoote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51"/>
  <sheetViews>
    <sheetView zoomScaleNormal="100" workbookViewId="0">
      <pane ySplit="3" topLeftCell="A10" activePane="bottomLeft" state="frozen"/>
      <selection pane="bottomLeft" activeCell="AU17" sqref="AU17"/>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1"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39">
        <f>Mar!B39</f>
        <v>647046</v>
      </c>
      <c r="C5" s="39">
        <f>Mar!C39</f>
        <v>0</v>
      </c>
      <c r="D5" s="39">
        <f>Mar!D39</f>
        <v>0</v>
      </c>
      <c r="E5" s="39">
        <f>Mar!E39</f>
        <v>973328</v>
      </c>
      <c r="F5" s="39">
        <f>Mar!F39</f>
        <v>78080</v>
      </c>
      <c r="G5" s="39">
        <f>Mar!G39</f>
        <v>21830</v>
      </c>
      <c r="H5" s="15"/>
      <c r="I5" s="39">
        <f>Mar!I39</f>
        <v>20461</v>
      </c>
      <c r="J5" s="39">
        <f>Mar!J39</f>
        <v>1758</v>
      </c>
      <c r="K5" s="39">
        <f>Mar!K39</f>
        <v>25201</v>
      </c>
      <c r="L5" s="39">
        <f>Mar!L39</f>
        <v>114</v>
      </c>
      <c r="M5" s="15"/>
      <c r="N5" s="39">
        <f>Mar!N39</f>
        <v>226299</v>
      </c>
      <c r="O5" s="39">
        <f>Mar!O39</f>
        <v>412436</v>
      </c>
      <c r="P5" s="39">
        <f>Mar!P39</f>
        <v>584676</v>
      </c>
      <c r="Q5" s="39">
        <f>Mar!Q39</f>
        <v>21947</v>
      </c>
      <c r="R5" s="11"/>
      <c r="S5" s="15"/>
      <c r="T5" s="26">
        <f>Mar!T39</f>
        <v>0</v>
      </c>
      <c r="U5" s="26">
        <f>Mar!U39</f>
        <v>0</v>
      </c>
      <c r="V5" s="26">
        <f>Mar!V39</f>
        <v>0</v>
      </c>
      <c r="X5"/>
    </row>
    <row r="6" spans="1:41" x14ac:dyDescent="0.2">
      <c r="A6" s="7">
        <v>1</v>
      </c>
      <c r="B6" s="41">
        <v>647069</v>
      </c>
      <c r="C6" s="14"/>
      <c r="D6" s="14"/>
      <c r="E6" s="41"/>
      <c r="F6" s="13"/>
      <c r="G6" s="13"/>
      <c r="H6" s="15"/>
      <c r="I6" s="40">
        <v>20471</v>
      </c>
      <c r="J6" s="42">
        <v>1758</v>
      </c>
      <c r="K6" s="42"/>
      <c r="L6" s="42"/>
      <c r="M6" s="15"/>
      <c r="N6" s="41">
        <v>226317</v>
      </c>
      <c r="O6" s="41"/>
      <c r="P6" s="41"/>
      <c r="Q6" s="18"/>
      <c r="R6" s="11">
        <f>Q6-Q5</f>
        <v>-21947</v>
      </c>
      <c r="S6" s="16"/>
      <c r="T6" s="17">
        <v>0</v>
      </c>
      <c r="U6" s="17">
        <v>0</v>
      </c>
      <c r="V6" s="17">
        <v>0</v>
      </c>
      <c r="W6" s="43" t="s">
        <v>30</v>
      </c>
      <c r="X6" s="80">
        <v>1</v>
      </c>
      <c r="Y6" s="11">
        <f>B6-B5</f>
        <v>23</v>
      </c>
      <c r="Z6" s="11">
        <f t="shared" ref="Z6:AD21" si="0">C6-C5</f>
        <v>0</v>
      </c>
      <c r="AA6" s="11">
        <f t="shared" si="0"/>
        <v>0</v>
      </c>
      <c r="AB6" s="11">
        <f t="shared" si="0"/>
        <v>-973328</v>
      </c>
      <c r="AC6" s="11">
        <f t="shared" si="0"/>
        <v>-78080</v>
      </c>
      <c r="AD6" s="11">
        <f t="shared" si="0"/>
        <v>-21830</v>
      </c>
      <c r="AE6" s="34"/>
      <c r="AF6" s="11">
        <f t="shared" ref="AF6:AI21" si="1">I6-I5</f>
        <v>10</v>
      </c>
      <c r="AG6" s="11">
        <f t="shared" si="1"/>
        <v>0</v>
      </c>
      <c r="AH6" s="11">
        <f t="shared" si="1"/>
        <v>-25201</v>
      </c>
      <c r="AI6" s="11">
        <f t="shared" si="1"/>
        <v>-114</v>
      </c>
      <c r="AJ6" s="34"/>
      <c r="AK6" s="11">
        <f t="shared" ref="AK6:AN21" si="2">N6-N5</f>
        <v>18</v>
      </c>
      <c r="AL6" s="11">
        <f t="shared" si="2"/>
        <v>-412436</v>
      </c>
      <c r="AM6" s="11">
        <f t="shared" si="2"/>
        <v>-584676</v>
      </c>
      <c r="AN6" s="11">
        <f t="shared" si="2"/>
        <v>-21947</v>
      </c>
      <c r="AO6" s="34"/>
    </row>
    <row r="7" spans="1:41" x14ac:dyDescent="0.2">
      <c r="A7" s="80">
        <v>2</v>
      </c>
      <c r="B7" s="41">
        <v>647091</v>
      </c>
      <c r="C7" s="14"/>
      <c r="D7" s="14"/>
      <c r="E7" s="41"/>
      <c r="F7" s="18"/>
      <c r="G7" s="18"/>
      <c r="H7" s="15"/>
      <c r="I7" s="40">
        <v>20483</v>
      </c>
      <c r="J7" s="42">
        <v>1761</v>
      </c>
      <c r="K7" s="42"/>
      <c r="L7" s="42"/>
      <c r="M7" s="15"/>
      <c r="N7" s="41">
        <v>226345</v>
      </c>
      <c r="O7" s="41"/>
      <c r="P7" s="41"/>
      <c r="Q7" s="18"/>
      <c r="R7" s="11">
        <f t="shared" ref="R7:R35" si="3">Q7-Q6</f>
        <v>0</v>
      </c>
      <c r="S7" s="16"/>
      <c r="T7" s="17">
        <v>0</v>
      </c>
      <c r="U7" s="17">
        <v>0</v>
      </c>
      <c r="V7" s="17">
        <v>0</v>
      </c>
      <c r="W7" s="43" t="s">
        <v>30</v>
      </c>
      <c r="X7" s="80">
        <v>2</v>
      </c>
      <c r="Y7" s="11">
        <f t="shared" ref="Y7:AD33" si="4">B7-B6</f>
        <v>22</v>
      </c>
      <c r="Z7" s="11">
        <f t="shared" si="0"/>
        <v>0</v>
      </c>
      <c r="AA7" s="11">
        <f t="shared" si="0"/>
        <v>0</v>
      </c>
      <c r="AB7" s="11">
        <f t="shared" si="0"/>
        <v>0</v>
      </c>
      <c r="AC7" s="11">
        <f t="shared" si="0"/>
        <v>0</v>
      </c>
      <c r="AD7" s="11">
        <f t="shared" si="0"/>
        <v>0</v>
      </c>
      <c r="AE7" s="34"/>
      <c r="AF7" s="11">
        <f t="shared" si="1"/>
        <v>12</v>
      </c>
      <c r="AG7" s="11">
        <f t="shared" si="1"/>
        <v>3</v>
      </c>
      <c r="AH7" s="11">
        <f t="shared" si="1"/>
        <v>0</v>
      </c>
      <c r="AI7" s="11">
        <f t="shared" si="1"/>
        <v>0</v>
      </c>
      <c r="AJ7" s="34"/>
      <c r="AK7" s="11">
        <f t="shared" si="2"/>
        <v>28</v>
      </c>
      <c r="AL7" s="11">
        <f t="shared" si="2"/>
        <v>0</v>
      </c>
      <c r="AM7" s="11">
        <f t="shared" si="2"/>
        <v>0</v>
      </c>
      <c r="AN7" s="11">
        <f t="shared" si="2"/>
        <v>0</v>
      </c>
      <c r="AO7" s="35"/>
    </row>
    <row r="8" spans="1:41" x14ac:dyDescent="0.2">
      <c r="A8" s="80">
        <v>3</v>
      </c>
      <c r="B8" s="41">
        <v>647125</v>
      </c>
      <c r="C8" s="14"/>
      <c r="D8" s="14"/>
      <c r="E8" s="41"/>
      <c r="F8" s="18"/>
      <c r="G8" s="18"/>
      <c r="H8" s="15"/>
      <c r="I8" s="40">
        <v>20495</v>
      </c>
      <c r="J8" s="42">
        <v>1764</v>
      </c>
      <c r="K8" s="42"/>
      <c r="L8" s="42"/>
      <c r="M8" s="15"/>
      <c r="N8" s="41">
        <v>226367</v>
      </c>
      <c r="O8" s="41"/>
      <c r="P8" s="41"/>
      <c r="Q8" s="18"/>
      <c r="R8" s="11">
        <f t="shared" si="3"/>
        <v>0</v>
      </c>
      <c r="S8" s="16"/>
      <c r="T8" s="17">
        <v>0</v>
      </c>
      <c r="U8" s="17">
        <v>0</v>
      </c>
      <c r="V8" s="17">
        <v>0</v>
      </c>
      <c r="W8" s="43" t="s">
        <v>30</v>
      </c>
      <c r="X8" s="80">
        <v>3</v>
      </c>
      <c r="Y8" s="11">
        <f t="shared" si="4"/>
        <v>34</v>
      </c>
      <c r="Z8" s="11">
        <f t="shared" si="0"/>
        <v>0</v>
      </c>
      <c r="AA8" s="11">
        <f t="shared" si="0"/>
        <v>0</v>
      </c>
      <c r="AB8" s="11">
        <f t="shared" si="0"/>
        <v>0</v>
      </c>
      <c r="AC8" s="11">
        <f t="shared" si="0"/>
        <v>0</v>
      </c>
      <c r="AD8" s="11">
        <f t="shared" si="0"/>
        <v>0</v>
      </c>
      <c r="AE8" s="34"/>
      <c r="AF8" s="11">
        <f t="shared" si="1"/>
        <v>12</v>
      </c>
      <c r="AG8" s="11">
        <f t="shared" si="1"/>
        <v>3</v>
      </c>
      <c r="AH8" s="11">
        <f t="shared" si="1"/>
        <v>0</v>
      </c>
      <c r="AI8" s="11">
        <f t="shared" si="1"/>
        <v>0</v>
      </c>
      <c r="AJ8" s="34"/>
      <c r="AK8" s="11">
        <f t="shared" si="2"/>
        <v>22</v>
      </c>
      <c r="AL8" s="11">
        <f t="shared" si="2"/>
        <v>0</v>
      </c>
      <c r="AM8" s="11">
        <f t="shared" si="2"/>
        <v>0</v>
      </c>
      <c r="AN8" s="11">
        <f t="shared" si="2"/>
        <v>0</v>
      </c>
      <c r="AO8" s="35"/>
    </row>
    <row r="9" spans="1:41" x14ac:dyDescent="0.2">
      <c r="A9" s="80">
        <v>4</v>
      </c>
      <c r="B9" s="41">
        <v>647155</v>
      </c>
      <c r="C9" s="14"/>
      <c r="D9" s="14"/>
      <c r="E9" s="41"/>
      <c r="F9" s="18"/>
      <c r="G9" s="18"/>
      <c r="H9" s="15"/>
      <c r="I9" s="40">
        <v>20509</v>
      </c>
      <c r="J9" s="42">
        <v>1769</v>
      </c>
      <c r="K9" s="42"/>
      <c r="L9" s="42"/>
      <c r="M9" s="15"/>
      <c r="N9" s="41">
        <v>226390</v>
      </c>
      <c r="O9" s="41"/>
      <c r="P9" s="41"/>
      <c r="Q9" s="18"/>
      <c r="R9" s="11">
        <f t="shared" si="3"/>
        <v>0</v>
      </c>
      <c r="S9" s="16"/>
      <c r="T9" s="17">
        <v>0</v>
      </c>
      <c r="U9" s="17">
        <v>0</v>
      </c>
      <c r="V9" s="17">
        <v>0</v>
      </c>
      <c r="W9" s="43" t="s">
        <v>30</v>
      </c>
      <c r="X9" s="80">
        <v>4</v>
      </c>
      <c r="Y9" s="11">
        <f t="shared" si="4"/>
        <v>30</v>
      </c>
      <c r="Z9" s="11">
        <f t="shared" si="0"/>
        <v>0</v>
      </c>
      <c r="AA9" s="11">
        <f t="shared" si="0"/>
        <v>0</v>
      </c>
      <c r="AB9" s="11">
        <f t="shared" si="0"/>
        <v>0</v>
      </c>
      <c r="AC9" s="11">
        <f t="shared" si="0"/>
        <v>0</v>
      </c>
      <c r="AD9" s="11">
        <f t="shared" si="0"/>
        <v>0</v>
      </c>
      <c r="AE9" s="34"/>
      <c r="AF9" s="11">
        <f t="shared" si="1"/>
        <v>14</v>
      </c>
      <c r="AG9" s="11">
        <f t="shared" si="1"/>
        <v>5</v>
      </c>
      <c r="AH9" s="11">
        <f t="shared" si="1"/>
        <v>0</v>
      </c>
      <c r="AI9" s="11">
        <f t="shared" si="1"/>
        <v>0</v>
      </c>
      <c r="AJ9" s="34"/>
      <c r="AK9" s="11">
        <f t="shared" si="2"/>
        <v>23</v>
      </c>
      <c r="AL9" s="11">
        <f t="shared" si="2"/>
        <v>0</v>
      </c>
      <c r="AM9" s="11">
        <f t="shared" si="2"/>
        <v>0</v>
      </c>
      <c r="AN9" s="11">
        <f t="shared" si="2"/>
        <v>0</v>
      </c>
      <c r="AO9" s="35"/>
    </row>
    <row r="10" spans="1:41" x14ac:dyDescent="0.2">
      <c r="A10" s="80">
        <v>5</v>
      </c>
      <c r="B10" s="41">
        <v>647177</v>
      </c>
      <c r="C10" s="14"/>
      <c r="D10" s="14"/>
      <c r="E10" s="41"/>
      <c r="F10" s="18"/>
      <c r="G10" s="18"/>
      <c r="H10" s="15"/>
      <c r="I10" s="40">
        <v>20513</v>
      </c>
      <c r="J10" s="42">
        <v>1769</v>
      </c>
      <c r="K10" s="42"/>
      <c r="L10" s="42"/>
      <c r="M10" s="15"/>
      <c r="N10" s="41">
        <v>226425</v>
      </c>
      <c r="O10" s="41"/>
      <c r="P10" s="41"/>
      <c r="Q10" s="18"/>
      <c r="R10" s="11">
        <f t="shared" si="3"/>
        <v>0</v>
      </c>
      <c r="S10" s="16"/>
      <c r="T10" s="17">
        <v>0</v>
      </c>
      <c r="U10" s="17">
        <v>0</v>
      </c>
      <c r="V10" s="17">
        <v>0</v>
      </c>
      <c r="W10" s="43" t="s">
        <v>30</v>
      </c>
      <c r="X10" s="80">
        <v>5</v>
      </c>
      <c r="Y10" s="11">
        <f t="shared" si="4"/>
        <v>22</v>
      </c>
      <c r="Z10" s="11">
        <f t="shared" si="0"/>
        <v>0</v>
      </c>
      <c r="AA10" s="11">
        <f t="shared" si="0"/>
        <v>0</v>
      </c>
      <c r="AB10" s="11">
        <f t="shared" si="0"/>
        <v>0</v>
      </c>
      <c r="AC10" s="11">
        <f t="shared" si="0"/>
        <v>0</v>
      </c>
      <c r="AD10" s="11">
        <f t="shared" si="0"/>
        <v>0</v>
      </c>
      <c r="AE10" s="34"/>
      <c r="AF10" s="11">
        <f t="shared" si="1"/>
        <v>4</v>
      </c>
      <c r="AG10" s="11">
        <f t="shared" si="1"/>
        <v>0</v>
      </c>
      <c r="AH10" s="11">
        <f t="shared" si="1"/>
        <v>0</v>
      </c>
      <c r="AI10" s="11">
        <f t="shared" si="1"/>
        <v>0</v>
      </c>
      <c r="AJ10" s="34"/>
      <c r="AK10" s="11">
        <f t="shared" si="2"/>
        <v>35</v>
      </c>
      <c r="AL10" s="11">
        <f t="shared" si="2"/>
        <v>0</v>
      </c>
      <c r="AM10" s="11">
        <f t="shared" si="2"/>
        <v>0</v>
      </c>
      <c r="AN10" s="11">
        <f t="shared" si="2"/>
        <v>0</v>
      </c>
      <c r="AO10" s="35"/>
    </row>
    <row r="11" spans="1:41" x14ac:dyDescent="0.2">
      <c r="A11" s="80">
        <v>6</v>
      </c>
      <c r="B11" s="41">
        <v>647210</v>
      </c>
      <c r="C11" s="14"/>
      <c r="D11" s="14"/>
      <c r="E11" s="41"/>
      <c r="F11" s="18"/>
      <c r="G11" s="18"/>
      <c r="H11" s="15"/>
      <c r="I11" s="40">
        <v>20544</v>
      </c>
      <c r="J11" s="42">
        <v>1769</v>
      </c>
      <c r="K11" s="42"/>
      <c r="L11" s="42"/>
      <c r="M11" s="15"/>
      <c r="N11" s="41">
        <v>226450</v>
      </c>
      <c r="O11" s="41"/>
      <c r="P11" s="41"/>
      <c r="Q11" s="18"/>
      <c r="R11" s="11">
        <f t="shared" si="3"/>
        <v>0</v>
      </c>
      <c r="S11" s="16"/>
      <c r="T11" s="17">
        <v>0</v>
      </c>
      <c r="U11" s="17">
        <v>0</v>
      </c>
      <c r="V11" s="17">
        <v>0</v>
      </c>
      <c r="W11" s="43" t="s">
        <v>30</v>
      </c>
      <c r="X11" s="80">
        <v>6</v>
      </c>
      <c r="Y11" s="11">
        <f t="shared" si="4"/>
        <v>33</v>
      </c>
      <c r="Z11" s="11">
        <f t="shared" si="0"/>
        <v>0</v>
      </c>
      <c r="AA11" s="11">
        <f t="shared" si="0"/>
        <v>0</v>
      </c>
      <c r="AB11" s="11">
        <f t="shared" si="0"/>
        <v>0</v>
      </c>
      <c r="AC11" s="11">
        <f t="shared" si="0"/>
        <v>0</v>
      </c>
      <c r="AD11" s="11">
        <f t="shared" si="0"/>
        <v>0</v>
      </c>
      <c r="AE11" s="34"/>
      <c r="AF11" s="11">
        <f t="shared" si="1"/>
        <v>31</v>
      </c>
      <c r="AG11" s="11">
        <f t="shared" si="1"/>
        <v>0</v>
      </c>
      <c r="AH11" s="11">
        <f t="shared" si="1"/>
        <v>0</v>
      </c>
      <c r="AI11" s="11">
        <f t="shared" si="1"/>
        <v>0</v>
      </c>
      <c r="AJ11" s="34"/>
      <c r="AK11" s="11">
        <f t="shared" si="2"/>
        <v>25</v>
      </c>
      <c r="AL11" s="11">
        <f t="shared" si="2"/>
        <v>0</v>
      </c>
      <c r="AM11" s="11">
        <f t="shared" si="2"/>
        <v>0</v>
      </c>
      <c r="AN11" s="11">
        <f t="shared" si="2"/>
        <v>0</v>
      </c>
      <c r="AO11" s="35"/>
    </row>
    <row r="12" spans="1:41" x14ac:dyDescent="0.2">
      <c r="A12" s="80">
        <v>7</v>
      </c>
      <c r="B12" s="41">
        <v>647247</v>
      </c>
      <c r="C12" s="14"/>
      <c r="D12" s="14"/>
      <c r="E12" s="41"/>
      <c r="F12" s="18"/>
      <c r="G12" s="18"/>
      <c r="H12" s="15"/>
      <c r="I12" s="40">
        <v>20566</v>
      </c>
      <c r="J12" s="42">
        <v>1769</v>
      </c>
      <c r="K12" s="42"/>
      <c r="L12" s="42"/>
      <c r="M12" s="15"/>
      <c r="N12" s="41">
        <v>226471</v>
      </c>
      <c r="O12" s="41"/>
      <c r="P12" s="41"/>
      <c r="Q12" s="18"/>
      <c r="R12" s="11">
        <f t="shared" si="3"/>
        <v>0</v>
      </c>
      <c r="S12" s="16"/>
      <c r="T12" s="17">
        <v>0</v>
      </c>
      <c r="U12" s="17">
        <v>0</v>
      </c>
      <c r="V12" s="17">
        <v>0</v>
      </c>
      <c r="W12" s="43" t="s">
        <v>30</v>
      </c>
      <c r="X12" s="80">
        <v>7</v>
      </c>
      <c r="Y12" s="11">
        <f t="shared" si="4"/>
        <v>37</v>
      </c>
      <c r="Z12" s="11">
        <f t="shared" si="0"/>
        <v>0</v>
      </c>
      <c r="AA12" s="11">
        <f t="shared" si="0"/>
        <v>0</v>
      </c>
      <c r="AB12" s="11">
        <f t="shared" si="0"/>
        <v>0</v>
      </c>
      <c r="AC12" s="11">
        <f t="shared" si="0"/>
        <v>0</v>
      </c>
      <c r="AD12" s="11">
        <f t="shared" si="0"/>
        <v>0</v>
      </c>
      <c r="AE12" s="34"/>
      <c r="AF12" s="11">
        <f t="shared" si="1"/>
        <v>22</v>
      </c>
      <c r="AG12" s="11">
        <f t="shared" si="1"/>
        <v>0</v>
      </c>
      <c r="AH12" s="11">
        <f t="shared" si="1"/>
        <v>0</v>
      </c>
      <c r="AI12" s="11">
        <f t="shared" si="1"/>
        <v>0</v>
      </c>
      <c r="AJ12" s="34"/>
      <c r="AK12" s="11">
        <f t="shared" si="2"/>
        <v>21</v>
      </c>
      <c r="AL12" s="11">
        <f t="shared" si="2"/>
        <v>0</v>
      </c>
      <c r="AM12" s="11">
        <f t="shared" si="2"/>
        <v>0</v>
      </c>
      <c r="AN12" s="11">
        <f t="shared" si="2"/>
        <v>0</v>
      </c>
      <c r="AO12" s="35"/>
    </row>
    <row r="13" spans="1:41" x14ac:dyDescent="0.2">
      <c r="A13" s="80">
        <v>8</v>
      </c>
      <c r="B13" s="41">
        <v>647281</v>
      </c>
      <c r="C13" s="14"/>
      <c r="D13" s="14"/>
      <c r="E13" s="41"/>
      <c r="F13" s="18"/>
      <c r="G13" s="18"/>
      <c r="H13" s="15"/>
      <c r="I13" s="40">
        <v>20578</v>
      </c>
      <c r="J13" s="42">
        <v>1769</v>
      </c>
      <c r="K13" s="42"/>
      <c r="L13" s="42"/>
      <c r="M13" s="15"/>
      <c r="N13" s="41">
        <v>226488</v>
      </c>
      <c r="O13" s="41"/>
      <c r="P13" s="41"/>
      <c r="Q13" s="18"/>
      <c r="R13" s="11">
        <f t="shared" si="3"/>
        <v>0</v>
      </c>
      <c r="S13" s="16"/>
      <c r="T13" s="17">
        <v>0</v>
      </c>
      <c r="U13" s="17">
        <v>0</v>
      </c>
      <c r="V13" s="17">
        <v>0</v>
      </c>
      <c r="W13" s="43" t="s">
        <v>30</v>
      </c>
      <c r="X13" s="80">
        <v>8</v>
      </c>
      <c r="Y13" s="11">
        <f t="shared" si="4"/>
        <v>34</v>
      </c>
      <c r="Z13" s="11">
        <f t="shared" si="0"/>
        <v>0</v>
      </c>
      <c r="AA13" s="11">
        <f t="shared" si="0"/>
        <v>0</v>
      </c>
      <c r="AB13" s="11">
        <f t="shared" si="0"/>
        <v>0</v>
      </c>
      <c r="AC13" s="11">
        <f t="shared" si="0"/>
        <v>0</v>
      </c>
      <c r="AD13" s="11">
        <f t="shared" si="0"/>
        <v>0</v>
      </c>
      <c r="AE13" s="34"/>
      <c r="AF13" s="11">
        <f t="shared" si="1"/>
        <v>12</v>
      </c>
      <c r="AG13" s="11">
        <f t="shared" si="1"/>
        <v>0</v>
      </c>
      <c r="AH13" s="11">
        <f t="shared" si="1"/>
        <v>0</v>
      </c>
      <c r="AI13" s="11">
        <f t="shared" si="1"/>
        <v>0</v>
      </c>
      <c r="AJ13" s="34"/>
      <c r="AK13" s="11">
        <f t="shared" si="2"/>
        <v>17</v>
      </c>
      <c r="AL13" s="11">
        <f t="shared" si="2"/>
        <v>0</v>
      </c>
      <c r="AM13" s="11">
        <f t="shared" si="2"/>
        <v>0</v>
      </c>
      <c r="AN13" s="11">
        <f t="shared" si="2"/>
        <v>0</v>
      </c>
      <c r="AO13" s="35"/>
    </row>
    <row r="14" spans="1:41" x14ac:dyDescent="0.2">
      <c r="A14" s="80">
        <v>9</v>
      </c>
      <c r="B14" s="41">
        <v>647308</v>
      </c>
      <c r="C14" s="14"/>
      <c r="D14" s="14"/>
      <c r="E14" s="41"/>
      <c r="F14" s="18"/>
      <c r="G14" s="18"/>
      <c r="H14" s="15"/>
      <c r="I14" s="40">
        <v>20592</v>
      </c>
      <c r="J14" s="42">
        <v>1769</v>
      </c>
      <c r="K14" s="42"/>
      <c r="L14" s="42"/>
      <c r="M14" s="15"/>
      <c r="N14" s="41">
        <v>226513</v>
      </c>
      <c r="O14" s="41"/>
      <c r="P14" s="41"/>
      <c r="Q14" s="18"/>
      <c r="R14" s="11">
        <f t="shared" si="3"/>
        <v>0</v>
      </c>
      <c r="S14" s="16"/>
      <c r="T14" s="17">
        <v>0</v>
      </c>
      <c r="U14" s="17">
        <v>0</v>
      </c>
      <c r="V14" s="17">
        <v>0</v>
      </c>
      <c r="W14" s="43" t="s">
        <v>30</v>
      </c>
      <c r="X14" s="80">
        <v>9</v>
      </c>
      <c r="Y14" s="11">
        <f t="shared" si="4"/>
        <v>27</v>
      </c>
      <c r="Z14" s="11">
        <f t="shared" si="0"/>
        <v>0</v>
      </c>
      <c r="AA14" s="11">
        <f t="shared" si="0"/>
        <v>0</v>
      </c>
      <c r="AB14" s="11">
        <f t="shared" si="0"/>
        <v>0</v>
      </c>
      <c r="AC14" s="11">
        <f t="shared" si="0"/>
        <v>0</v>
      </c>
      <c r="AD14" s="11">
        <f t="shared" si="0"/>
        <v>0</v>
      </c>
      <c r="AE14" s="34"/>
      <c r="AF14" s="11">
        <f t="shared" si="1"/>
        <v>14</v>
      </c>
      <c r="AG14" s="11">
        <f t="shared" si="1"/>
        <v>0</v>
      </c>
      <c r="AH14" s="11">
        <f t="shared" si="1"/>
        <v>0</v>
      </c>
      <c r="AI14" s="11">
        <f t="shared" si="1"/>
        <v>0</v>
      </c>
      <c r="AJ14" s="34"/>
      <c r="AK14" s="11">
        <f t="shared" si="2"/>
        <v>25</v>
      </c>
      <c r="AL14" s="11">
        <f t="shared" si="2"/>
        <v>0</v>
      </c>
      <c r="AM14" s="11">
        <f t="shared" si="2"/>
        <v>0</v>
      </c>
      <c r="AN14" s="11">
        <f t="shared" si="2"/>
        <v>0</v>
      </c>
      <c r="AO14" s="35"/>
    </row>
    <row r="15" spans="1:41" x14ac:dyDescent="0.2">
      <c r="A15" s="80">
        <v>10</v>
      </c>
      <c r="B15" s="41">
        <v>647341</v>
      </c>
      <c r="C15" s="14"/>
      <c r="D15" s="14"/>
      <c r="E15" s="41"/>
      <c r="F15" s="18"/>
      <c r="G15" s="18"/>
      <c r="H15" s="15"/>
      <c r="I15" s="40">
        <v>20605</v>
      </c>
      <c r="J15" s="42">
        <v>1769</v>
      </c>
      <c r="K15" s="42"/>
      <c r="L15" s="42"/>
      <c r="M15" s="15"/>
      <c r="N15" s="41">
        <v>226535</v>
      </c>
      <c r="O15" s="41"/>
      <c r="P15" s="41"/>
      <c r="Q15" s="18"/>
      <c r="R15" s="11">
        <f t="shared" si="3"/>
        <v>0</v>
      </c>
      <c r="S15" s="16"/>
      <c r="T15" s="17">
        <v>0</v>
      </c>
      <c r="U15" s="17">
        <v>0</v>
      </c>
      <c r="V15" s="17">
        <v>0</v>
      </c>
      <c r="W15" s="43" t="s">
        <v>30</v>
      </c>
      <c r="X15" s="80">
        <v>10</v>
      </c>
      <c r="Y15" s="11">
        <f t="shared" si="4"/>
        <v>33</v>
      </c>
      <c r="Z15" s="11">
        <f t="shared" si="0"/>
        <v>0</v>
      </c>
      <c r="AA15" s="11">
        <f t="shared" si="0"/>
        <v>0</v>
      </c>
      <c r="AB15" s="11">
        <f t="shared" si="0"/>
        <v>0</v>
      </c>
      <c r="AC15" s="11">
        <f t="shared" si="0"/>
        <v>0</v>
      </c>
      <c r="AD15" s="11">
        <f t="shared" si="0"/>
        <v>0</v>
      </c>
      <c r="AE15" s="34"/>
      <c r="AF15" s="11">
        <f t="shared" si="1"/>
        <v>13</v>
      </c>
      <c r="AG15" s="11">
        <f t="shared" si="1"/>
        <v>0</v>
      </c>
      <c r="AH15" s="11">
        <f t="shared" si="1"/>
        <v>0</v>
      </c>
      <c r="AI15" s="11">
        <f t="shared" si="1"/>
        <v>0</v>
      </c>
      <c r="AJ15" s="34"/>
      <c r="AK15" s="11">
        <f t="shared" si="2"/>
        <v>22</v>
      </c>
      <c r="AL15" s="11">
        <f t="shared" si="2"/>
        <v>0</v>
      </c>
      <c r="AM15" s="11">
        <f t="shared" si="2"/>
        <v>0</v>
      </c>
      <c r="AN15" s="11">
        <f t="shared" si="2"/>
        <v>0</v>
      </c>
      <c r="AO15" s="35"/>
    </row>
    <row r="16" spans="1:41" x14ac:dyDescent="0.2">
      <c r="A16" s="80">
        <v>11</v>
      </c>
      <c r="B16" s="41">
        <v>647356</v>
      </c>
      <c r="C16" s="14"/>
      <c r="D16" s="14"/>
      <c r="E16" s="41"/>
      <c r="F16" s="18"/>
      <c r="G16" s="18"/>
      <c r="H16" s="15"/>
      <c r="I16" s="40">
        <v>20609</v>
      </c>
      <c r="J16" s="42">
        <v>1769</v>
      </c>
      <c r="K16" s="42"/>
      <c r="L16" s="42"/>
      <c r="M16" s="15"/>
      <c r="N16" s="41">
        <v>226550</v>
      </c>
      <c r="O16" s="41"/>
      <c r="P16" s="41"/>
      <c r="Q16" s="18"/>
      <c r="R16" s="11">
        <f t="shared" si="3"/>
        <v>0</v>
      </c>
      <c r="S16" s="16"/>
      <c r="T16" s="17">
        <v>0</v>
      </c>
      <c r="U16" s="17">
        <v>0</v>
      </c>
      <c r="V16" s="17">
        <v>0</v>
      </c>
      <c r="W16" s="43" t="s">
        <v>30</v>
      </c>
      <c r="X16" s="80">
        <v>11</v>
      </c>
      <c r="Y16" s="11">
        <f t="shared" si="4"/>
        <v>15</v>
      </c>
      <c r="Z16" s="11">
        <f t="shared" si="0"/>
        <v>0</v>
      </c>
      <c r="AA16" s="11">
        <f t="shared" si="0"/>
        <v>0</v>
      </c>
      <c r="AB16" s="11">
        <f t="shared" si="0"/>
        <v>0</v>
      </c>
      <c r="AC16" s="11">
        <f t="shared" si="0"/>
        <v>0</v>
      </c>
      <c r="AD16" s="11">
        <f t="shared" si="0"/>
        <v>0</v>
      </c>
      <c r="AE16" s="34"/>
      <c r="AF16" s="11">
        <f t="shared" si="1"/>
        <v>4</v>
      </c>
      <c r="AG16" s="11">
        <f t="shared" si="1"/>
        <v>0</v>
      </c>
      <c r="AH16" s="11">
        <f t="shared" si="1"/>
        <v>0</v>
      </c>
      <c r="AI16" s="11">
        <f t="shared" si="1"/>
        <v>0</v>
      </c>
      <c r="AJ16" s="34"/>
      <c r="AK16" s="11">
        <f t="shared" si="2"/>
        <v>15</v>
      </c>
      <c r="AL16" s="11">
        <f t="shared" si="2"/>
        <v>0</v>
      </c>
      <c r="AM16" s="11">
        <f t="shared" si="2"/>
        <v>0</v>
      </c>
      <c r="AN16" s="11">
        <f t="shared" si="2"/>
        <v>0</v>
      </c>
      <c r="AO16" s="35"/>
    </row>
    <row r="17" spans="1:41" x14ac:dyDescent="0.2">
      <c r="A17" s="80">
        <v>12</v>
      </c>
      <c r="B17" s="41">
        <v>647385</v>
      </c>
      <c r="C17" s="14"/>
      <c r="D17" s="14"/>
      <c r="E17" s="41"/>
      <c r="F17" s="18"/>
      <c r="G17" s="18"/>
      <c r="H17" s="15"/>
      <c r="I17" s="40">
        <v>20622</v>
      </c>
      <c r="J17" s="42">
        <v>1769</v>
      </c>
      <c r="K17" s="42"/>
      <c r="L17" s="42"/>
      <c r="M17" s="15"/>
      <c r="N17" s="41">
        <v>226571</v>
      </c>
      <c r="O17" s="41"/>
      <c r="P17" s="41"/>
      <c r="Q17" s="18"/>
      <c r="R17" s="11">
        <f t="shared" si="3"/>
        <v>0</v>
      </c>
      <c r="S17" s="16"/>
      <c r="T17" s="17">
        <v>0</v>
      </c>
      <c r="U17" s="17">
        <v>0</v>
      </c>
      <c r="V17" s="17">
        <v>0</v>
      </c>
      <c r="W17" s="43" t="s">
        <v>30</v>
      </c>
      <c r="X17" s="80">
        <v>12</v>
      </c>
      <c r="Y17" s="11">
        <f t="shared" si="4"/>
        <v>29</v>
      </c>
      <c r="Z17" s="11">
        <f t="shared" si="0"/>
        <v>0</v>
      </c>
      <c r="AA17" s="11">
        <f t="shared" si="0"/>
        <v>0</v>
      </c>
      <c r="AB17" s="11">
        <f t="shared" si="0"/>
        <v>0</v>
      </c>
      <c r="AC17" s="11">
        <f t="shared" si="0"/>
        <v>0</v>
      </c>
      <c r="AD17" s="11">
        <f t="shared" si="0"/>
        <v>0</v>
      </c>
      <c r="AE17" s="34"/>
      <c r="AF17" s="11">
        <f t="shared" si="1"/>
        <v>13</v>
      </c>
      <c r="AG17" s="11">
        <f t="shared" si="1"/>
        <v>0</v>
      </c>
      <c r="AH17" s="11">
        <f t="shared" si="1"/>
        <v>0</v>
      </c>
      <c r="AI17" s="11">
        <f t="shared" si="1"/>
        <v>0</v>
      </c>
      <c r="AJ17" s="34"/>
      <c r="AK17" s="11">
        <f t="shared" si="2"/>
        <v>21</v>
      </c>
      <c r="AL17" s="11">
        <f t="shared" si="2"/>
        <v>0</v>
      </c>
      <c r="AM17" s="11">
        <f t="shared" si="2"/>
        <v>0</v>
      </c>
      <c r="AN17" s="11">
        <f t="shared" si="2"/>
        <v>0</v>
      </c>
      <c r="AO17" s="35"/>
    </row>
    <row r="18" spans="1:41" x14ac:dyDescent="0.2">
      <c r="A18" s="80">
        <v>13</v>
      </c>
      <c r="B18" s="41">
        <v>647401</v>
      </c>
      <c r="C18" s="14"/>
      <c r="D18" s="14"/>
      <c r="E18" s="41"/>
      <c r="F18" s="18"/>
      <c r="G18" s="18"/>
      <c r="H18" s="15"/>
      <c r="I18" s="40">
        <v>20636</v>
      </c>
      <c r="J18" s="42">
        <v>1769</v>
      </c>
      <c r="K18" s="42"/>
      <c r="L18" s="42"/>
      <c r="M18" s="15"/>
      <c r="N18" s="41">
        <v>226583</v>
      </c>
      <c r="O18" s="41"/>
      <c r="P18" s="41"/>
      <c r="Q18" s="18"/>
      <c r="R18" s="11">
        <f t="shared" si="3"/>
        <v>0</v>
      </c>
      <c r="S18" s="16"/>
      <c r="T18" s="17">
        <v>0</v>
      </c>
      <c r="U18" s="17">
        <v>0</v>
      </c>
      <c r="V18" s="17">
        <v>0</v>
      </c>
      <c r="W18" s="43" t="s">
        <v>30</v>
      </c>
      <c r="X18" s="80">
        <v>13</v>
      </c>
      <c r="Y18" s="11">
        <f t="shared" si="4"/>
        <v>16</v>
      </c>
      <c r="Z18" s="11">
        <f t="shared" si="0"/>
        <v>0</v>
      </c>
      <c r="AA18" s="11">
        <f t="shared" si="0"/>
        <v>0</v>
      </c>
      <c r="AB18" s="11">
        <f t="shared" si="0"/>
        <v>0</v>
      </c>
      <c r="AC18" s="11">
        <f t="shared" si="0"/>
        <v>0</v>
      </c>
      <c r="AD18" s="11">
        <f t="shared" si="0"/>
        <v>0</v>
      </c>
      <c r="AE18" s="34"/>
      <c r="AF18" s="11">
        <f t="shared" si="1"/>
        <v>14</v>
      </c>
      <c r="AG18" s="11">
        <f t="shared" si="1"/>
        <v>0</v>
      </c>
      <c r="AH18" s="11">
        <f t="shared" si="1"/>
        <v>0</v>
      </c>
      <c r="AI18" s="11">
        <f t="shared" si="1"/>
        <v>0</v>
      </c>
      <c r="AJ18" s="34"/>
      <c r="AK18" s="11">
        <f t="shared" si="2"/>
        <v>12</v>
      </c>
      <c r="AL18" s="11">
        <f t="shared" si="2"/>
        <v>0</v>
      </c>
      <c r="AM18" s="11">
        <f t="shared" si="2"/>
        <v>0</v>
      </c>
      <c r="AN18" s="11">
        <f t="shared" si="2"/>
        <v>0</v>
      </c>
      <c r="AO18" s="35"/>
    </row>
    <row r="19" spans="1:41" x14ac:dyDescent="0.2">
      <c r="A19" s="80">
        <v>14</v>
      </c>
      <c r="B19" s="41">
        <v>647434</v>
      </c>
      <c r="C19" s="14"/>
      <c r="D19" s="14"/>
      <c r="E19" s="41"/>
      <c r="F19" s="18"/>
      <c r="G19" s="18"/>
      <c r="H19" s="15"/>
      <c r="I19" s="40">
        <v>20643</v>
      </c>
      <c r="J19" s="42">
        <v>1769</v>
      </c>
      <c r="K19" s="42"/>
      <c r="L19" s="42"/>
      <c r="M19" s="15"/>
      <c r="N19" s="41">
        <v>226606</v>
      </c>
      <c r="O19" s="41"/>
      <c r="P19" s="41"/>
      <c r="Q19" s="18"/>
      <c r="R19" s="11">
        <f t="shared" si="3"/>
        <v>0</v>
      </c>
      <c r="S19" s="16"/>
      <c r="T19" s="17">
        <v>0</v>
      </c>
      <c r="U19" s="17">
        <v>0</v>
      </c>
      <c r="V19" s="17">
        <v>0</v>
      </c>
      <c r="W19" s="43" t="s">
        <v>30</v>
      </c>
      <c r="X19" s="80">
        <v>14</v>
      </c>
      <c r="Y19" s="11">
        <f t="shared" si="4"/>
        <v>33</v>
      </c>
      <c r="Z19" s="11">
        <f t="shared" si="0"/>
        <v>0</v>
      </c>
      <c r="AA19" s="11">
        <f t="shared" si="0"/>
        <v>0</v>
      </c>
      <c r="AB19" s="11">
        <f t="shared" si="0"/>
        <v>0</v>
      </c>
      <c r="AC19" s="11">
        <f t="shared" si="0"/>
        <v>0</v>
      </c>
      <c r="AD19" s="11">
        <f t="shared" si="0"/>
        <v>0</v>
      </c>
      <c r="AE19" s="34"/>
      <c r="AF19" s="11">
        <f t="shared" si="1"/>
        <v>7</v>
      </c>
      <c r="AG19" s="11">
        <f t="shared" si="1"/>
        <v>0</v>
      </c>
      <c r="AH19" s="11">
        <f t="shared" si="1"/>
        <v>0</v>
      </c>
      <c r="AI19" s="11">
        <f t="shared" si="1"/>
        <v>0</v>
      </c>
      <c r="AJ19" s="34"/>
      <c r="AK19" s="11">
        <f t="shared" si="2"/>
        <v>23</v>
      </c>
      <c r="AL19" s="11">
        <f t="shared" si="2"/>
        <v>0</v>
      </c>
      <c r="AM19" s="11">
        <f t="shared" si="2"/>
        <v>0</v>
      </c>
      <c r="AN19" s="11">
        <f t="shared" si="2"/>
        <v>0</v>
      </c>
      <c r="AO19" s="35"/>
    </row>
    <row r="20" spans="1:41" x14ac:dyDescent="0.2">
      <c r="A20" s="80">
        <v>15</v>
      </c>
      <c r="B20" s="41">
        <v>647442</v>
      </c>
      <c r="C20" s="14"/>
      <c r="D20" s="14"/>
      <c r="E20" s="41"/>
      <c r="F20" s="18"/>
      <c r="G20" s="18"/>
      <c r="H20" s="15"/>
      <c r="I20" s="40">
        <v>20654</v>
      </c>
      <c r="J20" s="42">
        <v>1773</v>
      </c>
      <c r="K20" s="42"/>
      <c r="L20" s="42"/>
      <c r="M20" s="15"/>
      <c r="N20" s="41">
        <v>226632</v>
      </c>
      <c r="O20" s="41"/>
      <c r="P20" s="41"/>
      <c r="Q20" s="18"/>
      <c r="R20" s="11">
        <f t="shared" si="3"/>
        <v>0</v>
      </c>
      <c r="S20" s="16"/>
      <c r="T20" s="17">
        <v>0</v>
      </c>
      <c r="U20" s="17">
        <v>0</v>
      </c>
      <c r="V20" s="17">
        <v>0</v>
      </c>
      <c r="W20" s="43" t="s">
        <v>30</v>
      </c>
      <c r="X20" s="80">
        <v>15</v>
      </c>
      <c r="Y20" s="11">
        <f t="shared" si="4"/>
        <v>8</v>
      </c>
      <c r="Z20" s="11">
        <f t="shared" si="0"/>
        <v>0</v>
      </c>
      <c r="AA20" s="11">
        <f t="shared" si="0"/>
        <v>0</v>
      </c>
      <c r="AB20" s="11">
        <f t="shared" si="0"/>
        <v>0</v>
      </c>
      <c r="AC20" s="11">
        <f t="shared" si="0"/>
        <v>0</v>
      </c>
      <c r="AD20" s="11">
        <f t="shared" si="0"/>
        <v>0</v>
      </c>
      <c r="AE20" s="34"/>
      <c r="AF20" s="11">
        <f t="shared" si="1"/>
        <v>11</v>
      </c>
      <c r="AG20" s="11">
        <f t="shared" si="1"/>
        <v>4</v>
      </c>
      <c r="AH20" s="11">
        <f t="shared" si="1"/>
        <v>0</v>
      </c>
      <c r="AI20" s="11">
        <f t="shared" si="1"/>
        <v>0</v>
      </c>
      <c r="AJ20" s="34"/>
      <c r="AK20" s="11">
        <f t="shared" si="2"/>
        <v>26</v>
      </c>
      <c r="AL20" s="11">
        <f t="shared" si="2"/>
        <v>0</v>
      </c>
      <c r="AM20" s="11">
        <f t="shared" si="2"/>
        <v>0</v>
      </c>
      <c r="AN20" s="11">
        <f t="shared" si="2"/>
        <v>0</v>
      </c>
      <c r="AO20" s="35"/>
    </row>
    <row r="21" spans="1:41" x14ac:dyDescent="0.2">
      <c r="A21" s="80">
        <v>16</v>
      </c>
      <c r="B21" s="41">
        <v>647459</v>
      </c>
      <c r="C21" s="14"/>
      <c r="D21" s="14"/>
      <c r="E21" s="41"/>
      <c r="F21" s="18"/>
      <c r="G21" s="18"/>
      <c r="H21" s="15"/>
      <c r="I21" s="40">
        <v>20660</v>
      </c>
      <c r="J21" s="42">
        <v>1773</v>
      </c>
      <c r="K21" s="42"/>
      <c r="L21" s="42"/>
      <c r="M21" s="15"/>
      <c r="N21" s="41">
        <v>226662</v>
      </c>
      <c r="O21" s="41"/>
      <c r="P21" s="41"/>
      <c r="Q21" s="18"/>
      <c r="R21" s="11">
        <f t="shared" si="3"/>
        <v>0</v>
      </c>
      <c r="S21" s="16"/>
      <c r="T21" s="17">
        <v>0</v>
      </c>
      <c r="U21" s="17">
        <v>0</v>
      </c>
      <c r="V21" s="17">
        <v>0</v>
      </c>
      <c r="W21" s="43" t="s">
        <v>30</v>
      </c>
      <c r="X21" s="80">
        <v>16</v>
      </c>
      <c r="Y21" s="11">
        <f t="shared" si="4"/>
        <v>17</v>
      </c>
      <c r="Z21" s="11">
        <f t="shared" si="0"/>
        <v>0</v>
      </c>
      <c r="AA21" s="11">
        <f t="shared" si="0"/>
        <v>0</v>
      </c>
      <c r="AB21" s="11">
        <f t="shared" si="0"/>
        <v>0</v>
      </c>
      <c r="AC21" s="11">
        <f t="shared" si="0"/>
        <v>0</v>
      </c>
      <c r="AD21" s="11">
        <f t="shared" si="0"/>
        <v>0</v>
      </c>
      <c r="AE21" s="34"/>
      <c r="AF21" s="11">
        <f t="shared" si="1"/>
        <v>6</v>
      </c>
      <c r="AG21" s="11">
        <f t="shared" si="1"/>
        <v>0</v>
      </c>
      <c r="AH21" s="11">
        <f t="shared" si="1"/>
        <v>0</v>
      </c>
      <c r="AI21" s="11">
        <f t="shared" si="1"/>
        <v>0</v>
      </c>
      <c r="AJ21" s="34"/>
      <c r="AK21" s="11">
        <f t="shared" si="2"/>
        <v>30</v>
      </c>
      <c r="AL21" s="11">
        <f t="shared" si="2"/>
        <v>0</v>
      </c>
      <c r="AM21" s="11">
        <f t="shared" si="2"/>
        <v>0</v>
      </c>
      <c r="AN21" s="11">
        <f t="shared" si="2"/>
        <v>0</v>
      </c>
      <c r="AO21" s="35"/>
    </row>
    <row r="22" spans="1:41" x14ac:dyDescent="0.2">
      <c r="A22" s="80">
        <v>17</v>
      </c>
      <c r="B22" s="41">
        <v>647465</v>
      </c>
      <c r="C22" s="14"/>
      <c r="D22" s="14"/>
      <c r="E22" s="41"/>
      <c r="F22" s="18"/>
      <c r="G22" s="18"/>
      <c r="H22" s="15"/>
      <c r="I22" s="40">
        <v>20671</v>
      </c>
      <c r="J22" s="42">
        <v>1775</v>
      </c>
      <c r="K22" s="42"/>
      <c r="L22" s="42"/>
      <c r="M22" s="15"/>
      <c r="N22" s="41">
        <v>226685</v>
      </c>
      <c r="O22" s="41"/>
      <c r="P22" s="41"/>
      <c r="Q22" s="18"/>
      <c r="R22" s="11">
        <f t="shared" si="3"/>
        <v>0</v>
      </c>
      <c r="S22" s="16"/>
      <c r="T22" s="17">
        <v>0</v>
      </c>
      <c r="U22" s="17">
        <v>0</v>
      </c>
      <c r="V22" s="17">
        <v>0</v>
      </c>
      <c r="W22" s="43" t="s">
        <v>30</v>
      </c>
      <c r="X22" s="80">
        <v>17</v>
      </c>
      <c r="Y22" s="11">
        <f t="shared" si="4"/>
        <v>6</v>
      </c>
      <c r="Z22" s="11">
        <f t="shared" si="4"/>
        <v>0</v>
      </c>
      <c r="AA22" s="11">
        <f t="shared" si="4"/>
        <v>0</v>
      </c>
      <c r="AB22" s="11">
        <f t="shared" si="4"/>
        <v>0</v>
      </c>
      <c r="AC22" s="11">
        <f t="shared" si="4"/>
        <v>0</v>
      </c>
      <c r="AD22" s="11">
        <f t="shared" si="4"/>
        <v>0</v>
      </c>
      <c r="AE22" s="34"/>
      <c r="AF22" s="11">
        <f t="shared" ref="AF22:AI36" si="5">I22-I21</f>
        <v>11</v>
      </c>
      <c r="AG22" s="11">
        <f t="shared" si="5"/>
        <v>2</v>
      </c>
      <c r="AH22" s="11">
        <f t="shared" si="5"/>
        <v>0</v>
      </c>
      <c r="AI22" s="11">
        <f t="shared" si="5"/>
        <v>0</v>
      </c>
      <c r="AJ22" s="34"/>
      <c r="AK22" s="11">
        <f t="shared" ref="AK22:AN36" si="6">N22-N21</f>
        <v>23</v>
      </c>
      <c r="AL22" s="11">
        <f t="shared" si="6"/>
        <v>0</v>
      </c>
      <c r="AM22" s="11">
        <f t="shared" si="6"/>
        <v>0</v>
      </c>
      <c r="AN22" s="11">
        <f t="shared" si="6"/>
        <v>0</v>
      </c>
      <c r="AO22" s="35"/>
    </row>
    <row r="23" spans="1:41" x14ac:dyDescent="0.2">
      <c r="A23" s="80">
        <v>18</v>
      </c>
      <c r="B23" s="41">
        <v>647490</v>
      </c>
      <c r="C23" s="14"/>
      <c r="D23" s="14"/>
      <c r="E23" s="41"/>
      <c r="F23" s="18"/>
      <c r="G23" s="18"/>
      <c r="H23" s="15"/>
      <c r="I23" s="40">
        <v>20684</v>
      </c>
      <c r="J23" s="42">
        <v>1781</v>
      </c>
      <c r="K23" s="42"/>
      <c r="L23" s="42"/>
      <c r="M23" s="15"/>
      <c r="N23" s="41">
        <v>226702</v>
      </c>
      <c r="O23" s="41"/>
      <c r="P23" s="41"/>
      <c r="Q23" s="18"/>
      <c r="R23" s="11">
        <f t="shared" si="3"/>
        <v>0</v>
      </c>
      <c r="S23" s="16"/>
      <c r="T23" s="17">
        <v>0</v>
      </c>
      <c r="U23" s="17">
        <v>0</v>
      </c>
      <c r="V23" s="17">
        <v>0</v>
      </c>
      <c r="W23" s="43" t="s">
        <v>30</v>
      </c>
      <c r="X23" s="80">
        <v>18</v>
      </c>
      <c r="Y23" s="11">
        <f t="shared" si="4"/>
        <v>25</v>
      </c>
      <c r="Z23" s="11">
        <f t="shared" si="4"/>
        <v>0</v>
      </c>
      <c r="AA23" s="11">
        <f t="shared" si="4"/>
        <v>0</v>
      </c>
      <c r="AB23" s="11">
        <f t="shared" si="4"/>
        <v>0</v>
      </c>
      <c r="AC23" s="11">
        <f t="shared" si="4"/>
        <v>0</v>
      </c>
      <c r="AD23" s="11">
        <f t="shared" si="4"/>
        <v>0</v>
      </c>
      <c r="AE23" s="34"/>
      <c r="AF23" s="11">
        <f t="shared" si="5"/>
        <v>13</v>
      </c>
      <c r="AG23" s="11">
        <f t="shared" si="5"/>
        <v>6</v>
      </c>
      <c r="AH23" s="11">
        <f t="shared" si="5"/>
        <v>0</v>
      </c>
      <c r="AI23" s="11">
        <f t="shared" si="5"/>
        <v>0</v>
      </c>
      <c r="AJ23" s="34"/>
      <c r="AK23" s="11">
        <f t="shared" si="6"/>
        <v>17</v>
      </c>
      <c r="AL23" s="11">
        <f t="shared" si="6"/>
        <v>0</v>
      </c>
      <c r="AM23" s="11">
        <f t="shared" si="6"/>
        <v>0</v>
      </c>
      <c r="AN23" s="11">
        <f t="shared" si="6"/>
        <v>0</v>
      </c>
      <c r="AO23" s="35"/>
    </row>
    <row r="24" spans="1:41" x14ac:dyDescent="0.2">
      <c r="A24" s="80">
        <v>19</v>
      </c>
      <c r="B24" s="41">
        <v>647515</v>
      </c>
      <c r="C24" s="14"/>
      <c r="D24" s="14"/>
      <c r="E24" s="41"/>
      <c r="F24" s="18"/>
      <c r="G24" s="18"/>
      <c r="H24" s="15"/>
      <c r="I24" s="40">
        <v>20693</v>
      </c>
      <c r="J24" s="42">
        <v>1783</v>
      </c>
      <c r="K24" s="42"/>
      <c r="L24" s="42"/>
      <c r="M24" s="15"/>
      <c r="N24" s="41">
        <v>226723</v>
      </c>
      <c r="O24" s="41"/>
      <c r="P24" s="41"/>
      <c r="Q24" s="18"/>
      <c r="R24" s="11">
        <f t="shared" si="3"/>
        <v>0</v>
      </c>
      <c r="S24" s="16"/>
      <c r="T24" s="17">
        <v>0</v>
      </c>
      <c r="U24" s="17">
        <v>0</v>
      </c>
      <c r="V24" s="17">
        <v>0</v>
      </c>
      <c r="W24" s="43" t="s">
        <v>30</v>
      </c>
      <c r="X24" s="80">
        <v>19</v>
      </c>
      <c r="Y24" s="11">
        <f t="shared" si="4"/>
        <v>25</v>
      </c>
      <c r="Z24" s="11">
        <f t="shared" si="4"/>
        <v>0</v>
      </c>
      <c r="AA24" s="11">
        <f t="shared" si="4"/>
        <v>0</v>
      </c>
      <c r="AB24" s="11">
        <f t="shared" si="4"/>
        <v>0</v>
      </c>
      <c r="AC24" s="11">
        <f t="shared" si="4"/>
        <v>0</v>
      </c>
      <c r="AD24" s="11">
        <f t="shared" si="4"/>
        <v>0</v>
      </c>
      <c r="AE24" s="34"/>
      <c r="AF24" s="11">
        <f t="shared" si="5"/>
        <v>9</v>
      </c>
      <c r="AG24" s="11">
        <f t="shared" si="5"/>
        <v>2</v>
      </c>
      <c r="AH24" s="11">
        <f t="shared" si="5"/>
        <v>0</v>
      </c>
      <c r="AI24" s="11">
        <f t="shared" si="5"/>
        <v>0</v>
      </c>
      <c r="AJ24" s="34"/>
      <c r="AK24" s="11">
        <f t="shared" si="6"/>
        <v>21</v>
      </c>
      <c r="AL24" s="11">
        <f t="shared" si="6"/>
        <v>0</v>
      </c>
      <c r="AM24" s="11">
        <f t="shared" si="6"/>
        <v>0</v>
      </c>
      <c r="AN24" s="11">
        <f t="shared" si="6"/>
        <v>0</v>
      </c>
      <c r="AO24" s="35"/>
    </row>
    <row r="25" spans="1:41" x14ac:dyDescent="0.2">
      <c r="A25" s="80">
        <v>20</v>
      </c>
      <c r="B25" s="41">
        <v>647542</v>
      </c>
      <c r="C25" s="14"/>
      <c r="D25" s="14"/>
      <c r="E25" s="41"/>
      <c r="F25" s="18"/>
      <c r="G25" s="18"/>
      <c r="H25" s="15"/>
      <c r="I25" s="40">
        <v>20710</v>
      </c>
      <c r="J25" s="42">
        <v>1789</v>
      </c>
      <c r="K25" s="42"/>
      <c r="L25" s="42"/>
      <c r="M25" s="15"/>
      <c r="N25" s="41">
        <v>226742</v>
      </c>
      <c r="O25" s="41"/>
      <c r="P25" s="41"/>
      <c r="Q25" s="18"/>
      <c r="R25" s="11">
        <f t="shared" si="3"/>
        <v>0</v>
      </c>
      <c r="S25" s="16"/>
      <c r="T25" s="17">
        <v>0</v>
      </c>
      <c r="U25" s="17">
        <v>0</v>
      </c>
      <c r="V25" s="17">
        <v>0</v>
      </c>
      <c r="W25" s="43" t="s">
        <v>30</v>
      </c>
      <c r="X25" s="80">
        <v>20</v>
      </c>
      <c r="Y25" s="11">
        <f t="shared" si="4"/>
        <v>27</v>
      </c>
      <c r="Z25" s="11">
        <f t="shared" si="4"/>
        <v>0</v>
      </c>
      <c r="AA25" s="11">
        <f t="shared" si="4"/>
        <v>0</v>
      </c>
      <c r="AB25" s="11">
        <f t="shared" si="4"/>
        <v>0</v>
      </c>
      <c r="AC25" s="11">
        <f t="shared" si="4"/>
        <v>0</v>
      </c>
      <c r="AD25" s="11">
        <f t="shared" si="4"/>
        <v>0</v>
      </c>
      <c r="AE25" s="34"/>
      <c r="AF25" s="11">
        <f t="shared" si="5"/>
        <v>17</v>
      </c>
      <c r="AG25" s="11">
        <f t="shared" si="5"/>
        <v>6</v>
      </c>
      <c r="AH25" s="11">
        <f t="shared" si="5"/>
        <v>0</v>
      </c>
      <c r="AI25" s="11">
        <f t="shared" si="5"/>
        <v>0</v>
      </c>
      <c r="AJ25" s="34"/>
      <c r="AK25" s="11">
        <f t="shared" si="6"/>
        <v>19</v>
      </c>
      <c r="AL25" s="11">
        <f t="shared" si="6"/>
        <v>0</v>
      </c>
      <c r="AM25" s="11">
        <f t="shared" si="6"/>
        <v>0</v>
      </c>
      <c r="AN25" s="11">
        <f t="shared" si="6"/>
        <v>0</v>
      </c>
      <c r="AO25" s="35"/>
    </row>
    <row r="26" spans="1:41" x14ac:dyDescent="0.2">
      <c r="A26" s="80">
        <v>21</v>
      </c>
      <c r="B26" s="41">
        <v>647574</v>
      </c>
      <c r="C26" s="14"/>
      <c r="D26" s="14"/>
      <c r="E26" s="41"/>
      <c r="F26" s="18"/>
      <c r="G26" s="18"/>
      <c r="H26" s="15"/>
      <c r="I26" s="40">
        <v>20722</v>
      </c>
      <c r="J26" s="42">
        <v>1791</v>
      </c>
      <c r="K26" s="42"/>
      <c r="L26" s="42"/>
      <c r="M26" s="15"/>
      <c r="N26" s="41">
        <v>226759</v>
      </c>
      <c r="O26" s="41"/>
      <c r="P26" s="41"/>
      <c r="Q26" s="18"/>
      <c r="R26" s="11">
        <f t="shared" si="3"/>
        <v>0</v>
      </c>
      <c r="S26" s="16"/>
      <c r="T26" s="17">
        <v>0</v>
      </c>
      <c r="U26" s="17">
        <v>0</v>
      </c>
      <c r="V26" s="17">
        <v>0</v>
      </c>
      <c r="W26" s="43" t="s">
        <v>30</v>
      </c>
      <c r="X26" s="80">
        <v>21</v>
      </c>
      <c r="Y26" s="11">
        <f t="shared" si="4"/>
        <v>32</v>
      </c>
      <c r="Z26" s="11">
        <f t="shared" si="4"/>
        <v>0</v>
      </c>
      <c r="AA26" s="11">
        <f t="shared" si="4"/>
        <v>0</v>
      </c>
      <c r="AB26" s="11">
        <f t="shared" si="4"/>
        <v>0</v>
      </c>
      <c r="AC26" s="11">
        <f t="shared" si="4"/>
        <v>0</v>
      </c>
      <c r="AD26" s="11">
        <f t="shared" si="4"/>
        <v>0</v>
      </c>
      <c r="AE26" s="34"/>
      <c r="AF26" s="11">
        <f t="shared" si="5"/>
        <v>12</v>
      </c>
      <c r="AG26" s="11">
        <f t="shared" si="5"/>
        <v>2</v>
      </c>
      <c r="AH26" s="11">
        <f t="shared" si="5"/>
        <v>0</v>
      </c>
      <c r="AI26" s="11">
        <f t="shared" si="5"/>
        <v>0</v>
      </c>
      <c r="AJ26" s="34"/>
      <c r="AK26" s="11">
        <f t="shared" si="6"/>
        <v>17</v>
      </c>
      <c r="AL26" s="11">
        <f t="shared" si="6"/>
        <v>0</v>
      </c>
      <c r="AM26" s="11">
        <f t="shared" si="6"/>
        <v>0</v>
      </c>
      <c r="AN26" s="11">
        <f t="shared" si="6"/>
        <v>0</v>
      </c>
      <c r="AO26" s="35"/>
    </row>
    <row r="27" spans="1:41" x14ac:dyDescent="0.2">
      <c r="A27" s="80">
        <v>22</v>
      </c>
      <c r="B27" s="41">
        <v>647599</v>
      </c>
      <c r="C27" s="14"/>
      <c r="D27" s="14"/>
      <c r="E27" s="41"/>
      <c r="F27" s="18"/>
      <c r="G27" s="18"/>
      <c r="H27" s="15"/>
      <c r="I27" s="40">
        <v>20736</v>
      </c>
      <c r="J27" s="42">
        <v>1793</v>
      </c>
      <c r="K27" s="42"/>
      <c r="L27" s="42"/>
      <c r="M27" s="15"/>
      <c r="N27" s="41">
        <v>226773</v>
      </c>
      <c r="O27" s="41"/>
      <c r="P27" s="41"/>
      <c r="Q27" s="18"/>
      <c r="R27" s="11">
        <f t="shared" si="3"/>
        <v>0</v>
      </c>
      <c r="S27" s="16"/>
      <c r="T27" s="17">
        <v>0</v>
      </c>
      <c r="U27" s="17">
        <v>0</v>
      </c>
      <c r="V27" s="17">
        <v>0</v>
      </c>
      <c r="W27" s="43" t="s">
        <v>30</v>
      </c>
      <c r="X27" s="80">
        <v>22</v>
      </c>
      <c r="Y27" s="11">
        <f t="shared" si="4"/>
        <v>25</v>
      </c>
      <c r="Z27" s="11">
        <f t="shared" si="4"/>
        <v>0</v>
      </c>
      <c r="AA27" s="11">
        <f t="shared" si="4"/>
        <v>0</v>
      </c>
      <c r="AB27" s="11">
        <f t="shared" si="4"/>
        <v>0</v>
      </c>
      <c r="AC27" s="11">
        <f t="shared" si="4"/>
        <v>0</v>
      </c>
      <c r="AD27" s="11">
        <f t="shared" si="4"/>
        <v>0</v>
      </c>
      <c r="AE27" s="34"/>
      <c r="AF27" s="11">
        <f t="shared" si="5"/>
        <v>14</v>
      </c>
      <c r="AG27" s="11">
        <f t="shared" si="5"/>
        <v>2</v>
      </c>
      <c r="AH27" s="11">
        <f t="shared" si="5"/>
        <v>0</v>
      </c>
      <c r="AI27" s="11">
        <f t="shared" si="5"/>
        <v>0</v>
      </c>
      <c r="AJ27" s="34"/>
      <c r="AK27" s="11">
        <f t="shared" si="6"/>
        <v>14</v>
      </c>
      <c r="AL27" s="11">
        <f t="shared" si="6"/>
        <v>0</v>
      </c>
      <c r="AM27" s="11">
        <f t="shared" si="6"/>
        <v>0</v>
      </c>
      <c r="AN27" s="11">
        <f t="shared" si="6"/>
        <v>0</v>
      </c>
      <c r="AO27" s="35"/>
    </row>
    <row r="28" spans="1:41" x14ac:dyDescent="0.2">
      <c r="A28" s="80">
        <v>23</v>
      </c>
      <c r="B28" s="41">
        <v>647632</v>
      </c>
      <c r="C28" s="14"/>
      <c r="D28" s="14"/>
      <c r="E28" s="41"/>
      <c r="F28" s="18"/>
      <c r="G28" s="18"/>
      <c r="H28" s="15"/>
      <c r="I28" s="40">
        <v>20753</v>
      </c>
      <c r="J28" s="42">
        <v>1799</v>
      </c>
      <c r="K28" s="42"/>
      <c r="L28" s="42"/>
      <c r="M28" s="15"/>
      <c r="N28" s="41">
        <v>226788</v>
      </c>
      <c r="O28" s="41"/>
      <c r="P28" s="41"/>
      <c r="Q28" s="18"/>
      <c r="R28" s="11">
        <f t="shared" si="3"/>
        <v>0</v>
      </c>
      <c r="S28" s="16"/>
      <c r="T28" s="17">
        <v>0</v>
      </c>
      <c r="U28" s="17">
        <v>0</v>
      </c>
      <c r="V28" s="17">
        <v>0</v>
      </c>
      <c r="W28" s="43" t="s">
        <v>30</v>
      </c>
      <c r="X28" s="80">
        <v>23</v>
      </c>
      <c r="Y28" s="11">
        <f t="shared" si="4"/>
        <v>33</v>
      </c>
      <c r="Z28" s="11">
        <f t="shared" si="4"/>
        <v>0</v>
      </c>
      <c r="AA28" s="11">
        <f t="shared" si="4"/>
        <v>0</v>
      </c>
      <c r="AB28" s="11">
        <f t="shared" si="4"/>
        <v>0</v>
      </c>
      <c r="AC28" s="11">
        <f t="shared" si="4"/>
        <v>0</v>
      </c>
      <c r="AD28" s="11">
        <f t="shared" si="4"/>
        <v>0</v>
      </c>
      <c r="AE28" s="34"/>
      <c r="AF28" s="11">
        <f t="shared" si="5"/>
        <v>17</v>
      </c>
      <c r="AG28" s="11">
        <f t="shared" si="5"/>
        <v>6</v>
      </c>
      <c r="AH28" s="11">
        <f t="shared" si="5"/>
        <v>0</v>
      </c>
      <c r="AI28" s="11">
        <f t="shared" si="5"/>
        <v>0</v>
      </c>
      <c r="AJ28" s="34"/>
      <c r="AK28" s="11">
        <f t="shared" si="6"/>
        <v>15</v>
      </c>
      <c r="AL28" s="11">
        <f t="shared" si="6"/>
        <v>0</v>
      </c>
      <c r="AM28" s="11">
        <f t="shared" si="6"/>
        <v>0</v>
      </c>
      <c r="AN28" s="11">
        <f t="shared" si="6"/>
        <v>0</v>
      </c>
      <c r="AO28" s="35"/>
    </row>
    <row r="29" spans="1:41" x14ac:dyDescent="0.2">
      <c r="A29" s="80">
        <v>24</v>
      </c>
      <c r="B29" s="41">
        <v>647665</v>
      </c>
      <c r="C29" s="14"/>
      <c r="D29" s="14"/>
      <c r="E29" s="41"/>
      <c r="F29" s="18"/>
      <c r="G29" s="18"/>
      <c r="H29" s="15"/>
      <c r="I29" s="40">
        <v>20770</v>
      </c>
      <c r="J29" s="42">
        <v>1801</v>
      </c>
      <c r="K29" s="42"/>
      <c r="L29" s="42"/>
      <c r="M29" s="15"/>
      <c r="N29" s="41">
        <v>226802</v>
      </c>
      <c r="O29" s="41"/>
      <c r="P29" s="41"/>
      <c r="Q29" s="18"/>
      <c r="R29" s="11">
        <f t="shared" si="3"/>
        <v>0</v>
      </c>
      <c r="S29" s="16"/>
      <c r="T29" s="17">
        <v>0</v>
      </c>
      <c r="U29" s="17">
        <v>0</v>
      </c>
      <c r="V29" s="17">
        <v>0</v>
      </c>
      <c r="W29" s="43" t="s">
        <v>30</v>
      </c>
      <c r="X29" s="80">
        <v>24</v>
      </c>
      <c r="Y29" s="11">
        <f t="shared" si="4"/>
        <v>33</v>
      </c>
      <c r="Z29" s="11">
        <f t="shared" si="4"/>
        <v>0</v>
      </c>
      <c r="AA29" s="11">
        <f t="shared" si="4"/>
        <v>0</v>
      </c>
      <c r="AB29" s="11">
        <f t="shared" si="4"/>
        <v>0</v>
      </c>
      <c r="AC29" s="11">
        <f t="shared" si="4"/>
        <v>0</v>
      </c>
      <c r="AD29" s="11">
        <f t="shared" si="4"/>
        <v>0</v>
      </c>
      <c r="AE29" s="34"/>
      <c r="AF29" s="11">
        <f t="shared" si="5"/>
        <v>17</v>
      </c>
      <c r="AG29" s="11">
        <f t="shared" si="5"/>
        <v>2</v>
      </c>
      <c r="AH29" s="11">
        <f t="shared" si="5"/>
        <v>0</v>
      </c>
      <c r="AI29" s="11">
        <f t="shared" si="5"/>
        <v>0</v>
      </c>
      <c r="AJ29" s="34"/>
      <c r="AK29" s="11">
        <f t="shared" si="6"/>
        <v>14</v>
      </c>
      <c r="AL29" s="11">
        <f t="shared" si="6"/>
        <v>0</v>
      </c>
      <c r="AM29" s="11">
        <f t="shared" si="6"/>
        <v>0</v>
      </c>
      <c r="AN29" s="11">
        <f t="shared" si="6"/>
        <v>0</v>
      </c>
      <c r="AO29" s="35"/>
    </row>
    <row r="30" spans="1:41" x14ac:dyDescent="0.2">
      <c r="A30" s="80">
        <v>25</v>
      </c>
      <c r="B30" s="41">
        <v>647697</v>
      </c>
      <c r="C30" s="14"/>
      <c r="D30" s="14"/>
      <c r="E30" s="41"/>
      <c r="F30" s="18"/>
      <c r="G30" s="18"/>
      <c r="H30" s="15"/>
      <c r="I30" s="40">
        <v>20787</v>
      </c>
      <c r="J30" s="42">
        <v>1804</v>
      </c>
      <c r="K30" s="42"/>
      <c r="L30" s="42"/>
      <c r="M30" s="15"/>
      <c r="N30" s="41">
        <v>226817</v>
      </c>
      <c r="O30" s="41"/>
      <c r="P30" s="41"/>
      <c r="Q30" s="18"/>
      <c r="R30" s="11">
        <f t="shared" si="3"/>
        <v>0</v>
      </c>
      <c r="S30" s="16"/>
      <c r="T30" s="17">
        <v>0</v>
      </c>
      <c r="U30" s="17">
        <v>0</v>
      </c>
      <c r="V30" s="17">
        <v>0</v>
      </c>
      <c r="W30" s="43" t="s">
        <v>30</v>
      </c>
      <c r="X30" s="80">
        <v>25</v>
      </c>
      <c r="Y30" s="11">
        <f t="shared" si="4"/>
        <v>32</v>
      </c>
      <c r="Z30" s="11">
        <f t="shared" si="4"/>
        <v>0</v>
      </c>
      <c r="AA30" s="11">
        <f t="shared" si="4"/>
        <v>0</v>
      </c>
      <c r="AB30" s="11">
        <f t="shared" si="4"/>
        <v>0</v>
      </c>
      <c r="AC30" s="11">
        <f t="shared" si="4"/>
        <v>0</v>
      </c>
      <c r="AD30" s="11">
        <f t="shared" si="4"/>
        <v>0</v>
      </c>
      <c r="AE30" s="34"/>
      <c r="AF30" s="11">
        <f t="shared" si="5"/>
        <v>17</v>
      </c>
      <c r="AG30" s="11">
        <f t="shared" si="5"/>
        <v>3</v>
      </c>
      <c r="AH30" s="11">
        <f t="shared" si="5"/>
        <v>0</v>
      </c>
      <c r="AI30" s="11">
        <f t="shared" si="5"/>
        <v>0</v>
      </c>
      <c r="AJ30" s="34"/>
      <c r="AK30" s="11">
        <f t="shared" si="6"/>
        <v>15</v>
      </c>
      <c r="AL30" s="11">
        <f t="shared" si="6"/>
        <v>0</v>
      </c>
      <c r="AM30" s="11">
        <f t="shared" si="6"/>
        <v>0</v>
      </c>
      <c r="AN30" s="11">
        <f t="shared" si="6"/>
        <v>0</v>
      </c>
      <c r="AO30" s="35"/>
    </row>
    <row r="31" spans="1:41" x14ac:dyDescent="0.2">
      <c r="A31" s="80">
        <v>26</v>
      </c>
      <c r="B31" s="41">
        <v>647722</v>
      </c>
      <c r="C31" s="14"/>
      <c r="D31" s="14"/>
      <c r="E31" s="41"/>
      <c r="F31" s="18"/>
      <c r="G31" s="18"/>
      <c r="H31" s="15"/>
      <c r="I31" s="40">
        <v>20798</v>
      </c>
      <c r="J31" s="42">
        <v>1804</v>
      </c>
      <c r="K31" s="42"/>
      <c r="L31" s="42"/>
      <c r="M31" s="15"/>
      <c r="N31" s="41">
        <v>226835</v>
      </c>
      <c r="O31" s="41"/>
      <c r="P31" s="41"/>
      <c r="Q31" s="18"/>
      <c r="R31" s="11">
        <f t="shared" si="3"/>
        <v>0</v>
      </c>
      <c r="S31" s="16"/>
      <c r="T31" s="17">
        <v>0</v>
      </c>
      <c r="U31" s="17">
        <v>0</v>
      </c>
      <c r="V31" s="17">
        <v>0</v>
      </c>
      <c r="W31" s="43" t="s">
        <v>30</v>
      </c>
      <c r="X31" s="80">
        <v>26</v>
      </c>
      <c r="Y31" s="11">
        <f t="shared" si="4"/>
        <v>25</v>
      </c>
      <c r="Z31" s="11">
        <f t="shared" si="4"/>
        <v>0</v>
      </c>
      <c r="AA31" s="11">
        <f t="shared" si="4"/>
        <v>0</v>
      </c>
      <c r="AB31" s="11">
        <f t="shared" si="4"/>
        <v>0</v>
      </c>
      <c r="AC31" s="11">
        <f t="shared" si="4"/>
        <v>0</v>
      </c>
      <c r="AD31" s="11">
        <f t="shared" si="4"/>
        <v>0</v>
      </c>
      <c r="AE31" s="34"/>
      <c r="AF31" s="11">
        <f t="shared" si="5"/>
        <v>11</v>
      </c>
      <c r="AG31" s="11">
        <f t="shared" si="5"/>
        <v>0</v>
      </c>
      <c r="AH31" s="11">
        <f t="shared" si="5"/>
        <v>0</v>
      </c>
      <c r="AI31" s="11">
        <f t="shared" si="5"/>
        <v>0</v>
      </c>
      <c r="AJ31" s="34"/>
      <c r="AK31" s="11">
        <f t="shared" si="6"/>
        <v>18</v>
      </c>
      <c r="AL31" s="11">
        <f t="shared" si="6"/>
        <v>0</v>
      </c>
      <c r="AM31" s="11">
        <f t="shared" si="6"/>
        <v>0</v>
      </c>
      <c r="AN31" s="11">
        <f t="shared" si="6"/>
        <v>0</v>
      </c>
      <c r="AO31" s="35"/>
    </row>
    <row r="32" spans="1:41" x14ac:dyDescent="0.2">
      <c r="A32" s="80">
        <v>27</v>
      </c>
      <c r="B32" s="41">
        <v>647740</v>
      </c>
      <c r="C32" s="14"/>
      <c r="D32" s="14"/>
      <c r="E32" s="41"/>
      <c r="F32" s="18"/>
      <c r="G32" s="18"/>
      <c r="H32" s="15"/>
      <c r="I32" s="40">
        <v>20813</v>
      </c>
      <c r="J32" s="42">
        <v>1808</v>
      </c>
      <c r="K32" s="42"/>
      <c r="L32" s="42"/>
      <c r="M32" s="15"/>
      <c r="N32" s="41">
        <v>226854</v>
      </c>
      <c r="O32" s="41"/>
      <c r="P32" s="41"/>
      <c r="Q32" s="18"/>
      <c r="R32" s="11">
        <f t="shared" si="3"/>
        <v>0</v>
      </c>
      <c r="S32" s="16"/>
      <c r="T32" s="17">
        <v>0</v>
      </c>
      <c r="U32" s="17">
        <v>0</v>
      </c>
      <c r="V32" s="17">
        <v>0</v>
      </c>
      <c r="W32" s="43" t="s">
        <v>30</v>
      </c>
      <c r="X32" s="80">
        <v>27</v>
      </c>
      <c r="Y32" s="11">
        <f t="shared" si="4"/>
        <v>18</v>
      </c>
      <c r="Z32" s="11">
        <f t="shared" si="4"/>
        <v>0</v>
      </c>
      <c r="AA32" s="11">
        <f t="shared" si="4"/>
        <v>0</v>
      </c>
      <c r="AB32" s="11">
        <f t="shared" si="4"/>
        <v>0</v>
      </c>
      <c r="AC32" s="11">
        <f t="shared" si="4"/>
        <v>0</v>
      </c>
      <c r="AD32" s="11">
        <f t="shared" si="4"/>
        <v>0</v>
      </c>
      <c r="AE32" s="34"/>
      <c r="AF32" s="11">
        <f t="shared" si="5"/>
        <v>15</v>
      </c>
      <c r="AG32" s="11">
        <f t="shared" si="5"/>
        <v>4</v>
      </c>
      <c r="AH32" s="11">
        <f t="shared" si="5"/>
        <v>0</v>
      </c>
      <c r="AI32" s="11">
        <f t="shared" si="5"/>
        <v>0</v>
      </c>
      <c r="AJ32" s="34"/>
      <c r="AK32" s="11">
        <f t="shared" si="6"/>
        <v>19</v>
      </c>
      <c r="AL32" s="11">
        <f t="shared" si="6"/>
        <v>0</v>
      </c>
      <c r="AM32" s="11">
        <f t="shared" si="6"/>
        <v>0</v>
      </c>
      <c r="AN32" s="11">
        <f t="shared" si="6"/>
        <v>0</v>
      </c>
      <c r="AO32" s="35"/>
    </row>
    <row r="33" spans="1:41" x14ac:dyDescent="0.2">
      <c r="A33" s="80">
        <v>28</v>
      </c>
      <c r="B33" s="41">
        <v>647783</v>
      </c>
      <c r="C33" s="14"/>
      <c r="D33" s="14"/>
      <c r="E33" s="41"/>
      <c r="F33" s="18"/>
      <c r="G33" s="18"/>
      <c r="H33" s="15"/>
      <c r="I33" s="40">
        <v>20830</v>
      </c>
      <c r="J33" s="42">
        <v>1808</v>
      </c>
      <c r="K33" s="42"/>
      <c r="L33" s="42"/>
      <c r="M33" s="15"/>
      <c r="N33" s="41">
        <v>226871</v>
      </c>
      <c r="O33" s="41"/>
      <c r="P33" s="41"/>
      <c r="Q33" s="18"/>
      <c r="R33" s="11">
        <f t="shared" si="3"/>
        <v>0</v>
      </c>
      <c r="S33" s="16"/>
      <c r="T33" s="17">
        <v>0</v>
      </c>
      <c r="U33" s="17">
        <v>0</v>
      </c>
      <c r="V33" s="17">
        <v>0</v>
      </c>
      <c r="W33" s="43" t="s">
        <v>30</v>
      </c>
      <c r="X33" s="80">
        <v>28</v>
      </c>
      <c r="Y33" s="11">
        <f t="shared" si="4"/>
        <v>43</v>
      </c>
      <c r="Z33" s="11">
        <f t="shared" si="4"/>
        <v>0</v>
      </c>
      <c r="AA33" s="11">
        <f t="shared" si="4"/>
        <v>0</v>
      </c>
      <c r="AB33" s="11">
        <f t="shared" si="4"/>
        <v>0</v>
      </c>
      <c r="AC33" s="11">
        <f t="shared" si="4"/>
        <v>0</v>
      </c>
      <c r="AD33" s="11">
        <f t="shared" si="4"/>
        <v>0</v>
      </c>
      <c r="AE33" s="34"/>
      <c r="AF33" s="11">
        <f t="shared" si="5"/>
        <v>17</v>
      </c>
      <c r="AG33" s="11">
        <f t="shared" si="5"/>
        <v>0</v>
      </c>
      <c r="AH33" s="11">
        <f t="shared" si="5"/>
        <v>0</v>
      </c>
      <c r="AI33" s="11">
        <f t="shared" si="5"/>
        <v>0</v>
      </c>
      <c r="AJ33" s="34"/>
      <c r="AK33" s="11">
        <f t="shared" si="6"/>
        <v>17</v>
      </c>
      <c r="AL33" s="11">
        <f t="shared" si="6"/>
        <v>0</v>
      </c>
      <c r="AM33" s="11">
        <f t="shared" si="6"/>
        <v>0</v>
      </c>
      <c r="AN33" s="11">
        <f t="shared" si="6"/>
        <v>0</v>
      </c>
      <c r="AO33" s="35"/>
    </row>
    <row r="34" spans="1:41" x14ac:dyDescent="0.2">
      <c r="A34" s="80">
        <v>29</v>
      </c>
      <c r="B34" s="41">
        <v>647807</v>
      </c>
      <c r="C34" s="14"/>
      <c r="D34" s="14"/>
      <c r="E34" s="41"/>
      <c r="F34" s="18"/>
      <c r="G34" s="18"/>
      <c r="H34" s="15"/>
      <c r="I34" s="40">
        <v>20846</v>
      </c>
      <c r="J34" s="42">
        <v>1818</v>
      </c>
      <c r="K34" s="42"/>
      <c r="L34" s="42"/>
      <c r="M34" s="15"/>
      <c r="N34" s="41">
        <v>226885</v>
      </c>
      <c r="O34" s="41"/>
      <c r="P34" s="41"/>
      <c r="Q34" s="18"/>
      <c r="R34" s="11">
        <f t="shared" si="3"/>
        <v>0</v>
      </c>
      <c r="S34" s="16"/>
      <c r="T34" s="17">
        <v>0</v>
      </c>
      <c r="U34" s="17">
        <v>0</v>
      </c>
      <c r="V34" s="17">
        <v>0</v>
      </c>
      <c r="W34" s="43" t="s">
        <v>30</v>
      </c>
      <c r="X34" s="80">
        <v>29</v>
      </c>
      <c r="Y34" s="11">
        <f t="shared" ref="Y34:Y36" si="7">B34-B33</f>
        <v>24</v>
      </c>
      <c r="Z34" s="11">
        <f t="shared" ref="Z34:AD36" si="8">C34-C33</f>
        <v>0</v>
      </c>
      <c r="AA34" s="11">
        <f t="shared" si="8"/>
        <v>0</v>
      </c>
      <c r="AB34" s="11">
        <f t="shared" si="8"/>
        <v>0</v>
      </c>
      <c r="AC34" s="11">
        <f t="shared" si="8"/>
        <v>0</v>
      </c>
      <c r="AD34" s="11">
        <f t="shared" si="8"/>
        <v>0</v>
      </c>
      <c r="AE34" s="34"/>
      <c r="AF34" s="11">
        <f t="shared" si="5"/>
        <v>16</v>
      </c>
      <c r="AG34" s="11">
        <f t="shared" si="5"/>
        <v>10</v>
      </c>
      <c r="AH34" s="11">
        <f t="shared" si="5"/>
        <v>0</v>
      </c>
      <c r="AI34" s="11">
        <f t="shared" si="5"/>
        <v>0</v>
      </c>
      <c r="AJ34" s="34"/>
      <c r="AK34" s="11">
        <f t="shared" si="6"/>
        <v>14</v>
      </c>
      <c r="AL34" s="11">
        <f t="shared" si="6"/>
        <v>0</v>
      </c>
      <c r="AM34" s="11">
        <f t="shared" si="6"/>
        <v>0</v>
      </c>
      <c r="AN34" s="11">
        <f t="shared" si="6"/>
        <v>0</v>
      </c>
      <c r="AO34" s="35"/>
    </row>
    <row r="35" spans="1:41" x14ac:dyDescent="0.2">
      <c r="A35" s="80">
        <v>30</v>
      </c>
      <c r="B35" s="41">
        <v>647823</v>
      </c>
      <c r="C35" s="14"/>
      <c r="D35" s="14"/>
      <c r="E35" s="41"/>
      <c r="F35" s="18"/>
      <c r="G35" s="18"/>
      <c r="H35" s="15"/>
      <c r="I35" s="40">
        <v>20859</v>
      </c>
      <c r="J35" s="42">
        <v>1819</v>
      </c>
      <c r="K35" s="42"/>
      <c r="L35" s="42"/>
      <c r="M35" s="15"/>
      <c r="N35" s="41">
        <v>226900</v>
      </c>
      <c r="O35" s="41"/>
      <c r="P35" s="41"/>
      <c r="Q35" s="18"/>
      <c r="R35" s="11">
        <f t="shared" si="3"/>
        <v>0</v>
      </c>
      <c r="S35" s="16"/>
      <c r="T35" s="17">
        <v>0</v>
      </c>
      <c r="U35" s="17">
        <v>0</v>
      </c>
      <c r="V35" s="17">
        <v>0</v>
      </c>
      <c r="W35" s="43" t="s">
        <v>30</v>
      </c>
      <c r="X35" s="80">
        <v>30</v>
      </c>
      <c r="Y35" s="11">
        <f t="shared" si="7"/>
        <v>16</v>
      </c>
      <c r="Z35" s="11">
        <f t="shared" si="8"/>
        <v>0</v>
      </c>
      <c r="AA35" s="11">
        <f t="shared" si="8"/>
        <v>0</v>
      </c>
      <c r="AB35" s="11">
        <f t="shared" si="8"/>
        <v>0</v>
      </c>
      <c r="AC35" s="11">
        <f t="shared" si="8"/>
        <v>0</v>
      </c>
      <c r="AD35" s="11">
        <f t="shared" si="8"/>
        <v>0</v>
      </c>
      <c r="AE35" s="34"/>
      <c r="AF35" s="11">
        <f t="shared" si="5"/>
        <v>13</v>
      </c>
      <c r="AG35" s="11">
        <f t="shared" si="5"/>
        <v>1</v>
      </c>
      <c r="AH35" s="11">
        <f t="shared" si="5"/>
        <v>0</v>
      </c>
      <c r="AI35" s="11">
        <f t="shared" si="5"/>
        <v>0</v>
      </c>
      <c r="AJ35" s="34"/>
      <c r="AK35" s="11">
        <f t="shared" si="6"/>
        <v>15</v>
      </c>
      <c r="AL35" s="11">
        <f t="shared" si="6"/>
        <v>0</v>
      </c>
      <c r="AM35" s="11">
        <f t="shared" si="6"/>
        <v>0</v>
      </c>
      <c r="AN35" s="11">
        <f t="shared" si="6"/>
        <v>0</v>
      </c>
      <c r="AO35" s="35"/>
    </row>
    <row r="36" spans="1:41" x14ac:dyDescent="0.2">
      <c r="A36" s="80">
        <v>31</v>
      </c>
      <c r="B36" s="41"/>
      <c r="C36" s="14"/>
      <c r="D36" s="14"/>
      <c r="E36" s="41"/>
      <c r="F36" s="18"/>
      <c r="G36" s="18"/>
      <c r="H36" s="15"/>
      <c r="I36" s="40"/>
      <c r="J36" s="42"/>
      <c r="K36" s="42"/>
      <c r="L36" s="42"/>
      <c r="M36" s="15"/>
      <c r="N36" s="41"/>
      <c r="O36" s="41"/>
      <c r="P36" s="41"/>
      <c r="Q36" s="18"/>
      <c r="R36" s="11"/>
      <c r="S36" s="16"/>
      <c r="T36" s="17">
        <v>0</v>
      </c>
      <c r="U36" s="17">
        <v>0</v>
      </c>
      <c r="V36" s="17">
        <v>0</v>
      </c>
      <c r="W36" s="43"/>
      <c r="X36" s="80">
        <v>31</v>
      </c>
      <c r="Y36" s="11">
        <f t="shared" si="7"/>
        <v>-647823</v>
      </c>
      <c r="Z36" s="11">
        <f t="shared" si="8"/>
        <v>0</v>
      </c>
      <c r="AA36" s="11">
        <f t="shared" si="8"/>
        <v>0</v>
      </c>
      <c r="AB36" s="11">
        <f t="shared" si="8"/>
        <v>0</v>
      </c>
      <c r="AC36" s="11">
        <f t="shared" si="8"/>
        <v>0</v>
      </c>
      <c r="AD36" s="11">
        <f t="shared" si="8"/>
        <v>0</v>
      </c>
      <c r="AE36" s="34"/>
      <c r="AF36" s="11">
        <f t="shared" si="5"/>
        <v>-20859</v>
      </c>
      <c r="AG36" s="11">
        <f t="shared" si="5"/>
        <v>-1819</v>
      </c>
      <c r="AH36" s="11">
        <f t="shared" si="5"/>
        <v>0</v>
      </c>
      <c r="AI36" s="11">
        <f t="shared" si="5"/>
        <v>0</v>
      </c>
      <c r="AJ36" s="34"/>
      <c r="AK36" s="11">
        <f t="shared" si="6"/>
        <v>-226900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80" t="s">
        <v>34</v>
      </c>
      <c r="B39" s="10">
        <f t="shared" ref="B39:G39" si="9">LARGE(B5:B36, 1)</f>
        <v>647823</v>
      </c>
      <c r="C39" s="11">
        <f t="shared" si="9"/>
        <v>0</v>
      </c>
      <c r="D39" s="11">
        <f t="shared" si="9"/>
        <v>0</v>
      </c>
      <c r="E39" s="22">
        <f t="shared" si="9"/>
        <v>973328</v>
      </c>
      <c r="F39" s="10">
        <f t="shared" si="9"/>
        <v>78080</v>
      </c>
      <c r="G39" s="10">
        <f t="shared" si="9"/>
        <v>21830</v>
      </c>
      <c r="H39" s="23"/>
      <c r="I39" s="10">
        <f>LARGE(I5:I36, 1)</f>
        <v>20859</v>
      </c>
      <c r="J39" s="24">
        <f>LARGE(J5:J36, 1)</f>
        <v>1819</v>
      </c>
      <c r="K39" s="24">
        <f>LARGE(K5:K36, 1)</f>
        <v>25201</v>
      </c>
      <c r="L39" s="24">
        <f>LARGE(L5:L36, 1)</f>
        <v>114</v>
      </c>
      <c r="M39" s="8"/>
      <c r="N39" s="22">
        <f>LARGE(N5:N36, 1)</f>
        <v>226900</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0">AVERAGEIF($W$6:$W$36, "x",Y6:Y36)</f>
        <v>25.9</v>
      </c>
      <c r="Z39" s="55">
        <f t="shared" si="10"/>
        <v>0</v>
      </c>
      <c r="AA39" s="55">
        <f t="shared" si="10"/>
        <v>0</v>
      </c>
      <c r="AB39" s="55">
        <f t="shared" si="10"/>
        <v>-32444.266666666666</v>
      </c>
      <c r="AC39" s="55">
        <f t="shared" si="10"/>
        <v>-2602.6666666666665</v>
      </c>
      <c r="AD39" s="55">
        <f t="shared" si="10"/>
        <v>-727.66666666666663</v>
      </c>
      <c r="AE39" s="56"/>
      <c r="AF39" s="55">
        <f>AVERAGEIF($W$6:$W$36, "x",AF6:AF36)</f>
        <v>13.266666666666667</v>
      </c>
      <c r="AG39" s="55">
        <f>AVERAGEIF($W$6:$W$36, "x",AG6:AG36)</f>
        <v>2.0333333333333332</v>
      </c>
      <c r="AH39" s="55">
        <f>AVERAGEIF($W$6:$W$36, "x",AH6:AH36)</f>
        <v>-840.0333333333333</v>
      </c>
      <c r="AI39" s="55">
        <f>AVERAGEIF($W$6:$W$36, "x",AI6:AI36)</f>
        <v>-3.8</v>
      </c>
      <c r="AJ39" s="56"/>
      <c r="AK39" s="55">
        <f>AVERAGEIF($W$6:$W$36, "x",AK6:AK36)</f>
        <v>20.033333333333335</v>
      </c>
      <c r="AL39" s="55">
        <f>AVERAGEIF($W$6:$W$36, "x",AL6:AL36)</f>
        <v>-13747.866666666667</v>
      </c>
      <c r="AM39" s="55">
        <f>AVERAGEIF($W$6:$W$36, "x",AM6:AM36)</f>
        <v>-19489.2</v>
      </c>
      <c r="AN39" s="55">
        <f>AVERAGEIF($W$6:$W$36, "x",AN6:AN36)</f>
        <v>-731.56666666666672</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777</v>
      </c>
      <c r="C42" s="26">
        <f t="shared" ref="C42:V42" si="11">C39-C5</f>
        <v>0</v>
      </c>
      <c r="D42" s="26">
        <f t="shared" si="11"/>
        <v>0</v>
      </c>
      <c r="E42" s="26">
        <f t="shared" si="11"/>
        <v>0</v>
      </c>
      <c r="F42" s="26">
        <f t="shared" si="11"/>
        <v>0</v>
      </c>
      <c r="G42" s="26">
        <f t="shared" si="11"/>
        <v>0</v>
      </c>
      <c r="I42" s="26">
        <f t="shared" si="11"/>
        <v>398</v>
      </c>
      <c r="J42" s="26">
        <f t="shared" si="11"/>
        <v>61</v>
      </c>
      <c r="K42" s="26">
        <f t="shared" si="11"/>
        <v>0</v>
      </c>
      <c r="L42" s="26">
        <f t="shared" si="11"/>
        <v>0</v>
      </c>
      <c r="N42" s="26">
        <f t="shared" si="11"/>
        <v>601</v>
      </c>
      <c r="O42" s="26">
        <f t="shared" si="11"/>
        <v>0</v>
      </c>
      <c r="P42" s="26">
        <f t="shared" si="11"/>
        <v>0</v>
      </c>
      <c r="Q42" s="26">
        <f t="shared" si="11"/>
        <v>0</v>
      </c>
      <c r="R42" s="26"/>
      <c r="T42" s="26">
        <f t="shared" si="11"/>
        <v>0</v>
      </c>
      <c r="U42" s="26">
        <f t="shared" si="11"/>
        <v>0</v>
      </c>
      <c r="V42" s="26">
        <f t="shared" si="11"/>
        <v>0</v>
      </c>
      <c r="X42" s="96"/>
      <c r="Y42" s="53">
        <f>Mar!Y39</f>
        <v>47.677419354838712</v>
      </c>
      <c r="Z42" s="53">
        <f>Mar!Z39</f>
        <v>0</v>
      </c>
      <c r="AA42" s="53">
        <f>Mar!AA39</f>
        <v>0</v>
      </c>
      <c r="AB42" s="53">
        <f>Mar!AB39</f>
        <v>-31397.677419354837</v>
      </c>
      <c r="AC42" s="53">
        <f>Mar!AC39</f>
        <v>-2518.7096774193546</v>
      </c>
      <c r="AD42" s="53">
        <f>Mar!AD39</f>
        <v>-704.19354838709683</v>
      </c>
      <c r="AE42" s="57"/>
      <c r="AF42" s="53">
        <f>Mar!AF39</f>
        <v>19.06451612903226</v>
      </c>
      <c r="AG42" s="53">
        <f>Mar!AG39</f>
        <v>4.870967741935484</v>
      </c>
      <c r="AH42" s="53">
        <f>Mar!AH39</f>
        <v>-812.93548387096769</v>
      </c>
      <c r="AI42" s="53">
        <f>Mar!AI39</f>
        <v>-3.6774193548387095</v>
      </c>
      <c r="AJ42" s="57"/>
      <c r="AK42" s="53">
        <f>Mar!AK39</f>
        <v>57.935483870967744</v>
      </c>
      <c r="AL42" s="53">
        <f>Mar!AL39</f>
        <v>-13304.387096774193</v>
      </c>
      <c r="AM42" s="53">
        <f>Mar!AM39</f>
        <v>-18860.516129032258</v>
      </c>
      <c r="AN42" s="53">
        <f>Mar!AN39</f>
        <v>-707.9677419354839</v>
      </c>
    </row>
    <row r="43" spans="1:41" x14ac:dyDescent="0.2">
      <c r="X43" s="80">
        <v>1.5</v>
      </c>
      <c r="Y43" s="54">
        <f>Y42*$X$43</f>
        <v>71.516129032258064</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28.596774193548391</v>
      </c>
      <c r="AG43" s="54">
        <f t="shared" si="13"/>
        <v>7.306451612903226</v>
      </c>
      <c r="AH43" s="54">
        <f t="shared" si="13"/>
        <v>-1219.4032258064515</v>
      </c>
      <c r="AI43" s="54">
        <f t="shared" si="13"/>
        <v>-5.5161290322580641</v>
      </c>
      <c r="AJ43" s="56"/>
      <c r="AK43" s="54">
        <f t="shared" ref="AK43:AN43" si="14">AK42*$X$43</f>
        <v>86.903225806451616</v>
      </c>
      <c r="AL43" s="54">
        <f t="shared" si="14"/>
        <v>-19956.580645161288</v>
      </c>
      <c r="AM43" s="54">
        <f t="shared" si="14"/>
        <v>-28290.774193548386</v>
      </c>
      <c r="AN43" s="54">
        <f t="shared" si="14"/>
        <v>-1061.9516129032259</v>
      </c>
    </row>
    <row r="44" spans="1:41" x14ac:dyDescent="0.2">
      <c r="R44" s="31" t="s">
        <v>35</v>
      </c>
      <c r="X44" s="80">
        <v>0.5</v>
      </c>
      <c r="Y44" s="54">
        <f>Y42*$X$44</f>
        <v>23.838709677419356</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9.5322580645161299</v>
      </c>
      <c r="AG44" s="54">
        <f t="shared" si="16"/>
        <v>2.435483870967742</v>
      </c>
      <c r="AH44" s="54">
        <f t="shared" si="16"/>
        <v>-406.46774193548384</v>
      </c>
      <c r="AI44" s="54">
        <f t="shared" si="16"/>
        <v>-1.8387096774193548</v>
      </c>
      <c r="AJ44" s="56"/>
      <c r="AK44" s="54">
        <f t="shared" ref="AK44:AL44" si="17">AK42*$X$44</f>
        <v>28.967741935483872</v>
      </c>
      <c r="AL44" s="54">
        <f t="shared" si="17"/>
        <v>-6652.1935483870966</v>
      </c>
      <c r="AM44" s="54">
        <v>0</v>
      </c>
      <c r="AN44" s="54">
        <v>0</v>
      </c>
    </row>
    <row r="45" spans="1:41" x14ac:dyDescent="0.2">
      <c r="R45" s="11">
        <f>AVERAGE(R6:R36)</f>
        <v>-731.56666666666672</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row>
  </sheetData>
  <mergeCells count="27">
    <mergeCell ref="Z47:AN47"/>
    <mergeCell ref="Z46:AN46"/>
    <mergeCell ref="Z48:AN48"/>
    <mergeCell ref="Z49:AN49"/>
    <mergeCell ref="Z50:AN50"/>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s>
  <conditionalFormatting sqref="Y42:AD42 AF42:AI42 AK42:AN42">
    <cfRule type="cellIs" dxfId="656" priority="54" operator="lessThan">
      <formula>0</formula>
    </cfRule>
  </conditionalFormatting>
  <conditionalFormatting sqref="Y43:AD44 AF43:AI44 AK43:AN44">
    <cfRule type="cellIs" dxfId="655" priority="53" operator="lessThan">
      <formula>0</formula>
    </cfRule>
  </conditionalFormatting>
  <conditionalFormatting sqref="Y39:AN39">
    <cfRule type="cellIs" dxfId="654" priority="52" operator="lessThan">
      <formula>0</formula>
    </cfRule>
  </conditionalFormatting>
  <conditionalFormatting sqref="Y39">
    <cfRule type="cellIs" dxfId="653" priority="50" operator="lessThan">
      <formula>$Y$44</formula>
    </cfRule>
    <cfRule type="cellIs" dxfId="652" priority="51" operator="greaterThan">
      <formula>$Y$43</formula>
    </cfRule>
  </conditionalFormatting>
  <conditionalFormatting sqref="AB39">
    <cfRule type="cellIs" dxfId="651" priority="48" operator="lessThan">
      <formula>$AB$44</formula>
    </cfRule>
    <cfRule type="cellIs" dxfId="650" priority="49" operator="greaterThan">
      <formula>$AB$43</formula>
    </cfRule>
  </conditionalFormatting>
  <conditionalFormatting sqref="AC39">
    <cfRule type="cellIs" dxfId="649" priority="46" operator="lessThan">
      <formula>$AC$44</formula>
    </cfRule>
    <cfRule type="cellIs" dxfId="648" priority="47" operator="greaterThan">
      <formula>$AC$43</formula>
    </cfRule>
  </conditionalFormatting>
  <conditionalFormatting sqref="AD39">
    <cfRule type="cellIs" dxfId="647" priority="44" operator="lessThan">
      <formula>$AD$44</formula>
    </cfRule>
    <cfRule type="cellIs" dxfId="646" priority="45" operator="greaterThan">
      <formula>$AD$43</formula>
    </cfRule>
  </conditionalFormatting>
  <conditionalFormatting sqref="AF39">
    <cfRule type="cellIs" dxfId="645" priority="42" operator="lessThan">
      <formula>$AF$44</formula>
    </cfRule>
    <cfRule type="cellIs" dxfId="644" priority="43" operator="greaterThan">
      <formula>$AF$43</formula>
    </cfRule>
  </conditionalFormatting>
  <conditionalFormatting sqref="AG39">
    <cfRule type="cellIs" dxfId="643" priority="40" operator="lessThan">
      <formula>$AG$44</formula>
    </cfRule>
    <cfRule type="cellIs" dxfId="642" priority="41" operator="greaterThan">
      <formula>$AG$43</formula>
    </cfRule>
  </conditionalFormatting>
  <conditionalFormatting sqref="AH39">
    <cfRule type="cellIs" dxfId="641" priority="38" operator="lessThan">
      <formula>$AH$44</formula>
    </cfRule>
    <cfRule type="cellIs" dxfId="640" priority="39" operator="greaterThan">
      <formula>$AH$43</formula>
    </cfRule>
  </conditionalFormatting>
  <conditionalFormatting sqref="AI39">
    <cfRule type="cellIs" dxfId="639" priority="36" operator="lessThan">
      <formula>$AI$44</formula>
    </cfRule>
    <cfRule type="cellIs" dxfId="638" priority="37" operator="greaterThan">
      <formula>$AI$43</formula>
    </cfRule>
  </conditionalFormatting>
  <conditionalFormatting sqref="AK39">
    <cfRule type="cellIs" dxfId="637" priority="34" operator="lessThan">
      <formula>$AK$44</formula>
    </cfRule>
    <cfRule type="cellIs" dxfId="636" priority="35" operator="greaterThan">
      <formula>$AK$43</formula>
    </cfRule>
  </conditionalFormatting>
  <conditionalFormatting sqref="AL39">
    <cfRule type="cellIs" dxfId="635" priority="32" operator="lessThan">
      <formula>$AL$44</formula>
    </cfRule>
    <cfRule type="cellIs" dxfId="634" priority="33" operator="greaterThan">
      <formula>$AL$43</formula>
    </cfRule>
  </conditionalFormatting>
  <conditionalFormatting sqref="AM39">
    <cfRule type="cellIs" dxfId="633" priority="30" operator="lessThan">
      <formula>$AM$44</formula>
    </cfRule>
    <cfRule type="cellIs" dxfId="632" priority="31" operator="greaterThan">
      <formula>$AM$43</formula>
    </cfRule>
  </conditionalFormatting>
  <conditionalFormatting sqref="AN39">
    <cfRule type="cellIs" dxfId="631" priority="28" operator="lessThan">
      <formula>$AN$44</formula>
    </cfRule>
    <cfRule type="cellIs" dxfId="630" priority="29" operator="greaterThan">
      <formula>$AN$43</formula>
    </cfRule>
  </conditionalFormatting>
  <conditionalFormatting sqref="AB6:AB36">
    <cfRule type="cellIs" dxfId="629" priority="27" operator="notBetween">
      <formula>$AB$44</formula>
      <formula>$AB$43</formula>
    </cfRule>
  </conditionalFormatting>
  <conditionalFormatting sqref="AC6:AC36">
    <cfRule type="cellIs" dxfId="628" priority="16" operator="notBetween">
      <formula>$AC$43</formula>
      <formula>$AC$44</formula>
    </cfRule>
  </conditionalFormatting>
  <conditionalFormatting sqref="Y6:AN36">
    <cfRule type="cellIs" dxfId="627" priority="2" stopIfTrue="1" operator="equal">
      <formula>0</formula>
    </cfRule>
    <cfRule type="cellIs" dxfId="626" priority="3" stopIfTrue="1" operator="lessThan">
      <formula>0</formula>
    </cfRule>
  </conditionalFormatting>
  <conditionalFormatting sqref="Y6:Y36">
    <cfRule type="cellIs" dxfId="625" priority="25" operator="notBetween">
      <formula>$Y$44</formula>
      <formula>$Y$43</formula>
    </cfRule>
  </conditionalFormatting>
  <conditionalFormatting sqref="AD6:AD36">
    <cfRule type="cellIs" dxfId="624" priority="17" operator="notBetween">
      <formula>$AD$44</formula>
      <formula>$AD$43</formula>
    </cfRule>
  </conditionalFormatting>
  <conditionalFormatting sqref="AF6:AF36">
    <cfRule type="cellIs" dxfId="623" priority="18" operator="notBetween">
      <formula>$AF$44</formula>
      <formula>$AF$43</formula>
    </cfRule>
  </conditionalFormatting>
  <conditionalFormatting sqref="AG6:AG36">
    <cfRule type="cellIs" dxfId="622" priority="19" operator="notBetween">
      <formula>$AG$44</formula>
      <formula>$AG$43</formula>
    </cfRule>
  </conditionalFormatting>
  <conditionalFormatting sqref="AH6:AH36">
    <cfRule type="cellIs" dxfId="621" priority="20" operator="notBetween">
      <formula>$AH$44</formula>
      <formula>$AH$43</formula>
    </cfRule>
  </conditionalFormatting>
  <conditionalFormatting sqref="AI6:AI36">
    <cfRule type="cellIs" dxfId="620" priority="21" operator="notBetween">
      <formula>$AI$44</formula>
      <formula>$AI$43</formula>
    </cfRule>
  </conditionalFormatting>
  <conditionalFormatting sqref="AK6:AK36">
    <cfRule type="cellIs" dxfId="619" priority="22" operator="notBetween">
      <formula>$AK$44</formula>
      <formula>$AK$43</formula>
    </cfRule>
  </conditionalFormatting>
  <conditionalFormatting sqref="AL6:AL36">
    <cfRule type="cellIs" dxfId="618" priority="23" operator="notBetween">
      <formula>$AL$44</formula>
      <formula>$AL$43</formula>
    </cfRule>
  </conditionalFormatting>
  <conditionalFormatting sqref="AM6:AM36">
    <cfRule type="cellIs" dxfId="617" priority="26" operator="notBetween">
      <formula>$AM$44</formula>
      <formula>$AM$43</formula>
    </cfRule>
  </conditionalFormatting>
  <conditionalFormatting sqref="AN6:AN36">
    <cfRule type="cellIs" dxfId="616" priority="24" operator="notBetween">
      <formula>$AN$44</formula>
      <formula>$AN$43</formula>
    </cfRule>
  </conditionalFormatting>
  <conditionalFormatting sqref="AG6:AG39">
    <cfRule type="cellIs" dxfId="615" priority="13" stopIfTrue="1" operator="greaterThan">
      <formula>$AG$43*2</formula>
    </cfRule>
  </conditionalFormatting>
  <conditionalFormatting sqref="Y6:Y39">
    <cfRule type="cellIs" dxfId="614" priority="15" stopIfTrue="1" operator="greaterThan">
      <formula>$Y$43*2</formula>
    </cfRule>
  </conditionalFormatting>
  <conditionalFormatting sqref="AB6:AB39">
    <cfRule type="cellIs" dxfId="613" priority="14" stopIfTrue="1" operator="greaterThan">
      <formula>$AB$43*2</formula>
    </cfRule>
  </conditionalFormatting>
  <conditionalFormatting sqref="AC6:AC39">
    <cfRule type="cellIs" dxfId="612" priority="4" stopIfTrue="1" operator="greaterThan">
      <formula>$AC$43*2</formula>
    </cfRule>
  </conditionalFormatting>
  <conditionalFormatting sqref="AD6:AD39">
    <cfRule type="cellIs" dxfId="611" priority="5" stopIfTrue="1" operator="greaterThan">
      <formula>$AD$43*2</formula>
    </cfRule>
  </conditionalFormatting>
  <conditionalFormatting sqref="AF6:AF39">
    <cfRule type="cellIs" dxfId="610" priority="6" stopIfTrue="1" operator="greaterThan">
      <formula>$AF$43*2</formula>
    </cfRule>
  </conditionalFormatting>
  <conditionalFormatting sqref="AH6:AH39">
    <cfRule type="cellIs" dxfId="609" priority="7" stopIfTrue="1" operator="greaterThan">
      <formula>$AH$43*2</formula>
    </cfRule>
  </conditionalFormatting>
  <conditionalFormatting sqref="AI6:AI39">
    <cfRule type="cellIs" dxfId="608" priority="8" stopIfTrue="1" operator="greaterThan">
      <formula>$AI$43*2</formula>
    </cfRule>
  </conditionalFormatting>
  <conditionalFormatting sqref="AK6:AK39">
    <cfRule type="cellIs" dxfId="607" priority="10" stopIfTrue="1" operator="greaterThan">
      <formula>$AK$43*2</formula>
    </cfRule>
  </conditionalFormatting>
  <conditionalFormatting sqref="AL6:AL39">
    <cfRule type="cellIs" dxfId="606" priority="9" stopIfTrue="1" operator="greaterThan">
      <formula>$AL$43*2</formula>
    </cfRule>
  </conditionalFormatting>
  <conditionalFormatting sqref="AM6:AM39">
    <cfRule type="cellIs" dxfId="605" priority="11" stopIfTrue="1" operator="greaterThan">
      <formula>$AM$43*2</formula>
    </cfRule>
  </conditionalFormatting>
  <conditionalFormatting sqref="AN6:AN39">
    <cfRule type="cellIs" dxfId="604"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&amp;CApril Meter Reading</oddHeader>
    <oddFoote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51"/>
  <sheetViews>
    <sheetView zoomScaleNormal="100" workbookViewId="0">
      <pane ySplit="3" topLeftCell="A13" activePane="bottomLeft" state="frozen"/>
      <selection pane="bottomLeft" activeCell="W14" sqref="W14"/>
    </sheetView>
  </sheetViews>
  <sheetFormatPr defaultColWidth="9.28515625" defaultRowHeight="12.75" x14ac:dyDescent="0.2"/>
  <cols>
    <col min="1" max="1" width="3" style="12" customWidth="1"/>
    <col min="2" max="2" width="15.42578125"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1"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39">
        <f>Apr!B39</f>
        <v>647823</v>
      </c>
      <c r="C5" s="39">
        <f>Apr!C39</f>
        <v>0</v>
      </c>
      <c r="D5" s="39">
        <f>Apr!D39</f>
        <v>0</v>
      </c>
      <c r="E5" s="39">
        <f>Apr!E39</f>
        <v>973328</v>
      </c>
      <c r="F5" s="39">
        <f>Apr!F39</f>
        <v>78080</v>
      </c>
      <c r="G5" s="39">
        <f>Apr!G39</f>
        <v>21830</v>
      </c>
      <c r="H5" s="15"/>
      <c r="I5" s="39">
        <f>Apr!I39</f>
        <v>20859</v>
      </c>
      <c r="J5" s="39">
        <f>Apr!J39</f>
        <v>1819</v>
      </c>
      <c r="K5" s="39">
        <f>Apr!K39</f>
        <v>25201</v>
      </c>
      <c r="L5" s="39">
        <f>Apr!L39</f>
        <v>114</v>
      </c>
      <c r="M5" s="15"/>
      <c r="N5" s="39">
        <f>Apr!N39</f>
        <v>226900</v>
      </c>
      <c r="O5" s="39">
        <f>Apr!O39</f>
        <v>412436</v>
      </c>
      <c r="P5" s="39">
        <f>Apr!P39</f>
        <v>584676</v>
      </c>
      <c r="Q5" s="39">
        <f>Apr!Q39</f>
        <v>21947</v>
      </c>
      <c r="R5" s="11"/>
      <c r="S5" s="15"/>
      <c r="T5" s="26">
        <f>Apr!T39</f>
        <v>0</v>
      </c>
      <c r="U5" s="26">
        <f>Apr!U39</f>
        <v>0</v>
      </c>
      <c r="V5" s="26">
        <f>Apr!V39</f>
        <v>0</v>
      </c>
      <c r="X5"/>
    </row>
    <row r="6" spans="1:41" x14ac:dyDescent="0.2">
      <c r="A6" s="7">
        <v>1</v>
      </c>
      <c r="B6" s="41">
        <v>647854</v>
      </c>
      <c r="C6" s="14"/>
      <c r="D6" s="14"/>
      <c r="E6" s="41"/>
      <c r="F6" s="13"/>
      <c r="G6" s="13"/>
      <c r="H6" s="15"/>
      <c r="I6" s="40">
        <v>20872</v>
      </c>
      <c r="J6" s="42">
        <v>1821</v>
      </c>
      <c r="K6" s="42"/>
      <c r="L6" s="42"/>
      <c r="M6" s="15"/>
      <c r="N6" s="41">
        <v>226921</v>
      </c>
      <c r="O6" s="41"/>
      <c r="P6" s="41"/>
      <c r="Q6" s="18"/>
      <c r="R6" s="11">
        <f>Q6-Q5</f>
        <v>-21947</v>
      </c>
      <c r="S6" s="16"/>
      <c r="T6" s="17">
        <v>0</v>
      </c>
      <c r="U6" s="17">
        <v>0</v>
      </c>
      <c r="V6" s="17">
        <v>0</v>
      </c>
      <c r="W6" s="43" t="s">
        <v>30</v>
      </c>
      <c r="X6" s="80">
        <v>1</v>
      </c>
      <c r="Y6" s="11">
        <f>B6-B5</f>
        <v>31</v>
      </c>
      <c r="Z6" s="11">
        <f t="shared" ref="Z6:AD21" si="0">C6-C5</f>
        <v>0</v>
      </c>
      <c r="AA6" s="11">
        <f t="shared" si="0"/>
        <v>0</v>
      </c>
      <c r="AB6" s="11">
        <f t="shared" si="0"/>
        <v>-973328</v>
      </c>
      <c r="AC6" s="11">
        <f t="shared" si="0"/>
        <v>-78080</v>
      </c>
      <c r="AD6" s="11">
        <f t="shared" si="0"/>
        <v>-21830</v>
      </c>
      <c r="AE6" s="34"/>
      <c r="AF6" s="11">
        <f t="shared" ref="AF6:AI21" si="1">I6-I5</f>
        <v>13</v>
      </c>
      <c r="AG6" s="11">
        <f t="shared" si="1"/>
        <v>2</v>
      </c>
      <c r="AH6" s="11">
        <f t="shared" si="1"/>
        <v>-25201</v>
      </c>
      <c r="AI6" s="11">
        <f t="shared" si="1"/>
        <v>-114</v>
      </c>
      <c r="AJ6" s="34"/>
      <c r="AK6" s="11">
        <f t="shared" ref="AK6:AN21" si="2">N6-N5</f>
        <v>21</v>
      </c>
      <c r="AL6" s="11">
        <f t="shared" si="2"/>
        <v>-412436</v>
      </c>
      <c r="AM6" s="11">
        <f t="shared" si="2"/>
        <v>-584676</v>
      </c>
      <c r="AN6" s="11">
        <f t="shared" si="2"/>
        <v>-21947</v>
      </c>
      <c r="AO6" s="34"/>
    </row>
    <row r="7" spans="1:41" x14ac:dyDescent="0.2">
      <c r="A7" s="80">
        <v>2</v>
      </c>
      <c r="B7" s="41">
        <v>647883</v>
      </c>
      <c r="C7" s="14"/>
      <c r="D7" s="14"/>
      <c r="E7" s="41"/>
      <c r="F7" s="18"/>
      <c r="G7" s="18"/>
      <c r="H7" s="15"/>
      <c r="I7" s="40">
        <v>20886</v>
      </c>
      <c r="J7" s="42">
        <v>1823</v>
      </c>
      <c r="K7" s="42"/>
      <c r="L7" s="42"/>
      <c r="M7" s="15"/>
      <c r="N7" s="41">
        <v>226939</v>
      </c>
      <c r="O7" s="41"/>
      <c r="P7" s="41"/>
      <c r="Q7" s="18"/>
      <c r="R7" s="11">
        <f t="shared" ref="R7:R36" si="3">Q7-Q6</f>
        <v>0</v>
      </c>
      <c r="S7" s="16"/>
      <c r="T7" s="17">
        <v>0</v>
      </c>
      <c r="U7" s="17">
        <v>0</v>
      </c>
      <c r="V7" s="17">
        <v>0</v>
      </c>
      <c r="W7" s="43" t="s">
        <v>30</v>
      </c>
      <c r="X7" s="80">
        <v>2</v>
      </c>
      <c r="Y7" s="11">
        <f t="shared" ref="Y7:AD33" si="4">B7-B6</f>
        <v>29</v>
      </c>
      <c r="Z7" s="11">
        <f t="shared" si="0"/>
        <v>0</v>
      </c>
      <c r="AA7" s="11">
        <f t="shared" si="0"/>
        <v>0</v>
      </c>
      <c r="AB7" s="11">
        <f t="shared" si="0"/>
        <v>0</v>
      </c>
      <c r="AC7" s="11">
        <f t="shared" si="0"/>
        <v>0</v>
      </c>
      <c r="AD7" s="11">
        <f t="shared" si="0"/>
        <v>0</v>
      </c>
      <c r="AE7" s="34"/>
      <c r="AF7" s="11">
        <f t="shared" si="1"/>
        <v>14</v>
      </c>
      <c r="AG7" s="11">
        <f t="shared" si="1"/>
        <v>2</v>
      </c>
      <c r="AH7" s="11">
        <f t="shared" si="1"/>
        <v>0</v>
      </c>
      <c r="AI7" s="11">
        <f t="shared" si="1"/>
        <v>0</v>
      </c>
      <c r="AJ7" s="34"/>
      <c r="AK7" s="11">
        <f t="shared" si="2"/>
        <v>18</v>
      </c>
      <c r="AL7" s="11">
        <f t="shared" si="2"/>
        <v>0</v>
      </c>
      <c r="AM7" s="11">
        <f t="shared" si="2"/>
        <v>0</v>
      </c>
      <c r="AN7" s="11">
        <f t="shared" si="2"/>
        <v>0</v>
      </c>
      <c r="AO7" s="35"/>
    </row>
    <row r="8" spans="1:41" x14ac:dyDescent="0.2">
      <c r="A8" s="80">
        <v>3</v>
      </c>
      <c r="B8" s="41">
        <v>647916</v>
      </c>
      <c r="C8" s="14"/>
      <c r="D8" s="14"/>
      <c r="E8" s="41"/>
      <c r="F8" s="18"/>
      <c r="G8" s="18"/>
      <c r="H8" s="15"/>
      <c r="I8" s="40">
        <v>20904</v>
      </c>
      <c r="J8" s="42">
        <v>1829</v>
      </c>
      <c r="K8" s="42"/>
      <c r="L8" s="42"/>
      <c r="M8" s="15"/>
      <c r="N8" s="41">
        <v>226955</v>
      </c>
      <c r="O8" s="41"/>
      <c r="P8" s="41"/>
      <c r="Q8" s="18"/>
      <c r="R8" s="11">
        <f t="shared" si="3"/>
        <v>0</v>
      </c>
      <c r="S8" s="16"/>
      <c r="T8" s="17">
        <v>0</v>
      </c>
      <c r="U8" s="17">
        <v>0</v>
      </c>
      <c r="V8" s="17">
        <v>0</v>
      </c>
      <c r="W8" s="43" t="s">
        <v>30</v>
      </c>
      <c r="X8" s="80">
        <v>3</v>
      </c>
      <c r="Y8" s="11">
        <f t="shared" si="4"/>
        <v>33</v>
      </c>
      <c r="Z8" s="11">
        <f t="shared" si="0"/>
        <v>0</v>
      </c>
      <c r="AA8" s="11">
        <f t="shared" si="0"/>
        <v>0</v>
      </c>
      <c r="AB8" s="11">
        <f t="shared" si="0"/>
        <v>0</v>
      </c>
      <c r="AC8" s="11">
        <f t="shared" si="0"/>
        <v>0</v>
      </c>
      <c r="AD8" s="11">
        <f t="shared" si="0"/>
        <v>0</v>
      </c>
      <c r="AE8" s="34"/>
      <c r="AF8" s="11">
        <f t="shared" si="1"/>
        <v>18</v>
      </c>
      <c r="AG8" s="11">
        <f t="shared" si="1"/>
        <v>6</v>
      </c>
      <c r="AH8" s="11">
        <f t="shared" si="1"/>
        <v>0</v>
      </c>
      <c r="AI8" s="11">
        <f t="shared" si="1"/>
        <v>0</v>
      </c>
      <c r="AJ8" s="34"/>
      <c r="AK8" s="11">
        <f t="shared" si="2"/>
        <v>16</v>
      </c>
      <c r="AL8" s="11">
        <f t="shared" si="2"/>
        <v>0</v>
      </c>
      <c r="AM8" s="11">
        <f t="shared" si="2"/>
        <v>0</v>
      </c>
      <c r="AN8" s="11">
        <f t="shared" si="2"/>
        <v>0</v>
      </c>
      <c r="AO8" s="35"/>
    </row>
    <row r="9" spans="1:41" x14ac:dyDescent="0.2">
      <c r="A9" s="80">
        <v>4</v>
      </c>
      <c r="B9" s="41">
        <v>647948</v>
      </c>
      <c r="C9" s="14"/>
      <c r="D9" s="14"/>
      <c r="E9" s="41"/>
      <c r="F9" s="18"/>
      <c r="G9" s="18"/>
      <c r="H9" s="15"/>
      <c r="I9" s="40">
        <v>20920</v>
      </c>
      <c r="J9" s="42">
        <v>1833</v>
      </c>
      <c r="K9" s="42"/>
      <c r="L9" s="42"/>
      <c r="M9" s="15"/>
      <c r="N9" s="41">
        <v>226969</v>
      </c>
      <c r="O9" s="41"/>
      <c r="P9" s="41"/>
      <c r="Q9" s="18"/>
      <c r="R9" s="11">
        <f t="shared" si="3"/>
        <v>0</v>
      </c>
      <c r="S9" s="16"/>
      <c r="T9" s="17">
        <v>0</v>
      </c>
      <c r="U9" s="17">
        <v>0</v>
      </c>
      <c r="V9" s="17">
        <v>0</v>
      </c>
      <c r="W9" s="43" t="s">
        <v>30</v>
      </c>
      <c r="X9" s="80">
        <v>4</v>
      </c>
      <c r="Y9" s="11">
        <f t="shared" si="4"/>
        <v>32</v>
      </c>
      <c r="Z9" s="11">
        <f t="shared" si="0"/>
        <v>0</v>
      </c>
      <c r="AA9" s="11">
        <f t="shared" si="0"/>
        <v>0</v>
      </c>
      <c r="AB9" s="11">
        <f t="shared" si="0"/>
        <v>0</v>
      </c>
      <c r="AC9" s="11">
        <f t="shared" si="0"/>
        <v>0</v>
      </c>
      <c r="AD9" s="11">
        <f t="shared" si="0"/>
        <v>0</v>
      </c>
      <c r="AE9" s="34"/>
      <c r="AF9" s="11">
        <f t="shared" si="1"/>
        <v>16</v>
      </c>
      <c r="AG9" s="11">
        <f t="shared" si="1"/>
        <v>4</v>
      </c>
      <c r="AH9" s="11">
        <f t="shared" si="1"/>
        <v>0</v>
      </c>
      <c r="AI9" s="11">
        <f t="shared" si="1"/>
        <v>0</v>
      </c>
      <c r="AJ9" s="34"/>
      <c r="AK9" s="11">
        <f t="shared" si="2"/>
        <v>14</v>
      </c>
      <c r="AL9" s="11">
        <f t="shared" si="2"/>
        <v>0</v>
      </c>
      <c r="AM9" s="11">
        <f t="shared" si="2"/>
        <v>0</v>
      </c>
      <c r="AN9" s="11">
        <f t="shared" si="2"/>
        <v>0</v>
      </c>
      <c r="AO9" s="35"/>
    </row>
    <row r="10" spans="1:41" x14ac:dyDescent="0.2">
      <c r="A10" s="80">
        <v>5</v>
      </c>
      <c r="B10" s="41">
        <v>647973</v>
      </c>
      <c r="C10" s="14"/>
      <c r="D10" s="14"/>
      <c r="E10" s="41"/>
      <c r="F10" s="18"/>
      <c r="G10" s="18"/>
      <c r="H10" s="15"/>
      <c r="I10" s="40">
        <v>20939</v>
      </c>
      <c r="J10" s="42">
        <v>1838</v>
      </c>
      <c r="K10" s="42"/>
      <c r="L10" s="42"/>
      <c r="M10" s="15"/>
      <c r="N10" s="41">
        <v>226984</v>
      </c>
      <c r="O10" s="41"/>
      <c r="P10" s="41"/>
      <c r="Q10" s="18"/>
      <c r="R10" s="11">
        <f t="shared" si="3"/>
        <v>0</v>
      </c>
      <c r="S10" s="16"/>
      <c r="T10" s="17">
        <v>0</v>
      </c>
      <c r="U10" s="17">
        <v>0</v>
      </c>
      <c r="V10" s="17">
        <v>0</v>
      </c>
      <c r="W10" s="43" t="s">
        <v>30</v>
      </c>
      <c r="X10" s="80">
        <v>5</v>
      </c>
      <c r="Y10" s="11">
        <f t="shared" si="4"/>
        <v>25</v>
      </c>
      <c r="Z10" s="11">
        <f t="shared" si="0"/>
        <v>0</v>
      </c>
      <c r="AA10" s="11">
        <f t="shared" si="0"/>
        <v>0</v>
      </c>
      <c r="AB10" s="11">
        <f t="shared" si="0"/>
        <v>0</v>
      </c>
      <c r="AC10" s="11">
        <f t="shared" si="0"/>
        <v>0</v>
      </c>
      <c r="AD10" s="11">
        <f t="shared" si="0"/>
        <v>0</v>
      </c>
      <c r="AE10" s="34"/>
      <c r="AF10" s="11">
        <f t="shared" si="1"/>
        <v>19</v>
      </c>
      <c r="AG10" s="11">
        <f t="shared" si="1"/>
        <v>5</v>
      </c>
      <c r="AH10" s="11">
        <f t="shared" si="1"/>
        <v>0</v>
      </c>
      <c r="AI10" s="11">
        <f t="shared" si="1"/>
        <v>0</v>
      </c>
      <c r="AJ10" s="34"/>
      <c r="AK10" s="11">
        <f t="shared" si="2"/>
        <v>15</v>
      </c>
      <c r="AL10" s="11">
        <f t="shared" si="2"/>
        <v>0</v>
      </c>
      <c r="AM10" s="11">
        <f t="shared" si="2"/>
        <v>0</v>
      </c>
      <c r="AN10" s="11">
        <f t="shared" si="2"/>
        <v>0</v>
      </c>
      <c r="AO10" s="35"/>
    </row>
    <row r="11" spans="1:41" x14ac:dyDescent="0.2">
      <c r="A11" s="80">
        <v>6</v>
      </c>
      <c r="B11" s="41">
        <v>648017</v>
      </c>
      <c r="C11" s="14"/>
      <c r="D11" s="14"/>
      <c r="E11" s="41"/>
      <c r="F11" s="18"/>
      <c r="G11" s="18"/>
      <c r="H11" s="15"/>
      <c r="I11" s="40">
        <v>20959</v>
      </c>
      <c r="J11" s="42">
        <v>1844</v>
      </c>
      <c r="K11" s="42"/>
      <c r="L11" s="42"/>
      <c r="M11" s="15"/>
      <c r="N11" s="41">
        <v>226998</v>
      </c>
      <c r="O11" s="41"/>
      <c r="P11" s="41"/>
      <c r="Q11" s="18"/>
      <c r="R11" s="11">
        <f t="shared" si="3"/>
        <v>0</v>
      </c>
      <c r="S11" s="16"/>
      <c r="T11" s="17">
        <v>0</v>
      </c>
      <c r="U11" s="17">
        <v>0</v>
      </c>
      <c r="V11" s="17">
        <v>0</v>
      </c>
      <c r="W11" s="43" t="s">
        <v>30</v>
      </c>
      <c r="X11" s="80">
        <v>6</v>
      </c>
      <c r="Y11" s="11">
        <f t="shared" si="4"/>
        <v>44</v>
      </c>
      <c r="Z11" s="11">
        <f t="shared" si="0"/>
        <v>0</v>
      </c>
      <c r="AA11" s="11">
        <f t="shared" si="0"/>
        <v>0</v>
      </c>
      <c r="AB11" s="11">
        <f t="shared" si="0"/>
        <v>0</v>
      </c>
      <c r="AC11" s="11">
        <f t="shared" si="0"/>
        <v>0</v>
      </c>
      <c r="AD11" s="11">
        <f t="shared" si="0"/>
        <v>0</v>
      </c>
      <c r="AE11" s="34"/>
      <c r="AF11" s="11">
        <f t="shared" si="1"/>
        <v>20</v>
      </c>
      <c r="AG11" s="11">
        <f t="shared" si="1"/>
        <v>6</v>
      </c>
      <c r="AH11" s="11">
        <f t="shared" si="1"/>
        <v>0</v>
      </c>
      <c r="AI11" s="11">
        <f t="shared" si="1"/>
        <v>0</v>
      </c>
      <c r="AJ11" s="34"/>
      <c r="AK11" s="11">
        <f t="shared" si="2"/>
        <v>14</v>
      </c>
      <c r="AL11" s="11">
        <f t="shared" si="2"/>
        <v>0</v>
      </c>
      <c r="AM11" s="11">
        <f t="shared" si="2"/>
        <v>0</v>
      </c>
      <c r="AN11" s="11">
        <f t="shared" si="2"/>
        <v>0</v>
      </c>
      <c r="AO11" s="35"/>
    </row>
    <row r="12" spans="1:41" x14ac:dyDescent="0.2">
      <c r="A12" s="80">
        <v>7</v>
      </c>
      <c r="B12" s="41">
        <v>648041</v>
      </c>
      <c r="C12" s="14"/>
      <c r="D12" s="14"/>
      <c r="E12" s="41"/>
      <c r="F12" s="18"/>
      <c r="G12" s="18"/>
      <c r="H12" s="15"/>
      <c r="I12" s="40">
        <v>20971</v>
      </c>
      <c r="J12" s="42">
        <v>1844</v>
      </c>
      <c r="K12" s="42"/>
      <c r="L12" s="42"/>
      <c r="M12" s="15"/>
      <c r="N12" s="41">
        <v>227015</v>
      </c>
      <c r="O12" s="41"/>
      <c r="P12" s="41"/>
      <c r="Q12" s="18"/>
      <c r="R12" s="11">
        <f t="shared" si="3"/>
        <v>0</v>
      </c>
      <c r="S12" s="16"/>
      <c r="T12" s="17">
        <v>0</v>
      </c>
      <c r="U12" s="17">
        <v>0</v>
      </c>
      <c r="V12" s="17">
        <v>0</v>
      </c>
      <c r="W12" s="43" t="s">
        <v>30</v>
      </c>
      <c r="X12" s="80">
        <v>7</v>
      </c>
      <c r="Y12" s="11">
        <f t="shared" si="4"/>
        <v>24</v>
      </c>
      <c r="Z12" s="11">
        <f t="shared" si="0"/>
        <v>0</v>
      </c>
      <c r="AA12" s="11">
        <f t="shared" si="0"/>
        <v>0</v>
      </c>
      <c r="AB12" s="11">
        <f t="shared" si="0"/>
        <v>0</v>
      </c>
      <c r="AC12" s="11">
        <f t="shared" si="0"/>
        <v>0</v>
      </c>
      <c r="AD12" s="11">
        <f t="shared" si="0"/>
        <v>0</v>
      </c>
      <c r="AE12" s="34"/>
      <c r="AF12" s="11">
        <f t="shared" si="1"/>
        <v>12</v>
      </c>
      <c r="AG12" s="11">
        <f t="shared" si="1"/>
        <v>0</v>
      </c>
      <c r="AH12" s="11">
        <f t="shared" si="1"/>
        <v>0</v>
      </c>
      <c r="AI12" s="11">
        <f t="shared" si="1"/>
        <v>0</v>
      </c>
      <c r="AJ12" s="34"/>
      <c r="AK12" s="11">
        <f t="shared" si="2"/>
        <v>17</v>
      </c>
      <c r="AL12" s="11">
        <f t="shared" si="2"/>
        <v>0</v>
      </c>
      <c r="AM12" s="11">
        <f t="shared" si="2"/>
        <v>0</v>
      </c>
      <c r="AN12" s="11">
        <f t="shared" si="2"/>
        <v>0</v>
      </c>
      <c r="AO12" s="35"/>
    </row>
    <row r="13" spans="1:41" x14ac:dyDescent="0.2">
      <c r="A13" s="80">
        <v>8</v>
      </c>
      <c r="B13" s="41">
        <v>648071</v>
      </c>
      <c r="C13" s="14"/>
      <c r="D13" s="14"/>
      <c r="E13" s="41"/>
      <c r="F13" s="18"/>
      <c r="G13" s="18"/>
      <c r="H13" s="15"/>
      <c r="I13" s="40">
        <v>20988</v>
      </c>
      <c r="J13" s="42">
        <v>1847</v>
      </c>
      <c r="K13" s="42"/>
      <c r="L13" s="42"/>
      <c r="M13" s="15"/>
      <c r="N13" s="41">
        <v>227032</v>
      </c>
      <c r="O13" s="41"/>
      <c r="P13" s="41"/>
      <c r="Q13" s="18"/>
      <c r="R13" s="11">
        <f t="shared" si="3"/>
        <v>0</v>
      </c>
      <c r="S13" s="16"/>
      <c r="T13" s="17">
        <v>0</v>
      </c>
      <c r="U13" s="17">
        <v>0</v>
      </c>
      <c r="V13" s="17">
        <v>0</v>
      </c>
      <c r="W13" s="43" t="s">
        <v>30</v>
      </c>
      <c r="X13" s="80">
        <v>8</v>
      </c>
      <c r="Y13" s="11">
        <f t="shared" si="4"/>
        <v>30</v>
      </c>
      <c r="Z13" s="11">
        <f t="shared" si="0"/>
        <v>0</v>
      </c>
      <c r="AA13" s="11">
        <f t="shared" si="0"/>
        <v>0</v>
      </c>
      <c r="AB13" s="11">
        <f t="shared" si="0"/>
        <v>0</v>
      </c>
      <c r="AC13" s="11">
        <f t="shared" si="0"/>
        <v>0</v>
      </c>
      <c r="AD13" s="11">
        <f t="shared" si="0"/>
        <v>0</v>
      </c>
      <c r="AE13" s="34"/>
      <c r="AF13" s="11">
        <f t="shared" si="1"/>
        <v>17</v>
      </c>
      <c r="AG13" s="11">
        <f t="shared" si="1"/>
        <v>3</v>
      </c>
      <c r="AH13" s="11">
        <f t="shared" si="1"/>
        <v>0</v>
      </c>
      <c r="AI13" s="11">
        <f t="shared" si="1"/>
        <v>0</v>
      </c>
      <c r="AJ13" s="34"/>
      <c r="AK13" s="11">
        <f t="shared" si="2"/>
        <v>17</v>
      </c>
      <c r="AL13" s="11">
        <f t="shared" si="2"/>
        <v>0</v>
      </c>
      <c r="AM13" s="11">
        <f t="shared" si="2"/>
        <v>0</v>
      </c>
      <c r="AN13" s="11">
        <f t="shared" si="2"/>
        <v>0</v>
      </c>
      <c r="AO13" s="35"/>
    </row>
    <row r="14" spans="1:41" x14ac:dyDescent="0.2">
      <c r="A14" s="80">
        <v>9</v>
      </c>
      <c r="B14" s="41">
        <v>648113</v>
      </c>
      <c r="C14" s="14"/>
      <c r="D14" s="14"/>
      <c r="E14" s="41"/>
      <c r="F14" s="18"/>
      <c r="G14" s="18"/>
      <c r="H14" s="15"/>
      <c r="I14" s="40">
        <v>21008</v>
      </c>
      <c r="J14" s="42">
        <v>1853</v>
      </c>
      <c r="K14" s="42"/>
      <c r="L14" s="42"/>
      <c r="M14" s="15"/>
      <c r="N14" s="41">
        <v>227049</v>
      </c>
      <c r="O14" s="41"/>
      <c r="P14" s="41"/>
      <c r="Q14" s="18"/>
      <c r="R14" s="11">
        <f>Q14-Q13</f>
        <v>0</v>
      </c>
      <c r="S14" s="16"/>
      <c r="T14" s="17">
        <v>0</v>
      </c>
      <c r="U14" s="17">
        <v>0</v>
      </c>
      <c r="V14" s="17">
        <v>0</v>
      </c>
      <c r="W14" s="43" t="s">
        <v>30</v>
      </c>
      <c r="X14" s="80">
        <v>9</v>
      </c>
      <c r="Y14" s="11">
        <f t="shared" si="4"/>
        <v>42</v>
      </c>
      <c r="Z14" s="11">
        <f t="shared" si="0"/>
        <v>0</v>
      </c>
      <c r="AA14" s="11">
        <f t="shared" si="0"/>
        <v>0</v>
      </c>
      <c r="AB14" s="11">
        <f t="shared" si="0"/>
        <v>0</v>
      </c>
      <c r="AC14" s="11">
        <f t="shared" si="0"/>
        <v>0</v>
      </c>
      <c r="AD14" s="11">
        <f t="shared" si="0"/>
        <v>0</v>
      </c>
      <c r="AE14" s="34"/>
      <c r="AF14" s="11">
        <f t="shared" si="1"/>
        <v>20</v>
      </c>
      <c r="AG14" s="11">
        <f t="shared" si="1"/>
        <v>6</v>
      </c>
      <c r="AH14" s="11">
        <f t="shared" si="1"/>
        <v>0</v>
      </c>
      <c r="AI14" s="11">
        <f t="shared" si="1"/>
        <v>0</v>
      </c>
      <c r="AJ14" s="34"/>
      <c r="AK14" s="11">
        <f t="shared" si="2"/>
        <v>17</v>
      </c>
      <c r="AL14" s="11">
        <f t="shared" si="2"/>
        <v>0</v>
      </c>
      <c r="AM14" s="11">
        <f t="shared" si="2"/>
        <v>0</v>
      </c>
      <c r="AN14" s="11">
        <f>Q14-Q13</f>
        <v>0</v>
      </c>
      <c r="AO14" s="35"/>
    </row>
    <row r="15" spans="1:41" x14ac:dyDescent="0.2">
      <c r="A15" s="80">
        <v>10</v>
      </c>
      <c r="B15" s="41">
        <v>648134</v>
      </c>
      <c r="C15" s="14"/>
      <c r="D15" s="14"/>
      <c r="E15" s="41"/>
      <c r="F15" s="18"/>
      <c r="G15" s="18"/>
      <c r="H15" s="15"/>
      <c r="I15" s="40">
        <v>21017</v>
      </c>
      <c r="J15" s="42">
        <v>1853</v>
      </c>
      <c r="K15" s="42"/>
      <c r="L15" s="42"/>
      <c r="M15" s="15"/>
      <c r="N15" s="41">
        <v>227073</v>
      </c>
      <c r="O15" s="41"/>
      <c r="P15" s="41"/>
      <c r="Q15" s="18"/>
      <c r="R15" s="11">
        <f>Q15-Q14</f>
        <v>0</v>
      </c>
      <c r="S15" s="16"/>
      <c r="T15" s="17">
        <v>0</v>
      </c>
      <c r="U15" s="17">
        <v>0</v>
      </c>
      <c r="V15" s="17">
        <v>0</v>
      </c>
      <c r="W15" s="43" t="s">
        <v>30</v>
      </c>
      <c r="X15" s="80">
        <v>10</v>
      </c>
      <c r="Y15" s="11">
        <f t="shared" si="4"/>
        <v>21</v>
      </c>
      <c r="Z15" s="11">
        <f t="shared" si="0"/>
        <v>0</v>
      </c>
      <c r="AA15" s="11">
        <f t="shared" si="0"/>
        <v>0</v>
      </c>
      <c r="AB15" s="11">
        <f t="shared" si="0"/>
        <v>0</v>
      </c>
      <c r="AC15" s="11">
        <f t="shared" si="0"/>
        <v>0</v>
      </c>
      <c r="AD15" s="11">
        <f t="shared" si="0"/>
        <v>0</v>
      </c>
      <c r="AE15" s="34"/>
      <c r="AF15" s="11">
        <f t="shared" si="1"/>
        <v>9</v>
      </c>
      <c r="AG15" s="11">
        <f t="shared" si="1"/>
        <v>0</v>
      </c>
      <c r="AH15" s="11">
        <f t="shared" si="1"/>
        <v>0</v>
      </c>
      <c r="AI15" s="11">
        <f t="shared" si="1"/>
        <v>0</v>
      </c>
      <c r="AJ15" s="34"/>
      <c r="AK15" s="11">
        <f t="shared" si="2"/>
        <v>24</v>
      </c>
      <c r="AL15" s="11">
        <f t="shared" si="2"/>
        <v>0</v>
      </c>
      <c r="AM15" s="11">
        <f t="shared" si="2"/>
        <v>0</v>
      </c>
      <c r="AN15" s="11">
        <f>Q15-Q14</f>
        <v>0</v>
      </c>
      <c r="AO15" s="35"/>
    </row>
    <row r="16" spans="1:41" x14ac:dyDescent="0.2">
      <c r="A16" s="80">
        <v>11</v>
      </c>
      <c r="B16" s="41">
        <v>648163</v>
      </c>
      <c r="C16" s="14"/>
      <c r="D16" s="14"/>
      <c r="E16" s="41"/>
      <c r="F16" s="18"/>
      <c r="G16" s="18"/>
      <c r="H16" s="15"/>
      <c r="I16" s="40">
        <v>21029</v>
      </c>
      <c r="J16" s="42">
        <v>1855</v>
      </c>
      <c r="K16" s="42"/>
      <c r="L16" s="42"/>
      <c r="M16" s="15"/>
      <c r="N16" s="41">
        <v>227096</v>
      </c>
      <c r="O16" s="41"/>
      <c r="P16" s="41"/>
      <c r="Q16" s="18"/>
      <c r="R16" s="11">
        <f t="shared" si="3"/>
        <v>0</v>
      </c>
      <c r="S16" s="16"/>
      <c r="T16" s="17">
        <v>0</v>
      </c>
      <c r="U16" s="17">
        <v>0</v>
      </c>
      <c r="V16" s="17">
        <v>0</v>
      </c>
      <c r="W16" s="43" t="s">
        <v>30</v>
      </c>
      <c r="X16" s="80">
        <v>11</v>
      </c>
      <c r="Y16" s="11">
        <f t="shared" si="4"/>
        <v>29</v>
      </c>
      <c r="Z16" s="11">
        <f t="shared" si="0"/>
        <v>0</v>
      </c>
      <c r="AA16" s="11">
        <f t="shared" si="0"/>
        <v>0</v>
      </c>
      <c r="AB16" s="11">
        <f t="shared" si="0"/>
        <v>0</v>
      </c>
      <c r="AC16" s="11">
        <f t="shared" si="0"/>
        <v>0</v>
      </c>
      <c r="AD16" s="11">
        <f t="shared" si="0"/>
        <v>0</v>
      </c>
      <c r="AE16" s="34"/>
      <c r="AF16" s="11">
        <f t="shared" si="1"/>
        <v>12</v>
      </c>
      <c r="AG16" s="11">
        <f t="shared" si="1"/>
        <v>2</v>
      </c>
      <c r="AH16" s="11">
        <f t="shared" si="1"/>
        <v>0</v>
      </c>
      <c r="AI16" s="11">
        <f t="shared" si="1"/>
        <v>0</v>
      </c>
      <c r="AJ16" s="34"/>
      <c r="AK16" s="11">
        <f t="shared" si="2"/>
        <v>23</v>
      </c>
      <c r="AL16" s="11">
        <f t="shared" si="2"/>
        <v>0</v>
      </c>
      <c r="AM16" s="11">
        <f t="shared" si="2"/>
        <v>0</v>
      </c>
      <c r="AN16" s="11">
        <f t="shared" si="2"/>
        <v>0</v>
      </c>
      <c r="AO16" s="35"/>
    </row>
    <row r="17" spans="1:41" x14ac:dyDescent="0.2">
      <c r="A17" s="80">
        <v>12</v>
      </c>
      <c r="B17" s="41">
        <v>648176</v>
      </c>
      <c r="C17" s="14"/>
      <c r="D17" s="14"/>
      <c r="E17" s="41"/>
      <c r="F17" s="18"/>
      <c r="G17" s="18"/>
      <c r="H17" s="15"/>
      <c r="I17" s="40">
        <v>21043</v>
      </c>
      <c r="J17" s="42">
        <v>1858</v>
      </c>
      <c r="K17" s="42"/>
      <c r="L17" s="42"/>
      <c r="M17" s="15"/>
      <c r="N17" s="41">
        <v>227117</v>
      </c>
      <c r="O17" s="41"/>
      <c r="P17" s="41"/>
      <c r="Q17" s="18"/>
      <c r="R17" s="11">
        <f>Q17-Q16</f>
        <v>0</v>
      </c>
      <c r="S17" s="16"/>
      <c r="T17" s="17">
        <v>0</v>
      </c>
      <c r="U17" s="17">
        <v>0</v>
      </c>
      <c r="V17" s="17">
        <v>0</v>
      </c>
      <c r="W17" s="43" t="s">
        <v>30</v>
      </c>
      <c r="X17" s="80">
        <v>12</v>
      </c>
      <c r="Y17" s="11">
        <f t="shared" si="4"/>
        <v>13</v>
      </c>
      <c r="Z17" s="11">
        <f t="shared" si="0"/>
        <v>0</v>
      </c>
      <c r="AA17" s="11">
        <f t="shared" si="0"/>
        <v>0</v>
      </c>
      <c r="AB17" s="11">
        <f t="shared" si="0"/>
        <v>0</v>
      </c>
      <c r="AC17" s="11">
        <f t="shared" si="0"/>
        <v>0</v>
      </c>
      <c r="AD17" s="11">
        <f t="shared" si="0"/>
        <v>0</v>
      </c>
      <c r="AE17" s="34"/>
      <c r="AF17" s="11">
        <f t="shared" si="1"/>
        <v>14</v>
      </c>
      <c r="AG17" s="11">
        <f t="shared" si="1"/>
        <v>3</v>
      </c>
      <c r="AH17" s="11">
        <f t="shared" si="1"/>
        <v>0</v>
      </c>
      <c r="AI17" s="11">
        <f t="shared" si="1"/>
        <v>0</v>
      </c>
      <c r="AJ17" s="34"/>
      <c r="AK17" s="11">
        <f t="shared" si="2"/>
        <v>21</v>
      </c>
      <c r="AL17" s="11">
        <f t="shared" si="2"/>
        <v>0</v>
      </c>
      <c r="AM17" s="11">
        <f t="shared" si="2"/>
        <v>0</v>
      </c>
      <c r="AN17" s="11">
        <f>Q17-Q16</f>
        <v>0</v>
      </c>
      <c r="AO17" s="35"/>
    </row>
    <row r="18" spans="1:41" x14ac:dyDescent="0.2">
      <c r="A18" s="80">
        <v>13</v>
      </c>
      <c r="B18" s="41">
        <v>648203</v>
      </c>
      <c r="C18" s="14"/>
      <c r="D18" s="14"/>
      <c r="E18" s="41"/>
      <c r="F18" s="18"/>
      <c r="G18" s="18"/>
      <c r="H18" s="15"/>
      <c r="I18" s="40">
        <v>21059</v>
      </c>
      <c r="J18" s="42">
        <v>1862</v>
      </c>
      <c r="K18" s="42"/>
      <c r="L18" s="42"/>
      <c r="M18" s="15"/>
      <c r="N18" s="41">
        <v>227135</v>
      </c>
      <c r="O18" s="41"/>
      <c r="P18" s="41"/>
      <c r="Q18" s="18"/>
      <c r="R18" s="11">
        <f>Q18-Q17</f>
        <v>0</v>
      </c>
      <c r="S18" s="16"/>
      <c r="T18" s="17">
        <v>0</v>
      </c>
      <c r="U18" s="17">
        <v>0</v>
      </c>
      <c r="V18" s="17">
        <v>0</v>
      </c>
      <c r="W18" s="43" t="s">
        <v>30</v>
      </c>
      <c r="X18" s="80">
        <v>13</v>
      </c>
      <c r="Y18" s="11">
        <f t="shared" si="4"/>
        <v>27</v>
      </c>
      <c r="Z18" s="11">
        <f t="shared" si="0"/>
        <v>0</v>
      </c>
      <c r="AA18" s="11">
        <f t="shared" si="0"/>
        <v>0</v>
      </c>
      <c r="AB18" s="11">
        <f t="shared" si="0"/>
        <v>0</v>
      </c>
      <c r="AC18" s="11">
        <f t="shared" si="0"/>
        <v>0</v>
      </c>
      <c r="AD18" s="11">
        <f t="shared" si="0"/>
        <v>0</v>
      </c>
      <c r="AE18" s="34"/>
      <c r="AF18" s="11">
        <f t="shared" si="1"/>
        <v>16</v>
      </c>
      <c r="AG18" s="11">
        <f t="shared" si="1"/>
        <v>4</v>
      </c>
      <c r="AH18" s="11">
        <f t="shared" si="1"/>
        <v>0</v>
      </c>
      <c r="AI18" s="11">
        <f t="shared" si="1"/>
        <v>0</v>
      </c>
      <c r="AJ18" s="34"/>
      <c r="AK18" s="11">
        <f t="shared" si="2"/>
        <v>18</v>
      </c>
      <c r="AL18" s="11">
        <f t="shared" si="2"/>
        <v>0</v>
      </c>
      <c r="AM18" s="11">
        <f t="shared" si="2"/>
        <v>0</v>
      </c>
      <c r="AN18" s="11">
        <f>Q18-Q17</f>
        <v>0</v>
      </c>
      <c r="AO18" s="35"/>
    </row>
    <row r="19" spans="1:41" x14ac:dyDescent="0.2">
      <c r="A19" s="80">
        <v>14</v>
      </c>
      <c r="B19" s="41">
        <v>648240</v>
      </c>
      <c r="C19" s="14"/>
      <c r="D19" s="14"/>
      <c r="E19" s="41"/>
      <c r="F19" s="18"/>
      <c r="G19" s="18"/>
      <c r="H19" s="15"/>
      <c r="I19" s="40">
        <v>21078</v>
      </c>
      <c r="J19" s="42">
        <v>1867</v>
      </c>
      <c r="K19" s="42"/>
      <c r="L19" s="42"/>
      <c r="M19" s="15"/>
      <c r="N19" s="41">
        <v>227152</v>
      </c>
      <c r="O19" s="41"/>
      <c r="P19" s="41"/>
      <c r="Q19" s="18"/>
      <c r="R19" s="11">
        <f t="shared" si="3"/>
        <v>0</v>
      </c>
      <c r="S19" s="16"/>
      <c r="T19" s="17">
        <v>0</v>
      </c>
      <c r="U19" s="17">
        <v>0</v>
      </c>
      <c r="V19" s="17">
        <v>0</v>
      </c>
      <c r="W19" s="43" t="s">
        <v>30</v>
      </c>
      <c r="X19" s="80">
        <v>14</v>
      </c>
      <c r="Y19" s="11">
        <f t="shared" si="4"/>
        <v>37</v>
      </c>
      <c r="Z19" s="11">
        <f t="shared" si="0"/>
        <v>0</v>
      </c>
      <c r="AA19" s="11">
        <f t="shared" si="0"/>
        <v>0</v>
      </c>
      <c r="AB19" s="11">
        <f t="shared" si="0"/>
        <v>0</v>
      </c>
      <c r="AC19" s="11">
        <f t="shared" si="0"/>
        <v>0</v>
      </c>
      <c r="AD19" s="11">
        <f t="shared" si="0"/>
        <v>0</v>
      </c>
      <c r="AE19" s="34"/>
      <c r="AF19" s="11">
        <f t="shared" si="1"/>
        <v>19</v>
      </c>
      <c r="AG19" s="11">
        <f t="shared" si="1"/>
        <v>5</v>
      </c>
      <c r="AH19" s="11">
        <f t="shared" si="1"/>
        <v>0</v>
      </c>
      <c r="AI19" s="11">
        <f t="shared" si="1"/>
        <v>0</v>
      </c>
      <c r="AJ19" s="34"/>
      <c r="AK19" s="11">
        <f t="shared" si="2"/>
        <v>17</v>
      </c>
      <c r="AL19" s="11">
        <f t="shared" si="2"/>
        <v>0</v>
      </c>
      <c r="AM19" s="11">
        <f t="shared" si="2"/>
        <v>0</v>
      </c>
      <c r="AN19" s="11">
        <f t="shared" si="2"/>
        <v>0</v>
      </c>
      <c r="AO19" s="35"/>
    </row>
    <row r="20" spans="1:41" x14ac:dyDescent="0.2">
      <c r="A20" s="80">
        <v>15</v>
      </c>
      <c r="B20" s="41">
        <v>648291</v>
      </c>
      <c r="C20" s="14"/>
      <c r="D20" s="14"/>
      <c r="E20" s="41"/>
      <c r="F20" s="18"/>
      <c r="G20" s="18"/>
      <c r="H20" s="15"/>
      <c r="I20" s="40">
        <v>21099</v>
      </c>
      <c r="J20" s="42">
        <v>1873</v>
      </c>
      <c r="K20" s="42"/>
      <c r="L20" s="42"/>
      <c r="M20" s="15"/>
      <c r="N20" s="41">
        <v>227168</v>
      </c>
      <c r="O20" s="41"/>
      <c r="P20" s="41"/>
      <c r="Q20" s="18"/>
      <c r="R20" s="11">
        <f t="shared" si="3"/>
        <v>0</v>
      </c>
      <c r="S20" s="16"/>
      <c r="T20" s="17">
        <v>0</v>
      </c>
      <c r="U20" s="17">
        <v>0</v>
      </c>
      <c r="V20" s="17">
        <v>0</v>
      </c>
      <c r="W20" s="43" t="s">
        <v>30</v>
      </c>
      <c r="X20" s="80">
        <v>15</v>
      </c>
      <c r="Y20" s="11">
        <f t="shared" si="4"/>
        <v>51</v>
      </c>
      <c r="Z20" s="11">
        <f t="shared" si="0"/>
        <v>0</v>
      </c>
      <c r="AA20" s="11">
        <f t="shared" si="0"/>
        <v>0</v>
      </c>
      <c r="AB20" s="11">
        <f t="shared" si="0"/>
        <v>0</v>
      </c>
      <c r="AC20" s="11">
        <f t="shared" si="0"/>
        <v>0</v>
      </c>
      <c r="AD20" s="11">
        <f t="shared" si="0"/>
        <v>0</v>
      </c>
      <c r="AE20" s="34"/>
      <c r="AF20" s="11">
        <f t="shared" si="1"/>
        <v>21</v>
      </c>
      <c r="AG20" s="11">
        <f t="shared" si="1"/>
        <v>6</v>
      </c>
      <c r="AH20" s="11">
        <f t="shared" si="1"/>
        <v>0</v>
      </c>
      <c r="AI20" s="11">
        <f t="shared" si="1"/>
        <v>0</v>
      </c>
      <c r="AJ20" s="34"/>
      <c r="AK20" s="11">
        <f t="shared" si="2"/>
        <v>16</v>
      </c>
      <c r="AL20" s="11">
        <f t="shared" si="2"/>
        <v>0</v>
      </c>
      <c r="AM20" s="11">
        <f t="shared" si="2"/>
        <v>0</v>
      </c>
      <c r="AN20" s="11">
        <f t="shared" si="2"/>
        <v>0</v>
      </c>
      <c r="AO20" s="35"/>
    </row>
    <row r="21" spans="1:41" x14ac:dyDescent="0.2">
      <c r="A21" s="80">
        <v>16</v>
      </c>
      <c r="B21" s="41">
        <v>648331</v>
      </c>
      <c r="C21" s="14"/>
      <c r="D21" s="14"/>
      <c r="E21" s="41"/>
      <c r="F21" s="18"/>
      <c r="G21" s="18"/>
      <c r="H21" s="15"/>
      <c r="I21" s="40">
        <v>21109</v>
      </c>
      <c r="J21" s="42">
        <v>1878</v>
      </c>
      <c r="K21" s="42"/>
      <c r="L21" s="42"/>
      <c r="M21" s="15"/>
      <c r="N21" s="41">
        <v>227184</v>
      </c>
      <c r="O21" s="41"/>
      <c r="P21" s="41"/>
      <c r="Q21" s="18"/>
      <c r="R21" s="11">
        <f t="shared" si="3"/>
        <v>0</v>
      </c>
      <c r="S21" s="16"/>
      <c r="T21" s="17">
        <v>0</v>
      </c>
      <c r="U21" s="17">
        <v>0</v>
      </c>
      <c r="V21" s="17">
        <v>0</v>
      </c>
      <c r="W21" s="43" t="s">
        <v>30</v>
      </c>
      <c r="X21" s="80">
        <v>16</v>
      </c>
      <c r="Y21" s="11">
        <f t="shared" si="4"/>
        <v>40</v>
      </c>
      <c r="Z21" s="11">
        <f t="shared" si="0"/>
        <v>0</v>
      </c>
      <c r="AA21" s="11">
        <f t="shared" si="0"/>
        <v>0</v>
      </c>
      <c r="AB21" s="11">
        <f t="shared" si="0"/>
        <v>0</v>
      </c>
      <c r="AC21" s="11">
        <f t="shared" si="0"/>
        <v>0</v>
      </c>
      <c r="AD21" s="11">
        <f t="shared" si="0"/>
        <v>0</v>
      </c>
      <c r="AE21" s="34"/>
      <c r="AF21" s="11">
        <f t="shared" si="1"/>
        <v>10</v>
      </c>
      <c r="AG21" s="11">
        <f t="shared" si="1"/>
        <v>5</v>
      </c>
      <c r="AH21" s="11">
        <f t="shared" si="1"/>
        <v>0</v>
      </c>
      <c r="AI21" s="11">
        <f t="shared" si="1"/>
        <v>0</v>
      </c>
      <c r="AJ21" s="34"/>
      <c r="AK21" s="11">
        <f t="shared" si="2"/>
        <v>16</v>
      </c>
      <c r="AL21" s="11">
        <f t="shared" si="2"/>
        <v>0</v>
      </c>
      <c r="AM21" s="11">
        <f t="shared" si="2"/>
        <v>0</v>
      </c>
      <c r="AN21" s="11">
        <f t="shared" si="2"/>
        <v>0</v>
      </c>
      <c r="AO21" s="35"/>
    </row>
    <row r="22" spans="1:41" x14ac:dyDescent="0.2">
      <c r="A22" s="80">
        <v>17</v>
      </c>
      <c r="B22" s="41">
        <v>648363</v>
      </c>
      <c r="C22" s="14"/>
      <c r="D22" s="14"/>
      <c r="E22" s="41"/>
      <c r="F22" s="18"/>
      <c r="G22" s="18"/>
      <c r="H22" s="15"/>
      <c r="I22" s="40">
        <v>21129</v>
      </c>
      <c r="J22" s="42">
        <v>1880</v>
      </c>
      <c r="K22" s="42"/>
      <c r="L22" s="42"/>
      <c r="M22" s="15"/>
      <c r="N22" s="41">
        <v>227202</v>
      </c>
      <c r="O22" s="41"/>
      <c r="P22" s="41"/>
      <c r="Q22" s="18"/>
      <c r="R22" s="11">
        <f t="shared" si="3"/>
        <v>0</v>
      </c>
      <c r="S22" s="16"/>
      <c r="T22" s="17">
        <v>0</v>
      </c>
      <c r="U22" s="17">
        <v>0</v>
      </c>
      <c r="V22" s="17">
        <v>0</v>
      </c>
      <c r="W22" s="43" t="s">
        <v>30</v>
      </c>
      <c r="X22" s="80">
        <v>17</v>
      </c>
      <c r="Y22" s="11">
        <f t="shared" si="4"/>
        <v>32</v>
      </c>
      <c r="Z22" s="11">
        <f t="shared" si="4"/>
        <v>0</v>
      </c>
      <c r="AA22" s="11">
        <f t="shared" si="4"/>
        <v>0</v>
      </c>
      <c r="AB22" s="11">
        <f t="shared" si="4"/>
        <v>0</v>
      </c>
      <c r="AC22" s="11">
        <f t="shared" si="4"/>
        <v>0</v>
      </c>
      <c r="AD22" s="11">
        <f t="shared" si="4"/>
        <v>0</v>
      </c>
      <c r="AE22" s="34"/>
      <c r="AF22" s="11">
        <f t="shared" ref="AF22:AI36" si="5">I22-I21</f>
        <v>20</v>
      </c>
      <c r="AG22" s="11">
        <f t="shared" si="5"/>
        <v>2</v>
      </c>
      <c r="AH22" s="11">
        <f t="shared" si="5"/>
        <v>0</v>
      </c>
      <c r="AI22" s="11">
        <f t="shared" si="5"/>
        <v>0</v>
      </c>
      <c r="AJ22" s="34"/>
      <c r="AK22" s="11">
        <f t="shared" ref="AK22:AN36" si="6">N22-N21</f>
        <v>18</v>
      </c>
      <c r="AL22" s="11">
        <f t="shared" si="6"/>
        <v>0</v>
      </c>
      <c r="AM22" s="11">
        <f t="shared" si="6"/>
        <v>0</v>
      </c>
      <c r="AN22" s="11">
        <f t="shared" si="6"/>
        <v>0</v>
      </c>
      <c r="AO22" s="35"/>
    </row>
    <row r="23" spans="1:41" x14ac:dyDescent="0.2">
      <c r="A23" s="80">
        <v>18</v>
      </c>
      <c r="B23" s="41">
        <v>648384</v>
      </c>
      <c r="C23" s="14"/>
      <c r="D23" s="14"/>
      <c r="E23" s="41"/>
      <c r="F23" s="18"/>
      <c r="G23" s="18"/>
      <c r="H23" s="15"/>
      <c r="I23" s="40">
        <v>21145</v>
      </c>
      <c r="J23" s="42">
        <v>1883</v>
      </c>
      <c r="K23" s="42"/>
      <c r="L23" s="42"/>
      <c r="M23" s="15"/>
      <c r="N23" s="41">
        <v>227224</v>
      </c>
      <c r="O23" s="41"/>
      <c r="P23" s="41"/>
      <c r="Q23" s="18"/>
      <c r="R23" s="11">
        <f t="shared" si="3"/>
        <v>0</v>
      </c>
      <c r="S23" s="16"/>
      <c r="T23" s="17">
        <v>0</v>
      </c>
      <c r="U23" s="17">
        <v>0</v>
      </c>
      <c r="V23" s="17">
        <v>0</v>
      </c>
      <c r="W23" s="43" t="s">
        <v>30</v>
      </c>
      <c r="X23" s="80">
        <v>18</v>
      </c>
      <c r="Y23" s="11">
        <f t="shared" si="4"/>
        <v>21</v>
      </c>
      <c r="Z23" s="11">
        <f t="shared" si="4"/>
        <v>0</v>
      </c>
      <c r="AA23" s="11">
        <f t="shared" si="4"/>
        <v>0</v>
      </c>
      <c r="AB23" s="11">
        <f t="shared" si="4"/>
        <v>0</v>
      </c>
      <c r="AC23" s="11">
        <f t="shared" si="4"/>
        <v>0</v>
      </c>
      <c r="AD23" s="11">
        <f t="shared" si="4"/>
        <v>0</v>
      </c>
      <c r="AE23" s="34"/>
      <c r="AF23" s="11">
        <f t="shared" si="5"/>
        <v>16</v>
      </c>
      <c r="AG23" s="11">
        <f t="shared" si="5"/>
        <v>3</v>
      </c>
      <c r="AH23" s="11">
        <f t="shared" si="5"/>
        <v>0</v>
      </c>
      <c r="AI23" s="11">
        <f t="shared" si="5"/>
        <v>0</v>
      </c>
      <c r="AJ23" s="34"/>
      <c r="AK23" s="11">
        <f t="shared" si="6"/>
        <v>22</v>
      </c>
      <c r="AL23" s="11">
        <f t="shared" si="6"/>
        <v>0</v>
      </c>
      <c r="AM23" s="11">
        <f t="shared" si="6"/>
        <v>0</v>
      </c>
      <c r="AN23" s="11">
        <f t="shared" si="6"/>
        <v>0</v>
      </c>
      <c r="AO23" s="35"/>
    </row>
    <row r="24" spans="1:41" x14ac:dyDescent="0.2">
      <c r="A24" s="80">
        <v>19</v>
      </c>
      <c r="B24" s="41">
        <v>648425</v>
      </c>
      <c r="C24" s="14"/>
      <c r="D24" s="14"/>
      <c r="E24" s="41"/>
      <c r="F24" s="18"/>
      <c r="G24" s="18"/>
      <c r="H24" s="15"/>
      <c r="I24" s="40">
        <v>21166</v>
      </c>
      <c r="J24" s="42">
        <v>1888</v>
      </c>
      <c r="K24" s="42"/>
      <c r="L24" s="42"/>
      <c r="M24" s="15"/>
      <c r="N24" s="41">
        <v>227242</v>
      </c>
      <c r="O24" s="41"/>
      <c r="P24" s="41"/>
      <c r="Q24" s="18"/>
      <c r="R24" s="11">
        <f t="shared" si="3"/>
        <v>0</v>
      </c>
      <c r="S24" s="16"/>
      <c r="T24" s="17">
        <v>0</v>
      </c>
      <c r="U24" s="17">
        <v>0</v>
      </c>
      <c r="V24" s="17">
        <v>0</v>
      </c>
      <c r="W24" s="43" t="s">
        <v>30</v>
      </c>
      <c r="X24" s="80">
        <v>19</v>
      </c>
      <c r="Y24" s="11">
        <f t="shared" si="4"/>
        <v>41</v>
      </c>
      <c r="Z24" s="11">
        <f t="shared" si="4"/>
        <v>0</v>
      </c>
      <c r="AA24" s="11">
        <f t="shared" si="4"/>
        <v>0</v>
      </c>
      <c r="AB24" s="11">
        <f t="shared" si="4"/>
        <v>0</v>
      </c>
      <c r="AC24" s="11">
        <f t="shared" si="4"/>
        <v>0</v>
      </c>
      <c r="AD24" s="11">
        <f t="shared" si="4"/>
        <v>0</v>
      </c>
      <c r="AE24" s="34"/>
      <c r="AF24" s="11">
        <f t="shared" si="5"/>
        <v>21</v>
      </c>
      <c r="AG24" s="11">
        <f t="shared" si="5"/>
        <v>5</v>
      </c>
      <c r="AH24" s="11">
        <f t="shared" si="5"/>
        <v>0</v>
      </c>
      <c r="AI24" s="11">
        <f t="shared" si="5"/>
        <v>0</v>
      </c>
      <c r="AJ24" s="34"/>
      <c r="AK24" s="11">
        <f t="shared" si="6"/>
        <v>18</v>
      </c>
      <c r="AL24" s="11">
        <f t="shared" si="6"/>
        <v>0</v>
      </c>
      <c r="AM24" s="11">
        <f t="shared" si="6"/>
        <v>0</v>
      </c>
      <c r="AN24" s="11">
        <f t="shared" si="6"/>
        <v>0</v>
      </c>
      <c r="AO24" s="35"/>
    </row>
    <row r="25" spans="1:41" x14ac:dyDescent="0.2">
      <c r="A25" s="80">
        <v>20</v>
      </c>
      <c r="B25" s="41">
        <v>648481</v>
      </c>
      <c r="C25" s="14"/>
      <c r="D25" s="14"/>
      <c r="E25" s="41"/>
      <c r="F25" s="18"/>
      <c r="G25" s="18"/>
      <c r="H25" s="15"/>
      <c r="I25" s="40">
        <v>21193</v>
      </c>
      <c r="J25" s="42">
        <v>1895</v>
      </c>
      <c r="K25" s="42"/>
      <c r="L25" s="42"/>
      <c r="M25" s="15"/>
      <c r="N25" s="41">
        <v>227259</v>
      </c>
      <c r="O25" s="41"/>
      <c r="P25" s="41"/>
      <c r="Q25" s="18"/>
      <c r="R25" s="11">
        <f t="shared" si="3"/>
        <v>0</v>
      </c>
      <c r="S25" s="16"/>
      <c r="T25" s="17">
        <v>0</v>
      </c>
      <c r="U25" s="17">
        <v>0</v>
      </c>
      <c r="V25" s="17">
        <v>0</v>
      </c>
      <c r="W25" s="43" t="s">
        <v>30</v>
      </c>
      <c r="X25" s="80">
        <v>20</v>
      </c>
      <c r="Y25" s="11">
        <f t="shared" si="4"/>
        <v>56</v>
      </c>
      <c r="Z25" s="11">
        <f t="shared" si="4"/>
        <v>0</v>
      </c>
      <c r="AA25" s="11">
        <f t="shared" si="4"/>
        <v>0</v>
      </c>
      <c r="AB25" s="11">
        <f t="shared" si="4"/>
        <v>0</v>
      </c>
      <c r="AC25" s="11">
        <f t="shared" si="4"/>
        <v>0</v>
      </c>
      <c r="AD25" s="11">
        <f t="shared" si="4"/>
        <v>0</v>
      </c>
      <c r="AE25" s="34"/>
      <c r="AF25" s="11">
        <f t="shared" si="5"/>
        <v>27</v>
      </c>
      <c r="AG25" s="11">
        <f t="shared" si="5"/>
        <v>7</v>
      </c>
      <c r="AH25" s="11">
        <f t="shared" si="5"/>
        <v>0</v>
      </c>
      <c r="AI25" s="11">
        <f t="shared" si="5"/>
        <v>0</v>
      </c>
      <c r="AJ25" s="34"/>
      <c r="AK25" s="11">
        <f t="shared" si="6"/>
        <v>17</v>
      </c>
      <c r="AL25" s="11">
        <f t="shared" si="6"/>
        <v>0</v>
      </c>
      <c r="AM25" s="11">
        <f t="shared" si="6"/>
        <v>0</v>
      </c>
      <c r="AN25" s="11">
        <f t="shared" si="6"/>
        <v>0</v>
      </c>
      <c r="AO25" s="35"/>
    </row>
    <row r="26" spans="1:41" x14ac:dyDescent="0.2">
      <c r="A26" s="80">
        <v>21</v>
      </c>
      <c r="B26" s="41">
        <v>648521</v>
      </c>
      <c r="C26" s="14"/>
      <c r="D26" s="14"/>
      <c r="E26" s="41"/>
      <c r="F26" s="18"/>
      <c r="G26" s="18"/>
      <c r="H26" s="15"/>
      <c r="I26" s="40">
        <v>21214</v>
      </c>
      <c r="J26" s="42">
        <v>1898</v>
      </c>
      <c r="K26" s="42"/>
      <c r="L26" s="42"/>
      <c r="M26" s="15"/>
      <c r="N26" s="41">
        <v>227277</v>
      </c>
      <c r="O26" s="41"/>
      <c r="P26" s="41"/>
      <c r="Q26" s="18"/>
      <c r="R26" s="11">
        <f t="shared" si="3"/>
        <v>0</v>
      </c>
      <c r="S26" s="16"/>
      <c r="T26" s="17">
        <v>0</v>
      </c>
      <c r="U26" s="17">
        <v>0</v>
      </c>
      <c r="V26" s="17">
        <v>0</v>
      </c>
      <c r="W26" s="43" t="s">
        <v>30</v>
      </c>
      <c r="X26" s="80">
        <v>21</v>
      </c>
      <c r="Y26" s="11">
        <f t="shared" si="4"/>
        <v>40</v>
      </c>
      <c r="Z26" s="11">
        <f t="shared" si="4"/>
        <v>0</v>
      </c>
      <c r="AA26" s="11">
        <f t="shared" si="4"/>
        <v>0</v>
      </c>
      <c r="AB26" s="11">
        <f t="shared" si="4"/>
        <v>0</v>
      </c>
      <c r="AC26" s="11">
        <f t="shared" si="4"/>
        <v>0</v>
      </c>
      <c r="AD26" s="11">
        <f t="shared" si="4"/>
        <v>0</v>
      </c>
      <c r="AE26" s="34"/>
      <c r="AF26" s="11">
        <f t="shared" si="5"/>
        <v>21</v>
      </c>
      <c r="AG26" s="11">
        <f t="shared" si="5"/>
        <v>3</v>
      </c>
      <c r="AH26" s="11">
        <f t="shared" si="5"/>
        <v>0</v>
      </c>
      <c r="AI26" s="11">
        <f t="shared" si="5"/>
        <v>0</v>
      </c>
      <c r="AJ26" s="34"/>
      <c r="AK26" s="11">
        <f t="shared" si="6"/>
        <v>18</v>
      </c>
      <c r="AL26" s="11">
        <f t="shared" si="6"/>
        <v>0</v>
      </c>
      <c r="AM26" s="11">
        <f t="shared" si="6"/>
        <v>0</v>
      </c>
      <c r="AN26" s="11">
        <f t="shared" si="6"/>
        <v>0</v>
      </c>
      <c r="AO26" s="35"/>
    </row>
    <row r="27" spans="1:41" x14ac:dyDescent="0.2">
      <c r="A27" s="80">
        <v>22</v>
      </c>
      <c r="B27" s="41">
        <v>648563</v>
      </c>
      <c r="C27" s="14"/>
      <c r="D27" s="14"/>
      <c r="E27" s="41"/>
      <c r="F27" s="18"/>
      <c r="G27" s="18"/>
      <c r="H27" s="15"/>
      <c r="I27" s="40">
        <v>21236</v>
      </c>
      <c r="J27" s="42">
        <v>1904</v>
      </c>
      <c r="K27" s="42"/>
      <c r="L27" s="42"/>
      <c r="M27" s="15"/>
      <c r="N27" s="41">
        <v>227291</v>
      </c>
      <c r="O27" s="41"/>
      <c r="P27" s="41"/>
      <c r="Q27" s="18"/>
      <c r="R27" s="11">
        <f t="shared" si="3"/>
        <v>0</v>
      </c>
      <c r="S27" s="16"/>
      <c r="T27" s="17">
        <v>0</v>
      </c>
      <c r="U27" s="17">
        <v>0</v>
      </c>
      <c r="V27" s="17">
        <v>0</v>
      </c>
      <c r="W27" s="43" t="s">
        <v>30</v>
      </c>
      <c r="X27" s="80">
        <v>22</v>
      </c>
      <c r="Y27" s="11">
        <f t="shared" si="4"/>
        <v>42</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14</v>
      </c>
      <c r="AL27" s="11">
        <f t="shared" si="6"/>
        <v>0</v>
      </c>
      <c r="AM27" s="11">
        <f t="shared" si="6"/>
        <v>0</v>
      </c>
      <c r="AN27" s="11">
        <f t="shared" si="6"/>
        <v>0</v>
      </c>
      <c r="AO27" s="35"/>
    </row>
    <row r="28" spans="1:41" x14ac:dyDescent="0.2">
      <c r="A28" s="80">
        <v>23</v>
      </c>
      <c r="B28" s="41">
        <v>648601</v>
      </c>
      <c r="C28" s="14"/>
      <c r="D28" s="14"/>
      <c r="E28" s="41"/>
      <c r="F28" s="18"/>
      <c r="G28" s="18"/>
      <c r="H28" s="15"/>
      <c r="I28" s="40">
        <v>21260</v>
      </c>
      <c r="J28" s="42">
        <v>1908</v>
      </c>
      <c r="K28" s="42"/>
      <c r="L28" s="42"/>
      <c r="M28" s="15"/>
      <c r="N28" s="41">
        <v>227306</v>
      </c>
      <c r="O28" s="41"/>
      <c r="P28" s="41"/>
      <c r="Q28" s="18"/>
      <c r="R28" s="11">
        <f t="shared" si="3"/>
        <v>0</v>
      </c>
      <c r="S28" s="16"/>
      <c r="T28" s="17">
        <v>0</v>
      </c>
      <c r="U28" s="17">
        <v>0</v>
      </c>
      <c r="V28" s="17">
        <v>0</v>
      </c>
      <c r="W28" s="43" t="s">
        <v>30</v>
      </c>
      <c r="X28" s="80">
        <v>23</v>
      </c>
      <c r="Y28" s="11">
        <f t="shared" si="4"/>
        <v>38</v>
      </c>
      <c r="Z28" s="11">
        <f t="shared" si="4"/>
        <v>0</v>
      </c>
      <c r="AA28" s="11">
        <f t="shared" si="4"/>
        <v>0</v>
      </c>
      <c r="AB28" s="11">
        <f t="shared" si="4"/>
        <v>0</v>
      </c>
      <c r="AC28" s="11">
        <f t="shared" si="4"/>
        <v>0</v>
      </c>
      <c r="AD28" s="11">
        <f t="shared" si="4"/>
        <v>0</v>
      </c>
      <c r="AE28" s="34"/>
      <c r="AF28" s="11">
        <f t="shared" si="5"/>
        <v>24</v>
      </c>
      <c r="AG28" s="11">
        <f t="shared" si="5"/>
        <v>4</v>
      </c>
      <c r="AH28" s="11">
        <f t="shared" si="5"/>
        <v>0</v>
      </c>
      <c r="AI28" s="11">
        <f t="shared" si="5"/>
        <v>0</v>
      </c>
      <c r="AJ28" s="34"/>
      <c r="AK28" s="11">
        <f t="shared" si="6"/>
        <v>15</v>
      </c>
      <c r="AL28" s="11">
        <f t="shared" si="6"/>
        <v>0</v>
      </c>
      <c r="AM28" s="11">
        <f t="shared" si="6"/>
        <v>0</v>
      </c>
      <c r="AN28" s="11">
        <f t="shared" si="6"/>
        <v>0</v>
      </c>
      <c r="AO28" s="35"/>
    </row>
    <row r="29" spans="1:41" x14ac:dyDescent="0.2">
      <c r="A29" s="80">
        <v>24</v>
      </c>
      <c r="B29" s="41">
        <v>648641</v>
      </c>
      <c r="C29" s="14"/>
      <c r="D29" s="14"/>
      <c r="E29" s="41"/>
      <c r="F29" s="18"/>
      <c r="G29" s="18"/>
      <c r="H29" s="15"/>
      <c r="I29" s="40">
        <v>21282</v>
      </c>
      <c r="J29" s="42">
        <v>1914</v>
      </c>
      <c r="K29" s="42"/>
      <c r="L29" s="42"/>
      <c r="M29" s="15"/>
      <c r="N29" s="41">
        <v>227322</v>
      </c>
      <c r="O29" s="41"/>
      <c r="P29" s="41"/>
      <c r="Q29" s="18"/>
      <c r="R29" s="11">
        <f t="shared" si="3"/>
        <v>0</v>
      </c>
      <c r="S29" s="16"/>
      <c r="T29" s="17">
        <v>0</v>
      </c>
      <c r="U29" s="17">
        <v>0</v>
      </c>
      <c r="V29" s="17">
        <v>0</v>
      </c>
      <c r="W29" s="43" t="s">
        <v>30</v>
      </c>
      <c r="X29" s="80">
        <v>24</v>
      </c>
      <c r="Y29" s="11">
        <f t="shared" si="4"/>
        <v>40</v>
      </c>
      <c r="Z29" s="11">
        <f t="shared" si="4"/>
        <v>0</v>
      </c>
      <c r="AA29" s="11">
        <f t="shared" si="4"/>
        <v>0</v>
      </c>
      <c r="AB29" s="11">
        <f t="shared" si="4"/>
        <v>0</v>
      </c>
      <c r="AC29" s="11">
        <f t="shared" si="4"/>
        <v>0</v>
      </c>
      <c r="AD29" s="11">
        <f t="shared" si="4"/>
        <v>0</v>
      </c>
      <c r="AE29" s="34"/>
      <c r="AF29" s="11">
        <f t="shared" si="5"/>
        <v>22</v>
      </c>
      <c r="AG29" s="11">
        <f t="shared" si="5"/>
        <v>6</v>
      </c>
      <c r="AH29" s="11">
        <f t="shared" si="5"/>
        <v>0</v>
      </c>
      <c r="AI29" s="11">
        <f t="shared" si="5"/>
        <v>0</v>
      </c>
      <c r="AJ29" s="34"/>
      <c r="AK29" s="11">
        <f t="shared" si="6"/>
        <v>16</v>
      </c>
      <c r="AL29" s="11">
        <f t="shared" si="6"/>
        <v>0</v>
      </c>
      <c r="AM29" s="11">
        <f t="shared" si="6"/>
        <v>0</v>
      </c>
      <c r="AN29" s="11">
        <f t="shared" si="6"/>
        <v>0</v>
      </c>
      <c r="AO29" s="35"/>
    </row>
    <row r="30" spans="1:41" x14ac:dyDescent="0.2">
      <c r="A30" s="80">
        <v>25</v>
      </c>
      <c r="B30" s="41">
        <v>648663</v>
      </c>
      <c r="C30" s="14"/>
      <c r="D30" s="14"/>
      <c r="E30" s="41"/>
      <c r="F30" s="18"/>
      <c r="G30" s="18"/>
      <c r="H30" s="15"/>
      <c r="I30" s="40">
        <v>21290</v>
      </c>
      <c r="J30" s="42">
        <v>1918</v>
      </c>
      <c r="K30" s="42"/>
      <c r="L30" s="42"/>
      <c r="M30" s="15"/>
      <c r="N30" s="41">
        <v>227342</v>
      </c>
      <c r="O30" s="41"/>
      <c r="P30" s="41"/>
      <c r="Q30" s="18"/>
      <c r="R30" s="11">
        <f t="shared" si="3"/>
        <v>0</v>
      </c>
      <c r="S30" s="16"/>
      <c r="T30" s="17">
        <v>0</v>
      </c>
      <c r="U30" s="17">
        <v>0</v>
      </c>
      <c r="V30" s="17">
        <v>0</v>
      </c>
      <c r="W30" s="43" t="s">
        <v>30</v>
      </c>
      <c r="X30" s="80">
        <v>25</v>
      </c>
      <c r="Y30" s="11">
        <f t="shared" si="4"/>
        <v>22</v>
      </c>
      <c r="Z30" s="11">
        <f t="shared" si="4"/>
        <v>0</v>
      </c>
      <c r="AA30" s="11">
        <f t="shared" si="4"/>
        <v>0</v>
      </c>
      <c r="AB30" s="11">
        <f t="shared" si="4"/>
        <v>0</v>
      </c>
      <c r="AC30" s="11">
        <f t="shared" si="4"/>
        <v>0</v>
      </c>
      <c r="AD30" s="11">
        <f t="shared" si="4"/>
        <v>0</v>
      </c>
      <c r="AE30" s="34"/>
      <c r="AF30" s="11">
        <f t="shared" si="5"/>
        <v>8</v>
      </c>
      <c r="AG30" s="11">
        <f t="shared" si="5"/>
        <v>4</v>
      </c>
      <c r="AH30" s="11">
        <f t="shared" si="5"/>
        <v>0</v>
      </c>
      <c r="AI30" s="11">
        <f t="shared" si="5"/>
        <v>0</v>
      </c>
      <c r="AJ30" s="34"/>
      <c r="AK30" s="11">
        <f t="shared" si="6"/>
        <v>20</v>
      </c>
      <c r="AL30" s="11">
        <f t="shared" si="6"/>
        <v>0</v>
      </c>
      <c r="AM30" s="11">
        <f t="shared" si="6"/>
        <v>0</v>
      </c>
      <c r="AN30" s="11">
        <f t="shared" si="6"/>
        <v>0</v>
      </c>
      <c r="AO30" s="35"/>
    </row>
    <row r="31" spans="1:41" x14ac:dyDescent="0.2">
      <c r="A31" s="80">
        <v>26</v>
      </c>
      <c r="B31" s="41">
        <v>648697</v>
      </c>
      <c r="C31" s="14"/>
      <c r="D31" s="14"/>
      <c r="E31" s="41"/>
      <c r="F31" s="18"/>
      <c r="G31" s="18"/>
      <c r="H31" s="15"/>
      <c r="I31" s="40">
        <v>21300</v>
      </c>
      <c r="J31" s="42">
        <v>1919</v>
      </c>
      <c r="K31" s="42"/>
      <c r="L31" s="42"/>
      <c r="M31" s="15"/>
      <c r="N31" s="41">
        <v>227363</v>
      </c>
      <c r="O31" s="41"/>
      <c r="P31" s="41"/>
      <c r="Q31" s="18"/>
      <c r="R31" s="11">
        <f t="shared" si="3"/>
        <v>0</v>
      </c>
      <c r="S31" s="16"/>
      <c r="T31" s="17">
        <v>0</v>
      </c>
      <c r="U31" s="17">
        <v>0</v>
      </c>
      <c r="V31" s="17">
        <v>0</v>
      </c>
      <c r="W31" s="43" t="s">
        <v>30</v>
      </c>
      <c r="X31" s="80">
        <v>26</v>
      </c>
      <c r="Y31" s="11">
        <f t="shared" si="4"/>
        <v>34</v>
      </c>
      <c r="Z31" s="11">
        <f t="shared" si="4"/>
        <v>0</v>
      </c>
      <c r="AA31" s="11">
        <f t="shared" si="4"/>
        <v>0</v>
      </c>
      <c r="AB31" s="11">
        <f t="shared" si="4"/>
        <v>0</v>
      </c>
      <c r="AC31" s="11">
        <f t="shared" si="4"/>
        <v>0</v>
      </c>
      <c r="AD31" s="11">
        <f t="shared" si="4"/>
        <v>0</v>
      </c>
      <c r="AE31" s="34"/>
      <c r="AF31" s="11">
        <f t="shared" si="5"/>
        <v>10</v>
      </c>
      <c r="AG31" s="11">
        <f t="shared" si="5"/>
        <v>1</v>
      </c>
      <c r="AH31" s="11">
        <f t="shared" si="5"/>
        <v>0</v>
      </c>
      <c r="AI31" s="11">
        <f t="shared" si="5"/>
        <v>0</v>
      </c>
      <c r="AJ31" s="34"/>
      <c r="AK31" s="11">
        <f t="shared" si="6"/>
        <v>21</v>
      </c>
      <c r="AL31" s="11">
        <f t="shared" si="6"/>
        <v>0</v>
      </c>
      <c r="AM31" s="11">
        <f t="shared" si="6"/>
        <v>0</v>
      </c>
      <c r="AN31" s="11">
        <f t="shared" si="6"/>
        <v>0</v>
      </c>
      <c r="AO31" s="35"/>
    </row>
    <row r="32" spans="1:41" x14ac:dyDescent="0.2">
      <c r="A32" s="80">
        <v>27</v>
      </c>
      <c r="B32" s="41">
        <v>648737</v>
      </c>
      <c r="C32" s="14"/>
      <c r="D32" s="14"/>
      <c r="E32" s="41"/>
      <c r="F32" s="18"/>
      <c r="G32" s="18"/>
      <c r="H32" s="15"/>
      <c r="I32" s="40">
        <v>21300</v>
      </c>
      <c r="J32" s="42">
        <v>1924</v>
      </c>
      <c r="K32" s="42"/>
      <c r="L32" s="42"/>
      <c r="M32" s="15"/>
      <c r="N32" s="41">
        <v>227383</v>
      </c>
      <c r="O32" s="41"/>
      <c r="P32" s="41"/>
      <c r="Q32" s="18"/>
      <c r="R32" s="11">
        <f t="shared" si="3"/>
        <v>0</v>
      </c>
      <c r="S32" s="16"/>
      <c r="T32" s="17">
        <v>0</v>
      </c>
      <c r="U32" s="17">
        <v>0</v>
      </c>
      <c r="V32" s="17">
        <v>0</v>
      </c>
      <c r="W32" s="43" t="s">
        <v>30</v>
      </c>
      <c r="X32" s="80">
        <v>27</v>
      </c>
      <c r="Y32" s="11">
        <f t="shared" si="4"/>
        <v>40</v>
      </c>
      <c r="Z32" s="11">
        <f t="shared" si="4"/>
        <v>0</v>
      </c>
      <c r="AA32" s="11">
        <f t="shared" si="4"/>
        <v>0</v>
      </c>
      <c r="AB32" s="11">
        <f t="shared" si="4"/>
        <v>0</v>
      </c>
      <c r="AC32" s="11">
        <f t="shared" si="4"/>
        <v>0</v>
      </c>
      <c r="AD32" s="11">
        <f t="shared" si="4"/>
        <v>0</v>
      </c>
      <c r="AE32" s="34"/>
      <c r="AF32" s="11">
        <f t="shared" si="5"/>
        <v>0</v>
      </c>
      <c r="AG32" s="11">
        <f t="shared" si="5"/>
        <v>5</v>
      </c>
      <c r="AH32" s="11">
        <f t="shared" si="5"/>
        <v>0</v>
      </c>
      <c r="AI32" s="11">
        <f t="shared" si="5"/>
        <v>0</v>
      </c>
      <c r="AJ32" s="34"/>
      <c r="AK32" s="11">
        <f t="shared" si="6"/>
        <v>20</v>
      </c>
      <c r="AL32" s="11">
        <f t="shared" si="6"/>
        <v>0</v>
      </c>
      <c r="AM32" s="11">
        <f t="shared" si="6"/>
        <v>0</v>
      </c>
      <c r="AN32" s="11">
        <f t="shared" si="6"/>
        <v>0</v>
      </c>
      <c r="AO32" s="35"/>
    </row>
    <row r="33" spans="1:41" x14ac:dyDescent="0.2">
      <c r="A33" s="80">
        <v>28</v>
      </c>
      <c r="B33" s="41">
        <v>648768</v>
      </c>
      <c r="C33" s="14"/>
      <c r="D33" s="14"/>
      <c r="E33" s="41"/>
      <c r="F33" s="18"/>
      <c r="G33" s="18"/>
      <c r="H33" s="15"/>
      <c r="I33" s="40">
        <v>21300</v>
      </c>
      <c r="J33" s="42">
        <v>1929</v>
      </c>
      <c r="K33" s="42"/>
      <c r="L33" s="42"/>
      <c r="M33" s="15"/>
      <c r="N33" s="41">
        <v>227410</v>
      </c>
      <c r="O33" s="41"/>
      <c r="P33" s="41"/>
      <c r="Q33" s="18"/>
      <c r="R33" s="11">
        <f t="shared" si="3"/>
        <v>0</v>
      </c>
      <c r="S33" s="16"/>
      <c r="T33" s="17">
        <v>0</v>
      </c>
      <c r="U33" s="17">
        <v>0</v>
      </c>
      <c r="V33" s="17">
        <v>0</v>
      </c>
      <c r="W33" s="43" t="s">
        <v>30</v>
      </c>
      <c r="X33" s="80">
        <v>28</v>
      </c>
      <c r="Y33" s="11">
        <f t="shared" si="4"/>
        <v>31</v>
      </c>
      <c r="Z33" s="11">
        <f t="shared" si="4"/>
        <v>0</v>
      </c>
      <c r="AA33" s="11">
        <f t="shared" si="4"/>
        <v>0</v>
      </c>
      <c r="AB33" s="11">
        <f t="shared" si="4"/>
        <v>0</v>
      </c>
      <c r="AC33" s="11">
        <f t="shared" si="4"/>
        <v>0</v>
      </c>
      <c r="AD33" s="11">
        <f t="shared" si="4"/>
        <v>0</v>
      </c>
      <c r="AE33" s="34"/>
      <c r="AF33" s="11">
        <f t="shared" si="5"/>
        <v>0</v>
      </c>
      <c r="AG33" s="11">
        <f t="shared" si="5"/>
        <v>5</v>
      </c>
      <c r="AH33" s="11">
        <f t="shared" si="5"/>
        <v>0</v>
      </c>
      <c r="AI33" s="11">
        <f t="shared" si="5"/>
        <v>0</v>
      </c>
      <c r="AJ33" s="34"/>
      <c r="AK33" s="11">
        <f t="shared" si="6"/>
        <v>27</v>
      </c>
      <c r="AL33" s="11">
        <f t="shared" si="6"/>
        <v>0</v>
      </c>
      <c r="AM33" s="11">
        <f t="shared" si="6"/>
        <v>0</v>
      </c>
      <c r="AN33" s="11">
        <f t="shared" si="6"/>
        <v>0</v>
      </c>
      <c r="AO33" s="35"/>
    </row>
    <row r="34" spans="1:41" x14ac:dyDescent="0.2">
      <c r="A34" s="80">
        <v>29</v>
      </c>
      <c r="B34" s="41">
        <v>648801</v>
      </c>
      <c r="C34" s="14"/>
      <c r="D34" s="14"/>
      <c r="E34" s="41"/>
      <c r="F34" s="18"/>
      <c r="G34" s="18"/>
      <c r="H34" s="15"/>
      <c r="I34" s="40">
        <v>21320</v>
      </c>
      <c r="J34" s="42">
        <v>1934</v>
      </c>
      <c r="K34" s="42"/>
      <c r="L34" s="42"/>
      <c r="M34" s="15"/>
      <c r="N34" s="41">
        <v>227435</v>
      </c>
      <c r="O34" s="41"/>
      <c r="P34" s="41"/>
      <c r="Q34" s="18"/>
      <c r="R34" s="11">
        <f t="shared" si="3"/>
        <v>0</v>
      </c>
      <c r="S34" s="16"/>
      <c r="T34" s="17">
        <v>0</v>
      </c>
      <c r="U34" s="17">
        <v>0</v>
      </c>
      <c r="V34" s="17">
        <v>0</v>
      </c>
      <c r="W34" s="43" t="s">
        <v>30</v>
      </c>
      <c r="X34" s="80">
        <v>29</v>
      </c>
      <c r="Y34" s="11">
        <f t="shared" ref="Y34:Y36" si="7">B34-B33</f>
        <v>33</v>
      </c>
      <c r="Z34" s="11">
        <f t="shared" ref="Z34:AD36" si="8">C34-C33</f>
        <v>0</v>
      </c>
      <c r="AA34" s="11">
        <f t="shared" si="8"/>
        <v>0</v>
      </c>
      <c r="AB34" s="11">
        <f t="shared" si="8"/>
        <v>0</v>
      </c>
      <c r="AC34" s="11">
        <f t="shared" si="8"/>
        <v>0</v>
      </c>
      <c r="AD34" s="11">
        <f t="shared" si="8"/>
        <v>0</v>
      </c>
      <c r="AE34" s="34"/>
      <c r="AF34" s="11">
        <f t="shared" si="5"/>
        <v>20</v>
      </c>
      <c r="AG34" s="11">
        <f t="shared" si="5"/>
        <v>5</v>
      </c>
      <c r="AH34" s="11">
        <f t="shared" si="5"/>
        <v>0</v>
      </c>
      <c r="AI34" s="11">
        <f t="shared" si="5"/>
        <v>0</v>
      </c>
      <c r="AJ34" s="34"/>
      <c r="AK34" s="11">
        <f t="shared" si="6"/>
        <v>25</v>
      </c>
      <c r="AL34" s="11">
        <f t="shared" si="6"/>
        <v>0</v>
      </c>
      <c r="AM34" s="11">
        <f t="shared" si="6"/>
        <v>0</v>
      </c>
      <c r="AN34" s="11">
        <f t="shared" si="6"/>
        <v>0</v>
      </c>
      <c r="AO34" s="35"/>
    </row>
    <row r="35" spans="1:41" x14ac:dyDescent="0.2">
      <c r="A35" s="80">
        <v>30</v>
      </c>
      <c r="B35" s="41">
        <v>648835</v>
      </c>
      <c r="C35" s="14"/>
      <c r="D35" s="14"/>
      <c r="E35" s="41"/>
      <c r="F35" s="18"/>
      <c r="G35" s="18"/>
      <c r="H35" s="15"/>
      <c r="I35" s="40">
        <v>21342</v>
      </c>
      <c r="J35" s="42">
        <v>1939</v>
      </c>
      <c r="K35" s="42"/>
      <c r="L35" s="42"/>
      <c r="M35" s="15"/>
      <c r="N35" s="41">
        <v>227460</v>
      </c>
      <c r="O35" s="41"/>
      <c r="P35" s="41"/>
      <c r="Q35" s="18"/>
      <c r="R35" s="11">
        <f t="shared" si="3"/>
        <v>0</v>
      </c>
      <c r="S35" s="16"/>
      <c r="T35" s="17">
        <v>0</v>
      </c>
      <c r="U35" s="17">
        <v>0</v>
      </c>
      <c r="V35" s="17">
        <v>0</v>
      </c>
      <c r="W35" s="43" t="s">
        <v>30</v>
      </c>
      <c r="X35" s="80">
        <v>30</v>
      </c>
      <c r="Y35" s="11">
        <f t="shared" si="7"/>
        <v>34</v>
      </c>
      <c r="Z35" s="11">
        <f t="shared" si="8"/>
        <v>0</v>
      </c>
      <c r="AA35" s="11">
        <f t="shared" si="8"/>
        <v>0</v>
      </c>
      <c r="AB35" s="11">
        <f t="shared" si="8"/>
        <v>0</v>
      </c>
      <c r="AC35" s="11">
        <f t="shared" si="8"/>
        <v>0</v>
      </c>
      <c r="AD35" s="11">
        <f t="shared" si="8"/>
        <v>0</v>
      </c>
      <c r="AE35" s="34"/>
      <c r="AF35" s="11">
        <f t="shared" si="5"/>
        <v>22</v>
      </c>
      <c r="AG35" s="11">
        <f t="shared" si="5"/>
        <v>5</v>
      </c>
      <c r="AH35" s="11">
        <f t="shared" si="5"/>
        <v>0</v>
      </c>
      <c r="AI35" s="11">
        <f t="shared" si="5"/>
        <v>0</v>
      </c>
      <c r="AJ35" s="34"/>
      <c r="AK35" s="11">
        <f t="shared" si="6"/>
        <v>25</v>
      </c>
      <c r="AL35" s="11">
        <f t="shared" si="6"/>
        <v>0</v>
      </c>
      <c r="AM35" s="11">
        <f t="shared" si="6"/>
        <v>0</v>
      </c>
      <c r="AN35" s="11">
        <f t="shared" si="6"/>
        <v>0</v>
      </c>
      <c r="AO35" s="35"/>
    </row>
    <row r="36" spans="1:41" x14ac:dyDescent="0.2">
      <c r="A36" s="80">
        <v>31</v>
      </c>
      <c r="B36" s="41">
        <v>648865</v>
      </c>
      <c r="C36" s="14"/>
      <c r="D36" s="14"/>
      <c r="E36" s="41"/>
      <c r="F36" s="18"/>
      <c r="G36" s="18"/>
      <c r="H36" s="15"/>
      <c r="I36" s="40">
        <v>21360</v>
      </c>
      <c r="J36" s="42">
        <v>1946</v>
      </c>
      <c r="K36" s="42"/>
      <c r="L36" s="42"/>
      <c r="M36" s="15"/>
      <c r="N36" s="41">
        <v>227480</v>
      </c>
      <c r="O36" s="41"/>
      <c r="P36" s="41"/>
      <c r="Q36" s="18"/>
      <c r="R36" s="11">
        <f t="shared" si="3"/>
        <v>0</v>
      </c>
      <c r="S36" s="16"/>
      <c r="T36" s="17">
        <v>0</v>
      </c>
      <c r="U36" s="17">
        <v>0</v>
      </c>
      <c r="V36" s="17">
        <v>0</v>
      </c>
      <c r="W36" s="43" t="s">
        <v>30</v>
      </c>
      <c r="X36" s="80">
        <v>31</v>
      </c>
      <c r="Y36" s="11">
        <f t="shared" si="7"/>
        <v>30</v>
      </c>
      <c r="Z36" s="11">
        <f t="shared" si="8"/>
        <v>0</v>
      </c>
      <c r="AA36" s="11">
        <f t="shared" si="8"/>
        <v>0</v>
      </c>
      <c r="AB36" s="11">
        <f t="shared" si="8"/>
        <v>0</v>
      </c>
      <c r="AC36" s="11">
        <f t="shared" si="8"/>
        <v>0</v>
      </c>
      <c r="AD36" s="11">
        <f t="shared" si="8"/>
        <v>0</v>
      </c>
      <c r="AE36" s="34"/>
      <c r="AF36" s="11">
        <f t="shared" si="5"/>
        <v>18</v>
      </c>
      <c r="AG36" s="11">
        <f t="shared" si="5"/>
        <v>7</v>
      </c>
      <c r="AH36" s="11">
        <f t="shared" si="5"/>
        <v>0</v>
      </c>
      <c r="AI36" s="11">
        <f t="shared" si="5"/>
        <v>0</v>
      </c>
      <c r="AJ36" s="34"/>
      <c r="AK36" s="11">
        <f t="shared" si="6"/>
        <v>20</v>
      </c>
      <c r="AL36" s="11">
        <f t="shared" si="6"/>
        <v>0</v>
      </c>
      <c r="AM36" s="11">
        <f t="shared" si="6"/>
        <v>0</v>
      </c>
      <c r="AN36" s="11">
        <f t="shared" si="6"/>
        <v>0</v>
      </c>
      <c r="AO36" s="36"/>
    </row>
    <row r="37" spans="1:41" x14ac:dyDescent="0.2">
      <c r="B37" s="20"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80" t="s">
        <v>34</v>
      </c>
      <c r="B39" s="10">
        <f t="shared" ref="B39:G39" si="9">LARGE(B5:B36, 1)</f>
        <v>648865</v>
      </c>
      <c r="C39" s="11">
        <f t="shared" si="9"/>
        <v>0</v>
      </c>
      <c r="D39" s="11">
        <f t="shared" si="9"/>
        <v>0</v>
      </c>
      <c r="E39" s="22">
        <f t="shared" si="9"/>
        <v>973328</v>
      </c>
      <c r="F39" s="10">
        <f t="shared" si="9"/>
        <v>78080</v>
      </c>
      <c r="G39" s="10">
        <f t="shared" si="9"/>
        <v>21830</v>
      </c>
      <c r="H39" s="23"/>
      <c r="I39" s="10">
        <f>LARGE(I5:I36, 1)</f>
        <v>21360</v>
      </c>
      <c r="J39" s="24">
        <f>LARGE(J5:J36, 1)</f>
        <v>1946</v>
      </c>
      <c r="K39" s="24">
        <f>LARGE(K5:K36, 1)</f>
        <v>25201</v>
      </c>
      <c r="L39" s="24">
        <f>LARGE(L5:L36, 1)</f>
        <v>114</v>
      </c>
      <c r="M39" s="8"/>
      <c r="N39" s="22">
        <f>LARGE(N5:N36, 1)</f>
        <v>227480</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0">AVERAGEIF($W$6:$W$36, "x",Y6:Y36)</f>
        <v>33.612903225806448</v>
      </c>
      <c r="Z39" s="55">
        <f t="shared" si="10"/>
        <v>0</v>
      </c>
      <c r="AA39" s="55">
        <f t="shared" si="10"/>
        <v>0</v>
      </c>
      <c r="AB39" s="55">
        <f t="shared" si="10"/>
        <v>-31397.677419354837</v>
      </c>
      <c r="AC39" s="55">
        <f t="shared" si="10"/>
        <v>-2518.7096774193546</v>
      </c>
      <c r="AD39" s="55">
        <f t="shared" si="10"/>
        <v>-704.19354838709683</v>
      </c>
      <c r="AE39" s="56"/>
      <c r="AF39" s="55">
        <f>AVERAGEIF($W$6:$W$36, "x",AF6:AF36)</f>
        <v>16.161290322580644</v>
      </c>
      <c r="AG39" s="55">
        <f>AVERAGEIF($W$6:$W$36, "x",AG6:AG36)</f>
        <v>4.096774193548387</v>
      </c>
      <c r="AH39" s="55">
        <f>AVERAGEIF($W$6:$W$36, "x",AH6:AH36)</f>
        <v>-812.93548387096769</v>
      </c>
      <c r="AI39" s="55">
        <f>AVERAGEIF($W$6:$W$36, "x",AI6:AI36)</f>
        <v>-3.6774193548387095</v>
      </c>
      <c r="AJ39" s="56"/>
      <c r="AK39" s="55">
        <f>AVERAGEIF($W$6:$W$36, "x",AK6:AK36)</f>
        <v>18.70967741935484</v>
      </c>
      <c r="AL39" s="55">
        <f>AVERAGEIF($W$6:$W$36, "x",AL6:AL36)</f>
        <v>-13304.387096774193</v>
      </c>
      <c r="AM39" s="55">
        <f>AVERAGEIF($W$6:$W$36, "x",AM6:AM36)</f>
        <v>-18860.516129032258</v>
      </c>
      <c r="AN39" s="55">
        <f>AVERAGEIF($W$6:$W$36, "x",AN6:AN36)</f>
        <v>-707.9677419354839</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1042</v>
      </c>
      <c r="C42" s="26">
        <f t="shared" ref="C42:V42" si="11">C39-C5</f>
        <v>0</v>
      </c>
      <c r="D42" s="26">
        <f t="shared" si="11"/>
        <v>0</v>
      </c>
      <c r="E42" s="26">
        <f t="shared" si="11"/>
        <v>0</v>
      </c>
      <c r="F42" s="26">
        <f t="shared" si="11"/>
        <v>0</v>
      </c>
      <c r="G42" s="26">
        <f t="shared" si="11"/>
        <v>0</v>
      </c>
      <c r="I42" s="26">
        <f t="shared" si="11"/>
        <v>501</v>
      </c>
      <c r="J42" s="26">
        <f t="shared" si="11"/>
        <v>127</v>
      </c>
      <c r="K42" s="26">
        <f t="shared" si="11"/>
        <v>0</v>
      </c>
      <c r="L42" s="26">
        <f t="shared" si="11"/>
        <v>0</v>
      </c>
      <c r="N42" s="26">
        <f t="shared" si="11"/>
        <v>580</v>
      </c>
      <c r="O42" s="26">
        <f t="shared" si="11"/>
        <v>0</v>
      </c>
      <c r="P42" s="26">
        <f t="shared" si="11"/>
        <v>0</v>
      </c>
      <c r="Q42" s="26">
        <f t="shared" si="11"/>
        <v>0</v>
      </c>
      <c r="R42" s="26"/>
      <c r="T42" s="26">
        <f t="shared" si="11"/>
        <v>0</v>
      </c>
      <c r="U42" s="26">
        <f t="shared" si="11"/>
        <v>0</v>
      </c>
      <c r="V42" s="26">
        <f t="shared" si="11"/>
        <v>0</v>
      </c>
      <c r="X42" s="96"/>
      <c r="Y42" s="53">
        <f>Apr!Y39</f>
        <v>25.9</v>
      </c>
      <c r="Z42" s="53">
        <f>Apr!Z39</f>
        <v>0</v>
      </c>
      <c r="AA42" s="53">
        <f>Apr!AA39</f>
        <v>0</v>
      </c>
      <c r="AB42" s="53">
        <f>Apr!AB39</f>
        <v>-32444.266666666666</v>
      </c>
      <c r="AC42" s="53">
        <f>Apr!AC39</f>
        <v>-2602.6666666666665</v>
      </c>
      <c r="AD42" s="53">
        <f>Apr!AD39</f>
        <v>-727.66666666666663</v>
      </c>
      <c r="AE42" s="57"/>
      <c r="AF42" s="53">
        <f>Apr!AF39</f>
        <v>13.266666666666667</v>
      </c>
      <c r="AG42" s="53">
        <f>Apr!AG39</f>
        <v>2.0333333333333332</v>
      </c>
      <c r="AH42" s="53">
        <f>Apr!AH39</f>
        <v>-840.0333333333333</v>
      </c>
      <c r="AI42" s="53">
        <f>Apr!AI39</f>
        <v>-3.8</v>
      </c>
      <c r="AJ42" s="57"/>
      <c r="AK42" s="53">
        <f>Apr!AK39</f>
        <v>20.033333333333335</v>
      </c>
      <c r="AL42" s="53">
        <f>Apr!AL39</f>
        <v>-13747.866666666667</v>
      </c>
      <c r="AM42" s="53">
        <f>Apr!AM39</f>
        <v>-19489.2</v>
      </c>
      <c r="AN42" s="53">
        <f>Apr!AN39</f>
        <v>-731.56666666666672</v>
      </c>
    </row>
    <row r="43" spans="1:41" x14ac:dyDescent="0.2">
      <c r="X43" s="80">
        <v>1.5</v>
      </c>
      <c r="Y43" s="54">
        <f>Y42*$X$43</f>
        <v>38.849999999999994</v>
      </c>
      <c r="Z43" s="54">
        <f t="shared" ref="Z43:AD43" si="12">Z42*$X$43</f>
        <v>0</v>
      </c>
      <c r="AA43" s="54">
        <f t="shared" si="12"/>
        <v>0</v>
      </c>
      <c r="AB43" s="54">
        <f t="shared" si="12"/>
        <v>-48666.400000000001</v>
      </c>
      <c r="AC43" s="54">
        <f t="shared" si="12"/>
        <v>-3904</v>
      </c>
      <c r="AD43" s="54">
        <f t="shared" si="12"/>
        <v>-1091.5</v>
      </c>
      <c r="AE43" s="56"/>
      <c r="AF43" s="54">
        <f t="shared" ref="AF43:AI43" si="13">AF42*$X$43</f>
        <v>19.900000000000002</v>
      </c>
      <c r="AG43" s="54">
        <f t="shared" si="13"/>
        <v>3.05</v>
      </c>
      <c r="AH43" s="54">
        <f t="shared" si="13"/>
        <v>-1260.05</v>
      </c>
      <c r="AI43" s="54">
        <f t="shared" si="13"/>
        <v>-5.6999999999999993</v>
      </c>
      <c r="AJ43" s="56"/>
      <c r="AK43" s="54">
        <f t="shared" ref="AK43:AN43" si="14">AK42*$X$43</f>
        <v>30.050000000000004</v>
      </c>
      <c r="AL43" s="54">
        <f t="shared" si="14"/>
        <v>-20621.8</v>
      </c>
      <c r="AM43" s="54">
        <f t="shared" si="14"/>
        <v>-29233.800000000003</v>
      </c>
      <c r="AN43" s="54">
        <f t="shared" si="14"/>
        <v>-1097.3500000000001</v>
      </c>
    </row>
    <row r="44" spans="1:41" x14ac:dyDescent="0.2">
      <c r="R44" s="31" t="s">
        <v>35</v>
      </c>
      <c r="X44" s="80">
        <v>0.5</v>
      </c>
      <c r="Y44" s="54">
        <f>Y42*$X$44</f>
        <v>12.95</v>
      </c>
      <c r="Z44" s="54">
        <f t="shared" ref="Z44:AD44" si="15">Z42*$X$44</f>
        <v>0</v>
      </c>
      <c r="AA44" s="54">
        <f t="shared" si="15"/>
        <v>0</v>
      </c>
      <c r="AB44" s="54">
        <f t="shared" si="15"/>
        <v>-16222.133333333333</v>
      </c>
      <c r="AC44" s="54">
        <f t="shared" si="15"/>
        <v>-1301.3333333333333</v>
      </c>
      <c r="AD44" s="54">
        <f t="shared" si="15"/>
        <v>-363.83333333333331</v>
      </c>
      <c r="AE44" s="56"/>
      <c r="AF44" s="54">
        <f t="shared" ref="AF44:AI44" si="16">AF42*$X$44</f>
        <v>6.6333333333333337</v>
      </c>
      <c r="AG44" s="54">
        <f t="shared" si="16"/>
        <v>1.0166666666666666</v>
      </c>
      <c r="AH44" s="54">
        <f t="shared" si="16"/>
        <v>-420.01666666666665</v>
      </c>
      <c r="AI44" s="54">
        <f t="shared" si="16"/>
        <v>-1.9</v>
      </c>
      <c r="AJ44" s="56"/>
      <c r="AK44" s="54">
        <f t="shared" ref="AK44:AL44" si="17">AK42*$X$44</f>
        <v>10.016666666666667</v>
      </c>
      <c r="AL44" s="54">
        <f t="shared" si="17"/>
        <v>-6873.9333333333334</v>
      </c>
      <c r="AM44" s="54">
        <v>0</v>
      </c>
      <c r="AN44" s="54">
        <v>0</v>
      </c>
    </row>
    <row r="45" spans="1:41" x14ac:dyDescent="0.2">
      <c r="R45" s="11">
        <f>AVERAGE(R6:R36)</f>
        <v>-707.9677419354839</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603" priority="54" operator="lessThan">
      <formula>0</formula>
    </cfRule>
  </conditionalFormatting>
  <conditionalFormatting sqref="Y43:AD44 AF43:AI44 AK43:AN44">
    <cfRule type="cellIs" dxfId="602" priority="53" operator="lessThan">
      <formula>0</formula>
    </cfRule>
  </conditionalFormatting>
  <conditionalFormatting sqref="Y39:AN39">
    <cfRule type="cellIs" dxfId="601" priority="52" operator="lessThan">
      <formula>0</formula>
    </cfRule>
  </conditionalFormatting>
  <conditionalFormatting sqref="Y39">
    <cfRule type="cellIs" dxfId="600" priority="50" operator="lessThan">
      <formula>$Y$44</formula>
    </cfRule>
    <cfRule type="cellIs" dxfId="599" priority="51" operator="greaterThan">
      <formula>$Y$43</formula>
    </cfRule>
  </conditionalFormatting>
  <conditionalFormatting sqref="AB39">
    <cfRule type="cellIs" dxfId="598" priority="48" operator="lessThan">
      <formula>$AB$44</formula>
    </cfRule>
    <cfRule type="cellIs" dxfId="597" priority="49" operator="greaterThan">
      <formula>$AB$43</formula>
    </cfRule>
  </conditionalFormatting>
  <conditionalFormatting sqref="AC39">
    <cfRule type="cellIs" dxfId="596" priority="46" operator="lessThan">
      <formula>$AC$44</formula>
    </cfRule>
    <cfRule type="cellIs" dxfId="595" priority="47" operator="greaterThan">
      <formula>$AC$43</formula>
    </cfRule>
  </conditionalFormatting>
  <conditionalFormatting sqref="AD39">
    <cfRule type="cellIs" dxfId="594" priority="44" operator="lessThan">
      <formula>$AD$44</formula>
    </cfRule>
    <cfRule type="cellIs" dxfId="593" priority="45" operator="greaterThan">
      <formula>$AD$43</formula>
    </cfRule>
  </conditionalFormatting>
  <conditionalFormatting sqref="AF39">
    <cfRule type="cellIs" dxfId="592" priority="42" operator="lessThan">
      <formula>$AF$44</formula>
    </cfRule>
    <cfRule type="cellIs" dxfId="591" priority="43" operator="greaterThan">
      <formula>$AF$43</formula>
    </cfRule>
  </conditionalFormatting>
  <conditionalFormatting sqref="AG39">
    <cfRule type="cellIs" dxfId="590" priority="40" operator="lessThan">
      <formula>$AG$44</formula>
    </cfRule>
    <cfRule type="cellIs" dxfId="589" priority="41" operator="greaterThan">
      <formula>$AG$43</formula>
    </cfRule>
  </conditionalFormatting>
  <conditionalFormatting sqref="AH39">
    <cfRule type="cellIs" dxfId="588" priority="38" operator="lessThan">
      <formula>$AH$44</formula>
    </cfRule>
    <cfRule type="cellIs" dxfId="587" priority="39" operator="greaterThan">
      <formula>$AH$43</formula>
    </cfRule>
  </conditionalFormatting>
  <conditionalFormatting sqref="AI39">
    <cfRule type="cellIs" dxfId="586" priority="36" operator="lessThan">
      <formula>$AI$44</formula>
    </cfRule>
    <cfRule type="cellIs" dxfId="585" priority="37" operator="greaterThan">
      <formula>$AI$43</formula>
    </cfRule>
  </conditionalFormatting>
  <conditionalFormatting sqref="AK39">
    <cfRule type="cellIs" dxfId="584" priority="34" operator="lessThan">
      <formula>$AK$44</formula>
    </cfRule>
    <cfRule type="cellIs" dxfId="583" priority="35" operator="greaterThan">
      <formula>$AK$43</formula>
    </cfRule>
  </conditionalFormatting>
  <conditionalFormatting sqref="AL39">
    <cfRule type="cellIs" dxfId="582" priority="32" operator="lessThan">
      <formula>$AL$44</formula>
    </cfRule>
    <cfRule type="cellIs" dxfId="581" priority="33" operator="greaterThan">
      <formula>$AL$43</formula>
    </cfRule>
  </conditionalFormatting>
  <conditionalFormatting sqref="AM39">
    <cfRule type="cellIs" dxfId="580" priority="30" operator="lessThan">
      <formula>$AM$44</formula>
    </cfRule>
    <cfRule type="cellIs" dxfId="579" priority="31" operator="greaterThan">
      <formula>$AM$43</formula>
    </cfRule>
  </conditionalFormatting>
  <conditionalFormatting sqref="AN39">
    <cfRule type="cellIs" dxfId="578" priority="28" operator="lessThan">
      <formula>$AN$44</formula>
    </cfRule>
    <cfRule type="cellIs" dxfId="577" priority="29" operator="greaterThan">
      <formula>$AN$43</formula>
    </cfRule>
  </conditionalFormatting>
  <conditionalFormatting sqref="AB6:AB36">
    <cfRule type="cellIs" dxfId="576" priority="27" operator="notBetween">
      <formula>$AB$44</formula>
      <formula>$AB$43</formula>
    </cfRule>
  </conditionalFormatting>
  <conditionalFormatting sqref="AC6:AC36">
    <cfRule type="cellIs" dxfId="575" priority="16" operator="notBetween">
      <formula>$AC$43</formula>
      <formula>$AC$44</formula>
    </cfRule>
  </conditionalFormatting>
  <conditionalFormatting sqref="Y6:AN36">
    <cfRule type="cellIs" dxfId="574" priority="2" stopIfTrue="1" operator="equal">
      <formula>0</formula>
    </cfRule>
    <cfRule type="cellIs" dxfId="573" priority="3" stopIfTrue="1" operator="lessThan">
      <formula>0</formula>
    </cfRule>
  </conditionalFormatting>
  <conditionalFormatting sqref="Y6:Y36">
    <cfRule type="cellIs" dxfId="572" priority="25" operator="notBetween">
      <formula>$Y$44</formula>
      <formula>$Y$43</formula>
    </cfRule>
  </conditionalFormatting>
  <conditionalFormatting sqref="AD6:AD36">
    <cfRule type="cellIs" dxfId="571" priority="17" operator="notBetween">
      <formula>$AD$44</formula>
      <formula>$AD$43</formula>
    </cfRule>
  </conditionalFormatting>
  <conditionalFormatting sqref="AF6:AF36">
    <cfRule type="cellIs" dxfId="570" priority="18" operator="notBetween">
      <formula>$AF$44</formula>
      <formula>$AF$43</formula>
    </cfRule>
  </conditionalFormatting>
  <conditionalFormatting sqref="AG6:AG36">
    <cfRule type="cellIs" dxfId="569" priority="19" operator="notBetween">
      <formula>$AG$44</formula>
      <formula>$AG$43</formula>
    </cfRule>
  </conditionalFormatting>
  <conditionalFormatting sqref="AH6:AH36">
    <cfRule type="cellIs" dxfId="568" priority="20" operator="notBetween">
      <formula>$AH$44</formula>
      <formula>$AH$43</formula>
    </cfRule>
  </conditionalFormatting>
  <conditionalFormatting sqref="AI6:AI36">
    <cfRule type="cellIs" dxfId="567" priority="21" operator="notBetween">
      <formula>$AI$44</formula>
      <formula>$AI$43</formula>
    </cfRule>
  </conditionalFormatting>
  <conditionalFormatting sqref="AK6:AK36">
    <cfRule type="cellIs" dxfId="566" priority="22" operator="notBetween">
      <formula>$AK$44</formula>
      <formula>$AK$43</formula>
    </cfRule>
  </conditionalFormatting>
  <conditionalFormatting sqref="AL6:AL36">
    <cfRule type="cellIs" dxfId="565" priority="23" operator="notBetween">
      <formula>$AL$44</formula>
      <formula>$AL$43</formula>
    </cfRule>
  </conditionalFormatting>
  <conditionalFormatting sqref="AM6:AM36">
    <cfRule type="cellIs" dxfId="564" priority="26" operator="notBetween">
      <formula>$AM$44</formula>
      <formula>$AM$43</formula>
    </cfRule>
  </conditionalFormatting>
  <conditionalFormatting sqref="AN6:AN36">
    <cfRule type="cellIs" dxfId="563" priority="24" operator="notBetween">
      <formula>$AN$44</formula>
      <formula>$AN$43</formula>
    </cfRule>
  </conditionalFormatting>
  <conditionalFormatting sqref="AG6:AG39">
    <cfRule type="cellIs" dxfId="562" priority="13" stopIfTrue="1" operator="greaterThan">
      <formula>$AG$43*2</formula>
    </cfRule>
  </conditionalFormatting>
  <conditionalFormatting sqref="Y6:Y39">
    <cfRule type="cellIs" dxfId="561" priority="15" stopIfTrue="1" operator="greaterThan">
      <formula>$Y$43*2</formula>
    </cfRule>
  </conditionalFormatting>
  <conditionalFormatting sqref="AB6:AB39">
    <cfRule type="cellIs" dxfId="560" priority="14" stopIfTrue="1" operator="greaterThan">
      <formula>$AB$43*2</formula>
    </cfRule>
  </conditionalFormatting>
  <conditionalFormatting sqref="AC6:AC39">
    <cfRule type="cellIs" dxfId="559" priority="4" stopIfTrue="1" operator="greaterThan">
      <formula>$AC$43*2</formula>
    </cfRule>
  </conditionalFormatting>
  <conditionalFormatting sqref="AD6:AD39">
    <cfRule type="cellIs" dxfId="558" priority="5" stopIfTrue="1" operator="greaterThan">
      <formula>$AD$43*2</formula>
    </cfRule>
  </conditionalFormatting>
  <conditionalFormatting sqref="AF6:AF39">
    <cfRule type="cellIs" dxfId="557" priority="6" stopIfTrue="1" operator="greaterThan">
      <formula>$AF$43*2</formula>
    </cfRule>
  </conditionalFormatting>
  <conditionalFormatting sqref="AH6:AH39">
    <cfRule type="cellIs" dxfId="556" priority="7" stopIfTrue="1" operator="greaterThan">
      <formula>$AH$43*2</formula>
    </cfRule>
  </conditionalFormatting>
  <conditionalFormatting sqref="AI6:AI39">
    <cfRule type="cellIs" dxfId="555" priority="8" stopIfTrue="1" operator="greaterThan">
      <formula>$AI$43*2</formula>
    </cfRule>
  </conditionalFormatting>
  <conditionalFormatting sqref="AK6:AK39">
    <cfRule type="cellIs" dxfId="554" priority="10" stopIfTrue="1" operator="greaterThan">
      <formula>$AK$43*2</formula>
    </cfRule>
  </conditionalFormatting>
  <conditionalFormatting sqref="AL6:AL39">
    <cfRule type="cellIs" dxfId="553" priority="9" stopIfTrue="1" operator="greaterThan">
      <formula>$AL$43*2</formula>
    </cfRule>
  </conditionalFormatting>
  <conditionalFormatting sqref="AM6:AM39">
    <cfRule type="cellIs" dxfId="552" priority="11" stopIfTrue="1" operator="greaterThan">
      <formula>$AM$43*2</formula>
    </cfRule>
  </conditionalFormatting>
  <conditionalFormatting sqref="AN6:AN39">
    <cfRule type="cellIs" dxfId="551"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&amp;CMay Meter Reading</oddHeader>
    <oddFoote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51"/>
  <sheetViews>
    <sheetView zoomScaleNormal="100" workbookViewId="0">
      <pane ySplit="3" topLeftCell="A4" activePane="bottomLeft" state="frozen"/>
      <selection pane="bottomLeft" activeCell="W12" sqref="W12"/>
    </sheetView>
  </sheetViews>
  <sheetFormatPr defaultColWidth="9.28515625" defaultRowHeight="12.75" x14ac:dyDescent="0.2"/>
  <cols>
    <col min="1" max="1" width="3" style="12" customWidth="1"/>
    <col min="2" max="2" width="18.85546875" customWidth="1"/>
    <col min="3" max="3" width="7.140625" hidden="1" customWidth="1"/>
    <col min="4" max="4" width="14.140625" hidden="1" customWidth="1"/>
    <col min="5" max="5" width="7.5703125" hidden="1" customWidth="1"/>
    <col min="6" max="7" width="8" hidden="1" customWidth="1"/>
    <col min="8" max="8" width="0.85546875" customWidth="1"/>
    <col min="9" max="9" width="10.85546875"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1" customWidth="1"/>
    <col min="20" max="20" width="8" hidden="1" customWidth="1"/>
    <col min="21" max="21" width="7" hidden="1" customWidth="1"/>
    <col min="22" max="22" width="8.42578125" hidden="1" customWidth="1"/>
    <col min="24" max="24" width="5" style="12" bestFit="1" customWidth="1"/>
    <col min="26" max="30" width="0" hidden="1" customWidth="1"/>
    <col min="31" max="31" width="0.7109375" customWidth="1"/>
    <col min="34" max="35" width="0" hidden="1" customWidth="1"/>
    <col min="36" max="36" width="0.85546875" customWidth="1"/>
    <col min="38" max="40" width="0" hidden="1" customWidth="1"/>
    <col min="41" max="41" width="0.85546875" customWidth="1"/>
  </cols>
  <sheetData>
    <row r="1" spans="1:41"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1"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39">
        <f>May!B39</f>
        <v>648865</v>
      </c>
      <c r="C5" s="39">
        <f>May!C39</f>
        <v>0</v>
      </c>
      <c r="D5" s="39">
        <f>May!D39</f>
        <v>0</v>
      </c>
      <c r="E5" s="39">
        <f>May!E39</f>
        <v>973328</v>
      </c>
      <c r="F5" s="39">
        <f>May!F39</f>
        <v>78080</v>
      </c>
      <c r="G5" s="39">
        <f>May!G39</f>
        <v>21830</v>
      </c>
      <c r="H5" s="15"/>
      <c r="I5" s="39">
        <f>May!I39</f>
        <v>21360</v>
      </c>
      <c r="J5" s="39">
        <f>May!J39</f>
        <v>1946</v>
      </c>
      <c r="K5" s="39">
        <f>May!K39</f>
        <v>25201</v>
      </c>
      <c r="L5" s="39">
        <f>May!L39</f>
        <v>114</v>
      </c>
      <c r="M5" s="15"/>
      <c r="N5" s="39">
        <f>May!N39</f>
        <v>227480</v>
      </c>
      <c r="O5" s="39">
        <f>May!O39</f>
        <v>412436</v>
      </c>
      <c r="P5" s="39">
        <f>May!P39</f>
        <v>584676</v>
      </c>
      <c r="Q5" s="39">
        <f>May!Q39</f>
        <v>21947</v>
      </c>
      <c r="R5" s="11"/>
      <c r="S5" s="15"/>
      <c r="T5" s="26">
        <f>May!T39</f>
        <v>0</v>
      </c>
      <c r="U5" s="26">
        <f>May!U39</f>
        <v>0</v>
      </c>
      <c r="V5" s="26">
        <f>May!V39</f>
        <v>0</v>
      </c>
      <c r="X5"/>
    </row>
    <row r="6" spans="1:41" x14ac:dyDescent="0.2">
      <c r="A6" s="7">
        <v>1</v>
      </c>
      <c r="B6" s="41">
        <v>648887</v>
      </c>
      <c r="C6" s="14"/>
      <c r="D6" s="14"/>
      <c r="E6" s="41"/>
      <c r="F6" s="13"/>
      <c r="G6" s="13"/>
      <c r="H6" s="15"/>
      <c r="I6" s="40">
        <v>21377</v>
      </c>
      <c r="J6" s="42">
        <v>1949</v>
      </c>
      <c r="K6" s="42"/>
      <c r="L6" s="42"/>
      <c r="M6" s="15"/>
      <c r="N6" s="41">
        <v>227502</v>
      </c>
      <c r="O6" s="41"/>
      <c r="P6" s="41"/>
      <c r="Q6" s="18"/>
      <c r="R6" s="11">
        <f>Q6-Q5</f>
        <v>-21947</v>
      </c>
      <c r="S6" s="16"/>
      <c r="T6" s="17">
        <v>0</v>
      </c>
      <c r="U6" s="17">
        <v>0</v>
      </c>
      <c r="V6" s="17">
        <v>0</v>
      </c>
      <c r="W6" s="43" t="s">
        <v>30</v>
      </c>
      <c r="X6" s="80">
        <v>1</v>
      </c>
      <c r="Y6" s="11">
        <f>B6-B5</f>
        <v>22</v>
      </c>
      <c r="Z6" s="11">
        <f t="shared" ref="Z6:AD21" si="0">C6-C5</f>
        <v>0</v>
      </c>
      <c r="AA6" s="11">
        <f t="shared" si="0"/>
        <v>0</v>
      </c>
      <c r="AB6" s="11">
        <f t="shared" si="0"/>
        <v>-973328</v>
      </c>
      <c r="AC6" s="11">
        <f t="shared" si="0"/>
        <v>-78080</v>
      </c>
      <c r="AD6" s="11">
        <f t="shared" si="0"/>
        <v>-21830</v>
      </c>
      <c r="AE6" s="34"/>
      <c r="AF6" s="11">
        <f t="shared" ref="AF6:AI21" si="1">I6-I5</f>
        <v>17</v>
      </c>
      <c r="AG6" s="11">
        <f t="shared" si="1"/>
        <v>3</v>
      </c>
      <c r="AH6" s="11">
        <f t="shared" si="1"/>
        <v>-25201</v>
      </c>
      <c r="AI6" s="11">
        <f t="shared" si="1"/>
        <v>-114</v>
      </c>
      <c r="AJ6" s="34"/>
      <c r="AK6" s="11">
        <f t="shared" ref="AK6:AN21" si="2">N6-N5</f>
        <v>22</v>
      </c>
      <c r="AL6" s="11">
        <f t="shared" si="2"/>
        <v>-412436</v>
      </c>
      <c r="AM6" s="11">
        <f t="shared" si="2"/>
        <v>-584676</v>
      </c>
      <c r="AN6" s="11">
        <f t="shared" si="2"/>
        <v>-21947</v>
      </c>
      <c r="AO6" s="34"/>
    </row>
    <row r="7" spans="1:41" x14ac:dyDescent="0.2">
      <c r="A7" s="80">
        <v>2</v>
      </c>
      <c r="B7" s="41">
        <v>648915</v>
      </c>
      <c r="C7" s="14"/>
      <c r="D7" s="14"/>
      <c r="E7" s="41"/>
      <c r="F7" s="18"/>
      <c r="G7" s="18"/>
      <c r="H7" s="15"/>
      <c r="I7" s="40">
        <v>21396</v>
      </c>
      <c r="J7" s="42">
        <v>1950</v>
      </c>
      <c r="K7" s="42"/>
      <c r="L7" s="42"/>
      <c r="M7" s="15"/>
      <c r="N7" s="41">
        <v>227521</v>
      </c>
      <c r="O7" s="41"/>
      <c r="P7" s="41"/>
      <c r="Q7" s="18"/>
      <c r="R7" s="11">
        <f t="shared" ref="R7:R36" si="3">Q7-Q6</f>
        <v>0</v>
      </c>
      <c r="S7" s="16"/>
      <c r="T7" s="17">
        <v>0</v>
      </c>
      <c r="U7" s="17">
        <v>0</v>
      </c>
      <c r="V7" s="17">
        <v>0</v>
      </c>
      <c r="W7" s="43" t="s">
        <v>30</v>
      </c>
      <c r="X7" s="80">
        <v>2</v>
      </c>
      <c r="Y7" s="11">
        <f t="shared" ref="Y7:AD33" si="4">B7-B6</f>
        <v>28</v>
      </c>
      <c r="Z7" s="11">
        <f t="shared" si="0"/>
        <v>0</v>
      </c>
      <c r="AA7" s="11">
        <f t="shared" si="0"/>
        <v>0</v>
      </c>
      <c r="AB7" s="11">
        <f t="shared" si="0"/>
        <v>0</v>
      </c>
      <c r="AC7" s="11">
        <f t="shared" si="0"/>
        <v>0</v>
      </c>
      <c r="AD7" s="11">
        <f t="shared" si="0"/>
        <v>0</v>
      </c>
      <c r="AE7" s="34"/>
      <c r="AF7" s="11">
        <f t="shared" si="1"/>
        <v>19</v>
      </c>
      <c r="AG7" s="11">
        <f t="shared" si="1"/>
        <v>1</v>
      </c>
      <c r="AH7" s="11">
        <f t="shared" si="1"/>
        <v>0</v>
      </c>
      <c r="AI7" s="11">
        <f t="shared" si="1"/>
        <v>0</v>
      </c>
      <c r="AJ7" s="34"/>
      <c r="AK7" s="11">
        <f t="shared" si="2"/>
        <v>19</v>
      </c>
      <c r="AL7" s="11">
        <f t="shared" si="2"/>
        <v>0</v>
      </c>
      <c r="AM7" s="11">
        <f t="shared" si="2"/>
        <v>0</v>
      </c>
      <c r="AN7" s="11">
        <f t="shared" si="2"/>
        <v>0</v>
      </c>
      <c r="AO7" s="35"/>
    </row>
    <row r="8" spans="1:41" x14ac:dyDescent="0.2">
      <c r="A8" s="80">
        <v>3</v>
      </c>
      <c r="B8" s="41">
        <v>648940</v>
      </c>
      <c r="C8" s="14"/>
      <c r="D8" s="14"/>
      <c r="E8" s="41"/>
      <c r="F8" s="18"/>
      <c r="G8" s="18"/>
      <c r="H8" s="15"/>
      <c r="I8" s="40">
        <v>21418</v>
      </c>
      <c r="J8" s="42">
        <v>1956</v>
      </c>
      <c r="K8" s="42"/>
      <c r="L8" s="42"/>
      <c r="M8" s="15"/>
      <c r="N8" s="41">
        <v>227540</v>
      </c>
      <c r="O8" s="41"/>
      <c r="P8" s="41"/>
      <c r="Q8" s="18"/>
      <c r="R8" s="11">
        <f t="shared" si="3"/>
        <v>0</v>
      </c>
      <c r="S8" s="16"/>
      <c r="T8" s="17">
        <v>0</v>
      </c>
      <c r="U8" s="17">
        <v>0</v>
      </c>
      <c r="V8" s="17">
        <v>0</v>
      </c>
      <c r="W8" s="43" t="s">
        <v>30</v>
      </c>
      <c r="X8" s="80">
        <v>3</v>
      </c>
      <c r="Y8" s="11">
        <f t="shared" si="4"/>
        <v>25</v>
      </c>
      <c r="Z8" s="11">
        <f t="shared" si="0"/>
        <v>0</v>
      </c>
      <c r="AA8" s="11">
        <f t="shared" si="0"/>
        <v>0</v>
      </c>
      <c r="AB8" s="11">
        <f t="shared" si="0"/>
        <v>0</v>
      </c>
      <c r="AC8" s="11">
        <f t="shared" si="0"/>
        <v>0</v>
      </c>
      <c r="AD8" s="11">
        <f t="shared" si="0"/>
        <v>0</v>
      </c>
      <c r="AE8" s="34"/>
      <c r="AF8" s="11">
        <f t="shared" si="1"/>
        <v>22</v>
      </c>
      <c r="AG8" s="11">
        <f t="shared" si="1"/>
        <v>6</v>
      </c>
      <c r="AH8" s="11">
        <f t="shared" si="1"/>
        <v>0</v>
      </c>
      <c r="AI8" s="11">
        <f t="shared" si="1"/>
        <v>0</v>
      </c>
      <c r="AJ8" s="34"/>
      <c r="AK8" s="11">
        <f t="shared" si="2"/>
        <v>19</v>
      </c>
      <c r="AL8" s="11">
        <f t="shared" si="2"/>
        <v>0</v>
      </c>
      <c r="AM8" s="11">
        <f t="shared" si="2"/>
        <v>0</v>
      </c>
      <c r="AN8" s="11">
        <f t="shared" si="2"/>
        <v>0</v>
      </c>
      <c r="AO8" s="35"/>
    </row>
    <row r="9" spans="1:41" x14ac:dyDescent="0.2">
      <c r="A9" s="80">
        <v>4</v>
      </c>
      <c r="B9" s="41">
        <v>648977</v>
      </c>
      <c r="C9" s="14"/>
      <c r="D9" s="14"/>
      <c r="E9" s="41"/>
      <c r="F9" s="18"/>
      <c r="G9" s="18"/>
      <c r="H9" s="15"/>
      <c r="I9" s="40">
        <v>21439</v>
      </c>
      <c r="J9" s="42">
        <v>1961</v>
      </c>
      <c r="K9" s="42"/>
      <c r="L9" s="42"/>
      <c r="M9" s="15"/>
      <c r="N9" s="41">
        <v>227559</v>
      </c>
      <c r="O9" s="41"/>
      <c r="P9" s="41"/>
      <c r="Q9" s="18"/>
      <c r="R9" s="11">
        <f t="shared" si="3"/>
        <v>0</v>
      </c>
      <c r="S9" s="16"/>
      <c r="T9" s="17">
        <v>0</v>
      </c>
      <c r="U9" s="17">
        <v>0</v>
      </c>
      <c r="V9" s="17">
        <v>0</v>
      </c>
      <c r="W9" s="43" t="s">
        <v>30</v>
      </c>
      <c r="X9" s="80">
        <v>4</v>
      </c>
      <c r="Y9" s="11">
        <f t="shared" si="4"/>
        <v>37</v>
      </c>
      <c r="Z9" s="11">
        <f t="shared" si="0"/>
        <v>0</v>
      </c>
      <c r="AA9" s="11">
        <f t="shared" si="0"/>
        <v>0</v>
      </c>
      <c r="AB9" s="11">
        <f t="shared" si="0"/>
        <v>0</v>
      </c>
      <c r="AC9" s="11">
        <f t="shared" si="0"/>
        <v>0</v>
      </c>
      <c r="AD9" s="11">
        <f t="shared" si="0"/>
        <v>0</v>
      </c>
      <c r="AE9" s="34"/>
      <c r="AF9" s="11">
        <f t="shared" si="1"/>
        <v>21</v>
      </c>
      <c r="AG9" s="11">
        <f t="shared" si="1"/>
        <v>5</v>
      </c>
      <c r="AH9" s="11">
        <f t="shared" si="1"/>
        <v>0</v>
      </c>
      <c r="AI9" s="11">
        <f t="shared" si="1"/>
        <v>0</v>
      </c>
      <c r="AJ9" s="34"/>
      <c r="AK9" s="11">
        <f t="shared" si="2"/>
        <v>19</v>
      </c>
      <c r="AL9" s="11">
        <f t="shared" si="2"/>
        <v>0</v>
      </c>
      <c r="AM9" s="11">
        <f t="shared" si="2"/>
        <v>0</v>
      </c>
      <c r="AN9" s="11">
        <f t="shared" si="2"/>
        <v>0</v>
      </c>
      <c r="AO9" s="35"/>
    </row>
    <row r="10" spans="1:41" x14ac:dyDescent="0.2">
      <c r="A10" s="80">
        <v>5</v>
      </c>
      <c r="B10" s="41">
        <v>649011</v>
      </c>
      <c r="C10" s="14"/>
      <c r="D10" s="14"/>
      <c r="E10" s="41"/>
      <c r="F10" s="18"/>
      <c r="G10" s="18"/>
      <c r="H10" s="15"/>
      <c r="I10" s="40">
        <v>21463</v>
      </c>
      <c r="J10" s="42">
        <v>1968</v>
      </c>
      <c r="K10" s="42"/>
      <c r="L10" s="42"/>
      <c r="M10" s="15"/>
      <c r="N10" s="41">
        <v>227578</v>
      </c>
      <c r="O10" s="41"/>
      <c r="P10" s="41"/>
      <c r="Q10" s="18"/>
      <c r="R10" s="11">
        <f t="shared" si="3"/>
        <v>0</v>
      </c>
      <c r="S10" s="16"/>
      <c r="T10" s="17">
        <v>0</v>
      </c>
      <c r="U10" s="17">
        <v>0</v>
      </c>
      <c r="V10" s="17">
        <v>0</v>
      </c>
      <c r="W10" s="43" t="s">
        <v>30</v>
      </c>
      <c r="X10" s="80">
        <v>5</v>
      </c>
      <c r="Y10" s="11">
        <f t="shared" si="4"/>
        <v>34</v>
      </c>
      <c r="Z10" s="11">
        <f t="shared" si="0"/>
        <v>0</v>
      </c>
      <c r="AA10" s="11">
        <f t="shared" si="0"/>
        <v>0</v>
      </c>
      <c r="AB10" s="11">
        <f t="shared" si="0"/>
        <v>0</v>
      </c>
      <c r="AC10" s="11">
        <f t="shared" si="0"/>
        <v>0</v>
      </c>
      <c r="AD10" s="11">
        <f t="shared" si="0"/>
        <v>0</v>
      </c>
      <c r="AE10" s="34"/>
      <c r="AF10" s="11">
        <f t="shared" si="1"/>
        <v>24</v>
      </c>
      <c r="AG10" s="11">
        <f t="shared" si="1"/>
        <v>7</v>
      </c>
      <c r="AH10" s="11">
        <f t="shared" si="1"/>
        <v>0</v>
      </c>
      <c r="AI10" s="11">
        <f t="shared" si="1"/>
        <v>0</v>
      </c>
      <c r="AJ10" s="34"/>
      <c r="AK10" s="11">
        <f t="shared" si="2"/>
        <v>19</v>
      </c>
      <c r="AL10" s="11">
        <f t="shared" si="2"/>
        <v>0</v>
      </c>
      <c r="AM10" s="11">
        <f t="shared" si="2"/>
        <v>0</v>
      </c>
      <c r="AN10" s="11">
        <f t="shared" si="2"/>
        <v>0</v>
      </c>
      <c r="AO10" s="35"/>
    </row>
    <row r="11" spans="1:41" x14ac:dyDescent="0.2">
      <c r="A11" s="80">
        <v>6</v>
      </c>
      <c r="B11" s="41">
        <v>649048</v>
      </c>
      <c r="C11" s="14"/>
      <c r="D11" s="14"/>
      <c r="E11" s="41"/>
      <c r="F11" s="18"/>
      <c r="G11" s="18"/>
      <c r="H11" s="15"/>
      <c r="I11" s="40">
        <v>21486</v>
      </c>
      <c r="J11" s="42">
        <v>1973</v>
      </c>
      <c r="K11" s="42"/>
      <c r="L11" s="42"/>
      <c r="M11" s="15"/>
      <c r="N11" s="41">
        <v>227596</v>
      </c>
      <c r="O11" s="41"/>
      <c r="P11" s="41"/>
      <c r="Q11" s="18"/>
      <c r="R11" s="11">
        <f t="shared" si="3"/>
        <v>0</v>
      </c>
      <c r="S11" s="16"/>
      <c r="T11" s="17">
        <v>0</v>
      </c>
      <c r="U11" s="17">
        <v>0</v>
      </c>
      <c r="V11" s="17">
        <v>0</v>
      </c>
      <c r="W11" s="43" t="s">
        <v>30</v>
      </c>
      <c r="X11" s="80">
        <v>6</v>
      </c>
      <c r="Y11" s="11">
        <f t="shared" si="4"/>
        <v>37</v>
      </c>
      <c r="Z11" s="11">
        <f t="shared" si="0"/>
        <v>0</v>
      </c>
      <c r="AA11" s="11">
        <f t="shared" si="0"/>
        <v>0</v>
      </c>
      <c r="AB11" s="11">
        <f t="shared" si="0"/>
        <v>0</v>
      </c>
      <c r="AC11" s="11">
        <f t="shared" si="0"/>
        <v>0</v>
      </c>
      <c r="AD11" s="11">
        <f t="shared" si="0"/>
        <v>0</v>
      </c>
      <c r="AE11" s="34"/>
      <c r="AF11" s="11">
        <f t="shared" si="1"/>
        <v>23</v>
      </c>
      <c r="AG11" s="11">
        <f t="shared" si="1"/>
        <v>5</v>
      </c>
      <c r="AH11" s="11">
        <f t="shared" si="1"/>
        <v>0</v>
      </c>
      <c r="AI11" s="11">
        <f t="shared" si="1"/>
        <v>0</v>
      </c>
      <c r="AJ11" s="34"/>
      <c r="AK11" s="11">
        <f t="shared" si="2"/>
        <v>18</v>
      </c>
      <c r="AL11" s="11">
        <f t="shared" si="2"/>
        <v>0</v>
      </c>
      <c r="AM11" s="11">
        <f t="shared" si="2"/>
        <v>0</v>
      </c>
      <c r="AN11" s="11">
        <f t="shared" si="2"/>
        <v>0</v>
      </c>
      <c r="AO11" s="35"/>
    </row>
    <row r="12" spans="1:41" x14ac:dyDescent="0.2">
      <c r="A12" s="80">
        <v>7</v>
      </c>
      <c r="B12" s="41">
        <v>649082</v>
      </c>
      <c r="C12" s="14"/>
      <c r="D12" s="14"/>
      <c r="E12" s="41"/>
      <c r="F12" s="18"/>
      <c r="G12" s="18"/>
      <c r="H12" s="15"/>
      <c r="I12" s="40">
        <v>21500</v>
      </c>
      <c r="J12" s="42">
        <v>1980</v>
      </c>
      <c r="K12" s="42"/>
      <c r="L12" s="42"/>
      <c r="M12" s="15"/>
      <c r="N12" s="41">
        <v>227616</v>
      </c>
      <c r="O12" s="41"/>
      <c r="P12" s="41"/>
      <c r="Q12" s="18"/>
      <c r="R12" s="11">
        <f t="shared" si="3"/>
        <v>0</v>
      </c>
      <c r="S12" s="16"/>
      <c r="T12" s="17">
        <v>0</v>
      </c>
      <c r="U12" s="17">
        <v>0</v>
      </c>
      <c r="V12" s="17">
        <v>0</v>
      </c>
      <c r="W12" s="43" t="s">
        <v>30</v>
      </c>
      <c r="X12" s="80">
        <v>7</v>
      </c>
      <c r="Y12" s="11">
        <f t="shared" si="4"/>
        <v>34</v>
      </c>
      <c r="Z12" s="11">
        <f t="shared" si="0"/>
        <v>0</v>
      </c>
      <c r="AA12" s="11">
        <f t="shared" si="0"/>
        <v>0</v>
      </c>
      <c r="AB12" s="11">
        <f t="shared" si="0"/>
        <v>0</v>
      </c>
      <c r="AC12" s="11">
        <f t="shared" si="0"/>
        <v>0</v>
      </c>
      <c r="AD12" s="11">
        <f t="shared" si="0"/>
        <v>0</v>
      </c>
      <c r="AE12" s="34"/>
      <c r="AF12" s="11">
        <f t="shared" si="1"/>
        <v>14</v>
      </c>
      <c r="AG12" s="11">
        <f t="shared" si="1"/>
        <v>7</v>
      </c>
      <c r="AH12" s="11">
        <f t="shared" si="1"/>
        <v>0</v>
      </c>
      <c r="AI12" s="11">
        <f t="shared" si="1"/>
        <v>0</v>
      </c>
      <c r="AJ12" s="34"/>
      <c r="AK12" s="11">
        <f t="shared" si="2"/>
        <v>20</v>
      </c>
      <c r="AL12" s="11">
        <f t="shared" si="2"/>
        <v>0</v>
      </c>
      <c r="AM12" s="11">
        <f t="shared" si="2"/>
        <v>0</v>
      </c>
      <c r="AN12" s="11">
        <f t="shared" si="2"/>
        <v>0</v>
      </c>
      <c r="AO12" s="35"/>
    </row>
    <row r="13" spans="1:41" x14ac:dyDescent="0.2">
      <c r="A13" s="80">
        <v>8</v>
      </c>
      <c r="B13" s="41">
        <v>649110</v>
      </c>
      <c r="C13" s="14"/>
      <c r="D13" s="14"/>
      <c r="E13" s="41"/>
      <c r="F13" s="18"/>
      <c r="G13" s="18"/>
      <c r="H13" s="15"/>
      <c r="I13" s="40">
        <v>21500</v>
      </c>
      <c r="J13" s="42">
        <v>1986</v>
      </c>
      <c r="K13" s="42"/>
      <c r="L13" s="42"/>
      <c r="M13" s="15"/>
      <c r="N13" s="41">
        <v>227634</v>
      </c>
      <c r="O13" s="41"/>
      <c r="P13" s="41"/>
      <c r="Q13" s="18"/>
      <c r="R13" s="11">
        <f t="shared" si="3"/>
        <v>0</v>
      </c>
      <c r="S13" s="16"/>
      <c r="T13" s="17">
        <v>0</v>
      </c>
      <c r="U13" s="17">
        <v>0</v>
      </c>
      <c r="V13" s="17">
        <v>0</v>
      </c>
      <c r="W13" s="43" t="s">
        <v>30</v>
      </c>
      <c r="X13" s="80">
        <v>8</v>
      </c>
      <c r="Y13" s="11">
        <f t="shared" si="4"/>
        <v>28</v>
      </c>
      <c r="Z13" s="11">
        <f t="shared" si="0"/>
        <v>0</v>
      </c>
      <c r="AA13" s="11">
        <f t="shared" si="0"/>
        <v>0</v>
      </c>
      <c r="AB13" s="11">
        <f t="shared" si="0"/>
        <v>0</v>
      </c>
      <c r="AC13" s="11">
        <f t="shared" si="0"/>
        <v>0</v>
      </c>
      <c r="AD13" s="11">
        <f t="shared" si="0"/>
        <v>0</v>
      </c>
      <c r="AE13" s="34"/>
      <c r="AF13" s="11">
        <f t="shared" si="1"/>
        <v>0</v>
      </c>
      <c r="AG13" s="11">
        <f t="shared" si="1"/>
        <v>6</v>
      </c>
      <c r="AH13" s="11">
        <f t="shared" si="1"/>
        <v>0</v>
      </c>
      <c r="AI13" s="11">
        <f t="shared" si="1"/>
        <v>0</v>
      </c>
      <c r="AJ13" s="34"/>
      <c r="AK13" s="11">
        <f t="shared" si="2"/>
        <v>18</v>
      </c>
      <c r="AL13" s="11">
        <f t="shared" si="2"/>
        <v>0</v>
      </c>
      <c r="AM13" s="11">
        <f t="shared" si="2"/>
        <v>0</v>
      </c>
      <c r="AN13" s="11">
        <f t="shared" si="2"/>
        <v>0</v>
      </c>
      <c r="AO13" s="35"/>
    </row>
    <row r="14" spans="1:41" x14ac:dyDescent="0.2">
      <c r="A14" s="80">
        <v>9</v>
      </c>
      <c r="B14" s="41">
        <v>649161</v>
      </c>
      <c r="C14" s="14"/>
      <c r="D14" s="14"/>
      <c r="E14" s="41"/>
      <c r="F14" s="18"/>
      <c r="G14" s="18"/>
      <c r="H14" s="15"/>
      <c r="I14" s="40">
        <v>21500</v>
      </c>
      <c r="J14" s="42">
        <v>1993</v>
      </c>
      <c r="K14" s="42"/>
      <c r="L14" s="42"/>
      <c r="M14" s="15"/>
      <c r="N14" s="41">
        <v>227652</v>
      </c>
      <c r="O14" s="41"/>
      <c r="P14" s="41"/>
      <c r="Q14" s="18"/>
      <c r="R14" s="11">
        <f t="shared" si="3"/>
        <v>0</v>
      </c>
      <c r="S14" s="16"/>
      <c r="T14" s="17">
        <v>0</v>
      </c>
      <c r="U14" s="17">
        <v>0</v>
      </c>
      <c r="V14" s="17">
        <v>0</v>
      </c>
      <c r="W14" s="43" t="s">
        <v>30</v>
      </c>
      <c r="X14" s="80">
        <v>9</v>
      </c>
      <c r="Y14" s="11">
        <f t="shared" si="4"/>
        <v>51</v>
      </c>
      <c r="Z14" s="11">
        <f t="shared" si="0"/>
        <v>0</v>
      </c>
      <c r="AA14" s="11">
        <f t="shared" si="0"/>
        <v>0</v>
      </c>
      <c r="AB14" s="11">
        <f t="shared" si="0"/>
        <v>0</v>
      </c>
      <c r="AC14" s="11">
        <f t="shared" si="0"/>
        <v>0</v>
      </c>
      <c r="AD14" s="11">
        <f t="shared" si="0"/>
        <v>0</v>
      </c>
      <c r="AE14" s="34"/>
      <c r="AF14" s="11">
        <f t="shared" si="1"/>
        <v>0</v>
      </c>
      <c r="AG14" s="11">
        <f t="shared" si="1"/>
        <v>7</v>
      </c>
      <c r="AH14" s="11">
        <f t="shared" si="1"/>
        <v>0</v>
      </c>
      <c r="AI14" s="11">
        <f t="shared" si="1"/>
        <v>0</v>
      </c>
      <c r="AJ14" s="34"/>
      <c r="AK14" s="11">
        <f t="shared" si="2"/>
        <v>18</v>
      </c>
      <c r="AL14" s="11">
        <f t="shared" si="2"/>
        <v>0</v>
      </c>
      <c r="AM14" s="11">
        <f t="shared" si="2"/>
        <v>0</v>
      </c>
      <c r="AN14" s="11">
        <f t="shared" si="2"/>
        <v>0</v>
      </c>
      <c r="AO14" s="35"/>
    </row>
    <row r="15" spans="1:41" x14ac:dyDescent="0.2">
      <c r="A15" s="80">
        <v>10</v>
      </c>
      <c r="B15" s="41">
        <v>649208</v>
      </c>
      <c r="C15" s="14"/>
      <c r="D15" s="14"/>
      <c r="E15" s="41"/>
      <c r="F15" s="18"/>
      <c r="G15" s="18"/>
      <c r="H15" s="15"/>
      <c r="I15" s="40">
        <v>21529</v>
      </c>
      <c r="J15" s="42">
        <v>2003</v>
      </c>
      <c r="K15" s="42"/>
      <c r="L15" s="42"/>
      <c r="M15" s="15"/>
      <c r="N15" s="41">
        <v>227672</v>
      </c>
      <c r="O15" s="41"/>
      <c r="P15" s="41"/>
      <c r="Q15" s="18"/>
      <c r="R15" s="11">
        <f t="shared" si="3"/>
        <v>0</v>
      </c>
      <c r="S15" s="16"/>
      <c r="T15" s="17">
        <v>0</v>
      </c>
      <c r="U15" s="17">
        <v>0</v>
      </c>
      <c r="V15" s="17">
        <v>0</v>
      </c>
      <c r="W15" s="43"/>
      <c r="X15" s="80">
        <v>10</v>
      </c>
      <c r="Y15" s="11">
        <f t="shared" si="4"/>
        <v>47</v>
      </c>
      <c r="Z15" s="11">
        <f t="shared" si="0"/>
        <v>0</v>
      </c>
      <c r="AA15" s="11">
        <f t="shared" si="0"/>
        <v>0</v>
      </c>
      <c r="AB15" s="11">
        <f t="shared" si="0"/>
        <v>0</v>
      </c>
      <c r="AC15" s="11">
        <f t="shared" si="0"/>
        <v>0</v>
      </c>
      <c r="AD15" s="11">
        <f t="shared" si="0"/>
        <v>0</v>
      </c>
      <c r="AE15" s="34"/>
      <c r="AF15" s="11">
        <f t="shared" si="1"/>
        <v>29</v>
      </c>
      <c r="AG15" s="11">
        <f t="shared" si="1"/>
        <v>10</v>
      </c>
      <c r="AH15" s="11">
        <f t="shared" si="1"/>
        <v>0</v>
      </c>
      <c r="AI15" s="11">
        <f t="shared" si="1"/>
        <v>0</v>
      </c>
      <c r="AJ15" s="34"/>
      <c r="AK15" s="11">
        <f t="shared" si="2"/>
        <v>20</v>
      </c>
      <c r="AL15" s="11">
        <f t="shared" si="2"/>
        <v>0</v>
      </c>
      <c r="AM15" s="11">
        <f t="shared" si="2"/>
        <v>0</v>
      </c>
      <c r="AN15" s="11">
        <f t="shared" si="2"/>
        <v>0</v>
      </c>
      <c r="AO15" s="35"/>
    </row>
    <row r="16" spans="1:41" x14ac:dyDescent="0.2">
      <c r="A16" s="80">
        <v>11</v>
      </c>
      <c r="B16" s="41">
        <v>649236</v>
      </c>
      <c r="C16" s="14"/>
      <c r="D16" s="14"/>
      <c r="E16" s="41"/>
      <c r="F16" s="18"/>
      <c r="G16" s="18"/>
      <c r="H16" s="15"/>
      <c r="I16" s="40">
        <v>21548</v>
      </c>
      <c r="J16" s="42">
        <v>2003</v>
      </c>
      <c r="K16" s="42"/>
      <c r="L16" s="42"/>
      <c r="M16" s="15"/>
      <c r="N16" s="41">
        <v>227690</v>
      </c>
      <c r="O16" s="41"/>
      <c r="P16" s="41"/>
      <c r="Q16" s="18"/>
      <c r="R16" s="11">
        <f t="shared" si="3"/>
        <v>0</v>
      </c>
      <c r="S16" s="16"/>
      <c r="T16" s="17">
        <v>0</v>
      </c>
      <c r="U16" s="17">
        <v>0</v>
      </c>
      <c r="V16" s="17">
        <v>0</v>
      </c>
      <c r="W16" s="43"/>
      <c r="X16" s="80">
        <v>11</v>
      </c>
      <c r="Y16" s="11">
        <f t="shared" si="4"/>
        <v>28</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 t="shared" si="2"/>
        <v>18</v>
      </c>
      <c r="AL16" s="11">
        <f t="shared" si="2"/>
        <v>0</v>
      </c>
      <c r="AM16" s="11">
        <f t="shared" si="2"/>
        <v>0</v>
      </c>
      <c r="AN16" s="11">
        <f t="shared" si="2"/>
        <v>0</v>
      </c>
      <c r="AO16" s="35"/>
    </row>
    <row r="17" spans="1:41" x14ac:dyDescent="0.2">
      <c r="A17" s="80">
        <v>12</v>
      </c>
      <c r="B17" s="41">
        <v>649276</v>
      </c>
      <c r="C17" s="14"/>
      <c r="D17" s="14"/>
      <c r="E17" s="41"/>
      <c r="F17" s="18"/>
      <c r="G17" s="18"/>
      <c r="H17" s="15"/>
      <c r="I17" s="40">
        <v>21572</v>
      </c>
      <c r="J17" s="42">
        <v>2008</v>
      </c>
      <c r="K17" s="42"/>
      <c r="L17" s="42"/>
      <c r="M17" s="15"/>
      <c r="N17" s="41">
        <v>227713</v>
      </c>
      <c r="O17" s="41"/>
      <c r="P17" s="41"/>
      <c r="Q17" s="18"/>
      <c r="R17" s="11">
        <f t="shared" si="3"/>
        <v>0</v>
      </c>
      <c r="S17" s="16"/>
      <c r="T17" s="17">
        <v>0</v>
      </c>
      <c r="U17" s="17">
        <v>0</v>
      </c>
      <c r="V17" s="17">
        <v>0</v>
      </c>
      <c r="W17" s="43"/>
      <c r="X17" s="80">
        <v>12</v>
      </c>
      <c r="Y17" s="11">
        <f t="shared" si="4"/>
        <v>40</v>
      </c>
      <c r="Z17" s="11">
        <f t="shared" si="0"/>
        <v>0</v>
      </c>
      <c r="AA17" s="11">
        <f t="shared" si="0"/>
        <v>0</v>
      </c>
      <c r="AB17" s="11">
        <f t="shared" si="0"/>
        <v>0</v>
      </c>
      <c r="AC17" s="11">
        <f t="shared" si="0"/>
        <v>0</v>
      </c>
      <c r="AD17" s="11">
        <f t="shared" si="0"/>
        <v>0</v>
      </c>
      <c r="AE17" s="34"/>
      <c r="AF17" s="11">
        <f t="shared" si="1"/>
        <v>24</v>
      </c>
      <c r="AG17" s="11">
        <f t="shared" si="1"/>
        <v>5</v>
      </c>
      <c r="AH17" s="11">
        <f t="shared" si="1"/>
        <v>0</v>
      </c>
      <c r="AI17" s="11">
        <f t="shared" si="1"/>
        <v>0</v>
      </c>
      <c r="AJ17" s="34"/>
      <c r="AK17" s="11">
        <f t="shared" si="2"/>
        <v>23</v>
      </c>
      <c r="AL17" s="11">
        <f t="shared" si="2"/>
        <v>0</v>
      </c>
      <c r="AM17" s="11">
        <f t="shared" si="2"/>
        <v>0</v>
      </c>
      <c r="AN17" s="11">
        <f t="shared" si="2"/>
        <v>0</v>
      </c>
      <c r="AO17" s="35"/>
    </row>
    <row r="18" spans="1:41" x14ac:dyDescent="0.2">
      <c r="A18" s="80">
        <v>13</v>
      </c>
      <c r="B18" s="41">
        <v>649313</v>
      </c>
      <c r="C18" s="14"/>
      <c r="D18" s="14"/>
      <c r="E18" s="41"/>
      <c r="F18" s="18"/>
      <c r="G18" s="18"/>
      <c r="H18" s="15"/>
      <c r="I18" s="40">
        <v>21595</v>
      </c>
      <c r="J18" s="42">
        <v>2013</v>
      </c>
      <c r="K18" s="42"/>
      <c r="L18" s="42"/>
      <c r="M18" s="15"/>
      <c r="N18" s="41">
        <v>227734</v>
      </c>
      <c r="O18" s="41"/>
      <c r="P18" s="41"/>
      <c r="Q18" s="18"/>
      <c r="R18" s="11">
        <f t="shared" si="3"/>
        <v>0</v>
      </c>
      <c r="S18" s="16"/>
      <c r="T18" s="17">
        <v>0</v>
      </c>
      <c r="U18" s="17">
        <v>0</v>
      </c>
      <c r="V18" s="17">
        <v>0</v>
      </c>
      <c r="W18" s="43"/>
      <c r="X18" s="80">
        <v>13</v>
      </c>
      <c r="Y18" s="11">
        <f t="shared" si="4"/>
        <v>37</v>
      </c>
      <c r="Z18" s="11">
        <f t="shared" si="0"/>
        <v>0</v>
      </c>
      <c r="AA18" s="11">
        <f t="shared" si="0"/>
        <v>0</v>
      </c>
      <c r="AB18" s="11">
        <f t="shared" si="0"/>
        <v>0</v>
      </c>
      <c r="AC18" s="11">
        <f t="shared" si="0"/>
        <v>0</v>
      </c>
      <c r="AD18" s="11">
        <f t="shared" si="0"/>
        <v>0</v>
      </c>
      <c r="AE18" s="34"/>
      <c r="AF18" s="11">
        <f t="shared" si="1"/>
        <v>23</v>
      </c>
      <c r="AG18" s="11">
        <f t="shared" si="1"/>
        <v>5</v>
      </c>
      <c r="AH18" s="11">
        <f t="shared" si="1"/>
        <v>0</v>
      </c>
      <c r="AI18" s="11">
        <f t="shared" si="1"/>
        <v>0</v>
      </c>
      <c r="AJ18" s="34"/>
      <c r="AK18" s="11">
        <f t="shared" si="2"/>
        <v>21</v>
      </c>
      <c r="AL18" s="11">
        <f t="shared" si="2"/>
        <v>0</v>
      </c>
      <c r="AM18" s="11">
        <f t="shared" si="2"/>
        <v>0</v>
      </c>
      <c r="AN18" s="11">
        <f t="shared" si="2"/>
        <v>0</v>
      </c>
      <c r="AO18" s="35"/>
    </row>
    <row r="19" spans="1:41" x14ac:dyDescent="0.2">
      <c r="A19" s="80">
        <v>14</v>
      </c>
      <c r="B19" s="41">
        <v>649345</v>
      </c>
      <c r="C19" s="14"/>
      <c r="D19" s="14"/>
      <c r="E19" s="41"/>
      <c r="F19" s="18"/>
      <c r="G19" s="18"/>
      <c r="H19" s="15"/>
      <c r="I19" s="40">
        <v>21617</v>
      </c>
      <c r="J19" s="42">
        <v>2017</v>
      </c>
      <c r="K19" s="42"/>
      <c r="L19" s="42"/>
      <c r="M19" s="15"/>
      <c r="N19" s="41">
        <v>227756</v>
      </c>
      <c r="O19" s="41"/>
      <c r="P19" s="41"/>
      <c r="Q19" s="18"/>
      <c r="R19" s="11">
        <f t="shared" si="3"/>
        <v>0</v>
      </c>
      <c r="S19" s="16"/>
      <c r="T19" s="17">
        <v>0</v>
      </c>
      <c r="U19" s="17">
        <v>0</v>
      </c>
      <c r="V19" s="17">
        <v>0</v>
      </c>
      <c r="W19" s="43"/>
      <c r="X19" s="80">
        <v>14</v>
      </c>
      <c r="Y19" s="11">
        <f t="shared" si="4"/>
        <v>32</v>
      </c>
      <c r="Z19" s="11">
        <f t="shared" si="0"/>
        <v>0</v>
      </c>
      <c r="AA19" s="11">
        <f t="shared" si="0"/>
        <v>0</v>
      </c>
      <c r="AB19" s="11">
        <f t="shared" si="0"/>
        <v>0</v>
      </c>
      <c r="AC19" s="11">
        <f t="shared" si="0"/>
        <v>0</v>
      </c>
      <c r="AD19" s="11">
        <f t="shared" si="0"/>
        <v>0</v>
      </c>
      <c r="AE19" s="34"/>
      <c r="AF19" s="11">
        <f t="shared" si="1"/>
        <v>22</v>
      </c>
      <c r="AG19" s="11">
        <f t="shared" si="1"/>
        <v>4</v>
      </c>
      <c r="AH19" s="11">
        <f t="shared" si="1"/>
        <v>0</v>
      </c>
      <c r="AI19" s="11">
        <f t="shared" si="1"/>
        <v>0</v>
      </c>
      <c r="AJ19" s="34"/>
      <c r="AK19" s="11">
        <f t="shared" si="2"/>
        <v>22</v>
      </c>
      <c r="AL19" s="11">
        <f t="shared" si="2"/>
        <v>0</v>
      </c>
      <c r="AM19" s="11">
        <f t="shared" si="2"/>
        <v>0</v>
      </c>
      <c r="AN19" s="11">
        <f t="shared" si="2"/>
        <v>0</v>
      </c>
      <c r="AO19" s="35"/>
    </row>
    <row r="20" spans="1:41" x14ac:dyDescent="0.2">
      <c r="A20" s="80">
        <v>15</v>
      </c>
      <c r="B20" s="41">
        <v>649376</v>
      </c>
      <c r="C20" s="14"/>
      <c r="D20" s="14"/>
      <c r="E20" s="41"/>
      <c r="F20" s="18"/>
      <c r="G20" s="18"/>
      <c r="H20" s="15"/>
      <c r="I20" s="40">
        <v>21643</v>
      </c>
      <c r="J20" s="42">
        <v>2023</v>
      </c>
      <c r="K20" s="42"/>
      <c r="L20" s="42"/>
      <c r="M20" s="15"/>
      <c r="N20" s="41">
        <v>227776</v>
      </c>
      <c r="O20" s="41"/>
      <c r="P20" s="41"/>
      <c r="Q20" s="18"/>
      <c r="R20" s="11">
        <f t="shared" si="3"/>
        <v>0</v>
      </c>
      <c r="S20" s="16"/>
      <c r="T20" s="17">
        <v>0</v>
      </c>
      <c r="U20" s="17">
        <v>0</v>
      </c>
      <c r="V20" s="17">
        <v>0</v>
      </c>
      <c r="W20" s="43"/>
      <c r="X20" s="80">
        <v>15</v>
      </c>
      <c r="Y20" s="11">
        <f t="shared" si="4"/>
        <v>31</v>
      </c>
      <c r="Z20" s="11">
        <f t="shared" si="0"/>
        <v>0</v>
      </c>
      <c r="AA20" s="11">
        <f t="shared" si="0"/>
        <v>0</v>
      </c>
      <c r="AB20" s="11">
        <f t="shared" si="0"/>
        <v>0</v>
      </c>
      <c r="AC20" s="11">
        <f t="shared" si="0"/>
        <v>0</v>
      </c>
      <c r="AD20" s="11">
        <f t="shared" si="0"/>
        <v>0</v>
      </c>
      <c r="AE20" s="34"/>
      <c r="AF20" s="11">
        <f t="shared" si="1"/>
        <v>26</v>
      </c>
      <c r="AG20" s="11">
        <f t="shared" si="1"/>
        <v>6</v>
      </c>
      <c r="AH20" s="11">
        <f t="shared" si="1"/>
        <v>0</v>
      </c>
      <c r="AI20" s="11">
        <f t="shared" si="1"/>
        <v>0</v>
      </c>
      <c r="AJ20" s="34"/>
      <c r="AK20" s="11">
        <f t="shared" si="2"/>
        <v>20</v>
      </c>
      <c r="AL20" s="11">
        <f t="shared" si="2"/>
        <v>0</v>
      </c>
      <c r="AM20" s="11">
        <f t="shared" si="2"/>
        <v>0</v>
      </c>
      <c r="AN20" s="11">
        <f t="shared" si="2"/>
        <v>0</v>
      </c>
      <c r="AO20" s="35"/>
    </row>
    <row r="21" spans="1:41" x14ac:dyDescent="0.2">
      <c r="A21" s="80">
        <v>16</v>
      </c>
      <c r="B21" s="41">
        <v>649418</v>
      </c>
      <c r="C21" s="14"/>
      <c r="D21" s="14"/>
      <c r="E21" s="41"/>
      <c r="F21" s="18"/>
      <c r="G21" s="18"/>
      <c r="H21" s="15"/>
      <c r="I21" s="40">
        <v>21669</v>
      </c>
      <c r="J21" s="42">
        <v>2033</v>
      </c>
      <c r="K21" s="42"/>
      <c r="L21" s="42"/>
      <c r="M21" s="15"/>
      <c r="N21" s="41">
        <v>227798</v>
      </c>
      <c r="O21" s="41"/>
      <c r="P21" s="41"/>
      <c r="Q21" s="18"/>
      <c r="R21" s="11">
        <f t="shared" si="3"/>
        <v>0</v>
      </c>
      <c r="S21" s="16"/>
      <c r="T21" s="17">
        <v>0</v>
      </c>
      <c r="U21" s="17">
        <v>0</v>
      </c>
      <c r="V21" s="17">
        <v>0</v>
      </c>
      <c r="W21" s="43"/>
      <c r="X21" s="80">
        <v>16</v>
      </c>
      <c r="Y21" s="11">
        <f t="shared" si="4"/>
        <v>42</v>
      </c>
      <c r="Z21" s="11">
        <f t="shared" si="0"/>
        <v>0</v>
      </c>
      <c r="AA21" s="11">
        <f t="shared" si="0"/>
        <v>0</v>
      </c>
      <c r="AB21" s="11">
        <f t="shared" si="0"/>
        <v>0</v>
      </c>
      <c r="AC21" s="11">
        <f t="shared" si="0"/>
        <v>0</v>
      </c>
      <c r="AD21" s="11">
        <f t="shared" si="0"/>
        <v>0</v>
      </c>
      <c r="AE21" s="34"/>
      <c r="AF21" s="11">
        <f t="shared" si="1"/>
        <v>26</v>
      </c>
      <c r="AG21" s="11">
        <f t="shared" si="1"/>
        <v>10</v>
      </c>
      <c r="AH21" s="11">
        <f t="shared" si="1"/>
        <v>0</v>
      </c>
      <c r="AI21" s="11">
        <f t="shared" si="1"/>
        <v>0</v>
      </c>
      <c r="AJ21" s="34"/>
      <c r="AK21" s="11">
        <f t="shared" si="2"/>
        <v>22</v>
      </c>
      <c r="AL21" s="11">
        <f t="shared" si="2"/>
        <v>0</v>
      </c>
      <c r="AM21" s="11">
        <f t="shared" si="2"/>
        <v>0</v>
      </c>
      <c r="AN21" s="11">
        <f t="shared" si="2"/>
        <v>0</v>
      </c>
      <c r="AO21" s="35"/>
    </row>
    <row r="22" spans="1:41" x14ac:dyDescent="0.2">
      <c r="A22" s="80">
        <v>17</v>
      </c>
      <c r="B22" s="41">
        <v>649450</v>
      </c>
      <c r="C22" s="14"/>
      <c r="D22" s="14"/>
      <c r="E22" s="41"/>
      <c r="F22" s="18"/>
      <c r="G22" s="18"/>
      <c r="H22" s="15"/>
      <c r="I22" s="40">
        <v>21694</v>
      </c>
      <c r="J22" s="42">
        <v>2037</v>
      </c>
      <c r="K22" s="42"/>
      <c r="L22" s="42"/>
      <c r="M22" s="15"/>
      <c r="N22" s="41">
        <v>227820</v>
      </c>
      <c r="O22" s="41"/>
      <c r="P22" s="41"/>
      <c r="Q22" s="18"/>
      <c r="R22" s="11">
        <f t="shared" si="3"/>
        <v>0</v>
      </c>
      <c r="S22" s="16"/>
      <c r="T22" s="17">
        <v>0</v>
      </c>
      <c r="U22" s="17">
        <v>0</v>
      </c>
      <c r="V22" s="17">
        <v>0</v>
      </c>
      <c r="W22" s="43"/>
      <c r="X22" s="80">
        <v>17</v>
      </c>
      <c r="Y22" s="11">
        <f t="shared" si="4"/>
        <v>32</v>
      </c>
      <c r="Z22" s="11">
        <f t="shared" si="4"/>
        <v>0</v>
      </c>
      <c r="AA22" s="11">
        <f t="shared" si="4"/>
        <v>0</v>
      </c>
      <c r="AB22" s="11">
        <f t="shared" si="4"/>
        <v>0</v>
      </c>
      <c r="AC22" s="11">
        <f t="shared" si="4"/>
        <v>0</v>
      </c>
      <c r="AD22" s="11">
        <f t="shared" si="4"/>
        <v>0</v>
      </c>
      <c r="AE22" s="34"/>
      <c r="AF22" s="11">
        <f t="shared" ref="AF22:AI36" si="5">I22-I21</f>
        <v>25</v>
      </c>
      <c r="AG22" s="11">
        <f t="shared" si="5"/>
        <v>4</v>
      </c>
      <c r="AH22" s="11">
        <f t="shared" si="5"/>
        <v>0</v>
      </c>
      <c r="AI22" s="11">
        <f t="shared" si="5"/>
        <v>0</v>
      </c>
      <c r="AJ22" s="34"/>
      <c r="AK22" s="11">
        <f t="shared" ref="AK22:AN36" si="6">N22-N21</f>
        <v>22</v>
      </c>
      <c r="AL22" s="11">
        <f t="shared" si="6"/>
        <v>0</v>
      </c>
      <c r="AM22" s="11">
        <f t="shared" si="6"/>
        <v>0</v>
      </c>
      <c r="AN22" s="11">
        <f t="shared" si="6"/>
        <v>0</v>
      </c>
      <c r="AO22" s="35"/>
    </row>
    <row r="23" spans="1:41" x14ac:dyDescent="0.2">
      <c r="A23" s="80">
        <v>18</v>
      </c>
      <c r="B23" s="41">
        <v>649492</v>
      </c>
      <c r="C23" s="14"/>
      <c r="D23" s="14"/>
      <c r="E23" s="41"/>
      <c r="F23" s="18"/>
      <c r="G23" s="18"/>
      <c r="H23" s="15"/>
      <c r="I23" s="40">
        <v>21718</v>
      </c>
      <c r="J23" s="42">
        <v>2042</v>
      </c>
      <c r="K23" s="42"/>
      <c r="L23" s="42"/>
      <c r="M23" s="15"/>
      <c r="N23" s="41">
        <v>227841</v>
      </c>
      <c r="O23" s="41"/>
      <c r="P23" s="41"/>
      <c r="Q23" s="18"/>
      <c r="R23" s="11">
        <f t="shared" si="3"/>
        <v>0</v>
      </c>
      <c r="S23" s="16"/>
      <c r="T23" s="17">
        <v>0</v>
      </c>
      <c r="U23" s="17">
        <v>0</v>
      </c>
      <c r="V23" s="17">
        <v>0</v>
      </c>
      <c r="W23" s="43"/>
      <c r="X23" s="80">
        <v>18</v>
      </c>
      <c r="Y23" s="11">
        <f t="shared" si="4"/>
        <v>42</v>
      </c>
      <c r="Z23" s="11">
        <f t="shared" si="4"/>
        <v>0</v>
      </c>
      <c r="AA23" s="11">
        <f t="shared" si="4"/>
        <v>0</v>
      </c>
      <c r="AB23" s="11">
        <f t="shared" si="4"/>
        <v>0</v>
      </c>
      <c r="AC23" s="11">
        <f t="shared" si="4"/>
        <v>0</v>
      </c>
      <c r="AD23" s="11">
        <f t="shared" si="4"/>
        <v>0</v>
      </c>
      <c r="AE23" s="34"/>
      <c r="AF23" s="11">
        <f t="shared" si="5"/>
        <v>24</v>
      </c>
      <c r="AG23" s="11">
        <f t="shared" si="5"/>
        <v>5</v>
      </c>
      <c r="AH23" s="11">
        <f t="shared" si="5"/>
        <v>0</v>
      </c>
      <c r="AI23" s="11">
        <f t="shared" si="5"/>
        <v>0</v>
      </c>
      <c r="AJ23" s="34"/>
      <c r="AK23" s="11">
        <f t="shared" si="6"/>
        <v>21</v>
      </c>
      <c r="AL23" s="11">
        <f t="shared" si="6"/>
        <v>0</v>
      </c>
      <c r="AM23" s="11">
        <f t="shared" si="6"/>
        <v>0</v>
      </c>
      <c r="AN23" s="11">
        <f t="shared" si="6"/>
        <v>0</v>
      </c>
      <c r="AO23" s="35"/>
    </row>
    <row r="24" spans="1:41" x14ac:dyDescent="0.2">
      <c r="A24" s="80">
        <v>19</v>
      </c>
      <c r="B24" s="41">
        <v>649528</v>
      </c>
      <c r="C24" s="14"/>
      <c r="D24" s="14"/>
      <c r="E24" s="41"/>
      <c r="F24" s="18"/>
      <c r="G24" s="18"/>
      <c r="H24" s="15"/>
      <c r="I24" s="40">
        <v>21742</v>
      </c>
      <c r="J24" s="42">
        <v>2047</v>
      </c>
      <c r="K24" s="42"/>
      <c r="L24" s="42"/>
      <c r="M24" s="15"/>
      <c r="N24" s="41">
        <v>227863</v>
      </c>
      <c r="O24" s="41"/>
      <c r="P24" s="41"/>
      <c r="Q24" s="18"/>
      <c r="R24" s="11">
        <f t="shared" si="3"/>
        <v>0</v>
      </c>
      <c r="S24" s="16"/>
      <c r="T24" s="17">
        <v>0</v>
      </c>
      <c r="U24" s="17">
        <v>0</v>
      </c>
      <c r="V24" s="17">
        <v>0</v>
      </c>
      <c r="W24" s="43"/>
      <c r="X24" s="80">
        <v>19</v>
      </c>
      <c r="Y24" s="11">
        <f t="shared" si="4"/>
        <v>36</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22</v>
      </c>
      <c r="AL24" s="11">
        <f t="shared" si="6"/>
        <v>0</v>
      </c>
      <c r="AM24" s="11">
        <f t="shared" si="6"/>
        <v>0</v>
      </c>
      <c r="AN24" s="11">
        <f t="shared" si="6"/>
        <v>0</v>
      </c>
      <c r="AO24" s="35"/>
    </row>
    <row r="25" spans="1:41" x14ac:dyDescent="0.2">
      <c r="A25" s="80">
        <v>20</v>
      </c>
      <c r="B25" s="41">
        <v>649560</v>
      </c>
      <c r="C25" s="14"/>
      <c r="D25" s="14"/>
      <c r="E25" s="41"/>
      <c r="F25" s="18"/>
      <c r="G25" s="18"/>
      <c r="H25" s="15"/>
      <c r="I25" s="40">
        <v>21766</v>
      </c>
      <c r="J25" s="42">
        <v>2053</v>
      </c>
      <c r="K25" s="42"/>
      <c r="L25" s="42"/>
      <c r="M25" s="15"/>
      <c r="N25" s="41">
        <v>227884</v>
      </c>
      <c r="O25" s="41"/>
      <c r="P25" s="41"/>
      <c r="Q25" s="18"/>
      <c r="R25" s="11">
        <f t="shared" si="3"/>
        <v>0</v>
      </c>
      <c r="S25" s="16"/>
      <c r="T25" s="17">
        <v>0</v>
      </c>
      <c r="U25" s="17">
        <v>0</v>
      </c>
      <c r="V25" s="17">
        <v>0</v>
      </c>
      <c r="W25" s="43"/>
      <c r="X25" s="80">
        <v>20</v>
      </c>
      <c r="Y25" s="11">
        <f t="shared" si="4"/>
        <v>32</v>
      </c>
      <c r="Z25" s="11">
        <f t="shared" si="4"/>
        <v>0</v>
      </c>
      <c r="AA25" s="11">
        <f t="shared" si="4"/>
        <v>0</v>
      </c>
      <c r="AB25" s="11">
        <f t="shared" si="4"/>
        <v>0</v>
      </c>
      <c r="AC25" s="11">
        <f t="shared" si="4"/>
        <v>0</v>
      </c>
      <c r="AD25" s="11">
        <f t="shared" si="4"/>
        <v>0</v>
      </c>
      <c r="AE25" s="34"/>
      <c r="AF25" s="11">
        <f t="shared" si="5"/>
        <v>24</v>
      </c>
      <c r="AG25" s="11">
        <f t="shared" si="5"/>
        <v>6</v>
      </c>
      <c r="AH25" s="11">
        <f t="shared" si="5"/>
        <v>0</v>
      </c>
      <c r="AI25" s="11">
        <f t="shared" si="5"/>
        <v>0</v>
      </c>
      <c r="AJ25" s="34"/>
      <c r="AK25" s="11">
        <f t="shared" si="6"/>
        <v>21</v>
      </c>
      <c r="AL25" s="11">
        <f t="shared" si="6"/>
        <v>0</v>
      </c>
      <c r="AM25" s="11">
        <f t="shared" si="6"/>
        <v>0</v>
      </c>
      <c r="AN25" s="11">
        <f t="shared" si="6"/>
        <v>0</v>
      </c>
      <c r="AO25" s="35"/>
    </row>
    <row r="26" spans="1:41" x14ac:dyDescent="0.2">
      <c r="A26" s="80">
        <v>21</v>
      </c>
      <c r="B26" s="41">
        <v>649601</v>
      </c>
      <c r="C26" s="14"/>
      <c r="D26" s="14"/>
      <c r="E26" s="41"/>
      <c r="F26" s="18"/>
      <c r="G26" s="18"/>
      <c r="H26" s="15"/>
      <c r="I26" s="40">
        <v>21788</v>
      </c>
      <c r="J26" s="42">
        <v>2060</v>
      </c>
      <c r="K26" s="42"/>
      <c r="L26" s="42"/>
      <c r="M26" s="15"/>
      <c r="N26" s="41">
        <v>227905</v>
      </c>
      <c r="O26" s="41"/>
      <c r="P26" s="41"/>
      <c r="Q26" s="18"/>
      <c r="R26" s="11">
        <f t="shared" si="3"/>
        <v>0</v>
      </c>
      <c r="S26" s="16"/>
      <c r="T26" s="17">
        <v>0</v>
      </c>
      <c r="U26" s="17">
        <v>0</v>
      </c>
      <c r="V26" s="17">
        <v>0</v>
      </c>
      <c r="W26" s="43"/>
      <c r="X26" s="80">
        <v>21</v>
      </c>
      <c r="Y26" s="11">
        <f t="shared" si="4"/>
        <v>41</v>
      </c>
      <c r="Z26" s="11">
        <f t="shared" si="4"/>
        <v>0</v>
      </c>
      <c r="AA26" s="11">
        <f t="shared" si="4"/>
        <v>0</v>
      </c>
      <c r="AB26" s="11">
        <f t="shared" si="4"/>
        <v>0</v>
      </c>
      <c r="AC26" s="11">
        <f t="shared" si="4"/>
        <v>0</v>
      </c>
      <c r="AD26" s="11">
        <f t="shared" si="4"/>
        <v>0</v>
      </c>
      <c r="AE26" s="34"/>
      <c r="AF26" s="11">
        <f t="shared" si="5"/>
        <v>22</v>
      </c>
      <c r="AG26" s="11">
        <f t="shared" si="5"/>
        <v>7</v>
      </c>
      <c r="AH26" s="11">
        <f t="shared" si="5"/>
        <v>0</v>
      </c>
      <c r="AI26" s="11">
        <f t="shared" si="5"/>
        <v>0</v>
      </c>
      <c r="AJ26" s="34"/>
      <c r="AK26" s="11">
        <f t="shared" si="6"/>
        <v>21</v>
      </c>
      <c r="AL26" s="11">
        <f t="shared" si="6"/>
        <v>0</v>
      </c>
      <c r="AM26" s="11">
        <f t="shared" si="6"/>
        <v>0</v>
      </c>
      <c r="AN26" s="11">
        <f t="shared" si="6"/>
        <v>0</v>
      </c>
      <c r="AO26" s="35"/>
    </row>
    <row r="27" spans="1:41" x14ac:dyDescent="0.2">
      <c r="A27" s="80">
        <v>22</v>
      </c>
      <c r="B27" s="41">
        <v>649637</v>
      </c>
      <c r="C27" s="14"/>
      <c r="D27" s="14"/>
      <c r="E27" s="41"/>
      <c r="F27" s="18"/>
      <c r="G27" s="18"/>
      <c r="H27" s="15"/>
      <c r="I27" s="40">
        <v>21810</v>
      </c>
      <c r="J27" s="42">
        <v>2066</v>
      </c>
      <c r="K27" s="42"/>
      <c r="L27" s="42"/>
      <c r="M27" s="15"/>
      <c r="N27" s="41">
        <v>227924</v>
      </c>
      <c r="O27" s="41"/>
      <c r="P27" s="41"/>
      <c r="Q27" s="18"/>
      <c r="R27" s="11">
        <f t="shared" si="3"/>
        <v>0</v>
      </c>
      <c r="S27" s="16"/>
      <c r="T27" s="17">
        <v>0</v>
      </c>
      <c r="U27" s="17">
        <v>0</v>
      </c>
      <c r="V27" s="17">
        <v>0</v>
      </c>
      <c r="W27" s="43"/>
      <c r="X27" s="80">
        <v>22</v>
      </c>
      <c r="Y27" s="11">
        <f t="shared" si="4"/>
        <v>36</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19</v>
      </c>
      <c r="AL27" s="11">
        <f t="shared" si="6"/>
        <v>0</v>
      </c>
      <c r="AM27" s="11">
        <f t="shared" si="6"/>
        <v>0</v>
      </c>
      <c r="AN27" s="11">
        <f t="shared" si="6"/>
        <v>0</v>
      </c>
      <c r="AO27" s="35"/>
    </row>
    <row r="28" spans="1:41" x14ac:dyDescent="0.2">
      <c r="A28" s="80">
        <v>23</v>
      </c>
      <c r="B28" s="41">
        <v>649669</v>
      </c>
      <c r="C28" s="14"/>
      <c r="D28" s="14"/>
      <c r="E28" s="41"/>
      <c r="F28" s="18"/>
      <c r="G28" s="18"/>
      <c r="H28" s="15"/>
      <c r="I28" s="40">
        <v>21828</v>
      </c>
      <c r="J28" s="42">
        <v>2068</v>
      </c>
      <c r="K28" s="42"/>
      <c r="L28" s="42"/>
      <c r="M28" s="15"/>
      <c r="N28" s="41">
        <v>227948</v>
      </c>
      <c r="O28" s="41"/>
      <c r="P28" s="41"/>
      <c r="Q28" s="18"/>
      <c r="R28" s="11">
        <f t="shared" si="3"/>
        <v>0</v>
      </c>
      <c r="S28" s="16"/>
      <c r="T28" s="17">
        <v>0</v>
      </c>
      <c r="U28" s="17">
        <v>0</v>
      </c>
      <c r="V28" s="17">
        <v>0</v>
      </c>
      <c r="W28" s="43"/>
      <c r="X28" s="80">
        <v>23</v>
      </c>
      <c r="Y28" s="11">
        <f t="shared" si="4"/>
        <v>32</v>
      </c>
      <c r="Z28" s="11">
        <f t="shared" si="4"/>
        <v>0</v>
      </c>
      <c r="AA28" s="11">
        <f t="shared" si="4"/>
        <v>0</v>
      </c>
      <c r="AB28" s="11">
        <f t="shared" si="4"/>
        <v>0</v>
      </c>
      <c r="AC28" s="11">
        <f t="shared" si="4"/>
        <v>0</v>
      </c>
      <c r="AD28" s="11">
        <f t="shared" si="4"/>
        <v>0</v>
      </c>
      <c r="AE28" s="34"/>
      <c r="AF28" s="11">
        <f t="shared" si="5"/>
        <v>18</v>
      </c>
      <c r="AG28" s="11">
        <f t="shared" si="5"/>
        <v>2</v>
      </c>
      <c r="AH28" s="11">
        <f t="shared" si="5"/>
        <v>0</v>
      </c>
      <c r="AI28" s="11">
        <f t="shared" si="5"/>
        <v>0</v>
      </c>
      <c r="AJ28" s="34"/>
      <c r="AK28" s="11">
        <f t="shared" si="6"/>
        <v>24</v>
      </c>
      <c r="AL28" s="11">
        <f t="shared" si="6"/>
        <v>0</v>
      </c>
      <c r="AM28" s="11">
        <f t="shared" si="6"/>
        <v>0</v>
      </c>
      <c r="AN28" s="11">
        <f t="shared" si="6"/>
        <v>0</v>
      </c>
      <c r="AO28" s="35"/>
    </row>
    <row r="29" spans="1:41" x14ac:dyDescent="0.2">
      <c r="A29" s="80">
        <v>24</v>
      </c>
      <c r="B29" s="41">
        <v>649700</v>
      </c>
      <c r="C29" s="14"/>
      <c r="D29" s="14"/>
      <c r="E29" s="41"/>
      <c r="F29" s="18"/>
      <c r="G29" s="18"/>
      <c r="H29" s="15"/>
      <c r="I29" s="40">
        <v>21851</v>
      </c>
      <c r="J29" s="42">
        <v>2075</v>
      </c>
      <c r="K29" s="42"/>
      <c r="L29" s="42"/>
      <c r="M29" s="15"/>
      <c r="N29" s="41">
        <v>227968</v>
      </c>
      <c r="O29" s="41"/>
      <c r="P29" s="41"/>
      <c r="Q29" s="18"/>
      <c r="R29" s="11">
        <f t="shared" si="3"/>
        <v>0</v>
      </c>
      <c r="S29" s="16"/>
      <c r="T29" s="17">
        <v>0</v>
      </c>
      <c r="U29" s="17">
        <v>0</v>
      </c>
      <c r="V29" s="17">
        <v>0</v>
      </c>
      <c r="W29" s="43"/>
      <c r="X29" s="80">
        <v>24</v>
      </c>
      <c r="Y29" s="11">
        <f t="shared" si="4"/>
        <v>31</v>
      </c>
      <c r="Z29" s="11">
        <f t="shared" si="4"/>
        <v>0</v>
      </c>
      <c r="AA29" s="11">
        <f t="shared" si="4"/>
        <v>0</v>
      </c>
      <c r="AB29" s="11">
        <f t="shared" si="4"/>
        <v>0</v>
      </c>
      <c r="AC29" s="11">
        <f t="shared" si="4"/>
        <v>0</v>
      </c>
      <c r="AD29" s="11">
        <f t="shared" si="4"/>
        <v>0</v>
      </c>
      <c r="AE29" s="34"/>
      <c r="AF29" s="11">
        <f t="shared" si="5"/>
        <v>23</v>
      </c>
      <c r="AG29" s="11">
        <f t="shared" si="5"/>
        <v>7</v>
      </c>
      <c r="AH29" s="11">
        <f t="shared" si="5"/>
        <v>0</v>
      </c>
      <c r="AI29" s="11">
        <f t="shared" si="5"/>
        <v>0</v>
      </c>
      <c r="AJ29" s="34"/>
      <c r="AK29" s="11">
        <f t="shared" si="6"/>
        <v>20</v>
      </c>
      <c r="AL29" s="11">
        <f t="shared" si="6"/>
        <v>0</v>
      </c>
      <c r="AM29" s="11">
        <f t="shared" si="6"/>
        <v>0</v>
      </c>
      <c r="AN29" s="11">
        <f t="shared" si="6"/>
        <v>0</v>
      </c>
      <c r="AO29" s="35"/>
    </row>
    <row r="30" spans="1:41" x14ac:dyDescent="0.2">
      <c r="A30" s="80">
        <v>25</v>
      </c>
      <c r="B30" s="41">
        <v>649749</v>
      </c>
      <c r="C30" s="14"/>
      <c r="D30" s="14"/>
      <c r="E30" s="41"/>
      <c r="F30" s="18"/>
      <c r="G30" s="18"/>
      <c r="H30" s="15"/>
      <c r="I30" s="40">
        <v>21871</v>
      </c>
      <c r="J30" s="42">
        <v>2079</v>
      </c>
      <c r="K30" s="42"/>
      <c r="L30" s="42"/>
      <c r="M30" s="15"/>
      <c r="N30" s="41">
        <v>227990</v>
      </c>
      <c r="O30" s="41"/>
      <c r="P30" s="41"/>
      <c r="Q30" s="18"/>
      <c r="R30" s="11">
        <f t="shared" si="3"/>
        <v>0</v>
      </c>
      <c r="S30" s="16"/>
      <c r="T30" s="17">
        <v>0</v>
      </c>
      <c r="U30" s="17">
        <v>0</v>
      </c>
      <c r="V30" s="17">
        <v>0</v>
      </c>
      <c r="W30" s="43"/>
      <c r="X30" s="80">
        <v>25</v>
      </c>
      <c r="Y30" s="11">
        <f t="shared" si="4"/>
        <v>49</v>
      </c>
      <c r="Z30" s="11">
        <f t="shared" si="4"/>
        <v>0</v>
      </c>
      <c r="AA30" s="11">
        <f t="shared" si="4"/>
        <v>0</v>
      </c>
      <c r="AB30" s="11">
        <f t="shared" si="4"/>
        <v>0</v>
      </c>
      <c r="AC30" s="11">
        <f t="shared" si="4"/>
        <v>0</v>
      </c>
      <c r="AD30" s="11">
        <f t="shared" si="4"/>
        <v>0</v>
      </c>
      <c r="AE30" s="34"/>
      <c r="AF30" s="11">
        <f t="shared" si="5"/>
        <v>20</v>
      </c>
      <c r="AG30" s="11">
        <f t="shared" si="5"/>
        <v>4</v>
      </c>
      <c r="AH30" s="11">
        <f t="shared" si="5"/>
        <v>0</v>
      </c>
      <c r="AI30" s="11">
        <f t="shared" si="5"/>
        <v>0</v>
      </c>
      <c r="AJ30" s="34"/>
      <c r="AK30" s="11">
        <f t="shared" si="6"/>
        <v>22</v>
      </c>
      <c r="AL30" s="11">
        <f t="shared" si="6"/>
        <v>0</v>
      </c>
      <c r="AM30" s="11">
        <f t="shared" si="6"/>
        <v>0</v>
      </c>
      <c r="AN30" s="11">
        <f t="shared" si="6"/>
        <v>0</v>
      </c>
      <c r="AO30" s="35"/>
    </row>
    <row r="31" spans="1:41" x14ac:dyDescent="0.2">
      <c r="A31" s="80">
        <v>26</v>
      </c>
      <c r="B31" s="41">
        <v>649781</v>
      </c>
      <c r="C31" s="14"/>
      <c r="D31" s="14"/>
      <c r="E31" s="41"/>
      <c r="F31" s="18"/>
      <c r="G31" s="18"/>
      <c r="H31" s="15"/>
      <c r="I31" s="40">
        <v>21892</v>
      </c>
      <c r="J31" s="42">
        <v>2085</v>
      </c>
      <c r="K31" s="42"/>
      <c r="L31" s="42"/>
      <c r="M31" s="15"/>
      <c r="N31" s="41">
        <v>228012</v>
      </c>
      <c r="O31" s="41"/>
      <c r="P31" s="41"/>
      <c r="Q31" s="18"/>
      <c r="R31" s="11">
        <f t="shared" si="3"/>
        <v>0</v>
      </c>
      <c r="S31" s="16"/>
      <c r="T31" s="17">
        <v>0</v>
      </c>
      <c r="U31" s="17">
        <v>0</v>
      </c>
      <c r="V31" s="17">
        <v>0</v>
      </c>
      <c r="W31" s="43"/>
      <c r="X31" s="80">
        <v>26</v>
      </c>
      <c r="Y31" s="11">
        <f t="shared" si="4"/>
        <v>32</v>
      </c>
      <c r="Z31" s="11">
        <f t="shared" si="4"/>
        <v>0</v>
      </c>
      <c r="AA31" s="11">
        <f t="shared" si="4"/>
        <v>0</v>
      </c>
      <c r="AB31" s="11">
        <f t="shared" si="4"/>
        <v>0</v>
      </c>
      <c r="AC31" s="11">
        <f t="shared" si="4"/>
        <v>0</v>
      </c>
      <c r="AD31" s="11">
        <f t="shared" si="4"/>
        <v>0</v>
      </c>
      <c r="AE31" s="34"/>
      <c r="AF31" s="11">
        <f t="shared" si="5"/>
        <v>21</v>
      </c>
      <c r="AG31" s="11">
        <f t="shared" si="5"/>
        <v>6</v>
      </c>
      <c r="AH31" s="11">
        <f t="shared" si="5"/>
        <v>0</v>
      </c>
      <c r="AI31" s="11">
        <f t="shared" si="5"/>
        <v>0</v>
      </c>
      <c r="AJ31" s="34"/>
      <c r="AK31" s="11">
        <f t="shared" si="6"/>
        <v>22</v>
      </c>
      <c r="AL31" s="11">
        <f t="shared" si="6"/>
        <v>0</v>
      </c>
      <c r="AM31" s="11">
        <f t="shared" si="6"/>
        <v>0</v>
      </c>
      <c r="AN31" s="11">
        <f t="shared" si="6"/>
        <v>0</v>
      </c>
      <c r="AO31" s="35"/>
    </row>
    <row r="32" spans="1:41" x14ac:dyDescent="0.2">
      <c r="A32" s="80">
        <v>27</v>
      </c>
      <c r="B32" s="41">
        <v>649823</v>
      </c>
      <c r="C32" s="14"/>
      <c r="D32" s="14"/>
      <c r="E32" s="41"/>
      <c r="F32" s="18"/>
      <c r="G32" s="18"/>
      <c r="H32" s="15"/>
      <c r="I32" s="40">
        <v>21916</v>
      </c>
      <c r="J32" s="42">
        <v>2091</v>
      </c>
      <c r="K32" s="42"/>
      <c r="L32" s="42"/>
      <c r="M32" s="15"/>
      <c r="N32" s="41">
        <v>228035</v>
      </c>
      <c r="O32" s="41"/>
      <c r="P32" s="41"/>
      <c r="Q32" s="18"/>
      <c r="R32" s="11">
        <f t="shared" si="3"/>
        <v>0</v>
      </c>
      <c r="S32" s="16"/>
      <c r="T32" s="17">
        <v>0</v>
      </c>
      <c r="U32" s="17">
        <v>0</v>
      </c>
      <c r="V32" s="17">
        <v>0</v>
      </c>
      <c r="W32" s="43"/>
      <c r="X32" s="80">
        <v>27</v>
      </c>
      <c r="Y32" s="11">
        <f t="shared" si="4"/>
        <v>42</v>
      </c>
      <c r="Z32" s="11">
        <f t="shared" si="4"/>
        <v>0</v>
      </c>
      <c r="AA32" s="11">
        <f t="shared" si="4"/>
        <v>0</v>
      </c>
      <c r="AB32" s="11">
        <f t="shared" si="4"/>
        <v>0</v>
      </c>
      <c r="AC32" s="11">
        <f t="shared" si="4"/>
        <v>0</v>
      </c>
      <c r="AD32" s="11">
        <f t="shared" si="4"/>
        <v>0</v>
      </c>
      <c r="AE32" s="34"/>
      <c r="AF32" s="11">
        <f t="shared" si="5"/>
        <v>24</v>
      </c>
      <c r="AG32" s="11">
        <f t="shared" si="5"/>
        <v>6</v>
      </c>
      <c r="AH32" s="11">
        <f t="shared" si="5"/>
        <v>0</v>
      </c>
      <c r="AI32" s="11">
        <f t="shared" si="5"/>
        <v>0</v>
      </c>
      <c r="AJ32" s="34"/>
      <c r="AK32" s="11">
        <f t="shared" si="6"/>
        <v>23</v>
      </c>
      <c r="AL32" s="11">
        <f t="shared" si="6"/>
        <v>0</v>
      </c>
      <c r="AM32" s="11">
        <f t="shared" si="6"/>
        <v>0</v>
      </c>
      <c r="AN32" s="11">
        <f t="shared" si="6"/>
        <v>0</v>
      </c>
      <c r="AO32" s="35"/>
    </row>
    <row r="33" spans="1:41" x14ac:dyDescent="0.2">
      <c r="A33" s="80">
        <v>28</v>
      </c>
      <c r="B33" s="41">
        <v>649865</v>
      </c>
      <c r="C33" s="14"/>
      <c r="D33" s="14"/>
      <c r="E33" s="41"/>
      <c r="F33" s="18"/>
      <c r="G33" s="18"/>
      <c r="H33" s="15"/>
      <c r="I33" s="40">
        <v>21944</v>
      </c>
      <c r="J33" s="42">
        <v>2098</v>
      </c>
      <c r="K33" s="42"/>
      <c r="L33" s="42"/>
      <c r="M33" s="15"/>
      <c r="N33" s="41">
        <v>228057</v>
      </c>
      <c r="O33" s="41"/>
      <c r="P33" s="41"/>
      <c r="Q33" s="18"/>
      <c r="R33" s="11">
        <f t="shared" si="3"/>
        <v>0</v>
      </c>
      <c r="S33" s="16"/>
      <c r="T33" s="17">
        <v>0</v>
      </c>
      <c r="U33" s="17">
        <v>0</v>
      </c>
      <c r="V33" s="17">
        <v>0</v>
      </c>
      <c r="W33" s="43"/>
      <c r="X33" s="80">
        <v>28</v>
      </c>
      <c r="Y33" s="11">
        <f t="shared" si="4"/>
        <v>42</v>
      </c>
      <c r="Z33" s="11">
        <f t="shared" si="4"/>
        <v>0</v>
      </c>
      <c r="AA33" s="11">
        <f t="shared" si="4"/>
        <v>0</v>
      </c>
      <c r="AB33" s="11">
        <f t="shared" si="4"/>
        <v>0</v>
      </c>
      <c r="AC33" s="11">
        <f t="shared" si="4"/>
        <v>0</v>
      </c>
      <c r="AD33" s="11">
        <f t="shared" si="4"/>
        <v>0</v>
      </c>
      <c r="AE33" s="34"/>
      <c r="AF33" s="11">
        <f t="shared" si="5"/>
        <v>28</v>
      </c>
      <c r="AG33" s="11">
        <f t="shared" si="5"/>
        <v>7</v>
      </c>
      <c r="AH33" s="11">
        <f t="shared" si="5"/>
        <v>0</v>
      </c>
      <c r="AI33" s="11">
        <f t="shared" si="5"/>
        <v>0</v>
      </c>
      <c r="AJ33" s="34"/>
      <c r="AK33" s="11">
        <f t="shared" si="6"/>
        <v>22</v>
      </c>
      <c r="AL33" s="11">
        <f t="shared" si="6"/>
        <v>0</v>
      </c>
      <c r="AM33" s="11">
        <f t="shared" si="6"/>
        <v>0</v>
      </c>
      <c r="AN33" s="11">
        <f t="shared" si="6"/>
        <v>0</v>
      </c>
      <c r="AO33" s="35"/>
    </row>
    <row r="34" spans="1:41" x14ac:dyDescent="0.2">
      <c r="A34" s="80">
        <v>29</v>
      </c>
      <c r="B34" s="41">
        <v>649906</v>
      </c>
      <c r="C34" s="14"/>
      <c r="D34" s="14"/>
      <c r="E34" s="41"/>
      <c r="F34" s="18"/>
      <c r="G34" s="18"/>
      <c r="H34" s="15"/>
      <c r="I34" s="40">
        <v>21971</v>
      </c>
      <c r="J34" s="42">
        <v>2104</v>
      </c>
      <c r="K34" s="42"/>
      <c r="L34" s="42"/>
      <c r="M34" s="15"/>
      <c r="N34" s="41">
        <v>228080</v>
      </c>
      <c r="O34" s="41"/>
      <c r="P34" s="41"/>
      <c r="Q34" s="18"/>
      <c r="R34" s="11">
        <f t="shared" si="3"/>
        <v>0</v>
      </c>
      <c r="S34" s="16"/>
      <c r="T34" s="17">
        <v>0</v>
      </c>
      <c r="U34" s="17">
        <v>0</v>
      </c>
      <c r="V34" s="17">
        <v>0</v>
      </c>
      <c r="W34" s="43"/>
      <c r="X34" s="80">
        <v>29</v>
      </c>
      <c r="Y34" s="11">
        <f t="shared" ref="Y34:Y36" si="7">B34-B33</f>
        <v>41</v>
      </c>
      <c r="Z34" s="11">
        <f t="shared" ref="Z34:AD36" si="8">C34-C33</f>
        <v>0</v>
      </c>
      <c r="AA34" s="11">
        <f t="shared" si="8"/>
        <v>0</v>
      </c>
      <c r="AB34" s="11">
        <f t="shared" si="8"/>
        <v>0</v>
      </c>
      <c r="AC34" s="11">
        <f t="shared" si="8"/>
        <v>0</v>
      </c>
      <c r="AD34" s="11">
        <f t="shared" si="8"/>
        <v>0</v>
      </c>
      <c r="AE34" s="34"/>
      <c r="AF34" s="11">
        <f t="shared" si="5"/>
        <v>27</v>
      </c>
      <c r="AG34" s="11">
        <f t="shared" si="5"/>
        <v>6</v>
      </c>
      <c r="AH34" s="11">
        <f t="shared" si="5"/>
        <v>0</v>
      </c>
      <c r="AI34" s="11">
        <f t="shared" si="5"/>
        <v>0</v>
      </c>
      <c r="AJ34" s="34"/>
      <c r="AK34" s="11">
        <f t="shared" si="6"/>
        <v>23</v>
      </c>
      <c r="AL34" s="11">
        <f t="shared" si="6"/>
        <v>0</v>
      </c>
      <c r="AM34" s="11">
        <f t="shared" si="6"/>
        <v>0</v>
      </c>
      <c r="AN34" s="11">
        <f t="shared" si="6"/>
        <v>0</v>
      </c>
      <c r="AO34" s="35"/>
    </row>
    <row r="35" spans="1:41" x14ac:dyDescent="0.2">
      <c r="A35" s="80">
        <v>30</v>
      </c>
      <c r="B35" s="41">
        <v>649950</v>
      </c>
      <c r="C35" s="14"/>
      <c r="D35" s="14"/>
      <c r="E35" s="41"/>
      <c r="F35" s="18"/>
      <c r="G35" s="18"/>
      <c r="H35" s="15"/>
      <c r="I35" s="40">
        <v>21996</v>
      </c>
      <c r="J35" s="42">
        <v>2112</v>
      </c>
      <c r="K35" s="42"/>
      <c r="L35" s="42"/>
      <c r="M35" s="15"/>
      <c r="N35" s="41">
        <v>228099</v>
      </c>
      <c r="O35" s="41"/>
      <c r="P35" s="41"/>
      <c r="Q35" s="18"/>
      <c r="R35" s="11">
        <f t="shared" si="3"/>
        <v>0</v>
      </c>
      <c r="S35" s="16"/>
      <c r="T35" s="17">
        <v>0</v>
      </c>
      <c r="U35" s="17">
        <v>0</v>
      </c>
      <c r="V35" s="17">
        <v>0</v>
      </c>
      <c r="W35" s="43"/>
      <c r="X35" s="80">
        <v>30</v>
      </c>
      <c r="Y35" s="11">
        <f t="shared" si="7"/>
        <v>44</v>
      </c>
      <c r="Z35" s="11">
        <f t="shared" si="8"/>
        <v>0</v>
      </c>
      <c r="AA35" s="11">
        <f t="shared" si="8"/>
        <v>0</v>
      </c>
      <c r="AB35" s="11">
        <f t="shared" si="8"/>
        <v>0</v>
      </c>
      <c r="AC35" s="11">
        <f t="shared" si="8"/>
        <v>0</v>
      </c>
      <c r="AD35" s="11">
        <f t="shared" si="8"/>
        <v>0</v>
      </c>
      <c r="AE35" s="34"/>
      <c r="AF35" s="11">
        <f t="shared" si="5"/>
        <v>25</v>
      </c>
      <c r="AG35" s="11">
        <f t="shared" si="5"/>
        <v>8</v>
      </c>
      <c r="AH35" s="11">
        <f t="shared" si="5"/>
        <v>0</v>
      </c>
      <c r="AI35" s="11">
        <f t="shared" si="5"/>
        <v>0</v>
      </c>
      <c r="AJ35" s="34"/>
      <c r="AK35" s="11">
        <f t="shared" si="6"/>
        <v>19</v>
      </c>
      <c r="AL35" s="11">
        <f t="shared" si="6"/>
        <v>0</v>
      </c>
      <c r="AM35" s="11">
        <f t="shared" si="6"/>
        <v>0</v>
      </c>
      <c r="AN35" s="11">
        <f t="shared" si="6"/>
        <v>0</v>
      </c>
      <c r="AO35" s="35"/>
    </row>
    <row r="36" spans="1:41" x14ac:dyDescent="0.2">
      <c r="A36" s="80">
        <v>31</v>
      </c>
      <c r="B36" s="41"/>
      <c r="C36" s="14"/>
      <c r="D36" s="14"/>
      <c r="E36" s="41"/>
      <c r="F36" s="18"/>
      <c r="G36" s="18"/>
      <c r="H36" s="15"/>
      <c r="I36" s="40"/>
      <c r="J36" s="42"/>
      <c r="K36" s="42"/>
      <c r="L36" s="42"/>
      <c r="M36" s="15"/>
      <c r="N36" s="41"/>
      <c r="O36" s="41"/>
      <c r="P36" s="41"/>
      <c r="Q36" s="18"/>
      <c r="R36" s="11">
        <f t="shared" si="3"/>
        <v>0</v>
      </c>
      <c r="S36" s="16"/>
      <c r="T36" s="17">
        <v>0</v>
      </c>
      <c r="U36" s="17">
        <v>0</v>
      </c>
      <c r="V36" s="17">
        <v>0</v>
      </c>
      <c r="W36" s="43"/>
      <c r="X36" s="80">
        <v>31</v>
      </c>
      <c r="Y36" s="11">
        <f t="shared" si="7"/>
        <v>-649950</v>
      </c>
      <c r="Z36" s="11">
        <f t="shared" si="8"/>
        <v>0</v>
      </c>
      <c r="AA36" s="11">
        <f t="shared" si="8"/>
        <v>0</v>
      </c>
      <c r="AB36" s="11">
        <f t="shared" si="8"/>
        <v>0</v>
      </c>
      <c r="AC36" s="11">
        <f t="shared" si="8"/>
        <v>0</v>
      </c>
      <c r="AD36" s="11">
        <f t="shared" si="8"/>
        <v>0</v>
      </c>
      <c r="AE36" s="34"/>
      <c r="AF36" s="11">
        <f t="shared" si="5"/>
        <v>-21996</v>
      </c>
      <c r="AG36" s="11">
        <f t="shared" si="5"/>
        <v>-2112</v>
      </c>
      <c r="AH36" s="11">
        <f t="shared" si="5"/>
        <v>0</v>
      </c>
      <c r="AI36" s="11">
        <f t="shared" si="5"/>
        <v>0</v>
      </c>
      <c r="AJ36" s="34"/>
      <c r="AK36" s="11">
        <f t="shared" si="6"/>
        <v>-228099</v>
      </c>
      <c r="AL36" s="11">
        <f t="shared" si="6"/>
        <v>0</v>
      </c>
      <c r="AM36" s="11">
        <f t="shared" si="6"/>
        <v>0</v>
      </c>
      <c r="AN36" s="11">
        <f t="shared" si="6"/>
        <v>0</v>
      </c>
      <c r="AO36" s="36"/>
    </row>
    <row r="37" spans="1:41" x14ac:dyDescent="0.2">
      <c r="B37" s="20" t="s">
        <v>32</v>
      </c>
      <c r="C37" s="32"/>
      <c r="D37" s="32"/>
      <c r="E37" s="20" t="s">
        <v>31</v>
      </c>
      <c r="F37" s="19" t="s">
        <v>32</v>
      </c>
      <c r="G37" s="19" t="s">
        <v>32</v>
      </c>
      <c r="I37" s="19" t="s">
        <v>32</v>
      </c>
      <c r="J37" s="21" t="s">
        <v>33</v>
      </c>
      <c r="K37" s="21" t="s">
        <v>33</v>
      </c>
      <c r="L37" s="21" t="s">
        <v>32</v>
      </c>
      <c r="N37" s="20" t="s">
        <v>31</v>
      </c>
      <c r="O37" s="20" t="s">
        <v>31</v>
      </c>
      <c r="P37" s="20" t="s">
        <v>31</v>
      </c>
      <c r="Q37" s="19" t="s">
        <v>32</v>
      </c>
    </row>
    <row r="39" spans="1:41" x14ac:dyDescent="0.2">
      <c r="A39" s="80" t="s">
        <v>34</v>
      </c>
      <c r="B39" s="10">
        <f t="shared" ref="B39:G39" si="9">LARGE(B5:B36, 1)</f>
        <v>649950</v>
      </c>
      <c r="C39" s="11">
        <f t="shared" si="9"/>
        <v>0</v>
      </c>
      <c r="D39" s="11">
        <f t="shared" si="9"/>
        <v>0</v>
      </c>
      <c r="E39" s="22">
        <f t="shared" si="9"/>
        <v>973328</v>
      </c>
      <c r="F39" s="10">
        <f t="shared" si="9"/>
        <v>78080</v>
      </c>
      <c r="G39" s="10">
        <f t="shared" si="9"/>
        <v>21830</v>
      </c>
      <c r="H39" s="23"/>
      <c r="I39" s="10">
        <f>LARGE(I5:I36, 1)</f>
        <v>21996</v>
      </c>
      <c r="J39" s="24">
        <f>LARGE(J5:J36, 1)</f>
        <v>2112</v>
      </c>
      <c r="K39" s="24">
        <f>LARGE(K5:K36, 1)</f>
        <v>25201</v>
      </c>
      <c r="L39" s="24">
        <f>LARGE(L5:L36, 1)</f>
        <v>114</v>
      </c>
      <c r="M39" s="8"/>
      <c r="N39" s="22">
        <f>LARGE(N5:N36, 1)</f>
        <v>228099</v>
      </c>
      <c r="O39" s="22">
        <f>LARGE(O5:O36, 1)</f>
        <v>412436</v>
      </c>
      <c r="P39" s="22">
        <f>LARGE(P5:P36, 1)</f>
        <v>584676</v>
      </c>
      <c r="Q39" s="10">
        <f>LARGE(Q5:Q36, 1)</f>
        <v>21947</v>
      </c>
      <c r="R39" s="19"/>
      <c r="S39" s="9"/>
      <c r="T39" s="11">
        <f>LARGE(T5:T36, 1)</f>
        <v>0</v>
      </c>
      <c r="U39" s="11">
        <f>LARGE(U5:U36, 1)</f>
        <v>0</v>
      </c>
      <c r="V39" s="11">
        <f>LARGE(V5:V36, 1)</f>
        <v>0</v>
      </c>
      <c r="X39" s="80" t="s">
        <v>35</v>
      </c>
      <c r="Y39" s="55">
        <f t="shared" ref="Y39:AD39" si="10">AVERAGEIF($W$6:$W$36, "x",Y6:Y36)</f>
        <v>32.888888888888886</v>
      </c>
      <c r="Z39" s="55">
        <f t="shared" si="10"/>
        <v>0</v>
      </c>
      <c r="AA39" s="55">
        <f t="shared" si="10"/>
        <v>0</v>
      </c>
      <c r="AB39" s="55">
        <f t="shared" si="10"/>
        <v>-108147.55555555556</v>
      </c>
      <c r="AC39" s="55">
        <f t="shared" si="10"/>
        <v>-8675.5555555555547</v>
      </c>
      <c r="AD39" s="55">
        <f t="shared" si="10"/>
        <v>-2425.5555555555557</v>
      </c>
      <c r="AE39" s="56"/>
      <c r="AF39" s="55">
        <f>AVERAGEIF($W$6:$W$36, "x",AF6:AF36)</f>
        <v>15.555555555555555</v>
      </c>
      <c r="AG39" s="55">
        <f>AVERAGEIF($W$6:$W$36, "x",AG6:AG36)</f>
        <v>5.2222222222222223</v>
      </c>
      <c r="AH39" s="55">
        <f>AVERAGEIF($W$6:$W$36, "x",AH6:AH36)</f>
        <v>-2800.1111111111113</v>
      </c>
      <c r="AI39" s="55">
        <f>AVERAGEIF($W$6:$W$36, "x",AI6:AI36)</f>
        <v>-12.666666666666666</v>
      </c>
      <c r="AJ39" s="56"/>
      <c r="AK39" s="55">
        <f>AVERAGEIF($W$6:$W$36, "x",AK6:AK36)</f>
        <v>19.111111111111111</v>
      </c>
      <c r="AL39" s="55">
        <f>AVERAGEIF($W$6:$W$36, "x",AL6:AL36)</f>
        <v>-45826.222222222219</v>
      </c>
      <c r="AM39" s="55">
        <f>AVERAGEIF($W$6:$W$36, "x",AM6:AM36)</f>
        <v>-64964</v>
      </c>
      <c r="AN39" s="55">
        <f>AVERAGEIF($W$6:$W$36, "x",AN6:AN36)</f>
        <v>-2438.5555555555557</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1085</v>
      </c>
      <c r="C42" s="26">
        <f t="shared" ref="C42:V42" si="11">C39-C5</f>
        <v>0</v>
      </c>
      <c r="D42" s="26">
        <f t="shared" si="11"/>
        <v>0</v>
      </c>
      <c r="E42" s="26">
        <f t="shared" si="11"/>
        <v>0</v>
      </c>
      <c r="F42" s="26">
        <f t="shared" si="11"/>
        <v>0</v>
      </c>
      <c r="G42" s="26">
        <f t="shared" si="11"/>
        <v>0</v>
      </c>
      <c r="I42" s="26">
        <f t="shared" si="11"/>
        <v>636</v>
      </c>
      <c r="J42" s="26">
        <f t="shared" si="11"/>
        <v>166</v>
      </c>
      <c r="K42" s="26">
        <f t="shared" si="11"/>
        <v>0</v>
      </c>
      <c r="L42" s="26">
        <f t="shared" si="11"/>
        <v>0</v>
      </c>
      <c r="N42" s="26">
        <f t="shared" si="11"/>
        <v>619</v>
      </c>
      <c r="O42" s="26">
        <f t="shared" si="11"/>
        <v>0</v>
      </c>
      <c r="P42" s="26">
        <f t="shared" si="11"/>
        <v>0</v>
      </c>
      <c r="Q42" s="26">
        <f t="shared" si="11"/>
        <v>0</v>
      </c>
      <c r="R42" s="26"/>
      <c r="T42" s="26">
        <f t="shared" si="11"/>
        <v>0</v>
      </c>
      <c r="U42" s="26">
        <f t="shared" si="11"/>
        <v>0</v>
      </c>
      <c r="V42" s="26">
        <f t="shared" si="11"/>
        <v>0</v>
      </c>
      <c r="X42" s="96"/>
      <c r="Y42" s="53">
        <f>May!Y39</f>
        <v>33.612903225806448</v>
      </c>
      <c r="Z42" s="53">
        <f>May!Z39</f>
        <v>0</v>
      </c>
      <c r="AA42" s="53">
        <f>May!AA39</f>
        <v>0</v>
      </c>
      <c r="AB42" s="53">
        <f>May!AB39</f>
        <v>-31397.677419354837</v>
      </c>
      <c r="AC42" s="53">
        <f>May!AC39</f>
        <v>-2518.7096774193546</v>
      </c>
      <c r="AD42" s="53">
        <f>May!AD39</f>
        <v>-704.19354838709683</v>
      </c>
      <c r="AE42" s="57"/>
      <c r="AF42" s="53">
        <f>May!AF39</f>
        <v>16.161290322580644</v>
      </c>
      <c r="AG42" s="53">
        <f>May!AG39</f>
        <v>4.096774193548387</v>
      </c>
      <c r="AH42" s="53">
        <f>May!AH39</f>
        <v>-812.93548387096769</v>
      </c>
      <c r="AI42" s="53">
        <f>May!AI39</f>
        <v>-3.6774193548387095</v>
      </c>
      <c r="AJ42" s="57"/>
      <c r="AK42" s="53">
        <f>May!AK39</f>
        <v>18.70967741935484</v>
      </c>
      <c r="AL42" s="53">
        <f>May!AL39</f>
        <v>-13304.387096774193</v>
      </c>
      <c r="AM42" s="53">
        <f>May!AM39</f>
        <v>-18860.516129032258</v>
      </c>
      <c r="AN42" s="53">
        <f>May!AN39</f>
        <v>-707.9677419354839</v>
      </c>
    </row>
    <row r="43" spans="1:41" x14ac:dyDescent="0.2">
      <c r="X43" s="80">
        <v>1.5</v>
      </c>
      <c r="Y43" s="54">
        <f>Y42*$X$43</f>
        <v>50.419354838709673</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24.241935483870968</v>
      </c>
      <c r="AG43" s="54">
        <f t="shared" si="13"/>
        <v>6.1451612903225801</v>
      </c>
      <c r="AH43" s="54">
        <f t="shared" si="13"/>
        <v>-1219.4032258064515</v>
      </c>
      <c r="AI43" s="54">
        <f t="shared" si="13"/>
        <v>-5.5161290322580641</v>
      </c>
      <c r="AJ43" s="56"/>
      <c r="AK43" s="54">
        <f t="shared" ref="AK43:AN43" si="14">AK42*$X$43</f>
        <v>28.06451612903226</v>
      </c>
      <c r="AL43" s="54">
        <f t="shared" si="14"/>
        <v>-19956.580645161288</v>
      </c>
      <c r="AM43" s="54">
        <f t="shared" si="14"/>
        <v>-28290.774193548386</v>
      </c>
      <c r="AN43" s="54">
        <f t="shared" si="14"/>
        <v>-1061.9516129032259</v>
      </c>
    </row>
    <row r="44" spans="1:41" x14ac:dyDescent="0.2">
      <c r="R44" s="31" t="s">
        <v>35</v>
      </c>
      <c r="X44" s="80">
        <v>0.5</v>
      </c>
      <c r="Y44" s="54">
        <f>Y42*$X$44</f>
        <v>16.806451612903224</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8.0806451612903221</v>
      </c>
      <c r="AG44" s="54">
        <f t="shared" si="16"/>
        <v>2.0483870967741935</v>
      </c>
      <c r="AH44" s="54">
        <f t="shared" si="16"/>
        <v>-406.46774193548384</v>
      </c>
      <c r="AI44" s="54">
        <f t="shared" si="16"/>
        <v>-1.8387096774193548</v>
      </c>
      <c r="AJ44" s="56"/>
      <c r="AK44" s="54">
        <f t="shared" ref="AK44:AL44" si="17">AK42*$X$44</f>
        <v>9.3548387096774199</v>
      </c>
      <c r="AL44" s="54">
        <f t="shared" si="17"/>
        <v>-6652.1935483870966</v>
      </c>
      <c r="AM44" s="54">
        <v>0</v>
      </c>
      <c r="AN44" s="54">
        <v>0</v>
      </c>
    </row>
    <row r="45" spans="1:41" x14ac:dyDescent="0.2">
      <c r="R45" s="11">
        <f>AVERAGE(R6:R36)</f>
        <v>-707.9677419354839</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550" priority="54" operator="lessThan">
      <formula>0</formula>
    </cfRule>
  </conditionalFormatting>
  <conditionalFormatting sqref="Y43:AD44 AF43:AI44 AK43:AN44">
    <cfRule type="cellIs" dxfId="549" priority="53" operator="lessThan">
      <formula>0</formula>
    </cfRule>
  </conditionalFormatting>
  <conditionalFormatting sqref="Y39:AN39">
    <cfRule type="cellIs" dxfId="548" priority="52" operator="lessThan">
      <formula>0</formula>
    </cfRule>
  </conditionalFormatting>
  <conditionalFormatting sqref="Y39">
    <cfRule type="cellIs" dxfId="547" priority="50" operator="lessThan">
      <formula>$Y$44</formula>
    </cfRule>
    <cfRule type="cellIs" dxfId="546" priority="51" operator="greaterThan">
      <formula>$Y$43</formula>
    </cfRule>
  </conditionalFormatting>
  <conditionalFormatting sqref="AB39">
    <cfRule type="cellIs" dxfId="545" priority="48" operator="lessThan">
      <formula>$AB$44</formula>
    </cfRule>
    <cfRule type="cellIs" dxfId="544" priority="49" operator="greaterThan">
      <formula>$AB$43</formula>
    </cfRule>
  </conditionalFormatting>
  <conditionalFormatting sqref="AC39">
    <cfRule type="cellIs" dxfId="543" priority="46" operator="lessThan">
      <formula>$AC$44</formula>
    </cfRule>
    <cfRule type="cellIs" dxfId="542" priority="47" operator="greaterThan">
      <formula>$AC$43</formula>
    </cfRule>
  </conditionalFormatting>
  <conditionalFormatting sqref="AD39">
    <cfRule type="cellIs" dxfId="541" priority="44" operator="lessThan">
      <formula>$AD$44</formula>
    </cfRule>
    <cfRule type="cellIs" dxfId="540" priority="45" operator="greaterThan">
      <formula>$AD$43</formula>
    </cfRule>
  </conditionalFormatting>
  <conditionalFormatting sqref="AF39">
    <cfRule type="cellIs" dxfId="539" priority="42" operator="lessThan">
      <formula>$AF$44</formula>
    </cfRule>
    <cfRule type="cellIs" dxfId="538" priority="43" operator="greaterThan">
      <formula>$AF$43</formula>
    </cfRule>
  </conditionalFormatting>
  <conditionalFormatting sqref="AG39">
    <cfRule type="cellIs" dxfId="537" priority="40" operator="lessThan">
      <formula>$AG$44</formula>
    </cfRule>
    <cfRule type="cellIs" dxfId="536" priority="41" operator="greaterThan">
      <formula>$AG$43</formula>
    </cfRule>
  </conditionalFormatting>
  <conditionalFormatting sqref="AH39">
    <cfRule type="cellIs" dxfId="535" priority="38" operator="lessThan">
      <formula>$AH$44</formula>
    </cfRule>
    <cfRule type="cellIs" dxfId="534" priority="39" operator="greaterThan">
      <formula>$AH$43</formula>
    </cfRule>
  </conditionalFormatting>
  <conditionalFormatting sqref="AI39">
    <cfRule type="cellIs" dxfId="533" priority="36" operator="lessThan">
      <formula>$AI$44</formula>
    </cfRule>
    <cfRule type="cellIs" dxfId="532" priority="37" operator="greaterThan">
      <formula>$AI$43</formula>
    </cfRule>
  </conditionalFormatting>
  <conditionalFormatting sqref="AK39">
    <cfRule type="cellIs" dxfId="531" priority="34" operator="lessThan">
      <formula>$AK$44</formula>
    </cfRule>
    <cfRule type="cellIs" dxfId="530" priority="35" operator="greaterThan">
      <formula>$AK$43</formula>
    </cfRule>
  </conditionalFormatting>
  <conditionalFormatting sqref="AL39">
    <cfRule type="cellIs" dxfId="529" priority="32" operator="lessThan">
      <formula>$AL$44</formula>
    </cfRule>
    <cfRule type="cellIs" dxfId="528" priority="33" operator="greaterThan">
      <formula>$AL$43</formula>
    </cfRule>
  </conditionalFormatting>
  <conditionalFormatting sqref="AM39">
    <cfRule type="cellIs" dxfId="527" priority="30" operator="lessThan">
      <formula>$AM$44</formula>
    </cfRule>
    <cfRule type="cellIs" dxfId="526" priority="31" operator="greaterThan">
      <formula>$AM$43</formula>
    </cfRule>
  </conditionalFormatting>
  <conditionalFormatting sqref="AN39">
    <cfRule type="cellIs" dxfId="525" priority="28" operator="lessThan">
      <formula>$AN$44</formula>
    </cfRule>
    <cfRule type="cellIs" dxfId="524" priority="29" operator="greaterThan">
      <formula>$AN$43</formula>
    </cfRule>
  </conditionalFormatting>
  <conditionalFormatting sqref="AB6:AB36">
    <cfRule type="cellIs" dxfId="523" priority="27" operator="notBetween">
      <formula>$AB$44</formula>
      <formula>$AB$43</formula>
    </cfRule>
  </conditionalFormatting>
  <conditionalFormatting sqref="AC6:AC36">
    <cfRule type="cellIs" dxfId="522" priority="16" operator="notBetween">
      <formula>$AC$43</formula>
      <formula>$AC$44</formula>
    </cfRule>
  </conditionalFormatting>
  <conditionalFormatting sqref="Y6:AN36">
    <cfRule type="cellIs" dxfId="521" priority="2" stopIfTrue="1" operator="equal">
      <formula>0</formula>
    </cfRule>
    <cfRule type="cellIs" dxfId="520" priority="3" stopIfTrue="1" operator="lessThan">
      <formula>0</formula>
    </cfRule>
  </conditionalFormatting>
  <conditionalFormatting sqref="Y6:Y36">
    <cfRule type="cellIs" dxfId="519" priority="25" operator="notBetween">
      <formula>$Y$44</formula>
      <formula>$Y$43</formula>
    </cfRule>
  </conditionalFormatting>
  <conditionalFormatting sqref="AD6:AD36">
    <cfRule type="cellIs" dxfId="518" priority="17" operator="notBetween">
      <formula>$AD$44</formula>
      <formula>$AD$43</formula>
    </cfRule>
  </conditionalFormatting>
  <conditionalFormatting sqref="AF6:AF36">
    <cfRule type="cellIs" dxfId="517" priority="18" operator="notBetween">
      <formula>$AF$44</formula>
      <formula>$AF$43</formula>
    </cfRule>
  </conditionalFormatting>
  <conditionalFormatting sqref="AG6:AG36">
    <cfRule type="cellIs" dxfId="516" priority="19" operator="notBetween">
      <formula>$AG$44</formula>
      <formula>$AG$43</formula>
    </cfRule>
  </conditionalFormatting>
  <conditionalFormatting sqref="AH6:AH36">
    <cfRule type="cellIs" dxfId="515" priority="20" operator="notBetween">
      <formula>$AH$44</formula>
      <formula>$AH$43</formula>
    </cfRule>
  </conditionalFormatting>
  <conditionalFormatting sqref="AI6:AI36">
    <cfRule type="cellIs" dxfId="514" priority="21" operator="notBetween">
      <formula>$AI$44</formula>
      <formula>$AI$43</formula>
    </cfRule>
  </conditionalFormatting>
  <conditionalFormatting sqref="AK6:AK36">
    <cfRule type="cellIs" dxfId="513" priority="22" operator="notBetween">
      <formula>$AK$44</formula>
      <formula>$AK$43</formula>
    </cfRule>
  </conditionalFormatting>
  <conditionalFormatting sqref="AL6:AL36">
    <cfRule type="cellIs" dxfId="512" priority="23" operator="notBetween">
      <formula>$AL$44</formula>
      <formula>$AL$43</formula>
    </cfRule>
  </conditionalFormatting>
  <conditionalFormatting sqref="AM6:AM36">
    <cfRule type="cellIs" dxfId="511" priority="26" operator="notBetween">
      <formula>$AM$44</formula>
      <formula>$AM$43</formula>
    </cfRule>
  </conditionalFormatting>
  <conditionalFormatting sqref="AN6:AN36">
    <cfRule type="cellIs" dxfId="510" priority="24" operator="notBetween">
      <formula>$AN$44</formula>
      <formula>$AN$43</formula>
    </cfRule>
  </conditionalFormatting>
  <conditionalFormatting sqref="AG6:AG39">
    <cfRule type="cellIs" dxfId="509" priority="13" stopIfTrue="1" operator="greaterThan">
      <formula>$AG$43*2</formula>
    </cfRule>
  </conditionalFormatting>
  <conditionalFormatting sqref="Y6:Y39">
    <cfRule type="cellIs" dxfId="508" priority="15" stopIfTrue="1" operator="greaterThan">
      <formula>$Y$43*2</formula>
    </cfRule>
  </conditionalFormatting>
  <conditionalFormatting sqref="AB6:AB39">
    <cfRule type="cellIs" dxfId="507" priority="14" stopIfTrue="1" operator="greaterThan">
      <formula>$AB$43*2</formula>
    </cfRule>
  </conditionalFormatting>
  <conditionalFormatting sqref="AC6:AC39">
    <cfRule type="cellIs" dxfId="506" priority="4" stopIfTrue="1" operator="greaterThan">
      <formula>$AC$43*2</formula>
    </cfRule>
  </conditionalFormatting>
  <conditionalFormatting sqref="AD6:AD39">
    <cfRule type="cellIs" dxfId="505" priority="5" stopIfTrue="1" operator="greaterThan">
      <formula>$AD$43*2</formula>
    </cfRule>
  </conditionalFormatting>
  <conditionalFormatting sqref="AF6:AF39">
    <cfRule type="cellIs" dxfId="504" priority="6" stopIfTrue="1" operator="greaterThan">
      <formula>$AF$43*2</formula>
    </cfRule>
  </conditionalFormatting>
  <conditionalFormatting sqref="AH6:AH39">
    <cfRule type="cellIs" dxfId="503" priority="7" stopIfTrue="1" operator="greaterThan">
      <formula>$AH$43*2</formula>
    </cfRule>
  </conditionalFormatting>
  <conditionalFormatting sqref="AI6:AI39">
    <cfRule type="cellIs" dxfId="502" priority="8" stopIfTrue="1" operator="greaterThan">
      <formula>$AI$43*2</formula>
    </cfRule>
  </conditionalFormatting>
  <conditionalFormatting sqref="AK6:AK39">
    <cfRule type="cellIs" dxfId="501" priority="10" stopIfTrue="1" operator="greaterThan">
      <formula>$AK$43*2</formula>
    </cfRule>
  </conditionalFormatting>
  <conditionalFormatting sqref="AL6:AL39">
    <cfRule type="cellIs" dxfId="500" priority="9" stopIfTrue="1" operator="greaterThan">
      <formula>$AL$43*2</formula>
    </cfRule>
  </conditionalFormatting>
  <conditionalFormatting sqref="AM6:AM39">
    <cfRule type="cellIs" dxfId="499" priority="11" stopIfTrue="1" operator="greaterThan">
      <formula>$AM$43*2</formula>
    </cfRule>
  </conditionalFormatting>
  <conditionalFormatting sqref="AN6:AN39">
    <cfRule type="cellIs" dxfId="498"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&amp;CJune Meter Reading</oddHeader>
    <oddFoote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1"/>
  <sheetViews>
    <sheetView zoomScaleNormal="100" workbookViewId="0">
      <pane ySplit="3" topLeftCell="A4" activePane="bottomLeft" state="frozen"/>
      <selection pane="bottomLeft" activeCell="G19" sqref="G19"/>
    </sheetView>
  </sheetViews>
  <sheetFormatPr defaultColWidth="9.28515625" defaultRowHeight="12.75" x14ac:dyDescent="0.2"/>
  <cols>
    <col min="1" max="1" width="3" style="12" customWidth="1"/>
    <col min="2" max="2" width="17.140625" customWidth="1"/>
    <col min="3" max="3" width="0.85546875" customWidth="1"/>
    <col min="4" max="4" width="9.85546875" customWidth="1"/>
    <col min="5" max="5" width="9.140625" customWidth="1"/>
    <col min="6" max="6" width="0.85546875" customWidth="1"/>
    <col min="7" max="7" width="15.28515625" customWidth="1"/>
    <col min="8" max="8" width="0.7109375" hidden="1" customWidth="1"/>
    <col min="9" max="9" width="0.140625" hidden="1" customWidth="1"/>
    <col min="10" max="10" width="8" hidden="1" customWidth="1"/>
    <col min="11" max="11" width="7" hidden="1" customWidth="1"/>
    <col min="12" max="12" width="0.1406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x14ac:dyDescent="0.2">
      <c r="A1" s="93"/>
      <c r="B1" s="77" t="s">
        <v>4</v>
      </c>
      <c r="C1" s="1"/>
      <c r="D1" s="86" t="s">
        <v>1</v>
      </c>
      <c r="E1" s="87"/>
      <c r="F1" s="1"/>
      <c r="G1" s="77" t="s">
        <v>5</v>
      </c>
      <c r="H1" s="78"/>
      <c r="I1" s="1"/>
      <c r="J1" s="84" t="s">
        <v>3</v>
      </c>
      <c r="K1" s="84"/>
      <c r="L1" s="84"/>
      <c r="N1" s="93"/>
      <c r="O1" s="77" t="s">
        <v>4</v>
      </c>
      <c r="P1" s="1"/>
      <c r="Q1" s="86" t="s">
        <v>1</v>
      </c>
      <c r="R1" s="86"/>
      <c r="S1" s="1"/>
      <c r="T1" s="77" t="s">
        <v>5</v>
      </c>
    </row>
    <row r="2" spans="1:21" x14ac:dyDescent="0.2">
      <c r="A2" s="94"/>
      <c r="B2" s="79" t="s">
        <v>11</v>
      </c>
      <c r="C2" s="2"/>
      <c r="D2" s="90" t="s">
        <v>7</v>
      </c>
      <c r="E2" s="92"/>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f>Jun!B39</f>
        <v>649950</v>
      </c>
      <c r="C5" s="15"/>
      <c r="D5" s="26">
        <f>Jun!I39</f>
        <v>21996</v>
      </c>
      <c r="E5" s="26">
        <f>Jun!J39</f>
        <v>2112</v>
      </c>
      <c r="F5" s="15"/>
      <c r="G5" s="26">
        <f>Jun!N39</f>
        <v>228099</v>
      </c>
      <c r="H5" s="11"/>
      <c r="I5" s="15"/>
      <c r="J5" s="26">
        <f>Jun!T39</f>
        <v>0</v>
      </c>
      <c r="K5" s="26">
        <f>Jun!U39</f>
        <v>0</v>
      </c>
      <c r="L5" s="26">
        <f>Jun!V39</f>
        <v>0</v>
      </c>
      <c r="N5"/>
    </row>
    <row r="6" spans="1:21" x14ac:dyDescent="0.2">
      <c r="A6" s="7">
        <v>1</v>
      </c>
      <c r="B6" s="41"/>
      <c r="C6" s="15"/>
      <c r="D6" s="40"/>
      <c r="E6" s="42"/>
      <c r="F6" s="15"/>
      <c r="G6" s="41"/>
      <c r="H6" s="45" t="e">
        <f>#REF!-#REF!</f>
        <v>#REF!</v>
      </c>
      <c r="I6" s="16"/>
      <c r="J6" s="17">
        <v>0</v>
      </c>
      <c r="K6" s="17">
        <v>0</v>
      </c>
      <c r="L6" s="17">
        <v>0</v>
      </c>
      <c r="M6" s="43" t="s">
        <v>30</v>
      </c>
      <c r="N6" s="80">
        <v>1</v>
      </c>
      <c r="O6" s="11">
        <f t="shared" ref="O6:O36" si="0">B6-B5</f>
        <v>-649950</v>
      </c>
      <c r="P6" s="34"/>
      <c r="Q6" s="11">
        <f t="shared" ref="Q6:Q36" si="1">D6-D5</f>
        <v>-21996</v>
      </c>
      <c r="R6" s="11">
        <f t="shared" ref="R6:R36" si="2">E6-E5</f>
        <v>-2112</v>
      </c>
      <c r="S6" s="34"/>
      <c r="T6" s="11">
        <f t="shared" ref="T6:T36" si="3">G6-G5</f>
        <v>-228099</v>
      </c>
      <c r="U6" s="34"/>
    </row>
    <row r="7" spans="1:21" x14ac:dyDescent="0.2">
      <c r="A7" s="80">
        <v>2</v>
      </c>
      <c r="B7" s="41"/>
      <c r="C7" s="15"/>
      <c r="D7" s="40"/>
      <c r="E7" s="42"/>
      <c r="F7" s="15"/>
      <c r="G7" s="41"/>
      <c r="H7" s="45" t="e">
        <f>#REF!-#REF!</f>
        <v>#REF!</v>
      </c>
      <c r="I7" s="16"/>
      <c r="J7" s="17">
        <v>0</v>
      </c>
      <c r="K7" s="17">
        <v>0</v>
      </c>
      <c r="L7" s="17">
        <v>0</v>
      </c>
      <c r="M7" s="16"/>
      <c r="N7" s="80">
        <v>2</v>
      </c>
      <c r="O7" s="11">
        <f t="shared" si="0"/>
        <v>0</v>
      </c>
      <c r="P7" s="34"/>
      <c r="Q7" s="11">
        <f t="shared" si="1"/>
        <v>0</v>
      </c>
      <c r="R7" s="11">
        <f t="shared" si="2"/>
        <v>0</v>
      </c>
      <c r="S7" s="34"/>
      <c r="T7" s="11">
        <f t="shared" si="3"/>
        <v>0</v>
      </c>
      <c r="U7" s="35"/>
    </row>
    <row r="8" spans="1:21" x14ac:dyDescent="0.2">
      <c r="A8" s="80">
        <v>3</v>
      </c>
      <c r="B8" s="41"/>
      <c r="C8" s="15"/>
      <c r="D8" s="40"/>
      <c r="E8" s="42"/>
      <c r="F8" s="15"/>
      <c r="G8" s="41"/>
      <c r="H8" s="45" t="e">
        <f>#REF!-#REF!</f>
        <v>#REF!</v>
      </c>
      <c r="I8" s="16"/>
      <c r="J8" s="17">
        <v>0</v>
      </c>
      <c r="K8" s="17">
        <v>0</v>
      </c>
      <c r="L8" s="17">
        <v>0</v>
      </c>
      <c r="M8" s="16"/>
      <c r="N8" s="80">
        <v>3</v>
      </c>
      <c r="O8" s="11">
        <f t="shared" si="0"/>
        <v>0</v>
      </c>
      <c r="P8" s="34"/>
      <c r="Q8" s="11">
        <f t="shared" si="1"/>
        <v>0</v>
      </c>
      <c r="R8" s="11">
        <f t="shared" si="2"/>
        <v>0</v>
      </c>
      <c r="S8" s="34"/>
      <c r="T8" s="11">
        <f t="shared" si="3"/>
        <v>0</v>
      </c>
      <c r="U8" s="35"/>
    </row>
    <row r="9" spans="1:21" x14ac:dyDescent="0.2">
      <c r="A9" s="80">
        <v>4</v>
      </c>
      <c r="B9" s="41"/>
      <c r="C9" s="15"/>
      <c r="D9" s="40"/>
      <c r="E9" s="42"/>
      <c r="F9" s="15"/>
      <c r="G9" s="41"/>
      <c r="H9" s="45" t="e">
        <f>#REF!-#REF!</f>
        <v>#REF!</v>
      </c>
      <c r="I9" s="16"/>
      <c r="J9" s="17">
        <v>0</v>
      </c>
      <c r="K9" s="17">
        <v>0</v>
      </c>
      <c r="L9" s="17">
        <v>0</v>
      </c>
      <c r="M9" s="16"/>
      <c r="N9" s="80">
        <v>4</v>
      </c>
      <c r="O9" s="11">
        <f t="shared" si="0"/>
        <v>0</v>
      </c>
      <c r="P9" s="34"/>
      <c r="Q9" s="11">
        <f t="shared" si="1"/>
        <v>0</v>
      </c>
      <c r="R9" s="11">
        <f t="shared" si="2"/>
        <v>0</v>
      </c>
      <c r="S9" s="34"/>
      <c r="T9" s="11">
        <f t="shared" si="3"/>
        <v>0</v>
      </c>
      <c r="U9" s="35"/>
    </row>
    <row r="10" spans="1:21" x14ac:dyDescent="0.2">
      <c r="A10" s="80">
        <v>5</v>
      </c>
      <c r="B10" s="41"/>
      <c r="C10" s="15"/>
      <c r="D10" s="40"/>
      <c r="E10" s="42"/>
      <c r="F10" s="15"/>
      <c r="G10" s="41"/>
      <c r="H10" s="45" t="e">
        <f>#REF!-#REF!</f>
        <v>#REF!</v>
      </c>
      <c r="I10" s="16"/>
      <c r="J10" s="17">
        <v>0</v>
      </c>
      <c r="K10" s="17">
        <v>0</v>
      </c>
      <c r="L10" s="17">
        <v>0</v>
      </c>
      <c r="M10" s="16"/>
      <c r="N10" s="80">
        <v>5</v>
      </c>
      <c r="O10" s="11">
        <f t="shared" si="0"/>
        <v>0</v>
      </c>
      <c r="P10" s="34"/>
      <c r="Q10" s="11">
        <f t="shared" si="1"/>
        <v>0</v>
      </c>
      <c r="R10" s="11">
        <f t="shared" si="2"/>
        <v>0</v>
      </c>
      <c r="S10" s="34"/>
      <c r="T10" s="11">
        <f t="shared" si="3"/>
        <v>0</v>
      </c>
      <c r="U10" s="35"/>
    </row>
    <row r="11" spans="1:21" x14ac:dyDescent="0.2">
      <c r="A11" s="80">
        <v>6</v>
      </c>
      <c r="B11" s="41"/>
      <c r="C11" s="15"/>
      <c r="D11" s="40"/>
      <c r="E11" s="42"/>
      <c r="F11" s="15"/>
      <c r="G11" s="41"/>
      <c r="H11" s="45" t="e">
        <f>#REF!-#REF!</f>
        <v>#REF!</v>
      </c>
      <c r="I11" s="16"/>
      <c r="J11" s="17">
        <v>0</v>
      </c>
      <c r="K11" s="17">
        <v>0</v>
      </c>
      <c r="L11" s="17">
        <v>0</v>
      </c>
      <c r="M11" s="16"/>
      <c r="N11" s="80">
        <v>6</v>
      </c>
      <c r="O11" s="11">
        <f t="shared" si="0"/>
        <v>0</v>
      </c>
      <c r="P11" s="34"/>
      <c r="Q11" s="11">
        <f t="shared" si="1"/>
        <v>0</v>
      </c>
      <c r="R11" s="11">
        <f t="shared" si="2"/>
        <v>0</v>
      </c>
      <c r="S11" s="34"/>
      <c r="T11" s="11">
        <f t="shared" si="3"/>
        <v>0</v>
      </c>
      <c r="U11" s="35"/>
    </row>
    <row r="12" spans="1:21" x14ac:dyDescent="0.2">
      <c r="A12" s="80">
        <v>7</v>
      </c>
      <c r="B12" s="41"/>
      <c r="C12" s="15"/>
      <c r="D12" s="40"/>
      <c r="E12" s="42"/>
      <c r="F12" s="15"/>
      <c r="G12" s="41"/>
      <c r="H12" s="45" t="e">
        <f>#REF!-#REF!</f>
        <v>#REF!</v>
      </c>
      <c r="I12" s="16"/>
      <c r="J12" s="17">
        <v>0</v>
      </c>
      <c r="K12" s="17">
        <v>0</v>
      </c>
      <c r="L12" s="17">
        <v>0</v>
      </c>
      <c r="M12" s="16"/>
      <c r="N12" s="80">
        <v>7</v>
      </c>
      <c r="O12" s="11">
        <f t="shared" si="0"/>
        <v>0</v>
      </c>
      <c r="P12" s="34"/>
      <c r="Q12" s="11">
        <f t="shared" si="1"/>
        <v>0</v>
      </c>
      <c r="R12" s="11">
        <f t="shared" si="2"/>
        <v>0</v>
      </c>
      <c r="S12" s="34"/>
      <c r="T12" s="11">
        <f t="shared" si="3"/>
        <v>0</v>
      </c>
      <c r="U12" s="35"/>
    </row>
    <row r="13" spans="1:21" x14ac:dyDescent="0.2">
      <c r="A13" s="80">
        <v>8</v>
      </c>
      <c r="B13" s="41"/>
      <c r="C13" s="15"/>
      <c r="D13" s="40"/>
      <c r="E13" s="42"/>
      <c r="F13" s="15"/>
      <c r="G13" s="41"/>
      <c r="H13" s="45" t="e">
        <f>#REF!-#REF!</f>
        <v>#REF!</v>
      </c>
      <c r="I13" s="16"/>
      <c r="J13" s="17">
        <v>0</v>
      </c>
      <c r="K13" s="17">
        <v>0</v>
      </c>
      <c r="L13" s="17">
        <v>0</v>
      </c>
      <c r="M13" s="16"/>
      <c r="N13" s="80">
        <v>8</v>
      </c>
      <c r="O13" s="11">
        <f t="shared" si="0"/>
        <v>0</v>
      </c>
      <c r="P13" s="34"/>
      <c r="Q13" s="11">
        <f t="shared" si="1"/>
        <v>0</v>
      </c>
      <c r="R13" s="11">
        <f t="shared" si="2"/>
        <v>0</v>
      </c>
      <c r="S13" s="34"/>
      <c r="T13" s="11">
        <f t="shared" si="3"/>
        <v>0</v>
      </c>
      <c r="U13" s="35"/>
    </row>
    <row r="14" spans="1:21" x14ac:dyDescent="0.2">
      <c r="A14" s="80">
        <v>9</v>
      </c>
      <c r="B14" s="41"/>
      <c r="C14" s="15"/>
      <c r="D14" s="40"/>
      <c r="E14" s="42"/>
      <c r="F14" s="15"/>
      <c r="G14" s="41"/>
      <c r="H14" s="45" t="e">
        <f>#REF!-#REF!</f>
        <v>#REF!</v>
      </c>
      <c r="I14" s="16"/>
      <c r="J14" s="17">
        <v>0</v>
      </c>
      <c r="K14" s="17">
        <v>0</v>
      </c>
      <c r="L14" s="17">
        <v>0</v>
      </c>
      <c r="M14" s="16"/>
      <c r="N14" s="80">
        <v>9</v>
      </c>
      <c r="O14" s="11">
        <f t="shared" si="0"/>
        <v>0</v>
      </c>
      <c r="P14" s="34"/>
      <c r="Q14" s="11">
        <f t="shared" si="1"/>
        <v>0</v>
      </c>
      <c r="R14" s="11">
        <f t="shared" si="2"/>
        <v>0</v>
      </c>
      <c r="S14" s="34"/>
      <c r="T14" s="11">
        <f t="shared" si="3"/>
        <v>0</v>
      </c>
      <c r="U14" s="35"/>
    </row>
    <row r="15" spans="1:21" x14ac:dyDescent="0.2">
      <c r="A15" s="80">
        <v>10</v>
      </c>
      <c r="B15" s="41"/>
      <c r="C15" s="15"/>
      <c r="D15" s="40"/>
      <c r="E15" s="42"/>
      <c r="F15" s="15"/>
      <c r="G15" s="41"/>
      <c r="H15" s="45" t="e">
        <f>#REF!-#REF!</f>
        <v>#REF!</v>
      </c>
      <c r="I15" s="16"/>
      <c r="J15" s="17">
        <v>0</v>
      </c>
      <c r="K15" s="17">
        <v>0</v>
      </c>
      <c r="L15" s="17">
        <v>0</v>
      </c>
      <c r="M15" s="16"/>
      <c r="N15" s="80">
        <v>10</v>
      </c>
      <c r="O15" s="11">
        <f t="shared" si="0"/>
        <v>0</v>
      </c>
      <c r="P15" s="34"/>
      <c r="Q15" s="11">
        <f t="shared" si="1"/>
        <v>0</v>
      </c>
      <c r="R15" s="11">
        <f t="shared" si="2"/>
        <v>0</v>
      </c>
      <c r="S15" s="34"/>
      <c r="T15" s="11">
        <f t="shared" si="3"/>
        <v>0</v>
      </c>
      <c r="U15" s="35"/>
    </row>
    <row r="16" spans="1:21" x14ac:dyDescent="0.2">
      <c r="A16" s="80">
        <v>11</v>
      </c>
      <c r="B16" s="41"/>
      <c r="C16" s="15"/>
      <c r="D16" s="40"/>
      <c r="E16" s="42"/>
      <c r="F16" s="15"/>
      <c r="G16" s="41"/>
      <c r="H16" s="45" t="e">
        <f>#REF!-#REF!</f>
        <v>#REF!</v>
      </c>
      <c r="I16" s="16"/>
      <c r="J16" s="17">
        <v>0</v>
      </c>
      <c r="K16" s="17">
        <v>0</v>
      </c>
      <c r="L16" s="17">
        <v>0</v>
      </c>
      <c r="M16" s="16"/>
      <c r="N16" s="80">
        <v>11</v>
      </c>
      <c r="O16" s="11">
        <f t="shared" si="0"/>
        <v>0</v>
      </c>
      <c r="P16" s="34"/>
      <c r="Q16" s="11">
        <f t="shared" si="1"/>
        <v>0</v>
      </c>
      <c r="R16" s="11">
        <f t="shared" si="2"/>
        <v>0</v>
      </c>
      <c r="S16" s="34"/>
      <c r="T16" s="11">
        <f t="shared" si="3"/>
        <v>0</v>
      </c>
      <c r="U16" s="35"/>
    </row>
    <row r="17" spans="1:21" x14ac:dyDescent="0.2">
      <c r="A17" s="80">
        <v>12</v>
      </c>
      <c r="B17" s="41"/>
      <c r="C17" s="15"/>
      <c r="D17" s="40"/>
      <c r="E17" s="42"/>
      <c r="F17" s="15"/>
      <c r="G17" s="41"/>
      <c r="H17" s="45" t="e">
        <f>#REF!-#REF!</f>
        <v>#REF!</v>
      </c>
      <c r="I17" s="16"/>
      <c r="J17" s="17">
        <v>0</v>
      </c>
      <c r="K17" s="17">
        <v>0</v>
      </c>
      <c r="L17" s="17">
        <v>0</v>
      </c>
      <c r="M17" s="16"/>
      <c r="N17" s="80">
        <v>12</v>
      </c>
      <c r="O17" s="11">
        <f t="shared" si="0"/>
        <v>0</v>
      </c>
      <c r="P17" s="34"/>
      <c r="Q17" s="11">
        <f t="shared" si="1"/>
        <v>0</v>
      </c>
      <c r="R17" s="11">
        <f t="shared" si="2"/>
        <v>0</v>
      </c>
      <c r="S17" s="34"/>
      <c r="T17" s="11">
        <f t="shared" si="3"/>
        <v>0</v>
      </c>
      <c r="U17" s="35"/>
    </row>
    <row r="18" spans="1:21" x14ac:dyDescent="0.2">
      <c r="A18" s="80">
        <v>13</v>
      </c>
      <c r="B18" s="41"/>
      <c r="C18" s="15"/>
      <c r="D18" s="40"/>
      <c r="E18" s="42"/>
      <c r="F18" s="15"/>
      <c r="G18" s="41"/>
      <c r="H18" s="45" t="e">
        <f>#REF!-#REF!</f>
        <v>#REF!</v>
      </c>
      <c r="I18" s="16"/>
      <c r="J18" s="17">
        <v>0</v>
      </c>
      <c r="K18" s="17">
        <v>0</v>
      </c>
      <c r="L18" s="17">
        <v>0</v>
      </c>
      <c r="M18" s="16"/>
      <c r="N18" s="80">
        <v>13</v>
      </c>
      <c r="O18" s="11">
        <f t="shared" si="0"/>
        <v>0</v>
      </c>
      <c r="P18" s="34"/>
      <c r="Q18" s="11">
        <f t="shared" si="1"/>
        <v>0</v>
      </c>
      <c r="R18" s="11">
        <f t="shared" si="2"/>
        <v>0</v>
      </c>
      <c r="S18" s="34"/>
      <c r="T18" s="11">
        <f t="shared" si="3"/>
        <v>0</v>
      </c>
      <c r="U18" s="35"/>
    </row>
    <row r="19" spans="1:21" x14ac:dyDescent="0.2">
      <c r="A19" s="80">
        <v>14</v>
      </c>
      <c r="B19" s="41"/>
      <c r="C19" s="15"/>
      <c r="D19" s="40"/>
      <c r="E19" s="42"/>
      <c r="F19" s="15"/>
      <c r="G19" s="41"/>
      <c r="H19" s="45" t="e">
        <f>#REF!-#REF!</f>
        <v>#REF!</v>
      </c>
      <c r="I19" s="16"/>
      <c r="J19" s="17">
        <v>0</v>
      </c>
      <c r="K19" s="17">
        <v>0</v>
      </c>
      <c r="L19" s="17">
        <v>0</v>
      </c>
      <c r="M19" s="16"/>
      <c r="N19" s="80">
        <v>14</v>
      </c>
      <c r="O19" s="11">
        <f t="shared" si="0"/>
        <v>0</v>
      </c>
      <c r="P19" s="34"/>
      <c r="Q19" s="11">
        <f t="shared" si="1"/>
        <v>0</v>
      </c>
      <c r="R19" s="11">
        <f t="shared" si="2"/>
        <v>0</v>
      </c>
      <c r="S19" s="34"/>
      <c r="T19" s="11">
        <f t="shared" si="3"/>
        <v>0</v>
      </c>
      <c r="U19" s="35"/>
    </row>
    <row r="20" spans="1:21" x14ac:dyDescent="0.2">
      <c r="A20" s="80">
        <v>15</v>
      </c>
      <c r="B20" s="41"/>
      <c r="C20" s="15"/>
      <c r="D20" s="40"/>
      <c r="E20" s="42"/>
      <c r="F20" s="15"/>
      <c r="G20" s="41"/>
      <c r="H20" s="45" t="e">
        <f>#REF!-#REF!</f>
        <v>#REF!</v>
      </c>
      <c r="I20" s="16"/>
      <c r="J20" s="17">
        <v>0</v>
      </c>
      <c r="K20" s="17">
        <v>0</v>
      </c>
      <c r="L20" s="17">
        <v>0</v>
      </c>
      <c r="M20" s="16"/>
      <c r="N20" s="80">
        <v>15</v>
      </c>
      <c r="O20" s="11">
        <f t="shared" si="0"/>
        <v>0</v>
      </c>
      <c r="P20" s="34"/>
      <c r="Q20" s="11">
        <f t="shared" si="1"/>
        <v>0</v>
      </c>
      <c r="R20" s="11">
        <f t="shared" si="2"/>
        <v>0</v>
      </c>
      <c r="S20" s="34"/>
      <c r="T20" s="11">
        <f t="shared" si="3"/>
        <v>0</v>
      </c>
      <c r="U20" s="35"/>
    </row>
    <row r="21" spans="1:21" x14ac:dyDescent="0.2">
      <c r="A21" s="80">
        <v>16</v>
      </c>
      <c r="B21" s="41"/>
      <c r="C21" s="15"/>
      <c r="D21" s="40"/>
      <c r="E21" s="42"/>
      <c r="F21" s="15"/>
      <c r="G21" s="41"/>
      <c r="H21" s="45" t="e">
        <f>#REF!-#REF!</f>
        <v>#REF!</v>
      </c>
      <c r="I21" s="16"/>
      <c r="J21" s="17">
        <v>0</v>
      </c>
      <c r="K21" s="17">
        <v>0</v>
      </c>
      <c r="L21" s="17">
        <v>0</v>
      </c>
      <c r="M21" s="16"/>
      <c r="N21" s="80">
        <v>16</v>
      </c>
      <c r="O21" s="11">
        <f t="shared" si="0"/>
        <v>0</v>
      </c>
      <c r="P21" s="34"/>
      <c r="Q21" s="11">
        <f t="shared" si="1"/>
        <v>0</v>
      </c>
      <c r="R21" s="11">
        <f t="shared" si="2"/>
        <v>0</v>
      </c>
      <c r="S21" s="34"/>
      <c r="T21" s="11">
        <f t="shared" si="3"/>
        <v>0</v>
      </c>
      <c r="U21" s="35"/>
    </row>
    <row r="22" spans="1:21" x14ac:dyDescent="0.2">
      <c r="A22" s="80">
        <v>17</v>
      </c>
      <c r="B22" s="41"/>
      <c r="C22" s="15"/>
      <c r="D22" s="40"/>
      <c r="E22" s="42"/>
      <c r="F22" s="15"/>
      <c r="G22" s="41"/>
      <c r="H22" s="45" t="e">
        <f>#REF!-#REF!</f>
        <v>#REF!</v>
      </c>
      <c r="I22" s="16"/>
      <c r="J22" s="17">
        <v>0</v>
      </c>
      <c r="K22" s="17">
        <v>0</v>
      </c>
      <c r="L22" s="17">
        <v>0</v>
      </c>
      <c r="M22" s="16"/>
      <c r="N22" s="80">
        <v>17</v>
      </c>
      <c r="O22" s="11">
        <f t="shared" si="0"/>
        <v>0</v>
      </c>
      <c r="P22" s="34"/>
      <c r="Q22" s="11">
        <f t="shared" si="1"/>
        <v>0</v>
      </c>
      <c r="R22" s="11">
        <f t="shared" si="2"/>
        <v>0</v>
      </c>
      <c r="S22" s="34"/>
      <c r="T22" s="11">
        <f t="shared" si="3"/>
        <v>0</v>
      </c>
      <c r="U22" s="35"/>
    </row>
    <row r="23" spans="1:21" x14ac:dyDescent="0.2">
      <c r="A23" s="80">
        <v>18</v>
      </c>
      <c r="B23" s="41"/>
      <c r="C23" s="15"/>
      <c r="D23" s="40"/>
      <c r="E23" s="42"/>
      <c r="F23" s="15"/>
      <c r="G23" s="41"/>
      <c r="H23" s="45" t="e">
        <f>#REF!-#REF!</f>
        <v>#REF!</v>
      </c>
      <c r="I23" s="16"/>
      <c r="J23" s="17">
        <v>0</v>
      </c>
      <c r="K23" s="17">
        <v>0</v>
      </c>
      <c r="L23" s="17">
        <v>0</v>
      </c>
      <c r="M23" s="16"/>
      <c r="N23" s="80">
        <v>18</v>
      </c>
      <c r="O23" s="11">
        <f t="shared" si="0"/>
        <v>0</v>
      </c>
      <c r="P23" s="34"/>
      <c r="Q23" s="11">
        <f t="shared" si="1"/>
        <v>0</v>
      </c>
      <c r="R23" s="11">
        <f t="shared" si="2"/>
        <v>0</v>
      </c>
      <c r="S23" s="34"/>
      <c r="T23" s="11">
        <f t="shared" si="3"/>
        <v>0</v>
      </c>
      <c r="U23" s="35"/>
    </row>
    <row r="24" spans="1:21" x14ac:dyDescent="0.2">
      <c r="A24" s="80">
        <v>19</v>
      </c>
      <c r="B24" s="41"/>
      <c r="C24" s="15"/>
      <c r="D24" s="40"/>
      <c r="E24" s="42"/>
      <c r="F24" s="15"/>
      <c r="G24" s="41"/>
      <c r="H24" s="45" t="e">
        <f>#REF!-#REF!</f>
        <v>#REF!</v>
      </c>
      <c r="I24" s="16"/>
      <c r="J24" s="17">
        <v>0</v>
      </c>
      <c r="K24" s="17">
        <v>0</v>
      </c>
      <c r="L24" s="17">
        <v>0</v>
      </c>
      <c r="M24" s="16"/>
      <c r="N24" s="80">
        <v>19</v>
      </c>
      <c r="O24" s="11">
        <f t="shared" si="0"/>
        <v>0</v>
      </c>
      <c r="P24" s="34"/>
      <c r="Q24" s="11">
        <f t="shared" si="1"/>
        <v>0</v>
      </c>
      <c r="R24" s="11">
        <f t="shared" si="2"/>
        <v>0</v>
      </c>
      <c r="S24" s="34"/>
      <c r="T24" s="11">
        <f t="shared" si="3"/>
        <v>0</v>
      </c>
      <c r="U24" s="35"/>
    </row>
    <row r="25" spans="1:21" x14ac:dyDescent="0.2">
      <c r="A25" s="80">
        <v>20</v>
      </c>
      <c r="B25" s="41"/>
      <c r="C25" s="15"/>
      <c r="D25" s="40"/>
      <c r="E25" s="42"/>
      <c r="F25" s="15"/>
      <c r="G25" s="41"/>
      <c r="H25" s="45" t="e">
        <f>#REF!-#REF!</f>
        <v>#REF!</v>
      </c>
      <c r="I25" s="16"/>
      <c r="J25" s="17">
        <v>0</v>
      </c>
      <c r="K25" s="17">
        <v>0</v>
      </c>
      <c r="L25" s="17">
        <v>0</v>
      </c>
      <c r="M25" s="16"/>
      <c r="N25" s="80">
        <v>20</v>
      </c>
      <c r="O25" s="11">
        <f t="shared" si="0"/>
        <v>0</v>
      </c>
      <c r="P25" s="34"/>
      <c r="Q25" s="11">
        <f t="shared" si="1"/>
        <v>0</v>
      </c>
      <c r="R25" s="11">
        <f t="shared" si="2"/>
        <v>0</v>
      </c>
      <c r="S25" s="34"/>
      <c r="T25" s="11">
        <f t="shared" si="3"/>
        <v>0</v>
      </c>
      <c r="U25" s="35"/>
    </row>
    <row r="26" spans="1:21" x14ac:dyDescent="0.2">
      <c r="A26" s="80">
        <v>21</v>
      </c>
      <c r="B26" s="41"/>
      <c r="C26" s="15"/>
      <c r="D26" s="40"/>
      <c r="E26" s="42"/>
      <c r="F26" s="15"/>
      <c r="G26" s="41"/>
      <c r="H26" s="45" t="e">
        <f>#REF!-#REF!</f>
        <v>#REF!</v>
      </c>
      <c r="I26" s="16"/>
      <c r="J26" s="17">
        <v>0</v>
      </c>
      <c r="K26" s="17">
        <v>0</v>
      </c>
      <c r="L26" s="17">
        <v>0</v>
      </c>
      <c r="M26" s="16"/>
      <c r="N26" s="80">
        <v>21</v>
      </c>
      <c r="O26" s="11">
        <f t="shared" si="0"/>
        <v>0</v>
      </c>
      <c r="P26" s="34"/>
      <c r="Q26" s="11">
        <f t="shared" si="1"/>
        <v>0</v>
      </c>
      <c r="R26" s="11">
        <f t="shared" si="2"/>
        <v>0</v>
      </c>
      <c r="S26" s="34"/>
      <c r="T26" s="11">
        <f t="shared" si="3"/>
        <v>0</v>
      </c>
      <c r="U26" s="35"/>
    </row>
    <row r="27" spans="1:21" x14ac:dyDescent="0.2">
      <c r="A27" s="80">
        <v>22</v>
      </c>
      <c r="B27" s="41"/>
      <c r="C27" s="15"/>
      <c r="D27" s="40"/>
      <c r="E27" s="42"/>
      <c r="F27" s="15"/>
      <c r="G27" s="41"/>
      <c r="H27" s="45" t="e">
        <f>#REF!-#REF!</f>
        <v>#REF!</v>
      </c>
      <c r="I27" s="16"/>
      <c r="J27" s="17">
        <v>0</v>
      </c>
      <c r="K27" s="17">
        <v>0</v>
      </c>
      <c r="L27" s="17">
        <v>0</v>
      </c>
      <c r="M27" s="16"/>
      <c r="N27" s="80">
        <v>22</v>
      </c>
      <c r="O27" s="11">
        <f t="shared" si="0"/>
        <v>0</v>
      </c>
      <c r="P27" s="34"/>
      <c r="Q27" s="11">
        <f t="shared" si="1"/>
        <v>0</v>
      </c>
      <c r="R27" s="11">
        <f t="shared" si="2"/>
        <v>0</v>
      </c>
      <c r="S27" s="34"/>
      <c r="T27" s="11">
        <f t="shared" si="3"/>
        <v>0</v>
      </c>
      <c r="U27" s="35"/>
    </row>
    <row r="28" spans="1:21" x14ac:dyDescent="0.2">
      <c r="A28" s="80">
        <v>23</v>
      </c>
      <c r="B28" s="41"/>
      <c r="C28" s="15"/>
      <c r="D28" s="40"/>
      <c r="E28" s="42"/>
      <c r="F28" s="15"/>
      <c r="G28" s="41"/>
      <c r="H28" s="45" t="e">
        <f>#REF!-#REF!</f>
        <v>#REF!</v>
      </c>
      <c r="I28" s="16"/>
      <c r="J28" s="17">
        <v>0</v>
      </c>
      <c r="K28" s="17">
        <v>0</v>
      </c>
      <c r="L28" s="17">
        <v>0</v>
      </c>
      <c r="M28" s="43"/>
      <c r="N28" s="80">
        <v>23</v>
      </c>
      <c r="O28" s="11">
        <f t="shared" si="0"/>
        <v>0</v>
      </c>
      <c r="P28" s="34"/>
      <c r="Q28" s="11">
        <f t="shared" si="1"/>
        <v>0</v>
      </c>
      <c r="R28" s="11">
        <f t="shared" si="2"/>
        <v>0</v>
      </c>
      <c r="S28" s="34"/>
      <c r="T28" s="11">
        <f t="shared" si="3"/>
        <v>0</v>
      </c>
      <c r="U28" s="35"/>
    </row>
    <row r="29" spans="1:21" x14ac:dyDescent="0.2">
      <c r="A29" s="80">
        <v>24</v>
      </c>
      <c r="B29" s="41"/>
      <c r="C29" s="15"/>
      <c r="D29" s="40"/>
      <c r="E29" s="42"/>
      <c r="F29" s="15"/>
      <c r="G29" s="41"/>
      <c r="H29" s="45" t="e">
        <f>#REF!-#REF!</f>
        <v>#REF!</v>
      </c>
      <c r="I29" s="16"/>
      <c r="J29" s="17">
        <v>0</v>
      </c>
      <c r="K29" s="17">
        <v>0</v>
      </c>
      <c r="L29" s="17">
        <v>0</v>
      </c>
      <c r="M29" s="43"/>
      <c r="N29" s="80">
        <v>24</v>
      </c>
      <c r="O29" s="11">
        <f t="shared" si="0"/>
        <v>0</v>
      </c>
      <c r="P29" s="34"/>
      <c r="Q29" s="11">
        <f t="shared" si="1"/>
        <v>0</v>
      </c>
      <c r="R29" s="11">
        <f t="shared" si="2"/>
        <v>0</v>
      </c>
      <c r="S29" s="34"/>
      <c r="T29" s="11">
        <f t="shared" si="3"/>
        <v>0</v>
      </c>
      <c r="U29" s="35"/>
    </row>
    <row r="30" spans="1:21" x14ac:dyDescent="0.2">
      <c r="A30" s="80">
        <v>25</v>
      </c>
      <c r="B30" s="41"/>
      <c r="C30" s="15"/>
      <c r="D30" s="40"/>
      <c r="E30" s="42"/>
      <c r="F30" s="15"/>
      <c r="G30" s="41"/>
      <c r="H30" s="45" t="e">
        <f>#REF!-#REF!</f>
        <v>#REF!</v>
      </c>
      <c r="I30" s="16"/>
      <c r="J30" s="17">
        <v>0</v>
      </c>
      <c r="K30" s="17">
        <v>0</v>
      </c>
      <c r="L30" s="17">
        <v>0</v>
      </c>
      <c r="M30" s="16"/>
      <c r="N30" s="80">
        <v>25</v>
      </c>
      <c r="O30" s="11">
        <f t="shared" si="0"/>
        <v>0</v>
      </c>
      <c r="P30" s="34"/>
      <c r="Q30" s="11">
        <f t="shared" si="1"/>
        <v>0</v>
      </c>
      <c r="R30" s="11">
        <f t="shared" si="2"/>
        <v>0</v>
      </c>
      <c r="S30" s="34"/>
      <c r="T30" s="11">
        <f t="shared" si="3"/>
        <v>0</v>
      </c>
      <c r="U30" s="35"/>
    </row>
    <row r="31" spans="1:21" x14ac:dyDescent="0.2">
      <c r="A31" s="80">
        <v>26</v>
      </c>
      <c r="B31" s="41"/>
      <c r="C31" s="15"/>
      <c r="D31" s="40"/>
      <c r="E31" s="42"/>
      <c r="F31" s="15"/>
      <c r="G31" s="41"/>
      <c r="H31" s="45" t="e">
        <f>#REF!-#REF!</f>
        <v>#REF!</v>
      </c>
      <c r="I31" s="16"/>
      <c r="J31" s="17">
        <v>0</v>
      </c>
      <c r="K31" s="17">
        <v>0</v>
      </c>
      <c r="L31" s="17">
        <v>0</v>
      </c>
      <c r="M31" s="16"/>
      <c r="N31" s="80">
        <v>26</v>
      </c>
      <c r="O31" s="11">
        <f t="shared" si="0"/>
        <v>0</v>
      </c>
      <c r="P31" s="34"/>
      <c r="Q31" s="11">
        <f t="shared" si="1"/>
        <v>0</v>
      </c>
      <c r="R31" s="11">
        <f t="shared" si="2"/>
        <v>0</v>
      </c>
      <c r="S31" s="34"/>
      <c r="T31" s="11">
        <f t="shared" si="3"/>
        <v>0</v>
      </c>
      <c r="U31" s="35"/>
    </row>
    <row r="32" spans="1:21" x14ac:dyDescent="0.2">
      <c r="A32" s="80">
        <v>27</v>
      </c>
      <c r="B32" s="41"/>
      <c r="C32" s="15"/>
      <c r="D32" s="40"/>
      <c r="E32" s="42"/>
      <c r="F32" s="15"/>
      <c r="G32" s="41"/>
      <c r="H32" s="45" t="e">
        <f>#REF!-#REF!</f>
        <v>#REF!</v>
      </c>
      <c r="I32" s="16"/>
      <c r="J32" s="17">
        <v>0</v>
      </c>
      <c r="K32" s="17">
        <v>0</v>
      </c>
      <c r="L32" s="17">
        <v>0</v>
      </c>
      <c r="M32" s="16"/>
      <c r="N32" s="80">
        <v>27</v>
      </c>
      <c r="O32" s="11">
        <f t="shared" si="0"/>
        <v>0</v>
      </c>
      <c r="P32" s="34"/>
      <c r="Q32" s="11">
        <f t="shared" si="1"/>
        <v>0</v>
      </c>
      <c r="R32" s="11">
        <f t="shared" si="2"/>
        <v>0</v>
      </c>
      <c r="S32" s="34"/>
      <c r="T32" s="11">
        <f t="shared" si="3"/>
        <v>0</v>
      </c>
      <c r="U32" s="35"/>
    </row>
    <row r="33" spans="1:21" x14ac:dyDescent="0.2">
      <c r="A33" s="80">
        <v>28</v>
      </c>
      <c r="B33" s="41"/>
      <c r="C33" s="15"/>
      <c r="D33" s="40"/>
      <c r="E33" s="42"/>
      <c r="F33" s="15"/>
      <c r="G33" s="41"/>
      <c r="H33" s="45" t="e">
        <f>#REF!-#REF!</f>
        <v>#REF!</v>
      </c>
      <c r="I33" s="16"/>
      <c r="J33" s="17">
        <v>0</v>
      </c>
      <c r="K33" s="17">
        <v>0</v>
      </c>
      <c r="L33" s="17">
        <v>0</v>
      </c>
      <c r="M33" s="16"/>
      <c r="N33" s="80">
        <v>28</v>
      </c>
      <c r="O33" s="11">
        <f t="shared" si="0"/>
        <v>0</v>
      </c>
      <c r="P33" s="34"/>
      <c r="Q33" s="11">
        <f t="shared" si="1"/>
        <v>0</v>
      </c>
      <c r="R33" s="11">
        <f t="shared" si="2"/>
        <v>0</v>
      </c>
      <c r="S33" s="34"/>
      <c r="T33" s="11">
        <f t="shared" si="3"/>
        <v>0</v>
      </c>
      <c r="U33" s="35"/>
    </row>
    <row r="34" spans="1:21" x14ac:dyDescent="0.2">
      <c r="A34" s="80">
        <v>29</v>
      </c>
      <c r="B34" s="41"/>
      <c r="C34" s="15"/>
      <c r="D34" s="40"/>
      <c r="E34" s="42"/>
      <c r="F34" s="15"/>
      <c r="G34" s="41"/>
      <c r="H34" s="45" t="e">
        <f>#REF!-#REF!</f>
        <v>#REF!</v>
      </c>
      <c r="I34" s="16"/>
      <c r="J34" s="17">
        <v>0</v>
      </c>
      <c r="K34" s="17">
        <v>0</v>
      </c>
      <c r="L34" s="17">
        <v>0</v>
      </c>
      <c r="M34" s="16"/>
      <c r="N34" s="80">
        <v>29</v>
      </c>
      <c r="O34" s="11">
        <f t="shared" si="0"/>
        <v>0</v>
      </c>
      <c r="P34" s="34"/>
      <c r="Q34" s="11">
        <f t="shared" si="1"/>
        <v>0</v>
      </c>
      <c r="R34" s="11">
        <f t="shared" si="2"/>
        <v>0</v>
      </c>
      <c r="S34" s="34"/>
      <c r="T34" s="11">
        <f t="shared" si="3"/>
        <v>0</v>
      </c>
      <c r="U34" s="35"/>
    </row>
    <row r="35" spans="1:21" x14ac:dyDescent="0.2">
      <c r="A35" s="80">
        <v>30</v>
      </c>
      <c r="B35" s="41"/>
      <c r="C35" s="15"/>
      <c r="D35" s="40"/>
      <c r="E35" s="42"/>
      <c r="F35" s="15"/>
      <c r="G35" s="41"/>
      <c r="H35" s="45" t="e">
        <f>#REF!-#REF!</f>
        <v>#REF!</v>
      </c>
      <c r="I35" s="16"/>
      <c r="J35" s="17">
        <v>0</v>
      </c>
      <c r="K35" s="17">
        <v>0</v>
      </c>
      <c r="L35" s="17">
        <v>0</v>
      </c>
      <c r="M35" s="16"/>
      <c r="N35" s="80">
        <v>30</v>
      </c>
      <c r="O35" s="11">
        <f t="shared" si="0"/>
        <v>0</v>
      </c>
      <c r="P35" s="34"/>
      <c r="Q35" s="11">
        <f t="shared" si="1"/>
        <v>0</v>
      </c>
      <c r="R35" s="11">
        <f t="shared" si="2"/>
        <v>0</v>
      </c>
      <c r="S35" s="34"/>
      <c r="T35" s="11">
        <f t="shared" si="3"/>
        <v>0</v>
      </c>
      <c r="U35" s="35"/>
    </row>
    <row r="36" spans="1:21" x14ac:dyDescent="0.2">
      <c r="A36" s="80">
        <v>31</v>
      </c>
      <c r="B36" s="41"/>
      <c r="C36" s="15"/>
      <c r="D36" s="40"/>
      <c r="E36" s="42"/>
      <c r="F36" s="15"/>
      <c r="G36" s="41"/>
      <c r="H36" s="45" t="e">
        <f>#REF!-#REF!</f>
        <v>#REF!</v>
      </c>
      <c r="I36" s="16"/>
      <c r="J36" s="17">
        <v>0</v>
      </c>
      <c r="K36" s="17">
        <v>0</v>
      </c>
      <c r="L36" s="17">
        <v>0</v>
      </c>
      <c r="M36" s="16"/>
      <c r="N36" s="80">
        <v>31</v>
      </c>
      <c r="O36" s="11">
        <f t="shared" si="0"/>
        <v>0</v>
      </c>
      <c r="P36" s="34"/>
      <c r="Q36" s="11">
        <f t="shared" si="1"/>
        <v>0</v>
      </c>
      <c r="R36" s="11">
        <f t="shared" si="2"/>
        <v>0</v>
      </c>
      <c r="S36" s="34"/>
      <c r="T36" s="11">
        <f t="shared" si="3"/>
        <v>0</v>
      </c>
      <c r="U36" s="36"/>
    </row>
    <row r="37" spans="1:21" x14ac:dyDescent="0.2">
      <c r="B37" s="20" t="s">
        <v>32</v>
      </c>
      <c r="D37" s="19" t="s">
        <v>32</v>
      </c>
      <c r="E37" s="21" t="s">
        <v>33</v>
      </c>
      <c r="G37" s="20" t="s">
        <v>31</v>
      </c>
    </row>
    <row r="39" spans="1:21" x14ac:dyDescent="0.2">
      <c r="A39" s="80" t="s">
        <v>34</v>
      </c>
      <c r="B39" s="10">
        <f t="shared" ref="B39" si="4">LARGE(B5:B36, 1)</f>
        <v>649950</v>
      </c>
      <c r="C39" s="23"/>
      <c r="D39" s="10">
        <f>LARGE(D5:D36, 1)</f>
        <v>21996</v>
      </c>
      <c r="E39" s="24">
        <f>LARGE(E5:E36, 1)</f>
        <v>2112</v>
      </c>
      <c r="F39" s="8"/>
      <c r="G39" s="22">
        <f>LARGE(G5:G36, 1)</f>
        <v>228099</v>
      </c>
      <c r="H39" s="19"/>
      <c r="I39" s="9"/>
      <c r="J39" s="11">
        <f>LARGE(J5:J36, 1)</f>
        <v>0</v>
      </c>
      <c r="K39" s="11">
        <f>LARGE(K5:K36, 1)</f>
        <v>0</v>
      </c>
      <c r="L39" s="11">
        <f>LARGE(L5:L36, 1)</f>
        <v>0</v>
      </c>
      <c r="N39" s="80" t="s">
        <v>35</v>
      </c>
      <c r="O39" s="55">
        <f t="shared" ref="O39" si="5">AVERAGEIF($M$6:$M$36, "x",O6:O36)</f>
        <v>-649950</v>
      </c>
      <c r="P39" s="56"/>
      <c r="Q39" s="55">
        <f>AVERAGEIF($M$6:$M$36, "x",Q6:Q36)</f>
        <v>-21996</v>
      </c>
      <c r="R39" s="55">
        <f>AVERAGEIF($M$6:$M$36, "x",R6:R36)</f>
        <v>-2112</v>
      </c>
      <c r="S39" s="56"/>
      <c r="T39" s="55">
        <f>AVERAGEIF($M$6:$M$36, "x",T6:T36)</f>
        <v>-228099</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f>B39-B5</f>
        <v>0</v>
      </c>
      <c r="D42" s="26">
        <f t="shared" ref="D42:L42" si="6">D39-D5</f>
        <v>0</v>
      </c>
      <c r="E42" s="26">
        <f t="shared" si="6"/>
        <v>0</v>
      </c>
      <c r="G42" s="26">
        <f t="shared" si="6"/>
        <v>0</v>
      </c>
      <c r="H42" s="26"/>
      <c r="J42" s="26">
        <f t="shared" si="6"/>
        <v>0</v>
      </c>
      <c r="K42" s="26">
        <f t="shared" si="6"/>
        <v>0</v>
      </c>
      <c r="L42" s="26">
        <f t="shared" si="6"/>
        <v>0</v>
      </c>
      <c r="N42" s="96"/>
      <c r="O42" s="53">
        <f>Jun!Y39</f>
        <v>32.888888888888886</v>
      </c>
      <c r="P42" s="57"/>
      <c r="Q42" s="53">
        <f>Jun!AF39</f>
        <v>15.555555555555555</v>
      </c>
      <c r="R42" s="53">
        <f>Jun!AG39</f>
        <v>5.2222222222222223</v>
      </c>
      <c r="S42" s="57"/>
      <c r="T42" s="53">
        <f>Jun!AK39</f>
        <v>19.111111111111111</v>
      </c>
    </row>
    <row r="43" spans="1:21" x14ac:dyDescent="0.2">
      <c r="N43" s="80">
        <v>1.5</v>
      </c>
      <c r="O43" s="54">
        <f>O42*$N$43</f>
        <v>49.333333333333329</v>
      </c>
      <c r="P43" s="56"/>
      <c r="Q43" s="54">
        <f t="shared" ref="Q43:R43" si="7">Q42*$N$43</f>
        <v>23.333333333333332</v>
      </c>
      <c r="R43" s="54">
        <f t="shared" si="7"/>
        <v>7.8333333333333339</v>
      </c>
      <c r="S43" s="56"/>
      <c r="T43" s="54">
        <f t="shared" ref="T43" si="8">T42*$N$43</f>
        <v>28.666666666666664</v>
      </c>
    </row>
    <row r="44" spans="1:21" x14ac:dyDescent="0.2">
      <c r="H44" s="31" t="s">
        <v>35</v>
      </c>
      <c r="N44" s="80">
        <v>0.5</v>
      </c>
      <c r="O44" s="54">
        <f>O42*$N$44</f>
        <v>16.444444444444443</v>
      </c>
      <c r="P44" s="56"/>
      <c r="Q44" s="54">
        <f t="shared" ref="Q44:R44" si="9">Q42*$N$44</f>
        <v>7.7777777777777777</v>
      </c>
      <c r="R44" s="54">
        <f t="shared" si="9"/>
        <v>2.6111111111111112</v>
      </c>
      <c r="S44" s="56"/>
      <c r="T44" s="54">
        <f t="shared" ref="T44" si="10">T42*$N$44</f>
        <v>9.5555555555555554</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T42 O42:O44 Q42:R44 O39:T39">
    <cfRule type="cellIs" dxfId="497" priority="143" operator="lessThan">
      <formula>0</formula>
    </cfRule>
  </conditionalFormatting>
  <conditionalFormatting sqref="T43:T44">
    <cfRule type="cellIs" dxfId="496" priority="142" operator="lessThan">
      <formula>0</formula>
    </cfRule>
  </conditionalFormatting>
  <conditionalFormatting sqref="O39">
    <cfRule type="cellIs" dxfId="495" priority="50" operator="lessThan">
      <formula>$O$44</formula>
    </cfRule>
    <cfRule type="cellIs" dxfId="494" priority="51" operator="greaterThan">
      <formula>$O$43</formula>
    </cfRule>
  </conditionalFormatting>
  <conditionalFormatting sqref="Q39">
    <cfRule type="cellIs" dxfId="493" priority="42" operator="lessThan">
      <formula>$Q$44</formula>
    </cfRule>
    <cfRule type="cellIs" dxfId="492" priority="43" operator="greaterThan">
      <formula>$Q$43</formula>
    </cfRule>
  </conditionalFormatting>
  <conditionalFormatting sqref="R39">
    <cfRule type="cellIs" dxfId="491" priority="40" operator="lessThan">
      <formula>$R$44</formula>
    </cfRule>
    <cfRule type="cellIs" dxfId="490" priority="41" operator="greaterThan">
      <formula>$R$43</formula>
    </cfRule>
  </conditionalFormatting>
  <conditionalFormatting sqref="T39">
    <cfRule type="cellIs" dxfId="489" priority="34" operator="lessThan">
      <formula>$T$44</formula>
    </cfRule>
    <cfRule type="cellIs" dxfId="488" priority="35" operator="greaterThan">
      <formula>$T$43</formula>
    </cfRule>
  </conditionalFormatting>
  <conditionalFormatting sqref="O6:T36">
    <cfRule type="cellIs" dxfId="487" priority="2" stopIfTrue="1" operator="equal">
      <formula>0</formula>
    </cfRule>
    <cfRule type="cellIs" dxfId="486" priority="3" stopIfTrue="1" operator="lessThan">
      <formula>0</formula>
    </cfRule>
  </conditionalFormatting>
  <conditionalFormatting sqref="O6:O36">
    <cfRule type="cellIs" dxfId="485" priority="25" operator="notBetween">
      <formula>$O$44</formula>
      <formula>$O$43</formula>
    </cfRule>
  </conditionalFormatting>
  <conditionalFormatting sqref="Q6:Q36">
    <cfRule type="cellIs" dxfId="484" priority="18" operator="notBetween">
      <formula>$Q$44</formula>
      <formula>$Q$43</formula>
    </cfRule>
  </conditionalFormatting>
  <conditionalFormatting sqref="R6:R36">
    <cfRule type="cellIs" dxfId="483" priority="19" operator="notBetween">
      <formula>$R$44</formula>
      <formula>$R$43</formula>
    </cfRule>
  </conditionalFormatting>
  <conditionalFormatting sqref="T6:T36">
    <cfRule type="cellIs" dxfId="482" priority="22" operator="notBetween">
      <formula>$T$44</formula>
      <formula>$T$43</formula>
    </cfRule>
  </conditionalFormatting>
  <conditionalFormatting sqref="R6:R39">
    <cfRule type="cellIs" dxfId="481" priority="13" stopIfTrue="1" operator="greaterThan">
      <formula>$R$43*2</formula>
    </cfRule>
  </conditionalFormatting>
  <conditionalFormatting sqref="O6:O39">
    <cfRule type="cellIs" dxfId="480" priority="15" stopIfTrue="1" operator="greaterThan">
      <formula>$O$43*2</formula>
    </cfRule>
  </conditionalFormatting>
  <conditionalFormatting sqref="Q6:Q39">
    <cfRule type="cellIs" dxfId="479" priority="6" stopIfTrue="1" operator="greaterThan">
      <formula>$Q$43*2</formula>
    </cfRule>
  </conditionalFormatting>
  <conditionalFormatting sqref="T6:T39">
    <cfRule type="cellIs" dxfId="47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&amp;CJuly Meter Reading</oddHeader>
    <oddFoote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1"/>
  <sheetViews>
    <sheetView zoomScaleNormal="100" workbookViewId="0">
      <pane ySplit="3" topLeftCell="A4" activePane="bottomLeft" state="frozen"/>
      <selection pane="bottomLeft" activeCell="G12" sqref="G12"/>
    </sheetView>
  </sheetViews>
  <sheetFormatPr defaultColWidth="9.28515625" defaultRowHeight="12.75" x14ac:dyDescent="0.2"/>
  <cols>
    <col min="1" max="1" width="3" style="12" customWidth="1"/>
    <col min="2" max="2" width="17" customWidth="1"/>
    <col min="3" max="3" width="0.85546875" customWidth="1"/>
    <col min="4" max="4" width="8.5703125" bestFit="1" customWidth="1"/>
    <col min="5" max="5" width="12.140625" customWidth="1"/>
    <col min="6" max="6" width="0.85546875" customWidth="1"/>
    <col min="7" max="7" width="13.5703125" customWidth="1"/>
    <col min="8" max="8" width="0.28515625"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x14ac:dyDescent="0.2">
      <c r="A1" s="93"/>
      <c r="B1" s="77" t="s">
        <v>4</v>
      </c>
      <c r="C1" s="1"/>
      <c r="D1" s="86" t="s">
        <v>1</v>
      </c>
      <c r="E1" s="86"/>
      <c r="F1" s="1"/>
      <c r="G1" s="77" t="s">
        <v>5</v>
      </c>
      <c r="H1" s="78"/>
      <c r="I1" s="1"/>
      <c r="J1" s="84" t="s">
        <v>3</v>
      </c>
      <c r="K1" s="84"/>
      <c r="L1" s="84"/>
      <c r="N1" s="93"/>
      <c r="O1" s="77" t="s">
        <v>4</v>
      </c>
      <c r="P1" s="1"/>
      <c r="Q1" s="86" t="s">
        <v>1</v>
      </c>
      <c r="R1" s="86"/>
      <c r="S1" s="1"/>
      <c r="T1" s="77" t="s">
        <v>5</v>
      </c>
    </row>
    <row r="2" spans="1:21" x14ac:dyDescent="0.2">
      <c r="A2" s="94"/>
      <c r="B2" s="76" t="s">
        <v>11</v>
      </c>
      <c r="C2" s="2"/>
      <c r="D2" s="84" t="s">
        <v>7</v>
      </c>
      <c r="E2" s="84"/>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c r="C5" s="15"/>
      <c r="D5" s="26"/>
      <c r="E5" s="26"/>
      <c r="F5" s="15"/>
      <c r="G5" s="26"/>
      <c r="H5" s="11"/>
      <c r="I5" s="15"/>
      <c r="J5" s="26">
        <f>Jul!J39</f>
        <v>0</v>
      </c>
      <c r="K5" s="26">
        <f>Jul!K39</f>
        <v>0</v>
      </c>
      <c r="L5" s="26">
        <f>Jul!L39</f>
        <v>0</v>
      </c>
      <c r="N5"/>
    </row>
    <row r="6" spans="1:21" x14ac:dyDescent="0.2">
      <c r="A6" s="7">
        <v>1</v>
      </c>
      <c r="B6" s="41"/>
      <c r="C6" s="15"/>
      <c r="D6" s="40"/>
      <c r="E6" s="42"/>
      <c r="F6" s="15"/>
      <c r="G6" s="41"/>
      <c r="H6" s="45" t="e">
        <f>#REF!-#REF!</f>
        <v>#REF!</v>
      </c>
      <c r="I6" s="16"/>
      <c r="J6" s="17">
        <v>0</v>
      </c>
      <c r="K6" s="17">
        <v>0</v>
      </c>
      <c r="L6" s="17">
        <v>0</v>
      </c>
      <c r="M6" s="43" t="s">
        <v>30</v>
      </c>
      <c r="N6" s="80">
        <v>1</v>
      </c>
      <c r="O6" s="11">
        <f t="shared" ref="O6:O36" si="0">B6-B5</f>
        <v>0</v>
      </c>
      <c r="P6" s="34"/>
      <c r="Q6" s="11">
        <f t="shared" ref="Q6:Q36" si="1">D6-D5</f>
        <v>0</v>
      </c>
      <c r="R6" s="11">
        <f t="shared" ref="R6:R36" si="2">E6-E5</f>
        <v>0</v>
      </c>
      <c r="S6" s="34"/>
      <c r="T6" s="11">
        <f t="shared" ref="T6:T36" si="3">G6-G5</f>
        <v>0</v>
      </c>
      <c r="U6" s="34"/>
    </row>
    <row r="7" spans="1:21" x14ac:dyDescent="0.2">
      <c r="A7" s="80">
        <v>2</v>
      </c>
      <c r="B7" s="41"/>
      <c r="C7" s="15"/>
      <c r="D7" s="40"/>
      <c r="E7" s="42"/>
      <c r="F7" s="15"/>
      <c r="G7" s="41"/>
      <c r="H7" s="45" t="e">
        <f>#REF!-#REF!</f>
        <v>#REF!</v>
      </c>
      <c r="I7" s="16"/>
      <c r="J7" s="17">
        <v>0</v>
      </c>
      <c r="K7" s="17">
        <v>0</v>
      </c>
      <c r="L7" s="17">
        <v>0</v>
      </c>
      <c r="M7" s="16"/>
      <c r="N7" s="80">
        <v>2</v>
      </c>
      <c r="O7" s="11">
        <f t="shared" si="0"/>
        <v>0</v>
      </c>
      <c r="P7" s="34"/>
      <c r="Q7" s="11">
        <f t="shared" si="1"/>
        <v>0</v>
      </c>
      <c r="R7" s="11">
        <f t="shared" si="2"/>
        <v>0</v>
      </c>
      <c r="S7" s="34"/>
      <c r="T7" s="11">
        <f t="shared" si="3"/>
        <v>0</v>
      </c>
      <c r="U7" s="35"/>
    </row>
    <row r="8" spans="1:21" x14ac:dyDescent="0.2">
      <c r="A8" s="80">
        <v>3</v>
      </c>
      <c r="B8" s="41"/>
      <c r="C8" s="15"/>
      <c r="D8" s="40"/>
      <c r="E8" s="42"/>
      <c r="F8" s="15"/>
      <c r="G8" s="41"/>
      <c r="H8" s="45" t="e">
        <f>#REF!-#REF!</f>
        <v>#REF!</v>
      </c>
      <c r="I8" s="16"/>
      <c r="J8" s="17">
        <v>0</v>
      </c>
      <c r="K8" s="17">
        <v>0</v>
      </c>
      <c r="L8" s="17">
        <v>0</v>
      </c>
      <c r="M8" s="16"/>
      <c r="N8" s="80">
        <v>3</v>
      </c>
      <c r="O8" s="11">
        <f t="shared" si="0"/>
        <v>0</v>
      </c>
      <c r="P8" s="34"/>
      <c r="Q8" s="11">
        <f t="shared" si="1"/>
        <v>0</v>
      </c>
      <c r="R8" s="11">
        <f t="shared" si="2"/>
        <v>0</v>
      </c>
      <c r="S8" s="34"/>
      <c r="T8" s="11">
        <f t="shared" si="3"/>
        <v>0</v>
      </c>
      <c r="U8" s="35"/>
    </row>
    <row r="9" spans="1:21" x14ac:dyDescent="0.2">
      <c r="A9" s="80">
        <v>4</v>
      </c>
      <c r="B9" s="41"/>
      <c r="C9" s="15"/>
      <c r="D9" s="40"/>
      <c r="E9" s="42"/>
      <c r="F9" s="15"/>
      <c r="G9" s="41"/>
      <c r="H9" s="45" t="e">
        <f>#REF!-#REF!</f>
        <v>#REF!</v>
      </c>
      <c r="I9" s="16"/>
      <c r="J9" s="17">
        <v>0</v>
      </c>
      <c r="K9" s="17">
        <v>0</v>
      </c>
      <c r="L9" s="17">
        <v>0</v>
      </c>
      <c r="M9" s="16"/>
      <c r="N9" s="80">
        <v>4</v>
      </c>
      <c r="O9" s="11">
        <f t="shared" si="0"/>
        <v>0</v>
      </c>
      <c r="P9" s="34"/>
      <c r="Q9" s="11">
        <f t="shared" si="1"/>
        <v>0</v>
      </c>
      <c r="R9" s="11">
        <f t="shared" si="2"/>
        <v>0</v>
      </c>
      <c r="S9" s="34"/>
      <c r="T9" s="11">
        <f t="shared" si="3"/>
        <v>0</v>
      </c>
      <c r="U9" s="35"/>
    </row>
    <row r="10" spans="1:21" x14ac:dyDescent="0.2">
      <c r="A10" s="80">
        <v>5</v>
      </c>
      <c r="B10" s="41"/>
      <c r="C10" s="15"/>
      <c r="D10" s="40"/>
      <c r="E10" s="42"/>
      <c r="F10" s="15"/>
      <c r="G10" s="41"/>
      <c r="H10" s="45" t="e">
        <f>#REF!-#REF!</f>
        <v>#REF!</v>
      </c>
      <c r="I10" s="16"/>
      <c r="J10" s="17">
        <v>0</v>
      </c>
      <c r="K10" s="17">
        <v>0</v>
      </c>
      <c r="L10" s="17">
        <v>0</v>
      </c>
      <c r="M10" s="16"/>
      <c r="N10" s="80">
        <v>5</v>
      </c>
      <c r="O10" s="11">
        <f t="shared" si="0"/>
        <v>0</v>
      </c>
      <c r="P10" s="34"/>
      <c r="Q10" s="11">
        <f t="shared" si="1"/>
        <v>0</v>
      </c>
      <c r="R10" s="11">
        <f t="shared" si="2"/>
        <v>0</v>
      </c>
      <c r="S10" s="34"/>
      <c r="T10" s="11">
        <f t="shared" si="3"/>
        <v>0</v>
      </c>
      <c r="U10" s="35"/>
    </row>
    <row r="11" spans="1:21" x14ac:dyDescent="0.2">
      <c r="A11" s="80">
        <v>6</v>
      </c>
      <c r="B11" s="41"/>
      <c r="C11" s="15"/>
      <c r="D11" s="40"/>
      <c r="E11" s="42"/>
      <c r="F11" s="15"/>
      <c r="G11" s="41"/>
      <c r="H11" s="45" t="e">
        <f>#REF!-#REF!</f>
        <v>#REF!</v>
      </c>
      <c r="I11" s="16"/>
      <c r="J11" s="17">
        <v>0</v>
      </c>
      <c r="K11" s="17">
        <v>0</v>
      </c>
      <c r="L11" s="17">
        <v>0</v>
      </c>
      <c r="M11" s="16"/>
      <c r="N11" s="80">
        <v>6</v>
      </c>
      <c r="O11" s="11">
        <f t="shared" si="0"/>
        <v>0</v>
      </c>
      <c r="P11" s="34"/>
      <c r="Q11" s="11">
        <f t="shared" si="1"/>
        <v>0</v>
      </c>
      <c r="R11" s="11">
        <f t="shared" si="2"/>
        <v>0</v>
      </c>
      <c r="S11" s="34"/>
      <c r="T11" s="11">
        <f t="shared" si="3"/>
        <v>0</v>
      </c>
      <c r="U11" s="35"/>
    </row>
    <row r="12" spans="1:21" x14ac:dyDescent="0.2">
      <c r="A12" s="80">
        <v>7</v>
      </c>
      <c r="B12" s="41"/>
      <c r="C12" s="15"/>
      <c r="D12" s="40"/>
      <c r="E12" s="42"/>
      <c r="F12" s="15"/>
      <c r="G12" s="41"/>
      <c r="H12" s="45" t="e">
        <f>#REF!-#REF!</f>
        <v>#REF!</v>
      </c>
      <c r="I12" s="16"/>
      <c r="J12" s="17">
        <v>0</v>
      </c>
      <c r="K12" s="17">
        <v>0</v>
      </c>
      <c r="L12" s="17">
        <v>0</v>
      </c>
      <c r="M12" s="16"/>
      <c r="N12" s="80">
        <v>7</v>
      </c>
      <c r="O12" s="11">
        <f t="shared" si="0"/>
        <v>0</v>
      </c>
      <c r="P12" s="34"/>
      <c r="Q12" s="11">
        <f t="shared" si="1"/>
        <v>0</v>
      </c>
      <c r="R12" s="11">
        <f t="shared" si="2"/>
        <v>0</v>
      </c>
      <c r="S12" s="34"/>
      <c r="T12" s="11">
        <f t="shared" si="3"/>
        <v>0</v>
      </c>
      <c r="U12" s="35"/>
    </row>
    <row r="13" spans="1:21" x14ac:dyDescent="0.2">
      <c r="A13" s="80">
        <v>8</v>
      </c>
      <c r="B13" s="41"/>
      <c r="C13" s="15"/>
      <c r="D13" s="40"/>
      <c r="E13" s="42"/>
      <c r="F13" s="15"/>
      <c r="G13" s="41"/>
      <c r="H13" s="45" t="e">
        <f>#REF!-#REF!</f>
        <v>#REF!</v>
      </c>
      <c r="I13" s="16"/>
      <c r="J13" s="17">
        <v>0</v>
      </c>
      <c r="K13" s="17">
        <v>0</v>
      </c>
      <c r="L13" s="17">
        <v>0</v>
      </c>
      <c r="M13" s="16"/>
      <c r="N13" s="80">
        <v>8</v>
      </c>
      <c r="O13" s="11">
        <f t="shared" si="0"/>
        <v>0</v>
      </c>
      <c r="P13" s="34"/>
      <c r="Q13" s="11">
        <f t="shared" si="1"/>
        <v>0</v>
      </c>
      <c r="R13" s="11">
        <f t="shared" si="2"/>
        <v>0</v>
      </c>
      <c r="S13" s="34"/>
      <c r="T13" s="11">
        <f t="shared" si="3"/>
        <v>0</v>
      </c>
      <c r="U13" s="35"/>
    </row>
    <row r="14" spans="1:21" x14ac:dyDescent="0.2">
      <c r="A14" s="80">
        <v>9</v>
      </c>
      <c r="B14" s="41"/>
      <c r="C14" s="15"/>
      <c r="D14" s="40"/>
      <c r="E14" s="42"/>
      <c r="F14" s="15"/>
      <c r="G14" s="41"/>
      <c r="H14" s="45" t="e">
        <f>#REF!-#REF!</f>
        <v>#REF!</v>
      </c>
      <c r="I14" s="16"/>
      <c r="J14" s="17">
        <v>0</v>
      </c>
      <c r="K14" s="17">
        <v>0</v>
      </c>
      <c r="L14" s="17">
        <v>0</v>
      </c>
      <c r="M14" s="16"/>
      <c r="N14" s="80">
        <v>9</v>
      </c>
      <c r="O14" s="11">
        <f t="shared" si="0"/>
        <v>0</v>
      </c>
      <c r="P14" s="34"/>
      <c r="Q14" s="11">
        <f t="shared" si="1"/>
        <v>0</v>
      </c>
      <c r="R14" s="11">
        <f t="shared" si="2"/>
        <v>0</v>
      </c>
      <c r="S14" s="34"/>
      <c r="T14" s="11">
        <f t="shared" si="3"/>
        <v>0</v>
      </c>
      <c r="U14" s="35"/>
    </row>
    <row r="15" spans="1:21" x14ac:dyDescent="0.2">
      <c r="A15" s="80">
        <v>10</v>
      </c>
      <c r="B15" s="41"/>
      <c r="C15" s="15"/>
      <c r="D15" s="40"/>
      <c r="E15" s="42"/>
      <c r="F15" s="15"/>
      <c r="G15" s="41"/>
      <c r="H15" s="45" t="e">
        <f>#REF!-#REF!</f>
        <v>#REF!</v>
      </c>
      <c r="I15" s="16"/>
      <c r="J15" s="17">
        <v>0</v>
      </c>
      <c r="K15" s="17">
        <v>0</v>
      </c>
      <c r="L15" s="17">
        <v>0</v>
      </c>
      <c r="M15" s="16"/>
      <c r="N15" s="80">
        <v>10</v>
      </c>
      <c r="O15" s="11">
        <f t="shared" si="0"/>
        <v>0</v>
      </c>
      <c r="P15" s="34"/>
      <c r="Q15" s="11">
        <f t="shared" si="1"/>
        <v>0</v>
      </c>
      <c r="R15" s="11">
        <f t="shared" si="2"/>
        <v>0</v>
      </c>
      <c r="S15" s="34"/>
      <c r="T15" s="11">
        <f t="shared" si="3"/>
        <v>0</v>
      </c>
      <c r="U15" s="35"/>
    </row>
    <row r="16" spans="1:21" x14ac:dyDescent="0.2">
      <c r="A16" s="80">
        <v>11</v>
      </c>
      <c r="B16" s="41"/>
      <c r="C16" s="15"/>
      <c r="D16" s="40"/>
      <c r="E16" s="42"/>
      <c r="F16" s="15"/>
      <c r="G16" s="41"/>
      <c r="H16" s="45" t="e">
        <f>#REF!-#REF!</f>
        <v>#REF!</v>
      </c>
      <c r="I16" s="16"/>
      <c r="J16" s="17">
        <v>0</v>
      </c>
      <c r="K16" s="17">
        <v>0</v>
      </c>
      <c r="L16" s="17">
        <v>0</v>
      </c>
      <c r="M16" s="16"/>
      <c r="N16" s="80">
        <v>11</v>
      </c>
      <c r="O16" s="11">
        <f t="shared" si="0"/>
        <v>0</v>
      </c>
      <c r="P16" s="34"/>
      <c r="Q16" s="11">
        <f t="shared" si="1"/>
        <v>0</v>
      </c>
      <c r="R16" s="11">
        <f t="shared" si="2"/>
        <v>0</v>
      </c>
      <c r="S16" s="34"/>
      <c r="T16" s="11">
        <f t="shared" si="3"/>
        <v>0</v>
      </c>
      <c r="U16" s="35"/>
    </row>
    <row r="17" spans="1:21" x14ac:dyDescent="0.2">
      <c r="A17" s="80">
        <v>12</v>
      </c>
      <c r="B17" s="41"/>
      <c r="C17" s="15"/>
      <c r="D17" s="40"/>
      <c r="E17" s="42"/>
      <c r="F17" s="15"/>
      <c r="G17" s="41"/>
      <c r="H17" s="45" t="e">
        <f>#REF!-#REF!</f>
        <v>#REF!</v>
      </c>
      <c r="I17" s="16"/>
      <c r="J17" s="17">
        <v>0</v>
      </c>
      <c r="K17" s="17">
        <v>0</v>
      </c>
      <c r="L17" s="17">
        <v>0</v>
      </c>
      <c r="M17" s="16"/>
      <c r="N17" s="80">
        <v>12</v>
      </c>
      <c r="O17" s="11">
        <f t="shared" si="0"/>
        <v>0</v>
      </c>
      <c r="P17" s="34"/>
      <c r="Q17" s="11">
        <f t="shared" si="1"/>
        <v>0</v>
      </c>
      <c r="R17" s="11">
        <f t="shared" si="2"/>
        <v>0</v>
      </c>
      <c r="S17" s="34"/>
      <c r="T17" s="11">
        <f t="shared" si="3"/>
        <v>0</v>
      </c>
      <c r="U17" s="35"/>
    </row>
    <row r="18" spans="1:21" x14ac:dyDescent="0.2">
      <c r="A18" s="80">
        <v>13</v>
      </c>
      <c r="B18" s="41"/>
      <c r="C18" s="15"/>
      <c r="D18" s="40"/>
      <c r="E18" s="42"/>
      <c r="F18" s="15"/>
      <c r="G18" s="41"/>
      <c r="H18" s="45" t="e">
        <f>#REF!-#REF!</f>
        <v>#REF!</v>
      </c>
      <c r="I18" s="16"/>
      <c r="J18" s="17">
        <v>0</v>
      </c>
      <c r="K18" s="17">
        <v>0</v>
      </c>
      <c r="L18" s="17">
        <v>0</v>
      </c>
      <c r="M18" s="16"/>
      <c r="N18" s="80">
        <v>13</v>
      </c>
      <c r="O18" s="11">
        <f t="shared" si="0"/>
        <v>0</v>
      </c>
      <c r="P18" s="34"/>
      <c r="Q18" s="11">
        <f t="shared" si="1"/>
        <v>0</v>
      </c>
      <c r="R18" s="11">
        <f t="shared" si="2"/>
        <v>0</v>
      </c>
      <c r="S18" s="34"/>
      <c r="T18" s="11">
        <f t="shared" si="3"/>
        <v>0</v>
      </c>
      <c r="U18" s="35"/>
    </row>
    <row r="19" spans="1:21" x14ac:dyDescent="0.2">
      <c r="A19" s="80">
        <v>14</v>
      </c>
      <c r="B19" s="41"/>
      <c r="C19" s="15"/>
      <c r="D19" s="40"/>
      <c r="E19" s="42"/>
      <c r="F19" s="15"/>
      <c r="G19" s="41"/>
      <c r="H19" s="45" t="e">
        <f>#REF!-#REF!</f>
        <v>#REF!</v>
      </c>
      <c r="I19" s="16"/>
      <c r="J19" s="17">
        <v>0</v>
      </c>
      <c r="K19" s="17">
        <v>0</v>
      </c>
      <c r="L19" s="17">
        <v>0</v>
      </c>
      <c r="M19" s="16"/>
      <c r="N19" s="80">
        <v>14</v>
      </c>
      <c r="O19" s="11">
        <f t="shared" si="0"/>
        <v>0</v>
      </c>
      <c r="P19" s="34"/>
      <c r="Q19" s="11">
        <f t="shared" si="1"/>
        <v>0</v>
      </c>
      <c r="R19" s="11">
        <f t="shared" si="2"/>
        <v>0</v>
      </c>
      <c r="S19" s="34"/>
      <c r="T19" s="11">
        <f t="shared" si="3"/>
        <v>0</v>
      </c>
      <c r="U19" s="35"/>
    </row>
    <row r="20" spans="1:21" x14ac:dyDescent="0.2">
      <c r="A20" s="80">
        <v>15</v>
      </c>
      <c r="B20" s="41"/>
      <c r="C20" s="15"/>
      <c r="D20" s="40"/>
      <c r="E20" s="42"/>
      <c r="F20" s="15"/>
      <c r="G20" s="41"/>
      <c r="H20" s="45" t="e">
        <f>#REF!-#REF!</f>
        <v>#REF!</v>
      </c>
      <c r="I20" s="16"/>
      <c r="J20" s="17">
        <v>0</v>
      </c>
      <c r="K20" s="17">
        <v>0</v>
      </c>
      <c r="L20" s="17">
        <v>0</v>
      </c>
      <c r="M20" s="16"/>
      <c r="N20" s="80">
        <v>15</v>
      </c>
      <c r="O20" s="11">
        <f t="shared" si="0"/>
        <v>0</v>
      </c>
      <c r="P20" s="34"/>
      <c r="Q20" s="11">
        <f t="shared" si="1"/>
        <v>0</v>
      </c>
      <c r="R20" s="11">
        <f t="shared" si="2"/>
        <v>0</v>
      </c>
      <c r="S20" s="34"/>
      <c r="T20" s="11">
        <f t="shared" si="3"/>
        <v>0</v>
      </c>
      <c r="U20" s="35"/>
    </row>
    <row r="21" spans="1:21" x14ac:dyDescent="0.2">
      <c r="A21" s="80">
        <v>16</v>
      </c>
      <c r="B21" s="41"/>
      <c r="C21" s="15"/>
      <c r="D21" s="40"/>
      <c r="E21" s="42"/>
      <c r="F21" s="15"/>
      <c r="G21" s="41"/>
      <c r="H21" s="45" t="e">
        <f>#REF!-#REF!</f>
        <v>#REF!</v>
      </c>
      <c r="I21" s="16"/>
      <c r="J21" s="17">
        <v>0</v>
      </c>
      <c r="K21" s="17">
        <v>0</v>
      </c>
      <c r="L21" s="17">
        <v>0</v>
      </c>
      <c r="M21" s="16"/>
      <c r="N21" s="80">
        <v>16</v>
      </c>
      <c r="O21" s="11">
        <f t="shared" si="0"/>
        <v>0</v>
      </c>
      <c r="P21" s="34"/>
      <c r="Q21" s="11">
        <f t="shared" si="1"/>
        <v>0</v>
      </c>
      <c r="R21" s="11">
        <f t="shared" si="2"/>
        <v>0</v>
      </c>
      <c r="S21" s="34"/>
      <c r="T21" s="11">
        <f t="shared" si="3"/>
        <v>0</v>
      </c>
      <c r="U21" s="35"/>
    </row>
    <row r="22" spans="1:21" x14ac:dyDescent="0.2">
      <c r="A22" s="80">
        <v>17</v>
      </c>
      <c r="B22" s="41"/>
      <c r="C22" s="15"/>
      <c r="D22" s="40"/>
      <c r="E22" s="42"/>
      <c r="F22" s="15"/>
      <c r="G22" s="41"/>
      <c r="H22" s="45" t="e">
        <f>#REF!-#REF!</f>
        <v>#REF!</v>
      </c>
      <c r="I22" s="16"/>
      <c r="J22" s="17">
        <v>0</v>
      </c>
      <c r="K22" s="17">
        <v>0</v>
      </c>
      <c r="L22" s="17">
        <v>0</v>
      </c>
      <c r="M22" s="16"/>
      <c r="N22" s="80">
        <v>17</v>
      </c>
      <c r="O22" s="11">
        <f t="shared" si="0"/>
        <v>0</v>
      </c>
      <c r="P22" s="34"/>
      <c r="Q22" s="11">
        <f t="shared" si="1"/>
        <v>0</v>
      </c>
      <c r="R22" s="11">
        <f t="shared" si="2"/>
        <v>0</v>
      </c>
      <c r="S22" s="34"/>
      <c r="T22" s="11">
        <f t="shared" si="3"/>
        <v>0</v>
      </c>
      <c r="U22" s="35"/>
    </row>
    <row r="23" spans="1:21" x14ac:dyDescent="0.2">
      <c r="A23" s="80">
        <v>18</v>
      </c>
      <c r="B23" s="41"/>
      <c r="C23" s="15"/>
      <c r="D23" s="40"/>
      <c r="E23" s="42"/>
      <c r="F23" s="15"/>
      <c r="G23" s="41"/>
      <c r="H23" s="45" t="e">
        <f>#REF!-#REF!</f>
        <v>#REF!</v>
      </c>
      <c r="I23" s="16"/>
      <c r="J23" s="17">
        <v>0</v>
      </c>
      <c r="K23" s="17">
        <v>0</v>
      </c>
      <c r="L23" s="17">
        <v>0</v>
      </c>
      <c r="M23" s="16"/>
      <c r="N23" s="80">
        <v>18</v>
      </c>
      <c r="O23" s="11">
        <f t="shared" si="0"/>
        <v>0</v>
      </c>
      <c r="P23" s="34"/>
      <c r="Q23" s="11">
        <f t="shared" si="1"/>
        <v>0</v>
      </c>
      <c r="R23" s="11">
        <f t="shared" si="2"/>
        <v>0</v>
      </c>
      <c r="S23" s="34"/>
      <c r="T23" s="11">
        <f t="shared" si="3"/>
        <v>0</v>
      </c>
      <c r="U23" s="35"/>
    </row>
    <row r="24" spans="1:21" x14ac:dyDescent="0.2">
      <c r="A24" s="80">
        <v>19</v>
      </c>
      <c r="B24" s="41"/>
      <c r="C24" s="15"/>
      <c r="D24" s="40"/>
      <c r="E24" s="42"/>
      <c r="F24" s="15"/>
      <c r="G24" s="41"/>
      <c r="H24" s="45" t="e">
        <f>#REF!-#REF!</f>
        <v>#REF!</v>
      </c>
      <c r="I24" s="16"/>
      <c r="J24" s="17">
        <v>0</v>
      </c>
      <c r="K24" s="17">
        <v>0</v>
      </c>
      <c r="L24" s="17">
        <v>0</v>
      </c>
      <c r="M24" s="16"/>
      <c r="N24" s="80">
        <v>19</v>
      </c>
      <c r="O24" s="11">
        <f t="shared" si="0"/>
        <v>0</v>
      </c>
      <c r="P24" s="34"/>
      <c r="Q24" s="11">
        <f t="shared" si="1"/>
        <v>0</v>
      </c>
      <c r="R24" s="11">
        <f t="shared" si="2"/>
        <v>0</v>
      </c>
      <c r="S24" s="34"/>
      <c r="T24" s="11">
        <f t="shared" si="3"/>
        <v>0</v>
      </c>
      <c r="U24" s="35"/>
    </row>
    <row r="25" spans="1:21" x14ac:dyDescent="0.2">
      <c r="A25" s="80">
        <v>20</v>
      </c>
      <c r="B25" s="41"/>
      <c r="C25" s="15"/>
      <c r="D25" s="40"/>
      <c r="E25" s="42"/>
      <c r="F25" s="15"/>
      <c r="G25" s="41"/>
      <c r="H25" s="45" t="e">
        <f>#REF!-#REF!</f>
        <v>#REF!</v>
      </c>
      <c r="I25" s="16"/>
      <c r="J25" s="17">
        <v>0</v>
      </c>
      <c r="K25" s="17">
        <v>0</v>
      </c>
      <c r="L25" s="17">
        <v>0</v>
      </c>
      <c r="M25" s="16"/>
      <c r="N25" s="80">
        <v>20</v>
      </c>
      <c r="O25" s="11">
        <f t="shared" si="0"/>
        <v>0</v>
      </c>
      <c r="P25" s="34"/>
      <c r="Q25" s="11">
        <f t="shared" si="1"/>
        <v>0</v>
      </c>
      <c r="R25" s="11">
        <f t="shared" si="2"/>
        <v>0</v>
      </c>
      <c r="S25" s="34"/>
      <c r="T25" s="11">
        <f t="shared" si="3"/>
        <v>0</v>
      </c>
      <c r="U25" s="35"/>
    </row>
    <row r="26" spans="1:21" x14ac:dyDescent="0.2">
      <c r="A26" s="80">
        <v>21</v>
      </c>
      <c r="B26" s="41"/>
      <c r="C26" s="15"/>
      <c r="D26" s="40"/>
      <c r="E26" s="42"/>
      <c r="F26" s="15"/>
      <c r="G26" s="41"/>
      <c r="H26" s="45" t="e">
        <f>#REF!-#REF!</f>
        <v>#REF!</v>
      </c>
      <c r="I26" s="16"/>
      <c r="J26" s="17">
        <v>0</v>
      </c>
      <c r="K26" s="17">
        <v>0</v>
      </c>
      <c r="L26" s="17">
        <v>0</v>
      </c>
      <c r="M26" s="16"/>
      <c r="N26" s="80">
        <v>21</v>
      </c>
      <c r="O26" s="11">
        <f t="shared" si="0"/>
        <v>0</v>
      </c>
      <c r="P26" s="34"/>
      <c r="Q26" s="11">
        <f t="shared" si="1"/>
        <v>0</v>
      </c>
      <c r="R26" s="11">
        <f t="shared" si="2"/>
        <v>0</v>
      </c>
      <c r="S26" s="34"/>
      <c r="T26" s="11">
        <f t="shared" si="3"/>
        <v>0</v>
      </c>
      <c r="U26" s="35"/>
    </row>
    <row r="27" spans="1:21" x14ac:dyDescent="0.2">
      <c r="A27" s="80">
        <v>22</v>
      </c>
      <c r="B27" s="41"/>
      <c r="C27" s="15"/>
      <c r="D27" s="40"/>
      <c r="E27" s="42"/>
      <c r="F27" s="15"/>
      <c r="G27" s="41"/>
      <c r="H27" s="45" t="e">
        <f>#REF!-#REF!</f>
        <v>#REF!</v>
      </c>
      <c r="I27" s="16"/>
      <c r="J27" s="17">
        <v>0</v>
      </c>
      <c r="K27" s="17">
        <v>0</v>
      </c>
      <c r="L27" s="17">
        <v>0</v>
      </c>
      <c r="M27" s="16"/>
      <c r="N27" s="80">
        <v>22</v>
      </c>
      <c r="O27" s="11">
        <f t="shared" si="0"/>
        <v>0</v>
      </c>
      <c r="P27" s="34"/>
      <c r="Q27" s="11">
        <f t="shared" si="1"/>
        <v>0</v>
      </c>
      <c r="R27" s="11">
        <f t="shared" si="2"/>
        <v>0</v>
      </c>
      <c r="S27" s="34"/>
      <c r="T27" s="11">
        <f t="shared" si="3"/>
        <v>0</v>
      </c>
      <c r="U27" s="35"/>
    </row>
    <row r="28" spans="1:21" x14ac:dyDescent="0.2">
      <c r="A28" s="80">
        <v>23</v>
      </c>
      <c r="B28" s="41"/>
      <c r="C28" s="15"/>
      <c r="D28" s="40"/>
      <c r="E28" s="42"/>
      <c r="F28" s="15"/>
      <c r="G28" s="41"/>
      <c r="H28" s="45" t="e">
        <f>#REF!-#REF!</f>
        <v>#REF!</v>
      </c>
      <c r="I28" s="16"/>
      <c r="J28" s="17">
        <v>0</v>
      </c>
      <c r="K28" s="17">
        <v>0</v>
      </c>
      <c r="L28" s="17">
        <v>0</v>
      </c>
      <c r="M28" s="16"/>
      <c r="N28" s="80">
        <v>23</v>
      </c>
      <c r="O28" s="11">
        <f t="shared" si="0"/>
        <v>0</v>
      </c>
      <c r="P28" s="34"/>
      <c r="Q28" s="11">
        <f t="shared" si="1"/>
        <v>0</v>
      </c>
      <c r="R28" s="11">
        <f t="shared" si="2"/>
        <v>0</v>
      </c>
      <c r="S28" s="34"/>
      <c r="T28" s="11">
        <f t="shared" si="3"/>
        <v>0</v>
      </c>
      <c r="U28" s="35"/>
    </row>
    <row r="29" spans="1:21" x14ac:dyDescent="0.2">
      <c r="A29" s="80">
        <v>24</v>
      </c>
      <c r="B29" s="41"/>
      <c r="C29" s="15"/>
      <c r="D29" s="40"/>
      <c r="E29" s="42"/>
      <c r="F29" s="15"/>
      <c r="G29" s="41"/>
      <c r="H29" s="45" t="e">
        <f>#REF!-#REF!</f>
        <v>#REF!</v>
      </c>
      <c r="I29" s="16"/>
      <c r="J29" s="17">
        <v>0</v>
      </c>
      <c r="K29" s="17">
        <v>0</v>
      </c>
      <c r="L29" s="17">
        <v>0</v>
      </c>
      <c r="M29" s="16"/>
      <c r="N29" s="80">
        <v>24</v>
      </c>
      <c r="O29" s="11">
        <f t="shared" si="0"/>
        <v>0</v>
      </c>
      <c r="P29" s="34"/>
      <c r="Q29" s="11">
        <f t="shared" si="1"/>
        <v>0</v>
      </c>
      <c r="R29" s="11">
        <f t="shared" si="2"/>
        <v>0</v>
      </c>
      <c r="S29" s="34"/>
      <c r="T29" s="11">
        <f t="shared" si="3"/>
        <v>0</v>
      </c>
      <c r="U29" s="35"/>
    </row>
    <row r="30" spans="1:21" x14ac:dyDescent="0.2">
      <c r="A30" s="80">
        <v>25</v>
      </c>
      <c r="B30" s="41"/>
      <c r="C30" s="15"/>
      <c r="D30" s="40"/>
      <c r="E30" s="42"/>
      <c r="F30" s="15"/>
      <c r="G30" s="41"/>
      <c r="H30" s="45" t="e">
        <f>#REF!-#REF!</f>
        <v>#REF!</v>
      </c>
      <c r="I30" s="16"/>
      <c r="J30" s="17">
        <v>0</v>
      </c>
      <c r="K30" s="17">
        <v>0</v>
      </c>
      <c r="L30" s="17">
        <v>0</v>
      </c>
      <c r="M30" s="16"/>
      <c r="N30" s="80">
        <v>25</v>
      </c>
      <c r="O30" s="11">
        <f t="shared" si="0"/>
        <v>0</v>
      </c>
      <c r="P30" s="34"/>
      <c r="Q30" s="11">
        <f t="shared" si="1"/>
        <v>0</v>
      </c>
      <c r="R30" s="11">
        <f t="shared" si="2"/>
        <v>0</v>
      </c>
      <c r="S30" s="34"/>
      <c r="T30" s="11">
        <f t="shared" si="3"/>
        <v>0</v>
      </c>
      <c r="U30" s="35"/>
    </row>
    <row r="31" spans="1:21" x14ac:dyDescent="0.2">
      <c r="A31" s="80">
        <v>26</v>
      </c>
      <c r="B31" s="41"/>
      <c r="C31" s="15"/>
      <c r="D31" s="40"/>
      <c r="E31" s="42"/>
      <c r="F31" s="15"/>
      <c r="G31" s="41"/>
      <c r="H31" s="45" t="e">
        <f>#REF!-#REF!</f>
        <v>#REF!</v>
      </c>
      <c r="I31" s="16"/>
      <c r="J31" s="17">
        <v>0</v>
      </c>
      <c r="K31" s="17">
        <v>0</v>
      </c>
      <c r="L31" s="17">
        <v>0</v>
      </c>
      <c r="M31" s="16"/>
      <c r="N31" s="80">
        <v>26</v>
      </c>
      <c r="O31" s="11">
        <f t="shared" si="0"/>
        <v>0</v>
      </c>
      <c r="P31" s="34"/>
      <c r="Q31" s="11">
        <f t="shared" si="1"/>
        <v>0</v>
      </c>
      <c r="R31" s="11">
        <f t="shared" si="2"/>
        <v>0</v>
      </c>
      <c r="S31" s="34"/>
      <c r="T31" s="11">
        <f t="shared" si="3"/>
        <v>0</v>
      </c>
      <c r="U31" s="35"/>
    </row>
    <row r="32" spans="1:21" x14ac:dyDescent="0.2">
      <c r="A32" s="80">
        <v>27</v>
      </c>
      <c r="B32" s="41"/>
      <c r="C32" s="15"/>
      <c r="D32" s="40"/>
      <c r="E32" s="42"/>
      <c r="F32" s="15"/>
      <c r="G32" s="41"/>
      <c r="H32" s="45" t="e">
        <f>#REF!-#REF!</f>
        <v>#REF!</v>
      </c>
      <c r="I32" s="16"/>
      <c r="J32" s="17">
        <v>0</v>
      </c>
      <c r="K32" s="17">
        <v>0</v>
      </c>
      <c r="L32" s="17">
        <v>0</v>
      </c>
      <c r="M32" s="16"/>
      <c r="N32" s="80">
        <v>27</v>
      </c>
      <c r="O32" s="11">
        <f t="shared" si="0"/>
        <v>0</v>
      </c>
      <c r="P32" s="34"/>
      <c r="Q32" s="11">
        <f t="shared" si="1"/>
        <v>0</v>
      </c>
      <c r="R32" s="11">
        <f t="shared" si="2"/>
        <v>0</v>
      </c>
      <c r="S32" s="34"/>
      <c r="T32" s="11">
        <f t="shared" si="3"/>
        <v>0</v>
      </c>
      <c r="U32" s="35"/>
    </row>
    <row r="33" spans="1:21" x14ac:dyDescent="0.2">
      <c r="A33" s="80">
        <v>28</v>
      </c>
      <c r="B33" s="41"/>
      <c r="C33" s="15"/>
      <c r="D33" s="40"/>
      <c r="E33" s="42"/>
      <c r="F33" s="15"/>
      <c r="G33" s="41"/>
      <c r="H33" s="45" t="e">
        <f>#REF!-#REF!</f>
        <v>#REF!</v>
      </c>
      <c r="I33" s="16"/>
      <c r="J33" s="17">
        <v>0</v>
      </c>
      <c r="K33" s="17">
        <v>0</v>
      </c>
      <c r="L33" s="17">
        <v>0</v>
      </c>
      <c r="M33" s="16"/>
      <c r="N33" s="80">
        <v>28</v>
      </c>
      <c r="O33" s="11">
        <f t="shared" si="0"/>
        <v>0</v>
      </c>
      <c r="P33" s="34"/>
      <c r="Q33" s="11">
        <f t="shared" si="1"/>
        <v>0</v>
      </c>
      <c r="R33" s="11">
        <f t="shared" si="2"/>
        <v>0</v>
      </c>
      <c r="S33" s="34"/>
      <c r="T33" s="11">
        <f t="shared" si="3"/>
        <v>0</v>
      </c>
      <c r="U33" s="35"/>
    </row>
    <row r="34" spans="1:21" x14ac:dyDescent="0.2">
      <c r="A34" s="80">
        <v>29</v>
      </c>
      <c r="B34" s="41"/>
      <c r="C34" s="15"/>
      <c r="D34" s="40"/>
      <c r="E34" s="42"/>
      <c r="F34" s="15"/>
      <c r="G34" s="41"/>
      <c r="H34" s="45" t="e">
        <f>#REF!-#REF!</f>
        <v>#REF!</v>
      </c>
      <c r="I34" s="16"/>
      <c r="J34" s="17">
        <v>0</v>
      </c>
      <c r="K34" s="17">
        <v>0</v>
      </c>
      <c r="L34" s="17">
        <v>0</v>
      </c>
      <c r="M34" s="16"/>
      <c r="N34" s="80">
        <v>29</v>
      </c>
      <c r="O34" s="11">
        <f t="shared" si="0"/>
        <v>0</v>
      </c>
      <c r="P34" s="34"/>
      <c r="Q34" s="11">
        <f t="shared" si="1"/>
        <v>0</v>
      </c>
      <c r="R34" s="11">
        <f t="shared" si="2"/>
        <v>0</v>
      </c>
      <c r="S34" s="34"/>
      <c r="T34" s="11">
        <f t="shared" si="3"/>
        <v>0</v>
      </c>
      <c r="U34" s="35"/>
    </row>
    <row r="35" spans="1:21" x14ac:dyDescent="0.2">
      <c r="A35" s="80">
        <v>30</v>
      </c>
      <c r="B35" s="41"/>
      <c r="C35" s="15"/>
      <c r="D35" s="40"/>
      <c r="E35" s="42"/>
      <c r="F35" s="15"/>
      <c r="G35" s="41"/>
      <c r="H35" s="45" t="e">
        <f>#REF!-#REF!</f>
        <v>#REF!</v>
      </c>
      <c r="I35" s="16"/>
      <c r="J35" s="17">
        <v>0</v>
      </c>
      <c r="K35" s="17">
        <v>0</v>
      </c>
      <c r="L35" s="17">
        <v>0</v>
      </c>
      <c r="M35" s="16"/>
      <c r="N35" s="80">
        <v>30</v>
      </c>
      <c r="O35" s="11">
        <f t="shared" si="0"/>
        <v>0</v>
      </c>
      <c r="P35" s="34"/>
      <c r="Q35" s="11">
        <f t="shared" si="1"/>
        <v>0</v>
      </c>
      <c r="R35" s="11">
        <f t="shared" si="2"/>
        <v>0</v>
      </c>
      <c r="S35" s="34"/>
      <c r="T35" s="11">
        <f t="shared" si="3"/>
        <v>0</v>
      </c>
      <c r="U35" s="35"/>
    </row>
    <row r="36" spans="1:21" x14ac:dyDescent="0.2">
      <c r="A36" s="80">
        <v>31</v>
      </c>
      <c r="B36" s="41"/>
      <c r="C36" s="15"/>
      <c r="D36" s="40"/>
      <c r="E36" s="42"/>
      <c r="F36" s="15"/>
      <c r="G36" s="41"/>
      <c r="H36" s="45" t="e">
        <f>#REF!-#REF!</f>
        <v>#REF!</v>
      </c>
      <c r="I36" s="16"/>
      <c r="J36" s="17">
        <v>0</v>
      </c>
      <c r="K36" s="17">
        <v>0</v>
      </c>
      <c r="L36" s="17">
        <v>0</v>
      </c>
      <c r="M36" s="16"/>
      <c r="N36" s="80">
        <v>31</v>
      </c>
      <c r="O36" s="11">
        <f t="shared" si="0"/>
        <v>0</v>
      </c>
      <c r="P36" s="34"/>
      <c r="Q36" s="11">
        <f t="shared" si="1"/>
        <v>0</v>
      </c>
      <c r="R36" s="11">
        <f t="shared" si="2"/>
        <v>0</v>
      </c>
      <c r="S36" s="34"/>
      <c r="T36" s="11">
        <f t="shared" si="3"/>
        <v>0</v>
      </c>
      <c r="U36" s="36"/>
    </row>
    <row r="37" spans="1:21" x14ac:dyDescent="0.2">
      <c r="B37" s="20" t="s">
        <v>32</v>
      </c>
      <c r="D37" s="19" t="s">
        <v>32</v>
      </c>
      <c r="E37" s="21" t="s">
        <v>33</v>
      </c>
      <c r="G37" s="20" t="s">
        <v>31</v>
      </c>
    </row>
    <row r="39" spans="1:21" x14ac:dyDescent="0.2">
      <c r="A39" s="80" t="s">
        <v>34</v>
      </c>
      <c r="B39" s="10" t="e">
        <f t="shared" ref="B39" si="4">LARGE(B5:B36, 1)</f>
        <v>#NUM!</v>
      </c>
      <c r="C39" s="23"/>
      <c r="D39" s="10" t="e">
        <f>LARGE(D5:D36, 1)</f>
        <v>#NUM!</v>
      </c>
      <c r="E39" s="24" t="e">
        <f>LARGE(E5:E36, 1)</f>
        <v>#NUM!</v>
      </c>
      <c r="F39" s="8"/>
      <c r="G39" s="22" t="e">
        <f>LARGE(G5:G36, 1)</f>
        <v>#NUM!</v>
      </c>
      <c r="H39" s="19"/>
      <c r="I39" s="9"/>
      <c r="J39" s="11">
        <f>LARGE(J5:J36, 1)</f>
        <v>0</v>
      </c>
      <c r="K39" s="11">
        <f>LARGE(K5:K36, 1)</f>
        <v>0</v>
      </c>
      <c r="L39" s="11">
        <f>LARGE(L5:L36, 1)</f>
        <v>0</v>
      </c>
      <c r="N39" s="80" t="s">
        <v>35</v>
      </c>
      <c r="O39" s="55">
        <f t="shared" ref="O39" si="5">AVERAGEIF($M$6:$M$36, "x",O6:O36)</f>
        <v>0</v>
      </c>
      <c r="P39" s="56"/>
      <c r="Q39" s="55">
        <f>AVERAGEIF($M$6:$M$36, "x",Q6:Q36)</f>
        <v>0</v>
      </c>
      <c r="R39" s="55">
        <f>AVERAGEIF($M$6:$M$36, "x",R6:R36)</f>
        <v>0</v>
      </c>
      <c r="S39" s="56"/>
      <c r="T39" s="55">
        <f>AVERAGEIF($M$6:$M$36, "x",T6:T36)</f>
        <v>0</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t="e">
        <f>B39-B5</f>
        <v>#NUM!</v>
      </c>
      <c r="D42" s="26" t="e">
        <f t="shared" ref="D42:L42" si="6">D39-D5</f>
        <v>#NUM!</v>
      </c>
      <c r="E42" s="26" t="e">
        <f t="shared" si="6"/>
        <v>#NUM!</v>
      </c>
      <c r="G42" s="26" t="e">
        <f t="shared" si="6"/>
        <v>#NUM!</v>
      </c>
      <c r="H42" s="26"/>
      <c r="J42" s="26">
        <f t="shared" si="6"/>
        <v>0</v>
      </c>
      <c r="K42" s="26">
        <f t="shared" si="6"/>
        <v>0</v>
      </c>
      <c r="L42" s="26">
        <f t="shared" si="6"/>
        <v>0</v>
      </c>
      <c r="N42" s="96"/>
      <c r="O42" s="53">
        <f>Jul!O39</f>
        <v>-649950</v>
      </c>
      <c r="P42" s="57"/>
      <c r="Q42" s="53">
        <f>Jul!Q39</f>
        <v>-21996</v>
      </c>
      <c r="R42" s="53">
        <f>Jul!R39</f>
        <v>-2112</v>
      </c>
      <c r="S42" s="57"/>
      <c r="T42" s="53">
        <f>Jul!T39</f>
        <v>-228099</v>
      </c>
    </row>
    <row r="43" spans="1:21" x14ac:dyDescent="0.2">
      <c r="N43" s="80">
        <v>1.5</v>
      </c>
      <c r="O43" s="54">
        <f>O42*$N$43</f>
        <v>-974925</v>
      </c>
      <c r="P43" s="56"/>
      <c r="Q43" s="54">
        <f t="shared" ref="Q43:R43" si="7">Q42*$N$43</f>
        <v>-32994</v>
      </c>
      <c r="R43" s="54">
        <f t="shared" si="7"/>
        <v>-3168</v>
      </c>
      <c r="S43" s="56"/>
      <c r="T43" s="54">
        <f t="shared" ref="T43" si="8">T42*$N$43</f>
        <v>-342148.5</v>
      </c>
    </row>
    <row r="44" spans="1:21" x14ac:dyDescent="0.2">
      <c r="H44" s="31" t="s">
        <v>35</v>
      </c>
      <c r="N44" s="80">
        <v>0.5</v>
      </c>
      <c r="O44" s="54">
        <f>O42*$N$44</f>
        <v>-324975</v>
      </c>
      <c r="P44" s="56"/>
      <c r="Q44" s="54">
        <f t="shared" ref="Q44:R44" si="9">Q42*$N$44</f>
        <v>-10998</v>
      </c>
      <c r="R44" s="54">
        <f t="shared" si="9"/>
        <v>-1056</v>
      </c>
      <c r="S44" s="56"/>
      <c r="T44" s="54">
        <f t="shared" ref="T44" si="10">T42*$N$44</f>
        <v>-114049.5</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477" priority="143" operator="lessThan">
      <formula>0</formula>
    </cfRule>
  </conditionalFormatting>
  <conditionalFormatting sqref="O43:O44 Q43:R44 T43:T44">
    <cfRule type="cellIs" dxfId="476" priority="142" operator="lessThan">
      <formula>0</formula>
    </cfRule>
  </conditionalFormatting>
  <conditionalFormatting sqref="O39">
    <cfRule type="cellIs" dxfId="475" priority="50" operator="lessThan">
      <formula>$O$44</formula>
    </cfRule>
    <cfRule type="cellIs" dxfId="474" priority="51" operator="greaterThan">
      <formula>$O$43</formula>
    </cfRule>
  </conditionalFormatting>
  <conditionalFormatting sqref="Q39">
    <cfRule type="cellIs" dxfId="473" priority="42" operator="lessThan">
      <formula>$Q$44</formula>
    </cfRule>
    <cfRule type="cellIs" dxfId="472" priority="43" operator="greaterThan">
      <formula>$Q$43</formula>
    </cfRule>
  </conditionalFormatting>
  <conditionalFormatting sqref="R39">
    <cfRule type="cellIs" dxfId="471" priority="40" operator="lessThan">
      <formula>$R$44</formula>
    </cfRule>
    <cfRule type="cellIs" dxfId="470" priority="41" operator="greaterThan">
      <formula>$R$43</formula>
    </cfRule>
  </conditionalFormatting>
  <conditionalFormatting sqref="T39">
    <cfRule type="cellIs" dxfId="469" priority="34" operator="lessThan">
      <formula>$T$44</formula>
    </cfRule>
    <cfRule type="cellIs" dxfId="468" priority="35" operator="greaterThan">
      <formula>$T$43</formula>
    </cfRule>
  </conditionalFormatting>
  <conditionalFormatting sqref="O6:T36">
    <cfRule type="cellIs" dxfId="467" priority="2" stopIfTrue="1" operator="equal">
      <formula>0</formula>
    </cfRule>
    <cfRule type="cellIs" dxfId="466" priority="3" stopIfTrue="1" operator="lessThan">
      <formula>0</formula>
    </cfRule>
  </conditionalFormatting>
  <conditionalFormatting sqref="O6:O36">
    <cfRule type="cellIs" dxfId="465" priority="25" operator="notBetween">
      <formula>$O$44</formula>
      <formula>$O$43</formula>
    </cfRule>
  </conditionalFormatting>
  <conditionalFormatting sqref="Q6:Q36">
    <cfRule type="cellIs" dxfId="464" priority="18" operator="notBetween">
      <formula>$Q$44</formula>
      <formula>$Q$43</formula>
    </cfRule>
  </conditionalFormatting>
  <conditionalFormatting sqref="R6:R36">
    <cfRule type="cellIs" dxfId="463" priority="19" operator="notBetween">
      <formula>$R$44</formula>
      <formula>$R$43</formula>
    </cfRule>
  </conditionalFormatting>
  <conditionalFormatting sqref="T6:T36">
    <cfRule type="cellIs" dxfId="462" priority="22" operator="notBetween">
      <formula>$T$44</formula>
      <formula>$T$43</formula>
    </cfRule>
  </conditionalFormatting>
  <conditionalFormatting sqref="R6:R39">
    <cfRule type="cellIs" dxfId="461" priority="13" stopIfTrue="1" operator="greaterThan">
      <formula>$R$43*2</formula>
    </cfRule>
  </conditionalFormatting>
  <conditionalFormatting sqref="O6:O39">
    <cfRule type="cellIs" dxfId="460" priority="15" stopIfTrue="1" operator="greaterThan">
      <formula>$O$43*2</formula>
    </cfRule>
  </conditionalFormatting>
  <conditionalFormatting sqref="Q6:Q39">
    <cfRule type="cellIs" dxfId="459" priority="6" stopIfTrue="1" operator="greaterThan">
      <formula>$Q$43*2</formula>
    </cfRule>
  </conditionalFormatting>
  <conditionalFormatting sqref="T6:T39">
    <cfRule type="cellIs" dxfId="45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&amp;CAugust Meter Reading</oddHeader>
    <oddFoote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1"/>
  <sheetViews>
    <sheetView zoomScaleNormal="100" workbookViewId="0">
      <pane ySplit="3" topLeftCell="A4" activePane="bottomLeft" state="frozen"/>
      <selection pane="bottomLeft" activeCell="D13" sqref="D13"/>
    </sheetView>
  </sheetViews>
  <sheetFormatPr defaultColWidth="9.28515625" defaultRowHeight="12.75" x14ac:dyDescent="0.2"/>
  <cols>
    <col min="1" max="1" width="3" style="12" customWidth="1"/>
    <col min="2" max="2" width="17.5703125" customWidth="1"/>
    <col min="3" max="3" width="0.85546875" customWidth="1"/>
    <col min="4" max="4" width="17.5703125" customWidth="1"/>
    <col min="5" max="5" width="7.140625" customWidth="1"/>
    <col min="6" max="6" width="0.85546875" customWidth="1"/>
    <col min="7" max="7" width="16.57031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17.7109375" customWidth="1"/>
    <col min="21" max="21" width="0.85546875" customWidth="1"/>
  </cols>
  <sheetData>
    <row r="1" spans="1:21" x14ac:dyDescent="0.2">
      <c r="A1" s="93"/>
      <c r="B1" s="77" t="s">
        <v>4</v>
      </c>
      <c r="C1" s="1"/>
      <c r="D1" s="86" t="s">
        <v>1</v>
      </c>
      <c r="E1" s="86"/>
      <c r="F1" s="1"/>
      <c r="G1" s="77" t="s">
        <v>5</v>
      </c>
      <c r="H1" s="78"/>
      <c r="I1" s="1"/>
      <c r="J1" s="84" t="s">
        <v>3</v>
      </c>
      <c r="K1" s="84"/>
      <c r="L1" s="84"/>
      <c r="N1" s="93"/>
      <c r="O1" s="77" t="s">
        <v>4</v>
      </c>
      <c r="P1" s="1"/>
      <c r="Q1" s="86" t="s">
        <v>1</v>
      </c>
      <c r="R1" s="86"/>
      <c r="S1" s="1"/>
      <c r="T1" s="77" t="s">
        <v>5</v>
      </c>
    </row>
    <row r="2" spans="1:21" x14ac:dyDescent="0.2">
      <c r="A2" s="94"/>
      <c r="B2" s="76" t="s">
        <v>11</v>
      </c>
      <c r="C2" s="2"/>
      <c r="D2" s="84" t="s">
        <v>7</v>
      </c>
      <c r="E2" s="84"/>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v>652753</v>
      </c>
      <c r="C5" s="15"/>
      <c r="D5" s="26">
        <v>23675</v>
      </c>
      <c r="E5" s="26">
        <v>2513</v>
      </c>
      <c r="F5" s="15"/>
      <c r="G5" s="26">
        <v>229032</v>
      </c>
      <c r="H5" s="11"/>
      <c r="I5" s="15"/>
      <c r="J5" s="26">
        <f>Aug!J39</f>
        <v>0</v>
      </c>
      <c r="K5" s="26">
        <f>Aug!K39</f>
        <v>0</v>
      </c>
      <c r="L5" s="26">
        <f>Aug!L39</f>
        <v>0</v>
      </c>
      <c r="N5"/>
    </row>
    <row r="6" spans="1:21" x14ac:dyDescent="0.2">
      <c r="A6" s="7">
        <v>1</v>
      </c>
      <c r="B6" s="41">
        <v>652807</v>
      </c>
      <c r="C6" s="15"/>
      <c r="D6" s="40">
        <v>23707</v>
      </c>
      <c r="E6" s="42">
        <v>2523</v>
      </c>
      <c r="F6" s="15"/>
      <c r="G6" s="41">
        <v>229049</v>
      </c>
      <c r="H6" s="45" t="e">
        <f>#REF!-#REF!</f>
        <v>#REF!</v>
      </c>
      <c r="I6" s="16"/>
      <c r="J6" s="17">
        <v>0</v>
      </c>
      <c r="K6" s="17">
        <v>0</v>
      </c>
      <c r="L6" s="17">
        <v>0</v>
      </c>
      <c r="M6" s="43" t="s">
        <v>30</v>
      </c>
      <c r="N6" s="80">
        <v>1</v>
      </c>
      <c r="O6" s="11">
        <f t="shared" ref="O6:O36" si="0">B6-B5</f>
        <v>54</v>
      </c>
      <c r="P6" s="34"/>
      <c r="Q6" s="11">
        <f t="shared" ref="Q6:Q36" si="1">D6-D5</f>
        <v>32</v>
      </c>
      <c r="R6" s="11">
        <f t="shared" ref="R6:R36" si="2">E6-E5</f>
        <v>10</v>
      </c>
      <c r="S6" s="34"/>
      <c r="T6" s="11">
        <f t="shared" ref="T6:T36" si="3">G6-G5</f>
        <v>17</v>
      </c>
      <c r="U6" s="34"/>
    </row>
    <row r="7" spans="1:21" x14ac:dyDescent="0.2">
      <c r="A7" s="80">
        <v>2</v>
      </c>
      <c r="B7" s="41">
        <v>652846</v>
      </c>
      <c r="C7" s="15"/>
      <c r="D7" s="40">
        <v>23730</v>
      </c>
      <c r="E7" s="42">
        <v>2523</v>
      </c>
      <c r="F7" s="15"/>
      <c r="G7" s="41">
        <v>229065</v>
      </c>
      <c r="H7" s="45" t="e">
        <f>#REF!-#REF!</f>
        <v>#REF!</v>
      </c>
      <c r="I7" s="16"/>
      <c r="J7" s="17">
        <v>0</v>
      </c>
      <c r="K7" s="17">
        <v>0</v>
      </c>
      <c r="L7" s="17">
        <v>0</v>
      </c>
      <c r="M7" s="16"/>
      <c r="N7" s="80">
        <v>2</v>
      </c>
      <c r="O7" s="11">
        <f t="shared" si="0"/>
        <v>39</v>
      </c>
      <c r="P7" s="34"/>
      <c r="Q7" s="11">
        <f t="shared" si="1"/>
        <v>23</v>
      </c>
      <c r="R7" s="11">
        <f t="shared" si="2"/>
        <v>0</v>
      </c>
      <c r="S7" s="34"/>
      <c r="T7" s="11">
        <f t="shared" si="3"/>
        <v>16</v>
      </c>
      <c r="U7" s="35"/>
    </row>
    <row r="8" spans="1:21" x14ac:dyDescent="0.2">
      <c r="A8" s="80">
        <v>3</v>
      </c>
      <c r="B8" s="41">
        <v>652886</v>
      </c>
      <c r="C8" s="15"/>
      <c r="D8" s="40">
        <v>23753</v>
      </c>
      <c r="E8" s="42">
        <v>2523</v>
      </c>
      <c r="F8" s="15"/>
      <c r="G8" s="41">
        <v>229080</v>
      </c>
      <c r="H8" s="45" t="e">
        <f>#REF!-#REF!</f>
        <v>#REF!</v>
      </c>
      <c r="I8" s="16"/>
      <c r="J8" s="17">
        <v>0</v>
      </c>
      <c r="K8" s="17">
        <v>0</v>
      </c>
      <c r="L8" s="17">
        <v>0</v>
      </c>
      <c r="M8" s="16"/>
      <c r="N8" s="80">
        <v>3</v>
      </c>
      <c r="O8" s="11">
        <f t="shared" si="0"/>
        <v>40</v>
      </c>
      <c r="P8" s="34"/>
      <c r="Q8" s="11">
        <f t="shared" si="1"/>
        <v>23</v>
      </c>
      <c r="R8" s="11">
        <f t="shared" si="2"/>
        <v>0</v>
      </c>
      <c r="S8" s="34"/>
      <c r="T8" s="11">
        <f t="shared" si="3"/>
        <v>15</v>
      </c>
      <c r="U8" s="35"/>
    </row>
    <row r="9" spans="1:21" x14ac:dyDescent="0.2">
      <c r="A9" s="80">
        <v>4</v>
      </c>
      <c r="B9" s="41">
        <v>652939</v>
      </c>
      <c r="C9" s="15"/>
      <c r="D9" s="40">
        <v>23778</v>
      </c>
      <c r="E9" s="42">
        <v>2527</v>
      </c>
      <c r="F9" s="15"/>
      <c r="G9" s="41">
        <v>229099</v>
      </c>
      <c r="H9" s="45" t="e">
        <f>#REF!-#REF!</f>
        <v>#REF!</v>
      </c>
      <c r="I9" s="16"/>
      <c r="J9" s="17">
        <v>0</v>
      </c>
      <c r="K9" s="17">
        <v>0</v>
      </c>
      <c r="L9" s="17">
        <v>0</v>
      </c>
      <c r="M9" s="16"/>
      <c r="N9" s="80">
        <v>4</v>
      </c>
      <c r="O9" s="11">
        <f t="shared" si="0"/>
        <v>53</v>
      </c>
      <c r="P9" s="34"/>
      <c r="Q9" s="11">
        <f t="shared" si="1"/>
        <v>25</v>
      </c>
      <c r="R9" s="11">
        <f t="shared" si="2"/>
        <v>4</v>
      </c>
      <c r="S9" s="34"/>
      <c r="T9" s="11">
        <f t="shared" si="3"/>
        <v>19</v>
      </c>
      <c r="U9" s="35"/>
    </row>
    <row r="10" spans="1:21" x14ac:dyDescent="0.2">
      <c r="A10" s="80">
        <v>5</v>
      </c>
      <c r="B10" s="41">
        <v>652971</v>
      </c>
      <c r="C10" s="15"/>
      <c r="D10" s="40">
        <v>23802</v>
      </c>
      <c r="E10" s="42">
        <v>2530</v>
      </c>
      <c r="F10" s="15"/>
      <c r="G10" s="41">
        <v>229116</v>
      </c>
      <c r="H10" s="45" t="e">
        <f>#REF!-#REF!</f>
        <v>#REF!</v>
      </c>
      <c r="I10" s="16"/>
      <c r="J10" s="17">
        <v>0</v>
      </c>
      <c r="K10" s="17">
        <v>0</v>
      </c>
      <c r="L10" s="17">
        <v>0</v>
      </c>
      <c r="M10" s="16"/>
      <c r="N10" s="80">
        <v>5</v>
      </c>
      <c r="O10" s="11">
        <f t="shared" si="0"/>
        <v>32</v>
      </c>
      <c r="P10" s="34"/>
      <c r="Q10" s="11">
        <f t="shared" si="1"/>
        <v>24</v>
      </c>
      <c r="R10" s="11">
        <f t="shared" si="2"/>
        <v>3</v>
      </c>
      <c r="S10" s="34"/>
      <c r="T10" s="11">
        <f t="shared" si="3"/>
        <v>17</v>
      </c>
      <c r="U10" s="35"/>
    </row>
    <row r="11" spans="1:21" x14ac:dyDescent="0.2">
      <c r="A11" s="80">
        <v>6</v>
      </c>
      <c r="B11" s="41">
        <v>653001</v>
      </c>
      <c r="C11" s="15"/>
      <c r="D11" s="40">
        <v>23822</v>
      </c>
      <c r="E11" s="42">
        <v>2532</v>
      </c>
      <c r="F11" s="15"/>
      <c r="G11" s="41">
        <v>229131</v>
      </c>
      <c r="H11" s="45" t="e">
        <f>#REF!-#REF!</f>
        <v>#REF!</v>
      </c>
      <c r="I11" s="16"/>
      <c r="J11" s="17">
        <v>0</v>
      </c>
      <c r="K11" s="17">
        <v>0</v>
      </c>
      <c r="L11" s="17">
        <v>0</v>
      </c>
      <c r="M11" s="16"/>
      <c r="N11" s="80">
        <v>6</v>
      </c>
      <c r="O11" s="11">
        <f t="shared" si="0"/>
        <v>30</v>
      </c>
      <c r="P11" s="34"/>
      <c r="Q11" s="11">
        <f t="shared" si="1"/>
        <v>20</v>
      </c>
      <c r="R11" s="11">
        <f t="shared" si="2"/>
        <v>2</v>
      </c>
      <c r="S11" s="34"/>
      <c r="T11" s="11">
        <f t="shared" si="3"/>
        <v>15</v>
      </c>
      <c r="U11" s="35"/>
    </row>
    <row r="12" spans="1:21" x14ac:dyDescent="0.2">
      <c r="A12" s="80">
        <v>7</v>
      </c>
      <c r="B12" s="41">
        <v>653051</v>
      </c>
      <c r="C12" s="15"/>
      <c r="D12" s="40">
        <v>23942</v>
      </c>
      <c r="E12" s="42">
        <v>2535</v>
      </c>
      <c r="F12" s="15"/>
      <c r="G12" s="41">
        <v>229149</v>
      </c>
      <c r="H12" s="45" t="e">
        <f>#REF!-#REF!</f>
        <v>#REF!</v>
      </c>
      <c r="I12" s="16"/>
      <c r="J12" s="17">
        <v>0</v>
      </c>
      <c r="K12" s="17">
        <v>0</v>
      </c>
      <c r="L12" s="17">
        <v>0</v>
      </c>
      <c r="M12" s="16"/>
      <c r="N12" s="80">
        <v>7</v>
      </c>
      <c r="O12" s="11">
        <f t="shared" si="0"/>
        <v>50</v>
      </c>
      <c r="P12" s="34"/>
      <c r="Q12" s="11">
        <f t="shared" si="1"/>
        <v>120</v>
      </c>
      <c r="R12" s="11">
        <f t="shared" si="2"/>
        <v>3</v>
      </c>
      <c r="S12" s="34"/>
      <c r="T12" s="11">
        <f t="shared" si="3"/>
        <v>18</v>
      </c>
      <c r="U12" s="35"/>
    </row>
    <row r="13" spans="1:21" x14ac:dyDescent="0.2">
      <c r="A13" s="80">
        <v>8</v>
      </c>
      <c r="B13" s="41">
        <v>653091</v>
      </c>
      <c r="C13" s="15"/>
      <c r="D13" s="40">
        <v>23862</v>
      </c>
      <c r="E13" s="42">
        <v>2535</v>
      </c>
      <c r="F13" s="15"/>
      <c r="G13" s="41">
        <v>229166</v>
      </c>
      <c r="H13" s="45" t="e">
        <f>#REF!-#REF!</f>
        <v>#REF!</v>
      </c>
      <c r="I13" s="16"/>
      <c r="J13" s="17">
        <v>0</v>
      </c>
      <c r="K13" s="17">
        <v>0</v>
      </c>
      <c r="L13" s="17">
        <v>0</v>
      </c>
      <c r="M13" s="16"/>
      <c r="N13" s="80">
        <v>8</v>
      </c>
      <c r="O13" s="11">
        <f t="shared" si="0"/>
        <v>40</v>
      </c>
      <c r="P13" s="34"/>
      <c r="Q13" s="11">
        <f t="shared" si="1"/>
        <v>-80</v>
      </c>
      <c r="R13" s="11">
        <f t="shared" si="2"/>
        <v>0</v>
      </c>
      <c r="S13" s="34"/>
      <c r="T13" s="11">
        <f t="shared" si="3"/>
        <v>17</v>
      </c>
      <c r="U13" s="35"/>
    </row>
    <row r="14" spans="1:21" x14ac:dyDescent="0.2">
      <c r="A14" s="80">
        <v>9</v>
      </c>
      <c r="B14" s="41">
        <v>653133</v>
      </c>
      <c r="C14" s="15"/>
      <c r="D14" s="40">
        <v>23882</v>
      </c>
      <c r="E14" s="42">
        <v>2530</v>
      </c>
      <c r="F14" s="15"/>
      <c r="G14" s="41">
        <v>229183</v>
      </c>
      <c r="H14" s="45" t="e">
        <f>#REF!-#REF!</f>
        <v>#REF!</v>
      </c>
      <c r="I14" s="16"/>
      <c r="J14" s="17">
        <v>0</v>
      </c>
      <c r="K14" s="17">
        <v>0</v>
      </c>
      <c r="L14" s="17">
        <v>0</v>
      </c>
      <c r="M14" s="16"/>
      <c r="N14" s="80">
        <v>9</v>
      </c>
      <c r="O14" s="11">
        <f t="shared" si="0"/>
        <v>42</v>
      </c>
      <c r="P14" s="34"/>
      <c r="Q14" s="11">
        <f t="shared" si="1"/>
        <v>20</v>
      </c>
      <c r="R14" s="11">
        <f t="shared" si="2"/>
        <v>-5</v>
      </c>
      <c r="S14" s="34"/>
      <c r="T14" s="11">
        <f t="shared" si="3"/>
        <v>17</v>
      </c>
      <c r="U14" s="35"/>
    </row>
    <row r="15" spans="1:21" x14ac:dyDescent="0.2">
      <c r="A15" s="80">
        <v>10</v>
      </c>
      <c r="B15" s="41">
        <v>653172</v>
      </c>
      <c r="C15" s="15"/>
      <c r="D15" s="40">
        <v>23905</v>
      </c>
      <c r="E15" s="42">
        <v>2540</v>
      </c>
      <c r="F15" s="15"/>
      <c r="G15" s="41">
        <v>229200</v>
      </c>
      <c r="H15" s="45" t="e">
        <f>#REF!-#REF!</f>
        <v>#REF!</v>
      </c>
      <c r="I15" s="16"/>
      <c r="J15" s="17">
        <v>0</v>
      </c>
      <c r="K15" s="17">
        <v>0</v>
      </c>
      <c r="L15" s="17">
        <v>0</v>
      </c>
      <c r="M15" s="16"/>
      <c r="N15" s="80">
        <v>10</v>
      </c>
      <c r="O15" s="11">
        <f t="shared" si="0"/>
        <v>39</v>
      </c>
      <c r="P15" s="34"/>
      <c r="Q15" s="11">
        <f t="shared" si="1"/>
        <v>23</v>
      </c>
      <c r="R15" s="11">
        <f t="shared" si="2"/>
        <v>10</v>
      </c>
      <c r="S15" s="34"/>
      <c r="T15" s="11">
        <f t="shared" si="3"/>
        <v>17</v>
      </c>
      <c r="U15" s="35"/>
    </row>
    <row r="16" spans="1:21" x14ac:dyDescent="0.2">
      <c r="A16" s="80">
        <v>11</v>
      </c>
      <c r="B16" s="41">
        <v>653211</v>
      </c>
      <c r="C16" s="15"/>
      <c r="D16" s="40">
        <v>23928</v>
      </c>
      <c r="E16" s="42">
        <v>2545</v>
      </c>
      <c r="F16" s="15"/>
      <c r="G16" s="41">
        <v>229216</v>
      </c>
      <c r="H16" s="45" t="e">
        <f>#REF!-#REF!</f>
        <v>#REF!</v>
      </c>
      <c r="I16" s="16"/>
      <c r="J16" s="17">
        <v>0</v>
      </c>
      <c r="K16" s="17">
        <v>0</v>
      </c>
      <c r="L16" s="17">
        <v>0</v>
      </c>
      <c r="M16" s="16"/>
      <c r="N16" s="80">
        <v>11</v>
      </c>
      <c r="O16" s="11">
        <f t="shared" si="0"/>
        <v>39</v>
      </c>
      <c r="P16" s="34"/>
      <c r="Q16" s="11">
        <f t="shared" si="1"/>
        <v>23</v>
      </c>
      <c r="R16" s="11">
        <f t="shared" si="2"/>
        <v>5</v>
      </c>
      <c r="S16" s="34"/>
      <c r="T16" s="11">
        <f t="shared" si="3"/>
        <v>16</v>
      </c>
      <c r="U16" s="35"/>
    </row>
    <row r="17" spans="1:21" x14ac:dyDescent="0.2">
      <c r="A17" s="80">
        <v>12</v>
      </c>
      <c r="B17" s="41">
        <v>653251</v>
      </c>
      <c r="C17" s="15"/>
      <c r="D17" s="40">
        <v>23947</v>
      </c>
      <c r="E17" s="42">
        <v>2547</v>
      </c>
      <c r="F17" s="15"/>
      <c r="G17" s="41">
        <v>229232</v>
      </c>
      <c r="H17" s="45" t="e">
        <f>#REF!-#REF!</f>
        <v>#REF!</v>
      </c>
      <c r="I17" s="16"/>
      <c r="J17" s="17">
        <v>0</v>
      </c>
      <c r="K17" s="17">
        <v>0</v>
      </c>
      <c r="L17" s="17">
        <v>0</v>
      </c>
      <c r="M17" s="16"/>
      <c r="N17" s="80">
        <v>12</v>
      </c>
      <c r="O17" s="11">
        <f t="shared" si="0"/>
        <v>40</v>
      </c>
      <c r="P17" s="34"/>
      <c r="Q17" s="11">
        <f t="shared" si="1"/>
        <v>19</v>
      </c>
      <c r="R17" s="11">
        <f t="shared" si="2"/>
        <v>2</v>
      </c>
      <c r="S17" s="34"/>
      <c r="T17" s="11">
        <f t="shared" si="3"/>
        <v>16</v>
      </c>
      <c r="U17" s="35"/>
    </row>
    <row r="18" spans="1:21" x14ac:dyDescent="0.2">
      <c r="A18" s="80">
        <v>13</v>
      </c>
      <c r="B18" s="41">
        <v>653289</v>
      </c>
      <c r="C18" s="15"/>
      <c r="D18" s="40">
        <v>23972</v>
      </c>
      <c r="E18" s="42">
        <v>2551</v>
      </c>
      <c r="F18" s="15"/>
      <c r="G18" s="41">
        <v>229247</v>
      </c>
      <c r="H18" s="45" t="e">
        <f>#REF!-#REF!</f>
        <v>#REF!</v>
      </c>
      <c r="I18" s="16"/>
      <c r="J18" s="17">
        <v>0</v>
      </c>
      <c r="K18" s="17">
        <v>0</v>
      </c>
      <c r="L18" s="17">
        <v>0</v>
      </c>
      <c r="M18" s="16"/>
      <c r="N18" s="80">
        <v>13</v>
      </c>
      <c r="O18" s="11">
        <f t="shared" si="0"/>
        <v>38</v>
      </c>
      <c r="P18" s="34"/>
      <c r="Q18" s="11">
        <f t="shared" si="1"/>
        <v>25</v>
      </c>
      <c r="R18" s="11">
        <f t="shared" si="2"/>
        <v>4</v>
      </c>
      <c r="S18" s="34"/>
      <c r="T18" s="11">
        <f t="shared" si="3"/>
        <v>15</v>
      </c>
      <c r="U18" s="35"/>
    </row>
    <row r="19" spans="1:21" x14ac:dyDescent="0.2">
      <c r="A19" s="80">
        <v>14</v>
      </c>
      <c r="B19" s="41">
        <v>653323</v>
      </c>
      <c r="C19" s="15"/>
      <c r="D19" s="40">
        <v>23991</v>
      </c>
      <c r="E19" s="42">
        <v>2554</v>
      </c>
      <c r="F19" s="15"/>
      <c r="G19" s="41">
        <v>229262</v>
      </c>
      <c r="H19" s="45" t="e">
        <f>#REF!-#REF!</f>
        <v>#REF!</v>
      </c>
      <c r="I19" s="16"/>
      <c r="J19" s="17">
        <v>0</v>
      </c>
      <c r="K19" s="17">
        <v>0</v>
      </c>
      <c r="L19" s="17">
        <v>0</v>
      </c>
      <c r="M19" s="16"/>
      <c r="N19" s="80">
        <v>14</v>
      </c>
      <c r="O19" s="11">
        <f t="shared" si="0"/>
        <v>34</v>
      </c>
      <c r="P19" s="34"/>
      <c r="Q19" s="11">
        <f t="shared" si="1"/>
        <v>19</v>
      </c>
      <c r="R19" s="11">
        <f t="shared" si="2"/>
        <v>3</v>
      </c>
      <c r="S19" s="34"/>
      <c r="T19" s="11">
        <f t="shared" si="3"/>
        <v>15</v>
      </c>
      <c r="U19" s="35"/>
    </row>
    <row r="20" spans="1:21" x14ac:dyDescent="0.2">
      <c r="A20" s="80">
        <v>15</v>
      </c>
      <c r="B20" s="41">
        <v>653358</v>
      </c>
      <c r="C20" s="15"/>
      <c r="D20" s="40">
        <v>24015</v>
      </c>
      <c r="E20" s="42">
        <v>2557</v>
      </c>
      <c r="F20" s="15"/>
      <c r="G20" s="41">
        <v>229277</v>
      </c>
      <c r="H20" s="45" t="e">
        <f>#REF!-#REF!</f>
        <v>#REF!</v>
      </c>
      <c r="I20" s="16"/>
      <c r="J20" s="17">
        <v>0</v>
      </c>
      <c r="K20" s="17">
        <v>0</v>
      </c>
      <c r="L20" s="17">
        <v>0</v>
      </c>
      <c r="M20" s="16"/>
      <c r="N20" s="80">
        <v>15</v>
      </c>
      <c r="O20" s="11">
        <f t="shared" si="0"/>
        <v>35</v>
      </c>
      <c r="P20" s="34"/>
      <c r="Q20" s="11">
        <f t="shared" si="1"/>
        <v>24</v>
      </c>
      <c r="R20" s="11">
        <f t="shared" si="2"/>
        <v>3</v>
      </c>
      <c r="S20" s="34"/>
      <c r="T20" s="11">
        <f t="shared" si="3"/>
        <v>15</v>
      </c>
      <c r="U20" s="35"/>
    </row>
    <row r="21" spans="1:21" x14ac:dyDescent="0.2">
      <c r="A21" s="80">
        <v>16</v>
      </c>
      <c r="B21" s="41" t="s">
        <v>84</v>
      </c>
      <c r="C21" s="15"/>
      <c r="D21" s="40">
        <v>24037</v>
      </c>
      <c r="E21" s="42">
        <v>2560</v>
      </c>
      <c r="F21" s="15"/>
      <c r="G21" s="41">
        <v>229293</v>
      </c>
      <c r="H21" s="45" t="e">
        <f>#REF!-#REF!</f>
        <v>#REF!</v>
      </c>
      <c r="I21" s="16"/>
      <c r="J21" s="17">
        <v>0</v>
      </c>
      <c r="K21" s="17">
        <v>0</v>
      </c>
      <c r="L21" s="17">
        <v>0</v>
      </c>
      <c r="M21" s="16"/>
      <c r="N21" s="80">
        <v>16</v>
      </c>
      <c r="O21" s="11" t="e">
        <f t="shared" si="0"/>
        <v>#VALUE!</v>
      </c>
      <c r="P21" s="34"/>
      <c r="Q21" s="11">
        <f t="shared" si="1"/>
        <v>22</v>
      </c>
      <c r="R21" s="11">
        <f t="shared" si="2"/>
        <v>3</v>
      </c>
      <c r="S21" s="34"/>
      <c r="T21" s="11">
        <f t="shared" si="3"/>
        <v>16</v>
      </c>
      <c r="U21" s="35"/>
    </row>
    <row r="22" spans="1:21" x14ac:dyDescent="0.2">
      <c r="A22" s="80">
        <v>17</v>
      </c>
      <c r="B22" s="41">
        <v>64</v>
      </c>
      <c r="C22" s="15"/>
      <c r="D22" s="40">
        <v>24062</v>
      </c>
      <c r="E22" s="42">
        <v>2563</v>
      </c>
      <c r="F22" s="15"/>
      <c r="G22" s="41">
        <v>229311</v>
      </c>
      <c r="H22" s="45" t="e">
        <f>#REF!-#REF!</f>
        <v>#REF!</v>
      </c>
      <c r="I22" s="16"/>
      <c r="J22" s="17">
        <v>0</v>
      </c>
      <c r="K22" s="17">
        <v>0</v>
      </c>
      <c r="L22" s="17">
        <v>0</v>
      </c>
      <c r="M22" s="16"/>
      <c r="N22" s="80">
        <v>17</v>
      </c>
      <c r="O22" s="11" t="e">
        <f t="shared" si="0"/>
        <v>#VALUE!</v>
      </c>
      <c r="P22" s="34"/>
      <c r="Q22" s="11">
        <f t="shared" si="1"/>
        <v>25</v>
      </c>
      <c r="R22" s="11">
        <f t="shared" si="2"/>
        <v>3</v>
      </c>
      <c r="S22" s="34"/>
      <c r="T22" s="11">
        <f t="shared" si="3"/>
        <v>18</v>
      </c>
      <c r="U22" s="35"/>
    </row>
    <row r="23" spans="1:21" x14ac:dyDescent="0.2">
      <c r="A23" s="80">
        <v>18</v>
      </c>
      <c r="B23" s="41">
        <v>107</v>
      </c>
      <c r="C23" s="15"/>
      <c r="D23" s="40">
        <v>24084</v>
      </c>
      <c r="E23" s="42">
        <v>2565</v>
      </c>
      <c r="F23" s="15"/>
      <c r="G23" s="41">
        <v>229327</v>
      </c>
      <c r="H23" s="45" t="e">
        <f>#REF!-#REF!</f>
        <v>#REF!</v>
      </c>
      <c r="I23" s="16"/>
      <c r="J23" s="17">
        <v>0</v>
      </c>
      <c r="K23" s="17">
        <v>0</v>
      </c>
      <c r="L23" s="17">
        <v>0</v>
      </c>
      <c r="M23" s="16"/>
      <c r="N23" s="80">
        <v>18</v>
      </c>
      <c r="O23" s="11">
        <f t="shared" si="0"/>
        <v>43</v>
      </c>
      <c r="P23" s="34"/>
      <c r="Q23" s="11">
        <f t="shared" si="1"/>
        <v>22</v>
      </c>
      <c r="R23" s="11">
        <f t="shared" si="2"/>
        <v>2</v>
      </c>
      <c r="S23" s="34"/>
      <c r="T23" s="11">
        <f t="shared" si="3"/>
        <v>16</v>
      </c>
      <c r="U23" s="35"/>
    </row>
    <row r="24" spans="1:21" x14ac:dyDescent="0.2">
      <c r="A24" s="80">
        <v>19</v>
      </c>
      <c r="B24" s="41">
        <v>145</v>
      </c>
      <c r="C24" s="15"/>
      <c r="D24" s="40">
        <v>24102</v>
      </c>
      <c r="E24" s="42">
        <v>2567</v>
      </c>
      <c r="F24" s="15"/>
      <c r="G24" s="41">
        <v>229346</v>
      </c>
      <c r="H24" s="45" t="e">
        <f>#REF!-#REF!</f>
        <v>#REF!</v>
      </c>
      <c r="I24" s="16"/>
      <c r="J24" s="17">
        <v>0</v>
      </c>
      <c r="K24" s="17">
        <v>0</v>
      </c>
      <c r="L24" s="17">
        <v>0</v>
      </c>
      <c r="M24" s="16"/>
      <c r="N24" s="80">
        <v>19</v>
      </c>
      <c r="O24" s="11">
        <f t="shared" si="0"/>
        <v>38</v>
      </c>
      <c r="P24" s="34"/>
      <c r="Q24" s="11">
        <f t="shared" si="1"/>
        <v>18</v>
      </c>
      <c r="R24" s="11">
        <f t="shared" si="2"/>
        <v>2</v>
      </c>
      <c r="S24" s="34"/>
      <c r="T24" s="11">
        <f t="shared" si="3"/>
        <v>19</v>
      </c>
      <c r="U24" s="35"/>
    </row>
    <row r="25" spans="1:21" x14ac:dyDescent="0.2">
      <c r="A25" s="80">
        <v>20</v>
      </c>
      <c r="B25" s="41">
        <v>185</v>
      </c>
      <c r="C25" s="15"/>
      <c r="D25" s="40">
        <v>24121</v>
      </c>
      <c r="E25" s="42">
        <v>2567</v>
      </c>
      <c r="F25" s="15"/>
      <c r="G25" s="41">
        <v>229364</v>
      </c>
      <c r="H25" s="45" t="e">
        <f>#REF!-#REF!</f>
        <v>#REF!</v>
      </c>
      <c r="I25" s="16"/>
      <c r="J25" s="17">
        <v>0</v>
      </c>
      <c r="K25" s="17">
        <v>0</v>
      </c>
      <c r="L25" s="17">
        <v>0</v>
      </c>
      <c r="M25" s="16"/>
      <c r="N25" s="80">
        <v>20</v>
      </c>
      <c r="O25" s="11">
        <f t="shared" si="0"/>
        <v>40</v>
      </c>
      <c r="P25" s="34"/>
      <c r="Q25" s="11">
        <f t="shared" si="1"/>
        <v>19</v>
      </c>
      <c r="R25" s="11">
        <f t="shared" si="2"/>
        <v>0</v>
      </c>
      <c r="S25" s="34"/>
      <c r="T25" s="11">
        <f t="shared" si="3"/>
        <v>18</v>
      </c>
      <c r="U25" s="35"/>
    </row>
    <row r="26" spans="1:21" x14ac:dyDescent="0.2">
      <c r="A26" s="80">
        <v>21</v>
      </c>
      <c r="B26" s="41">
        <v>218</v>
      </c>
      <c r="C26" s="15"/>
      <c r="D26" s="40">
        <v>24133</v>
      </c>
      <c r="E26" s="42">
        <v>2567</v>
      </c>
      <c r="F26" s="15"/>
      <c r="G26" s="41">
        <v>229382</v>
      </c>
      <c r="H26" s="45" t="e">
        <f>#REF!-#REF!</f>
        <v>#REF!</v>
      </c>
      <c r="I26" s="16"/>
      <c r="J26" s="17">
        <v>0</v>
      </c>
      <c r="K26" s="17">
        <v>0</v>
      </c>
      <c r="L26" s="17">
        <v>0</v>
      </c>
      <c r="M26" s="16"/>
      <c r="N26" s="80">
        <v>21</v>
      </c>
      <c r="O26" s="11">
        <f t="shared" si="0"/>
        <v>33</v>
      </c>
      <c r="P26" s="34"/>
      <c r="Q26" s="11">
        <f t="shared" si="1"/>
        <v>12</v>
      </c>
      <c r="R26" s="11">
        <f t="shared" si="2"/>
        <v>0</v>
      </c>
      <c r="S26" s="34"/>
      <c r="T26" s="11">
        <f t="shared" si="3"/>
        <v>18</v>
      </c>
      <c r="U26" s="35"/>
    </row>
    <row r="27" spans="1:21" x14ac:dyDescent="0.2">
      <c r="A27" s="80">
        <v>22</v>
      </c>
      <c r="B27" s="41">
        <v>258</v>
      </c>
      <c r="C27" s="15"/>
      <c r="D27" s="40">
        <v>24144</v>
      </c>
      <c r="E27" s="42">
        <v>2569</v>
      </c>
      <c r="F27" s="15"/>
      <c r="G27" s="41">
        <v>229397</v>
      </c>
      <c r="H27" s="45" t="e">
        <f>#REF!-#REF!</f>
        <v>#REF!</v>
      </c>
      <c r="I27" s="16"/>
      <c r="J27" s="17">
        <v>0</v>
      </c>
      <c r="K27" s="17">
        <v>0</v>
      </c>
      <c r="L27" s="17">
        <v>0</v>
      </c>
      <c r="M27" s="16"/>
      <c r="N27" s="80">
        <v>22</v>
      </c>
      <c r="O27" s="11">
        <f t="shared" si="0"/>
        <v>40</v>
      </c>
      <c r="P27" s="34"/>
      <c r="Q27" s="11">
        <f t="shared" si="1"/>
        <v>11</v>
      </c>
      <c r="R27" s="11">
        <f t="shared" si="2"/>
        <v>2</v>
      </c>
      <c r="S27" s="34"/>
      <c r="T27" s="11">
        <f t="shared" si="3"/>
        <v>15</v>
      </c>
      <c r="U27" s="35"/>
    </row>
    <row r="28" spans="1:21" x14ac:dyDescent="0.2">
      <c r="A28" s="80">
        <v>23</v>
      </c>
      <c r="B28" s="41">
        <v>263</v>
      </c>
      <c r="C28" s="15"/>
      <c r="D28" s="40">
        <v>24158</v>
      </c>
      <c r="E28" s="42">
        <v>2569</v>
      </c>
      <c r="F28" s="15"/>
      <c r="G28" s="41">
        <v>229413</v>
      </c>
      <c r="H28" s="45" t="e">
        <f>#REF!-#REF!</f>
        <v>#REF!</v>
      </c>
      <c r="I28" s="16"/>
      <c r="J28" s="17">
        <v>0</v>
      </c>
      <c r="K28" s="17">
        <v>0</v>
      </c>
      <c r="L28" s="17">
        <v>0</v>
      </c>
      <c r="M28" s="16"/>
      <c r="N28" s="80">
        <v>23</v>
      </c>
      <c r="O28" s="11">
        <f t="shared" si="0"/>
        <v>5</v>
      </c>
      <c r="P28" s="34"/>
      <c r="Q28" s="11">
        <f t="shared" si="1"/>
        <v>14</v>
      </c>
      <c r="R28" s="11">
        <f t="shared" si="2"/>
        <v>0</v>
      </c>
      <c r="S28" s="34"/>
      <c r="T28" s="11">
        <f t="shared" si="3"/>
        <v>16</v>
      </c>
      <c r="U28" s="35"/>
    </row>
    <row r="29" spans="1:21" x14ac:dyDescent="0.2">
      <c r="A29" s="80">
        <v>24</v>
      </c>
      <c r="B29" s="41">
        <v>292</v>
      </c>
      <c r="C29" s="15"/>
      <c r="D29" s="40">
        <v>24170</v>
      </c>
      <c r="E29" s="42">
        <v>2569</v>
      </c>
      <c r="F29" s="15"/>
      <c r="G29" s="41">
        <v>229430</v>
      </c>
      <c r="H29" s="45" t="e">
        <f>#REF!-#REF!</f>
        <v>#REF!</v>
      </c>
      <c r="I29" s="16"/>
      <c r="J29" s="17">
        <v>0</v>
      </c>
      <c r="K29" s="17">
        <v>0</v>
      </c>
      <c r="L29" s="17">
        <v>0</v>
      </c>
      <c r="M29" s="16"/>
      <c r="N29" s="80">
        <v>24</v>
      </c>
      <c r="O29" s="11">
        <f t="shared" si="0"/>
        <v>29</v>
      </c>
      <c r="P29" s="34"/>
      <c r="Q29" s="11">
        <f t="shared" si="1"/>
        <v>12</v>
      </c>
      <c r="R29" s="11">
        <f t="shared" si="2"/>
        <v>0</v>
      </c>
      <c r="S29" s="34"/>
      <c r="T29" s="11">
        <f t="shared" si="3"/>
        <v>17</v>
      </c>
      <c r="U29" s="35"/>
    </row>
    <row r="30" spans="1:21" x14ac:dyDescent="0.2">
      <c r="A30" s="80">
        <v>25</v>
      </c>
      <c r="B30" s="41">
        <v>328</v>
      </c>
      <c r="C30" s="15"/>
      <c r="D30" s="40">
        <v>24181</v>
      </c>
      <c r="E30" s="42">
        <v>2573</v>
      </c>
      <c r="F30" s="15"/>
      <c r="G30" s="41">
        <v>229451</v>
      </c>
      <c r="H30" s="45" t="e">
        <f>#REF!-#REF!</f>
        <v>#REF!</v>
      </c>
      <c r="I30" s="16"/>
      <c r="J30" s="17">
        <v>0</v>
      </c>
      <c r="K30" s="17">
        <v>0</v>
      </c>
      <c r="L30" s="17">
        <v>0</v>
      </c>
      <c r="M30" s="16"/>
      <c r="N30" s="80">
        <v>25</v>
      </c>
      <c r="O30" s="11">
        <f t="shared" si="0"/>
        <v>36</v>
      </c>
      <c r="P30" s="34"/>
      <c r="Q30" s="11">
        <f t="shared" si="1"/>
        <v>11</v>
      </c>
      <c r="R30" s="11">
        <f t="shared" si="2"/>
        <v>4</v>
      </c>
      <c r="S30" s="34"/>
      <c r="T30" s="11">
        <f t="shared" si="3"/>
        <v>21</v>
      </c>
      <c r="U30" s="35"/>
    </row>
    <row r="31" spans="1:21" x14ac:dyDescent="0.2">
      <c r="A31" s="80">
        <v>26</v>
      </c>
      <c r="B31" s="41">
        <v>371</v>
      </c>
      <c r="C31" s="15"/>
      <c r="D31" s="40">
        <v>24199</v>
      </c>
      <c r="E31" s="42">
        <v>2575</v>
      </c>
      <c r="F31" s="15"/>
      <c r="G31" s="41">
        <v>229472</v>
      </c>
      <c r="H31" s="45" t="e">
        <f>#REF!-#REF!</f>
        <v>#REF!</v>
      </c>
      <c r="I31" s="16"/>
      <c r="J31" s="17">
        <v>0</v>
      </c>
      <c r="K31" s="17">
        <v>0</v>
      </c>
      <c r="L31" s="17">
        <v>0</v>
      </c>
      <c r="M31" s="16"/>
      <c r="N31" s="80">
        <v>26</v>
      </c>
      <c r="O31" s="11">
        <f t="shared" si="0"/>
        <v>43</v>
      </c>
      <c r="P31" s="34"/>
      <c r="Q31" s="11">
        <f t="shared" si="1"/>
        <v>18</v>
      </c>
      <c r="R31" s="11">
        <f t="shared" si="2"/>
        <v>2</v>
      </c>
      <c r="S31" s="34"/>
      <c r="T31" s="11">
        <f t="shared" si="3"/>
        <v>21</v>
      </c>
      <c r="U31" s="35"/>
    </row>
    <row r="32" spans="1:21" x14ac:dyDescent="0.2">
      <c r="A32" s="80">
        <v>27</v>
      </c>
      <c r="B32" s="41">
        <v>412</v>
      </c>
      <c r="C32" s="15"/>
      <c r="D32" s="40">
        <v>24216</v>
      </c>
      <c r="E32" s="42">
        <v>2579</v>
      </c>
      <c r="F32" s="15"/>
      <c r="G32" s="41">
        <v>229491</v>
      </c>
      <c r="H32" s="45" t="e">
        <f>#REF!-#REF!</f>
        <v>#REF!</v>
      </c>
      <c r="I32" s="16"/>
      <c r="J32" s="17">
        <v>0</v>
      </c>
      <c r="K32" s="17">
        <v>0</v>
      </c>
      <c r="L32" s="17">
        <v>0</v>
      </c>
      <c r="M32" s="16"/>
      <c r="N32" s="80">
        <v>27</v>
      </c>
      <c r="O32" s="11">
        <f t="shared" si="0"/>
        <v>41</v>
      </c>
      <c r="P32" s="34"/>
      <c r="Q32" s="11">
        <f t="shared" si="1"/>
        <v>17</v>
      </c>
      <c r="R32" s="11">
        <f t="shared" si="2"/>
        <v>4</v>
      </c>
      <c r="S32" s="34"/>
      <c r="T32" s="11">
        <f t="shared" si="3"/>
        <v>19</v>
      </c>
      <c r="U32" s="35"/>
    </row>
    <row r="33" spans="1:21" x14ac:dyDescent="0.2">
      <c r="A33" s="80">
        <v>28</v>
      </c>
      <c r="B33" s="41">
        <v>451</v>
      </c>
      <c r="C33" s="15"/>
      <c r="D33" s="40">
        <v>24238</v>
      </c>
      <c r="E33" s="42">
        <v>2580</v>
      </c>
      <c r="F33" s="15"/>
      <c r="G33" s="41">
        <v>229509</v>
      </c>
      <c r="H33" s="45" t="e">
        <f>#REF!-#REF!</f>
        <v>#REF!</v>
      </c>
      <c r="I33" s="16"/>
      <c r="J33" s="17">
        <v>0</v>
      </c>
      <c r="K33" s="17">
        <v>0</v>
      </c>
      <c r="L33" s="17">
        <v>0</v>
      </c>
      <c r="M33" s="16"/>
      <c r="N33" s="80">
        <v>28</v>
      </c>
      <c r="O33" s="11">
        <f t="shared" si="0"/>
        <v>39</v>
      </c>
      <c r="P33" s="34"/>
      <c r="Q33" s="11">
        <f t="shared" si="1"/>
        <v>22</v>
      </c>
      <c r="R33" s="11">
        <f t="shared" si="2"/>
        <v>1</v>
      </c>
      <c r="S33" s="34"/>
      <c r="T33" s="11">
        <f t="shared" si="3"/>
        <v>18</v>
      </c>
      <c r="U33" s="35"/>
    </row>
    <row r="34" spans="1:21" x14ac:dyDescent="0.2">
      <c r="A34" s="80">
        <v>29</v>
      </c>
      <c r="B34" s="41">
        <v>485</v>
      </c>
      <c r="C34" s="15"/>
      <c r="D34" s="40">
        <v>24254</v>
      </c>
      <c r="E34" s="42">
        <v>2581</v>
      </c>
      <c r="F34" s="15"/>
      <c r="G34" s="41">
        <v>229529</v>
      </c>
      <c r="H34" s="45" t="e">
        <f>#REF!-#REF!</f>
        <v>#REF!</v>
      </c>
      <c r="I34" s="16"/>
      <c r="J34" s="17">
        <v>0</v>
      </c>
      <c r="K34" s="17">
        <v>0</v>
      </c>
      <c r="L34" s="17">
        <v>0</v>
      </c>
      <c r="M34" s="16"/>
      <c r="N34" s="80">
        <v>29</v>
      </c>
      <c r="O34" s="11">
        <f t="shared" si="0"/>
        <v>34</v>
      </c>
      <c r="P34" s="34"/>
      <c r="Q34" s="11">
        <f t="shared" si="1"/>
        <v>16</v>
      </c>
      <c r="R34" s="11">
        <f t="shared" si="2"/>
        <v>1</v>
      </c>
      <c r="S34" s="34"/>
      <c r="T34" s="11">
        <f t="shared" si="3"/>
        <v>20</v>
      </c>
      <c r="U34" s="35"/>
    </row>
    <row r="35" spans="1:21" x14ac:dyDescent="0.2">
      <c r="A35" s="80">
        <v>30</v>
      </c>
      <c r="B35" s="41">
        <v>514</v>
      </c>
      <c r="C35" s="15"/>
      <c r="D35" s="40">
        <v>24267</v>
      </c>
      <c r="E35" s="42">
        <v>2581</v>
      </c>
      <c r="F35" s="15"/>
      <c r="G35" s="41">
        <v>229564</v>
      </c>
      <c r="H35" s="45" t="e">
        <f>#REF!-#REF!</f>
        <v>#REF!</v>
      </c>
      <c r="I35" s="16"/>
      <c r="J35" s="17">
        <v>0</v>
      </c>
      <c r="K35" s="17">
        <v>0</v>
      </c>
      <c r="L35" s="17">
        <v>0</v>
      </c>
      <c r="M35" s="16"/>
      <c r="N35" s="80">
        <v>30</v>
      </c>
      <c r="O35" s="11">
        <f t="shared" si="0"/>
        <v>29</v>
      </c>
      <c r="P35" s="34"/>
      <c r="Q35" s="11">
        <f t="shared" si="1"/>
        <v>13</v>
      </c>
      <c r="R35" s="11">
        <f t="shared" si="2"/>
        <v>0</v>
      </c>
      <c r="S35" s="34"/>
      <c r="T35" s="11">
        <f t="shared" si="3"/>
        <v>35</v>
      </c>
      <c r="U35" s="35"/>
    </row>
    <row r="36" spans="1:21" x14ac:dyDescent="0.2">
      <c r="A36" s="80">
        <v>31</v>
      </c>
      <c r="B36" s="41"/>
      <c r="C36" s="15"/>
      <c r="D36" s="40"/>
      <c r="E36" s="42"/>
      <c r="F36" s="15"/>
      <c r="G36" s="41"/>
      <c r="H36" s="45"/>
      <c r="I36" s="16"/>
      <c r="J36" s="17">
        <v>0</v>
      </c>
      <c r="K36" s="17">
        <v>0</v>
      </c>
      <c r="L36" s="17">
        <v>0</v>
      </c>
      <c r="M36" s="16"/>
      <c r="N36" s="80">
        <v>31</v>
      </c>
      <c r="O36" s="11">
        <f t="shared" si="0"/>
        <v>-514</v>
      </c>
      <c r="P36" s="34"/>
      <c r="Q36" s="11">
        <f t="shared" si="1"/>
        <v>-24267</v>
      </c>
      <c r="R36" s="11">
        <f t="shared" si="2"/>
        <v>-2581</v>
      </c>
      <c r="S36" s="34"/>
      <c r="T36" s="11">
        <f t="shared" si="3"/>
        <v>-229564</v>
      </c>
      <c r="U36" s="36"/>
    </row>
    <row r="37" spans="1:21" x14ac:dyDescent="0.2">
      <c r="B37" s="20" t="s">
        <v>32</v>
      </c>
      <c r="D37" s="19" t="s">
        <v>32</v>
      </c>
      <c r="E37" s="21" t="s">
        <v>33</v>
      </c>
      <c r="G37" s="20" t="s">
        <v>31</v>
      </c>
    </row>
    <row r="39" spans="1:21" x14ac:dyDescent="0.2">
      <c r="A39" s="80" t="s">
        <v>34</v>
      </c>
      <c r="B39" s="10">
        <f t="shared" ref="B39" si="4">LARGE(B5:B36, 1)</f>
        <v>653358</v>
      </c>
      <c r="C39" s="23"/>
      <c r="D39" s="10">
        <f>LARGE(D5:D36, 1)</f>
        <v>24267</v>
      </c>
      <c r="E39" s="24">
        <f>LARGE(E5:E36, 1)</f>
        <v>2581</v>
      </c>
      <c r="F39" s="8"/>
      <c r="G39" s="22">
        <f>LARGE(G5:G36, 1)</f>
        <v>229564</v>
      </c>
      <c r="H39" s="19"/>
      <c r="I39" s="9"/>
      <c r="J39" s="11">
        <f>LARGE(J5:J36, 1)</f>
        <v>0</v>
      </c>
      <c r="K39" s="11">
        <f>LARGE(K5:K36, 1)</f>
        <v>0</v>
      </c>
      <c r="L39" s="11">
        <f>LARGE(L5:L36, 1)</f>
        <v>0</v>
      </c>
      <c r="N39" s="80" t="s">
        <v>35</v>
      </c>
      <c r="O39" s="55">
        <f t="shared" ref="O39" si="5">AVERAGEIF($M$6:$M$36, "x",O6:O36)</f>
        <v>54</v>
      </c>
      <c r="P39" s="56"/>
      <c r="Q39" s="55">
        <f>AVERAGEIF($M$6:$M$36, "x",Q6:Q36)</f>
        <v>32</v>
      </c>
      <c r="R39" s="55">
        <f>AVERAGEIF($M$6:$M$36, "x",R6:R36)</f>
        <v>10</v>
      </c>
      <c r="S39" s="56"/>
      <c r="T39" s="55">
        <f>AVERAGEIF($M$6:$M$36, "x",T6:T36)</f>
        <v>17</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f>B39-B5</f>
        <v>605</v>
      </c>
      <c r="D42" s="26">
        <f t="shared" ref="D42:L42" si="6">D39-D5</f>
        <v>592</v>
      </c>
      <c r="E42" s="26">
        <f t="shared" si="6"/>
        <v>68</v>
      </c>
      <c r="G42" s="26">
        <f t="shared" si="6"/>
        <v>532</v>
      </c>
      <c r="H42" s="26"/>
      <c r="J42" s="26">
        <f t="shared" si="6"/>
        <v>0</v>
      </c>
      <c r="K42" s="26">
        <f t="shared" si="6"/>
        <v>0</v>
      </c>
      <c r="L42" s="26">
        <f t="shared" si="6"/>
        <v>0</v>
      </c>
      <c r="N42" s="96"/>
      <c r="O42" s="53">
        <f>Aug!O39</f>
        <v>0</v>
      </c>
      <c r="P42" s="57"/>
      <c r="Q42" s="53">
        <f>Aug!Q39</f>
        <v>0</v>
      </c>
      <c r="R42" s="53">
        <f>Aug!R39</f>
        <v>0</v>
      </c>
      <c r="S42" s="57"/>
      <c r="T42" s="53">
        <f>Aug!T39</f>
        <v>0</v>
      </c>
    </row>
    <row r="43" spans="1:21" x14ac:dyDescent="0.2">
      <c r="N43" s="80">
        <v>1.5</v>
      </c>
      <c r="O43" s="54">
        <f>O42*$N$43</f>
        <v>0</v>
      </c>
      <c r="P43" s="56"/>
      <c r="Q43" s="54">
        <f t="shared" ref="Q43:R43" si="7">Q42*$N$43</f>
        <v>0</v>
      </c>
      <c r="R43" s="54">
        <f t="shared" si="7"/>
        <v>0</v>
      </c>
      <c r="S43" s="56"/>
      <c r="T43" s="54">
        <f t="shared" ref="T43" si="8">T42*$N$43</f>
        <v>0</v>
      </c>
    </row>
    <row r="44" spans="1:21" x14ac:dyDescent="0.2">
      <c r="H44" s="31" t="s">
        <v>35</v>
      </c>
      <c r="N44" s="80">
        <v>0.5</v>
      </c>
      <c r="O44" s="54">
        <f>O42*$N$44</f>
        <v>0</v>
      </c>
      <c r="P44" s="56"/>
      <c r="Q44" s="54">
        <f t="shared" ref="Q44:R44" si="9">Q42*$N$44</f>
        <v>0</v>
      </c>
      <c r="R44" s="54">
        <f t="shared" si="9"/>
        <v>0</v>
      </c>
      <c r="S44" s="56"/>
      <c r="T44" s="54">
        <f t="shared" ref="T44" si="10">T42*$N$44</f>
        <v>0</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457" priority="143" operator="lessThan">
      <formula>0</formula>
    </cfRule>
  </conditionalFormatting>
  <conditionalFormatting sqref="O43:O44 Q43:R44 T43:T44">
    <cfRule type="cellIs" dxfId="456" priority="142" operator="lessThan">
      <formula>0</formula>
    </cfRule>
  </conditionalFormatting>
  <conditionalFormatting sqref="O39">
    <cfRule type="cellIs" dxfId="455" priority="50" operator="lessThan">
      <formula>$O$44</formula>
    </cfRule>
    <cfRule type="cellIs" dxfId="454" priority="51" operator="greaterThan">
      <formula>$O$43</formula>
    </cfRule>
  </conditionalFormatting>
  <conditionalFormatting sqref="Q39">
    <cfRule type="cellIs" dxfId="453" priority="42" operator="lessThan">
      <formula>$Q$44</formula>
    </cfRule>
    <cfRule type="cellIs" dxfId="452" priority="43" operator="greaterThan">
      <formula>$Q$43</formula>
    </cfRule>
  </conditionalFormatting>
  <conditionalFormatting sqref="R39">
    <cfRule type="cellIs" dxfId="451" priority="40" operator="lessThan">
      <formula>$R$44</formula>
    </cfRule>
    <cfRule type="cellIs" dxfId="450" priority="41" operator="greaterThan">
      <formula>$R$43</formula>
    </cfRule>
  </conditionalFormatting>
  <conditionalFormatting sqref="T39">
    <cfRule type="cellIs" dxfId="449" priority="34" operator="lessThan">
      <formula>$T$44</formula>
    </cfRule>
    <cfRule type="cellIs" dxfId="448" priority="35" operator="greaterThan">
      <formula>$T$43</formula>
    </cfRule>
  </conditionalFormatting>
  <conditionalFormatting sqref="O6:T36">
    <cfRule type="cellIs" dxfId="447" priority="2" stopIfTrue="1" operator="equal">
      <formula>0</formula>
    </cfRule>
    <cfRule type="cellIs" dxfId="446" priority="3" stopIfTrue="1" operator="lessThan">
      <formula>0</formula>
    </cfRule>
  </conditionalFormatting>
  <conditionalFormatting sqref="O6:O36">
    <cfRule type="cellIs" dxfId="445" priority="25" operator="notBetween">
      <formula>$O$44</formula>
      <formula>$O$43</formula>
    </cfRule>
  </conditionalFormatting>
  <conditionalFormatting sqref="Q6:Q36">
    <cfRule type="cellIs" dxfId="444" priority="18" operator="notBetween">
      <formula>$Q$44</formula>
      <formula>$Q$43</formula>
    </cfRule>
  </conditionalFormatting>
  <conditionalFormatting sqref="R6:R36">
    <cfRule type="cellIs" dxfId="443" priority="19" operator="notBetween">
      <formula>$R$44</formula>
      <formula>$R$43</formula>
    </cfRule>
  </conditionalFormatting>
  <conditionalFormatting sqref="T6:T36">
    <cfRule type="cellIs" dxfId="442" priority="22" operator="notBetween">
      <formula>$T$44</formula>
      <formula>$T$43</formula>
    </cfRule>
  </conditionalFormatting>
  <conditionalFormatting sqref="R6:R39">
    <cfRule type="cellIs" dxfId="441" priority="13" stopIfTrue="1" operator="greaterThan">
      <formula>$R$43*2</formula>
    </cfRule>
  </conditionalFormatting>
  <conditionalFormatting sqref="O6:O39">
    <cfRule type="cellIs" dxfId="440" priority="15" stopIfTrue="1" operator="greaterThan">
      <formula>$O$43*2</formula>
    </cfRule>
  </conditionalFormatting>
  <conditionalFormatting sqref="Q6:Q39">
    <cfRule type="cellIs" dxfId="439" priority="6" stopIfTrue="1" operator="greaterThan">
      <formula>$Q$43*2</formula>
    </cfRule>
  </conditionalFormatting>
  <conditionalFormatting sqref="T6:T39">
    <cfRule type="cellIs" dxfId="43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&amp;CSeptember Meter Reading</oddHeader>
    <oddFoote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Normal="100" workbookViewId="0">
      <pane ySplit="3" topLeftCell="A4" activePane="bottomLeft" state="frozen"/>
      <selection pane="bottomLeft" activeCell="G37" sqref="G37"/>
    </sheetView>
  </sheetViews>
  <sheetFormatPr defaultColWidth="9.28515625" defaultRowHeight="12.75" x14ac:dyDescent="0.2"/>
  <cols>
    <col min="1" max="1" width="3" style="12" customWidth="1"/>
    <col min="2" max="2" width="15.42578125" customWidth="1"/>
    <col min="3" max="3" width="0.85546875" customWidth="1"/>
    <col min="4" max="4" width="8.5703125" bestFit="1" customWidth="1"/>
    <col min="5" max="5" width="10.28515625" customWidth="1"/>
    <col min="6" max="6" width="0.85546875" customWidth="1"/>
    <col min="7" max="7" width="15.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8.7109375" customWidth="1"/>
    <col min="16" max="16" width="0.85546875" customWidth="1"/>
    <col min="17" max="17" width="11.5703125" customWidth="1"/>
    <col min="18" max="18" width="9.42578125" bestFit="1" customWidth="1"/>
    <col min="19" max="19" width="0.85546875" customWidth="1"/>
    <col min="20" max="20" width="16.5703125" customWidth="1"/>
    <col min="21" max="21" width="0.85546875" customWidth="1"/>
  </cols>
  <sheetData>
    <row r="1" spans="1:21" x14ac:dyDescent="0.2">
      <c r="A1" s="93"/>
      <c r="B1" s="77" t="s">
        <v>4</v>
      </c>
      <c r="C1" s="1"/>
      <c r="D1" s="86" t="s">
        <v>1</v>
      </c>
      <c r="E1" s="86"/>
      <c r="F1" s="1"/>
      <c r="G1" s="77" t="s">
        <v>5</v>
      </c>
      <c r="H1" s="78"/>
      <c r="I1" s="1"/>
      <c r="J1" s="84" t="s">
        <v>3</v>
      </c>
      <c r="K1" s="84"/>
      <c r="L1" s="84"/>
      <c r="N1" s="93"/>
      <c r="O1" s="77" t="s">
        <v>4</v>
      </c>
      <c r="P1" s="1"/>
      <c r="Q1" s="86" t="s">
        <v>1</v>
      </c>
      <c r="R1" s="86"/>
      <c r="S1" s="1"/>
      <c r="T1" s="77" t="s">
        <v>5</v>
      </c>
    </row>
    <row r="2" spans="1:21" x14ac:dyDescent="0.2">
      <c r="A2" s="94"/>
      <c r="B2" s="76" t="s">
        <v>11</v>
      </c>
      <c r="C2" s="2"/>
      <c r="D2" s="84" t="s">
        <v>7</v>
      </c>
      <c r="E2" s="84"/>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c r="C5" s="15"/>
      <c r="D5" s="26"/>
      <c r="E5" s="26"/>
      <c r="F5" s="15"/>
      <c r="G5" s="26"/>
      <c r="H5" s="11"/>
      <c r="I5" s="15"/>
      <c r="J5" s="26">
        <f>Sep!J39</f>
        <v>0</v>
      </c>
      <c r="K5" s="26">
        <f>Sep!K39</f>
        <v>0</v>
      </c>
      <c r="L5" s="26">
        <f>Sep!L39</f>
        <v>0</v>
      </c>
      <c r="N5"/>
    </row>
    <row r="6" spans="1:21" x14ac:dyDescent="0.2">
      <c r="A6" s="7">
        <v>1</v>
      </c>
      <c r="B6" s="41">
        <v>552</v>
      </c>
      <c r="C6" s="15"/>
      <c r="D6" s="40">
        <v>24283</v>
      </c>
      <c r="E6" s="42">
        <v>2583</v>
      </c>
      <c r="F6" s="15"/>
      <c r="G6" s="41">
        <v>229598</v>
      </c>
      <c r="H6" s="45" t="e">
        <f>#REF!-#REF!</f>
        <v>#REF!</v>
      </c>
      <c r="I6" s="16"/>
      <c r="J6" s="17">
        <v>0</v>
      </c>
      <c r="K6" s="17">
        <v>0</v>
      </c>
      <c r="L6" s="17">
        <v>0</v>
      </c>
      <c r="M6" s="43" t="s">
        <v>30</v>
      </c>
      <c r="N6" s="80">
        <v>1</v>
      </c>
      <c r="O6" s="11">
        <f t="shared" ref="O6:O36" si="0">B6-B5</f>
        <v>552</v>
      </c>
      <c r="P6" s="34"/>
      <c r="Q6" s="11">
        <f t="shared" ref="Q6:Q36" si="1">D6-D5</f>
        <v>24283</v>
      </c>
      <c r="R6" s="11">
        <f t="shared" ref="R6:R36" si="2">E6-E5</f>
        <v>2583</v>
      </c>
      <c r="S6" s="34"/>
      <c r="T6" s="11">
        <f t="shared" ref="T6:T36" si="3">G6-G5</f>
        <v>229598</v>
      </c>
      <c r="U6" s="34"/>
    </row>
    <row r="7" spans="1:21" x14ac:dyDescent="0.2">
      <c r="A7" s="80">
        <v>2</v>
      </c>
      <c r="B7" s="41">
        <v>589</v>
      </c>
      <c r="C7" s="15"/>
      <c r="D7" s="40">
        <v>24300</v>
      </c>
      <c r="E7" s="42">
        <v>2585</v>
      </c>
      <c r="F7" s="15"/>
      <c r="G7" s="41">
        <v>229631</v>
      </c>
      <c r="H7" s="45" t="e">
        <f>#REF!-#REF!</f>
        <v>#REF!</v>
      </c>
      <c r="I7" s="16"/>
      <c r="J7" s="17">
        <v>0</v>
      </c>
      <c r="K7" s="17">
        <v>0</v>
      </c>
      <c r="L7" s="17">
        <v>0</v>
      </c>
      <c r="M7" s="16"/>
      <c r="N7" s="80">
        <v>2</v>
      </c>
      <c r="O7" s="11">
        <f t="shared" si="0"/>
        <v>37</v>
      </c>
      <c r="P7" s="34"/>
      <c r="Q7" s="11">
        <f t="shared" si="1"/>
        <v>17</v>
      </c>
      <c r="R7" s="11">
        <f t="shared" si="2"/>
        <v>2</v>
      </c>
      <c r="S7" s="34"/>
      <c r="T7" s="11">
        <f t="shared" si="3"/>
        <v>33</v>
      </c>
      <c r="U7" s="35"/>
    </row>
    <row r="8" spans="1:21" x14ac:dyDescent="0.2">
      <c r="A8" s="80">
        <v>3</v>
      </c>
      <c r="B8" s="41">
        <v>619</v>
      </c>
      <c r="C8" s="15"/>
      <c r="D8" s="40">
        <v>24314</v>
      </c>
      <c r="E8" s="42">
        <v>2585</v>
      </c>
      <c r="F8" s="15"/>
      <c r="G8" s="41">
        <v>229661</v>
      </c>
      <c r="H8" s="45" t="e">
        <f>#REF!-#REF!</f>
        <v>#REF!</v>
      </c>
      <c r="I8" s="16"/>
      <c r="J8" s="17">
        <v>0</v>
      </c>
      <c r="K8" s="17">
        <v>0</v>
      </c>
      <c r="L8" s="17">
        <v>0</v>
      </c>
      <c r="M8" s="16"/>
      <c r="N8" s="80">
        <v>3</v>
      </c>
      <c r="O8" s="11">
        <f t="shared" si="0"/>
        <v>30</v>
      </c>
      <c r="P8" s="34"/>
      <c r="Q8" s="11">
        <f t="shared" si="1"/>
        <v>14</v>
      </c>
      <c r="R8" s="11">
        <f t="shared" si="2"/>
        <v>0</v>
      </c>
      <c r="S8" s="34"/>
      <c r="T8" s="11">
        <f t="shared" si="3"/>
        <v>30</v>
      </c>
      <c r="U8" s="35"/>
    </row>
    <row r="9" spans="1:21" x14ac:dyDescent="0.2">
      <c r="A9" s="80">
        <v>4</v>
      </c>
      <c r="B9" s="41">
        <v>653</v>
      </c>
      <c r="C9" s="15"/>
      <c r="D9" s="40">
        <v>24329</v>
      </c>
      <c r="E9" s="42">
        <v>2588</v>
      </c>
      <c r="F9" s="15"/>
      <c r="G9" s="41">
        <v>229690</v>
      </c>
      <c r="H9" s="45" t="e">
        <f>#REF!-#REF!</f>
        <v>#REF!</v>
      </c>
      <c r="I9" s="16"/>
      <c r="J9" s="17">
        <v>0</v>
      </c>
      <c r="K9" s="17">
        <v>0</v>
      </c>
      <c r="L9" s="17">
        <v>0</v>
      </c>
      <c r="M9" s="16"/>
      <c r="N9" s="80">
        <v>4</v>
      </c>
      <c r="O9" s="11">
        <f t="shared" si="0"/>
        <v>34</v>
      </c>
      <c r="P9" s="34"/>
      <c r="Q9" s="11">
        <f t="shared" si="1"/>
        <v>15</v>
      </c>
      <c r="R9" s="11">
        <f t="shared" si="2"/>
        <v>3</v>
      </c>
      <c r="S9" s="34"/>
      <c r="T9" s="11">
        <f t="shared" si="3"/>
        <v>29</v>
      </c>
      <c r="U9" s="35"/>
    </row>
    <row r="10" spans="1:21" x14ac:dyDescent="0.2">
      <c r="A10" s="80">
        <v>5</v>
      </c>
      <c r="B10" s="41">
        <v>681</v>
      </c>
      <c r="C10" s="15"/>
      <c r="D10" s="40">
        <v>24345</v>
      </c>
      <c r="E10" s="42">
        <v>2589</v>
      </c>
      <c r="F10" s="15"/>
      <c r="G10" s="41">
        <v>229719</v>
      </c>
      <c r="H10" s="45" t="e">
        <f>#REF!-#REF!</f>
        <v>#REF!</v>
      </c>
      <c r="I10" s="16"/>
      <c r="J10" s="17">
        <v>0</v>
      </c>
      <c r="K10" s="17">
        <v>0</v>
      </c>
      <c r="L10" s="17">
        <v>0</v>
      </c>
      <c r="M10" s="16"/>
      <c r="N10" s="80">
        <v>5</v>
      </c>
      <c r="O10" s="11">
        <f t="shared" si="0"/>
        <v>28</v>
      </c>
      <c r="P10" s="34"/>
      <c r="Q10" s="11">
        <f t="shared" si="1"/>
        <v>16</v>
      </c>
      <c r="R10" s="11">
        <f t="shared" si="2"/>
        <v>1</v>
      </c>
      <c r="S10" s="34"/>
      <c r="T10" s="11">
        <f t="shared" si="3"/>
        <v>29</v>
      </c>
      <c r="U10" s="35"/>
    </row>
    <row r="11" spans="1:21" x14ac:dyDescent="0.2">
      <c r="A11" s="80">
        <v>6</v>
      </c>
      <c r="B11" s="41">
        <v>718</v>
      </c>
      <c r="C11" s="15"/>
      <c r="D11" s="40">
        <v>24360</v>
      </c>
      <c r="E11" s="42">
        <v>2593</v>
      </c>
      <c r="F11" s="15"/>
      <c r="G11" s="41">
        <v>229748</v>
      </c>
      <c r="H11" s="45" t="e">
        <f>#REF!-#REF!</f>
        <v>#REF!</v>
      </c>
      <c r="I11" s="16"/>
      <c r="J11" s="17">
        <v>0</v>
      </c>
      <c r="K11" s="17">
        <v>0</v>
      </c>
      <c r="L11" s="17">
        <v>0</v>
      </c>
      <c r="M11" s="16"/>
      <c r="N11" s="80">
        <v>6</v>
      </c>
      <c r="O11" s="11">
        <f t="shared" si="0"/>
        <v>37</v>
      </c>
      <c r="P11" s="34"/>
      <c r="Q11" s="11">
        <f t="shared" si="1"/>
        <v>15</v>
      </c>
      <c r="R11" s="11">
        <f t="shared" si="2"/>
        <v>4</v>
      </c>
      <c r="S11" s="34"/>
      <c r="T11" s="11">
        <f t="shared" si="3"/>
        <v>29</v>
      </c>
      <c r="U11" s="35"/>
    </row>
    <row r="12" spans="1:21" x14ac:dyDescent="0.2">
      <c r="A12" s="80">
        <v>7</v>
      </c>
      <c r="B12" s="41">
        <v>754</v>
      </c>
      <c r="C12" s="15"/>
      <c r="D12" s="40">
        <v>24378</v>
      </c>
      <c r="E12" s="42">
        <v>2596</v>
      </c>
      <c r="F12" s="15"/>
      <c r="G12" s="41">
        <v>229777</v>
      </c>
      <c r="H12" s="45" t="e">
        <f>#REF!-#REF!</f>
        <v>#REF!</v>
      </c>
      <c r="I12" s="16"/>
      <c r="J12" s="17">
        <v>0</v>
      </c>
      <c r="K12" s="17">
        <v>0</v>
      </c>
      <c r="L12" s="17">
        <v>0</v>
      </c>
      <c r="M12" s="16"/>
      <c r="N12" s="80">
        <v>7</v>
      </c>
      <c r="O12" s="11">
        <f t="shared" si="0"/>
        <v>36</v>
      </c>
      <c r="P12" s="34"/>
      <c r="Q12" s="11">
        <f t="shared" si="1"/>
        <v>18</v>
      </c>
      <c r="R12" s="11">
        <f t="shared" si="2"/>
        <v>3</v>
      </c>
      <c r="S12" s="34"/>
      <c r="T12" s="11">
        <f t="shared" si="3"/>
        <v>29</v>
      </c>
      <c r="U12" s="35"/>
    </row>
    <row r="13" spans="1:21" x14ac:dyDescent="0.2">
      <c r="A13" s="80">
        <v>8</v>
      </c>
      <c r="B13" s="41">
        <v>797</v>
      </c>
      <c r="C13" s="15"/>
      <c r="D13" s="40">
        <v>24396</v>
      </c>
      <c r="E13" s="42">
        <v>2599</v>
      </c>
      <c r="F13" s="15"/>
      <c r="G13" s="41">
        <v>229805</v>
      </c>
      <c r="H13" s="45" t="e">
        <f>#REF!-#REF!</f>
        <v>#REF!</v>
      </c>
      <c r="I13" s="16"/>
      <c r="J13" s="17">
        <v>0</v>
      </c>
      <c r="K13" s="17">
        <v>0</v>
      </c>
      <c r="L13" s="17">
        <v>0</v>
      </c>
      <c r="M13" s="16"/>
      <c r="N13" s="80">
        <v>8</v>
      </c>
      <c r="O13" s="11">
        <f t="shared" si="0"/>
        <v>43</v>
      </c>
      <c r="P13" s="34"/>
      <c r="Q13" s="11">
        <f t="shared" si="1"/>
        <v>18</v>
      </c>
      <c r="R13" s="11">
        <f t="shared" si="2"/>
        <v>3</v>
      </c>
      <c r="S13" s="34"/>
      <c r="T13" s="11">
        <f t="shared" si="3"/>
        <v>28</v>
      </c>
      <c r="U13" s="35"/>
    </row>
    <row r="14" spans="1:21" x14ac:dyDescent="0.2">
      <c r="A14" s="80">
        <v>9</v>
      </c>
      <c r="B14" s="41">
        <v>834</v>
      </c>
      <c r="C14" s="15"/>
      <c r="D14" s="40">
        <v>24412</v>
      </c>
      <c r="E14" s="42">
        <v>2601</v>
      </c>
      <c r="F14" s="15"/>
      <c r="G14" s="41">
        <v>229833</v>
      </c>
      <c r="H14" s="45" t="e">
        <f>#REF!-#REF!</f>
        <v>#REF!</v>
      </c>
      <c r="I14" s="16"/>
      <c r="J14" s="17">
        <v>0</v>
      </c>
      <c r="K14" s="17">
        <v>0</v>
      </c>
      <c r="L14" s="17">
        <v>0</v>
      </c>
      <c r="M14" s="16"/>
      <c r="N14" s="80">
        <v>9</v>
      </c>
      <c r="O14" s="11">
        <f t="shared" si="0"/>
        <v>37</v>
      </c>
      <c r="P14" s="34"/>
      <c r="Q14" s="11">
        <f t="shared" si="1"/>
        <v>16</v>
      </c>
      <c r="R14" s="11">
        <f t="shared" si="2"/>
        <v>2</v>
      </c>
      <c r="S14" s="34"/>
      <c r="T14" s="11">
        <f t="shared" si="3"/>
        <v>28</v>
      </c>
      <c r="U14" s="35"/>
    </row>
    <row r="15" spans="1:21" x14ac:dyDescent="0.2">
      <c r="A15" s="80">
        <v>10</v>
      </c>
      <c r="B15" s="41">
        <v>873</v>
      </c>
      <c r="C15" s="15"/>
      <c r="D15" s="40">
        <v>24427</v>
      </c>
      <c r="E15" s="42">
        <v>2603</v>
      </c>
      <c r="F15" s="15"/>
      <c r="G15" s="41">
        <v>229864</v>
      </c>
      <c r="H15" s="45" t="e">
        <f>#REF!-#REF!</f>
        <v>#REF!</v>
      </c>
      <c r="I15" s="16"/>
      <c r="J15" s="17">
        <v>0</v>
      </c>
      <c r="K15" s="17">
        <v>0</v>
      </c>
      <c r="L15" s="17">
        <v>0</v>
      </c>
      <c r="M15" s="16"/>
      <c r="N15" s="80">
        <v>10</v>
      </c>
      <c r="O15" s="11">
        <f t="shared" si="0"/>
        <v>39</v>
      </c>
      <c r="P15" s="34"/>
      <c r="Q15" s="11">
        <f t="shared" si="1"/>
        <v>15</v>
      </c>
      <c r="R15" s="11">
        <f t="shared" si="2"/>
        <v>2</v>
      </c>
      <c r="S15" s="34"/>
      <c r="T15" s="11">
        <f t="shared" si="3"/>
        <v>31</v>
      </c>
      <c r="U15" s="35"/>
    </row>
    <row r="16" spans="1:21" x14ac:dyDescent="0.2">
      <c r="A16" s="80">
        <v>11</v>
      </c>
      <c r="B16" s="41">
        <v>914</v>
      </c>
      <c r="C16" s="15"/>
      <c r="D16" s="40">
        <v>24440</v>
      </c>
      <c r="E16" s="42">
        <v>2606</v>
      </c>
      <c r="F16" s="15"/>
      <c r="G16" s="41">
        <v>229894</v>
      </c>
      <c r="H16" s="45" t="e">
        <f>#REF!-#REF!</f>
        <v>#REF!</v>
      </c>
      <c r="I16" s="16"/>
      <c r="J16" s="17">
        <v>0</v>
      </c>
      <c r="K16" s="17">
        <v>0</v>
      </c>
      <c r="L16" s="17">
        <v>0</v>
      </c>
      <c r="M16" s="16"/>
      <c r="N16" s="80">
        <v>11</v>
      </c>
      <c r="O16" s="11">
        <f t="shared" si="0"/>
        <v>41</v>
      </c>
      <c r="P16" s="34"/>
      <c r="Q16" s="11">
        <f t="shared" si="1"/>
        <v>13</v>
      </c>
      <c r="R16" s="11">
        <f t="shared" si="2"/>
        <v>3</v>
      </c>
      <c r="S16" s="34"/>
      <c r="T16" s="11">
        <f t="shared" si="3"/>
        <v>30</v>
      </c>
      <c r="U16" s="35"/>
    </row>
    <row r="17" spans="1:21" x14ac:dyDescent="0.2">
      <c r="A17" s="80">
        <v>12</v>
      </c>
      <c r="B17" s="41">
        <v>953</v>
      </c>
      <c r="C17" s="15"/>
      <c r="D17" s="40">
        <v>24469</v>
      </c>
      <c r="E17" s="42">
        <v>2611</v>
      </c>
      <c r="F17" s="15"/>
      <c r="G17" s="41">
        <v>229920</v>
      </c>
      <c r="H17" s="45" t="e">
        <f>#REF!-#REF!</f>
        <v>#REF!</v>
      </c>
      <c r="I17" s="16"/>
      <c r="J17" s="17">
        <v>0</v>
      </c>
      <c r="K17" s="17">
        <v>0</v>
      </c>
      <c r="L17" s="17">
        <v>0</v>
      </c>
      <c r="M17" s="16"/>
      <c r="N17" s="80">
        <v>12</v>
      </c>
      <c r="O17" s="11">
        <f t="shared" si="0"/>
        <v>39</v>
      </c>
      <c r="P17" s="34"/>
      <c r="Q17" s="11">
        <f t="shared" si="1"/>
        <v>29</v>
      </c>
      <c r="R17" s="11">
        <f t="shared" si="2"/>
        <v>5</v>
      </c>
      <c r="S17" s="34"/>
      <c r="T17" s="11">
        <f t="shared" si="3"/>
        <v>26</v>
      </c>
      <c r="U17" s="35"/>
    </row>
    <row r="18" spans="1:21" x14ac:dyDescent="0.2">
      <c r="A18" s="80">
        <v>13</v>
      </c>
      <c r="B18" s="41">
        <v>996</v>
      </c>
      <c r="C18" s="15"/>
      <c r="D18" s="40">
        <v>24491</v>
      </c>
      <c r="E18" s="42">
        <v>2614</v>
      </c>
      <c r="F18" s="15"/>
      <c r="G18" s="41">
        <v>229948</v>
      </c>
      <c r="H18" s="45" t="e">
        <f>#REF!-#REF!</f>
        <v>#REF!</v>
      </c>
      <c r="I18" s="16"/>
      <c r="J18" s="17">
        <v>0</v>
      </c>
      <c r="K18" s="17">
        <v>0</v>
      </c>
      <c r="L18" s="17">
        <v>0</v>
      </c>
      <c r="M18" s="16"/>
      <c r="N18" s="80">
        <v>13</v>
      </c>
      <c r="O18" s="11">
        <f t="shared" si="0"/>
        <v>43</v>
      </c>
      <c r="P18" s="34"/>
      <c r="Q18" s="11">
        <f t="shared" si="1"/>
        <v>22</v>
      </c>
      <c r="R18" s="11">
        <f t="shared" si="2"/>
        <v>3</v>
      </c>
      <c r="S18" s="34"/>
      <c r="T18" s="11">
        <f t="shared" si="3"/>
        <v>28</v>
      </c>
      <c r="U18" s="35"/>
    </row>
    <row r="19" spans="1:21" x14ac:dyDescent="0.2">
      <c r="A19" s="80">
        <v>14</v>
      </c>
      <c r="B19" s="41">
        <v>1034</v>
      </c>
      <c r="C19" s="15"/>
      <c r="D19" s="40">
        <v>24510</v>
      </c>
      <c r="E19" s="42">
        <v>2616</v>
      </c>
      <c r="F19" s="15"/>
      <c r="G19" s="41">
        <v>229975</v>
      </c>
      <c r="H19" s="45" t="e">
        <f>#REF!-#REF!</f>
        <v>#REF!</v>
      </c>
      <c r="I19" s="16"/>
      <c r="J19" s="17">
        <v>0</v>
      </c>
      <c r="K19" s="17">
        <v>0</v>
      </c>
      <c r="L19" s="17">
        <v>0</v>
      </c>
      <c r="M19" s="16"/>
      <c r="N19" s="80">
        <v>14</v>
      </c>
      <c r="O19" s="11">
        <f t="shared" si="0"/>
        <v>38</v>
      </c>
      <c r="P19" s="34"/>
      <c r="Q19" s="11">
        <f t="shared" si="1"/>
        <v>19</v>
      </c>
      <c r="R19" s="11">
        <f t="shared" si="2"/>
        <v>2</v>
      </c>
      <c r="S19" s="34"/>
      <c r="T19" s="11">
        <f t="shared" si="3"/>
        <v>27</v>
      </c>
      <c r="U19" s="35"/>
    </row>
    <row r="20" spans="1:21" x14ac:dyDescent="0.2">
      <c r="A20" s="80">
        <v>15</v>
      </c>
      <c r="B20" s="41">
        <v>1076</v>
      </c>
      <c r="C20" s="15"/>
      <c r="D20" s="40">
        <v>24530</v>
      </c>
      <c r="E20" s="42">
        <v>2619</v>
      </c>
      <c r="F20" s="15"/>
      <c r="G20" s="41">
        <v>230004</v>
      </c>
      <c r="H20" s="45" t="e">
        <f>#REF!-#REF!</f>
        <v>#REF!</v>
      </c>
      <c r="I20" s="16"/>
      <c r="J20" s="17">
        <v>0</v>
      </c>
      <c r="K20" s="17">
        <v>0</v>
      </c>
      <c r="L20" s="17">
        <v>0</v>
      </c>
      <c r="M20" s="16"/>
      <c r="N20" s="80">
        <v>15</v>
      </c>
      <c r="O20" s="11">
        <f t="shared" si="0"/>
        <v>42</v>
      </c>
      <c r="P20" s="34"/>
      <c r="Q20" s="11">
        <f t="shared" si="1"/>
        <v>20</v>
      </c>
      <c r="R20" s="11">
        <f t="shared" si="2"/>
        <v>3</v>
      </c>
      <c r="S20" s="34"/>
      <c r="T20" s="11">
        <f t="shared" si="3"/>
        <v>29</v>
      </c>
      <c r="U20" s="35"/>
    </row>
    <row r="21" spans="1:21" x14ac:dyDescent="0.2">
      <c r="A21" s="80">
        <v>16</v>
      </c>
      <c r="B21" s="41">
        <v>1116</v>
      </c>
      <c r="C21" s="15"/>
      <c r="D21" s="40">
        <v>24548</v>
      </c>
      <c r="E21" s="42">
        <v>2622</v>
      </c>
      <c r="F21" s="15"/>
      <c r="G21" s="41">
        <v>230032</v>
      </c>
      <c r="H21" s="45" t="e">
        <f>#REF!-#REF!</f>
        <v>#REF!</v>
      </c>
      <c r="I21" s="16"/>
      <c r="J21" s="17">
        <v>0</v>
      </c>
      <c r="K21" s="17">
        <v>0</v>
      </c>
      <c r="L21" s="17">
        <v>0</v>
      </c>
      <c r="M21" s="16"/>
      <c r="N21" s="80">
        <v>16</v>
      </c>
      <c r="O21" s="11">
        <f t="shared" si="0"/>
        <v>40</v>
      </c>
      <c r="P21" s="34"/>
      <c r="Q21" s="11">
        <f t="shared" si="1"/>
        <v>18</v>
      </c>
      <c r="R21" s="11">
        <f t="shared" si="2"/>
        <v>3</v>
      </c>
      <c r="S21" s="34"/>
      <c r="T21" s="11">
        <f t="shared" si="3"/>
        <v>28</v>
      </c>
      <c r="U21" s="35"/>
    </row>
    <row r="22" spans="1:21" x14ac:dyDescent="0.2">
      <c r="A22" s="80">
        <v>17</v>
      </c>
      <c r="B22" s="41">
        <v>1139</v>
      </c>
      <c r="C22" s="15"/>
      <c r="D22" s="40">
        <v>24558</v>
      </c>
      <c r="E22" s="42">
        <v>2622</v>
      </c>
      <c r="F22" s="15"/>
      <c r="G22" s="41">
        <v>230068</v>
      </c>
      <c r="H22" s="45" t="e">
        <f>#REF!-#REF!</f>
        <v>#REF!</v>
      </c>
      <c r="I22" s="16"/>
      <c r="J22" s="17">
        <v>0</v>
      </c>
      <c r="K22" s="17">
        <v>0</v>
      </c>
      <c r="L22" s="17">
        <v>0</v>
      </c>
      <c r="M22" s="16"/>
      <c r="N22" s="80">
        <v>17</v>
      </c>
      <c r="O22" s="11">
        <f t="shared" si="0"/>
        <v>23</v>
      </c>
      <c r="P22" s="34"/>
      <c r="Q22" s="11">
        <f t="shared" si="1"/>
        <v>10</v>
      </c>
      <c r="R22" s="11">
        <f t="shared" si="2"/>
        <v>0</v>
      </c>
      <c r="S22" s="34"/>
      <c r="T22" s="11">
        <f t="shared" si="3"/>
        <v>36</v>
      </c>
      <c r="U22" s="35"/>
    </row>
    <row r="23" spans="1:21" x14ac:dyDescent="0.2">
      <c r="A23" s="80">
        <v>18</v>
      </c>
      <c r="B23" s="41">
        <v>1171</v>
      </c>
      <c r="C23" s="15"/>
      <c r="D23" s="40">
        <v>24572</v>
      </c>
      <c r="E23" s="42">
        <v>2624</v>
      </c>
      <c r="F23" s="15"/>
      <c r="G23" s="41">
        <v>230103</v>
      </c>
      <c r="H23" s="45" t="e">
        <f>#REF!-#REF!</f>
        <v>#REF!</v>
      </c>
      <c r="I23" s="16"/>
      <c r="J23" s="17">
        <v>0</v>
      </c>
      <c r="K23" s="17">
        <v>0</v>
      </c>
      <c r="L23" s="17">
        <v>0</v>
      </c>
      <c r="M23" s="16"/>
      <c r="N23" s="80">
        <v>18</v>
      </c>
      <c r="O23" s="11">
        <f t="shared" si="0"/>
        <v>32</v>
      </c>
      <c r="P23" s="34"/>
      <c r="Q23" s="11">
        <f t="shared" si="1"/>
        <v>14</v>
      </c>
      <c r="R23" s="11">
        <f t="shared" si="2"/>
        <v>2</v>
      </c>
      <c r="S23" s="34"/>
      <c r="T23" s="11">
        <f t="shared" si="3"/>
        <v>35</v>
      </c>
      <c r="U23" s="35"/>
    </row>
    <row r="24" spans="1:21" x14ac:dyDescent="0.2">
      <c r="A24" s="80">
        <v>19</v>
      </c>
      <c r="B24" s="41">
        <v>1212</v>
      </c>
      <c r="C24" s="15"/>
      <c r="D24" s="40">
        <v>24592</v>
      </c>
      <c r="E24" s="42">
        <v>2629</v>
      </c>
      <c r="F24" s="15"/>
      <c r="G24" s="41">
        <v>230137</v>
      </c>
      <c r="H24" s="45" t="e">
        <f>#REF!-#REF!</f>
        <v>#REF!</v>
      </c>
      <c r="I24" s="16"/>
      <c r="J24" s="17">
        <v>0</v>
      </c>
      <c r="K24" s="17">
        <v>0</v>
      </c>
      <c r="L24" s="17">
        <v>0</v>
      </c>
      <c r="M24" s="16"/>
      <c r="N24" s="80">
        <v>19</v>
      </c>
      <c r="O24" s="11">
        <f t="shared" si="0"/>
        <v>41</v>
      </c>
      <c r="P24" s="34"/>
      <c r="Q24" s="11">
        <f t="shared" si="1"/>
        <v>20</v>
      </c>
      <c r="R24" s="11">
        <f t="shared" si="2"/>
        <v>5</v>
      </c>
      <c r="S24" s="34"/>
      <c r="T24" s="11">
        <f t="shared" si="3"/>
        <v>34</v>
      </c>
      <c r="U24" s="35"/>
    </row>
    <row r="25" spans="1:21" x14ac:dyDescent="0.2">
      <c r="A25" s="80">
        <v>20</v>
      </c>
      <c r="B25" s="41">
        <v>1254</v>
      </c>
      <c r="C25" s="15"/>
      <c r="D25" s="40">
        <v>24614</v>
      </c>
      <c r="E25" s="42">
        <v>2636</v>
      </c>
      <c r="F25" s="15"/>
      <c r="G25" s="41">
        <v>230166</v>
      </c>
      <c r="H25" s="45" t="e">
        <f>#REF!-#REF!</f>
        <v>#REF!</v>
      </c>
      <c r="I25" s="16"/>
      <c r="J25" s="17">
        <v>0</v>
      </c>
      <c r="K25" s="17">
        <v>0</v>
      </c>
      <c r="L25" s="17">
        <v>0</v>
      </c>
      <c r="M25" s="16"/>
      <c r="N25" s="80">
        <v>20</v>
      </c>
      <c r="O25" s="11">
        <f t="shared" si="0"/>
        <v>42</v>
      </c>
      <c r="P25" s="34"/>
      <c r="Q25" s="11">
        <f t="shared" si="1"/>
        <v>22</v>
      </c>
      <c r="R25" s="11">
        <f t="shared" si="2"/>
        <v>7</v>
      </c>
      <c r="S25" s="34"/>
      <c r="T25" s="11">
        <f t="shared" si="3"/>
        <v>29</v>
      </c>
      <c r="U25" s="35"/>
    </row>
    <row r="26" spans="1:21" x14ac:dyDescent="0.2">
      <c r="A26" s="80">
        <v>21</v>
      </c>
      <c r="B26" s="41">
        <v>1289</v>
      </c>
      <c r="C26" s="15"/>
      <c r="D26" s="40">
        <v>24634</v>
      </c>
      <c r="E26" s="42">
        <v>2635</v>
      </c>
      <c r="F26" s="15"/>
      <c r="G26" s="41">
        <v>230194</v>
      </c>
      <c r="H26" s="45" t="e">
        <f>#REF!-#REF!</f>
        <v>#REF!</v>
      </c>
      <c r="I26" s="16"/>
      <c r="J26" s="17">
        <v>0</v>
      </c>
      <c r="K26" s="17">
        <v>0</v>
      </c>
      <c r="L26" s="17">
        <v>0</v>
      </c>
      <c r="M26" s="16"/>
      <c r="N26" s="80">
        <v>21</v>
      </c>
      <c r="O26" s="11">
        <f t="shared" si="0"/>
        <v>35</v>
      </c>
      <c r="P26" s="34"/>
      <c r="Q26" s="11">
        <f t="shared" si="1"/>
        <v>20</v>
      </c>
      <c r="R26" s="11">
        <f t="shared" si="2"/>
        <v>-1</v>
      </c>
      <c r="S26" s="34"/>
      <c r="T26" s="11">
        <f t="shared" si="3"/>
        <v>28</v>
      </c>
      <c r="U26" s="35"/>
    </row>
    <row r="27" spans="1:21" x14ac:dyDescent="0.2">
      <c r="A27" s="80">
        <v>22</v>
      </c>
      <c r="B27" s="41">
        <v>1327</v>
      </c>
      <c r="C27" s="15"/>
      <c r="D27" s="40">
        <v>24654</v>
      </c>
      <c r="E27" s="42">
        <v>2638</v>
      </c>
      <c r="F27" s="15"/>
      <c r="G27" s="41">
        <v>230223</v>
      </c>
      <c r="H27" s="45" t="e">
        <f>#REF!-#REF!</f>
        <v>#REF!</v>
      </c>
      <c r="I27" s="16"/>
      <c r="J27" s="17">
        <v>0</v>
      </c>
      <c r="K27" s="17">
        <v>0</v>
      </c>
      <c r="L27" s="17">
        <v>0</v>
      </c>
      <c r="M27" s="43"/>
      <c r="N27" s="80">
        <v>22</v>
      </c>
      <c r="O27" s="11">
        <f t="shared" si="0"/>
        <v>38</v>
      </c>
      <c r="P27" s="34"/>
      <c r="Q27" s="11">
        <f t="shared" si="1"/>
        <v>20</v>
      </c>
      <c r="R27" s="11">
        <f t="shared" si="2"/>
        <v>3</v>
      </c>
      <c r="S27" s="34"/>
      <c r="T27" s="11">
        <f t="shared" si="3"/>
        <v>29</v>
      </c>
      <c r="U27" s="35"/>
    </row>
    <row r="28" spans="1:21" x14ac:dyDescent="0.2">
      <c r="A28" s="80">
        <v>23</v>
      </c>
      <c r="B28" s="41">
        <v>1368</v>
      </c>
      <c r="C28" s="15"/>
      <c r="D28" s="40">
        <v>24674</v>
      </c>
      <c r="E28" s="42">
        <v>2640</v>
      </c>
      <c r="F28" s="15"/>
      <c r="G28" s="41">
        <v>230252</v>
      </c>
      <c r="H28" s="45" t="e">
        <f>#REF!-#REF!</f>
        <v>#REF!</v>
      </c>
      <c r="I28" s="16"/>
      <c r="J28" s="17">
        <v>0</v>
      </c>
      <c r="K28" s="17">
        <v>0</v>
      </c>
      <c r="L28" s="17">
        <v>0</v>
      </c>
      <c r="M28" s="43"/>
      <c r="N28" s="80">
        <v>23</v>
      </c>
      <c r="O28" s="11">
        <f t="shared" si="0"/>
        <v>41</v>
      </c>
      <c r="P28" s="34"/>
      <c r="Q28" s="11">
        <f t="shared" si="1"/>
        <v>20</v>
      </c>
      <c r="R28" s="11">
        <f t="shared" si="2"/>
        <v>2</v>
      </c>
      <c r="S28" s="34"/>
      <c r="T28" s="11">
        <f t="shared" si="3"/>
        <v>29</v>
      </c>
      <c r="U28" s="35"/>
    </row>
    <row r="29" spans="1:21" x14ac:dyDescent="0.2">
      <c r="A29" s="80">
        <v>24</v>
      </c>
      <c r="B29" s="41">
        <v>1408</v>
      </c>
      <c r="C29" s="15"/>
      <c r="D29" s="40">
        <v>24694</v>
      </c>
      <c r="E29" s="42">
        <v>2644</v>
      </c>
      <c r="F29" s="15"/>
      <c r="G29" s="41">
        <v>230283</v>
      </c>
      <c r="H29" s="45" t="e">
        <f>#REF!-#REF!</f>
        <v>#REF!</v>
      </c>
      <c r="I29" s="16"/>
      <c r="J29" s="17">
        <v>0</v>
      </c>
      <c r="K29" s="17">
        <v>0</v>
      </c>
      <c r="L29" s="17">
        <v>0</v>
      </c>
      <c r="M29" s="43"/>
      <c r="N29" s="80">
        <v>24</v>
      </c>
      <c r="O29" s="11">
        <f t="shared" si="0"/>
        <v>40</v>
      </c>
      <c r="P29" s="34"/>
      <c r="Q29" s="11">
        <f t="shared" si="1"/>
        <v>20</v>
      </c>
      <c r="R29" s="11">
        <f t="shared" si="2"/>
        <v>4</v>
      </c>
      <c r="S29" s="34"/>
      <c r="T29" s="11">
        <f t="shared" si="3"/>
        <v>31</v>
      </c>
      <c r="U29" s="35"/>
    </row>
    <row r="30" spans="1:21" x14ac:dyDescent="0.2">
      <c r="A30" s="80">
        <v>25</v>
      </c>
      <c r="B30" s="41">
        <v>1434</v>
      </c>
      <c r="C30" s="15"/>
      <c r="D30" s="40">
        <v>24707</v>
      </c>
      <c r="E30" s="42">
        <v>2644</v>
      </c>
      <c r="F30" s="15"/>
      <c r="G30" s="41">
        <v>230315</v>
      </c>
      <c r="H30" s="45" t="e">
        <f>#REF!-#REF!</f>
        <v>#REF!</v>
      </c>
      <c r="I30" s="16"/>
      <c r="J30" s="17">
        <v>0</v>
      </c>
      <c r="K30" s="17">
        <v>0</v>
      </c>
      <c r="L30" s="17">
        <v>0</v>
      </c>
      <c r="M30" s="43"/>
      <c r="N30" s="80">
        <v>25</v>
      </c>
      <c r="O30" s="11">
        <f t="shared" si="0"/>
        <v>26</v>
      </c>
      <c r="P30" s="34"/>
      <c r="Q30" s="11">
        <f t="shared" si="1"/>
        <v>13</v>
      </c>
      <c r="R30" s="11">
        <f t="shared" si="2"/>
        <v>0</v>
      </c>
      <c r="S30" s="34"/>
      <c r="T30" s="11">
        <f t="shared" si="3"/>
        <v>32</v>
      </c>
      <c r="U30" s="35"/>
    </row>
    <row r="31" spans="1:21" x14ac:dyDescent="0.2">
      <c r="A31" s="80">
        <v>26</v>
      </c>
      <c r="B31" s="41">
        <v>1460</v>
      </c>
      <c r="C31" s="15"/>
      <c r="D31" s="40">
        <v>24714</v>
      </c>
      <c r="E31" s="42">
        <v>2652</v>
      </c>
      <c r="F31" s="15"/>
      <c r="G31" s="41">
        <v>230349</v>
      </c>
      <c r="H31" s="45" t="e">
        <f>#REF!-#REF!</f>
        <v>#REF!</v>
      </c>
      <c r="I31" s="16"/>
      <c r="J31" s="17">
        <v>0</v>
      </c>
      <c r="K31" s="17">
        <v>0</v>
      </c>
      <c r="L31" s="17">
        <v>0</v>
      </c>
      <c r="M31" s="43"/>
      <c r="N31" s="80">
        <v>26</v>
      </c>
      <c r="O31" s="11">
        <f t="shared" si="0"/>
        <v>26</v>
      </c>
      <c r="P31" s="34"/>
      <c r="Q31" s="11">
        <f t="shared" si="1"/>
        <v>7</v>
      </c>
      <c r="R31" s="11">
        <f t="shared" si="2"/>
        <v>8</v>
      </c>
      <c r="S31" s="34"/>
      <c r="T31" s="11">
        <f t="shared" si="3"/>
        <v>34</v>
      </c>
      <c r="U31" s="35"/>
    </row>
    <row r="32" spans="1:21" x14ac:dyDescent="0.2">
      <c r="A32" s="80">
        <v>27</v>
      </c>
      <c r="B32" s="41">
        <v>1495</v>
      </c>
      <c r="C32" s="15"/>
      <c r="D32" s="40">
        <v>24729</v>
      </c>
      <c r="E32" s="42">
        <v>2656</v>
      </c>
      <c r="F32" s="15"/>
      <c r="G32" s="41">
        <v>230380</v>
      </c>
      <c r="H32" s="45" t="e">
        <f>#REF!-#REF!</f>
        <v>#REF!</v>
      </c>
      <c r="I32" s="16"/>
      <c r="J32" s="17">
        <v>0</v>
      </c>
      <c r="K32" s="17">
        <v>0</v>
      </c>
      <c r="L32" s="17">
        <v>0</v>
      </c>
      <c r="M32" s="43"/>
      <c r="N32" s="80">
        <v>27</v>
      </c>
      <c r="O32" s="11">
        <f t="shared" si="0"/>
        <v>35</v>
      </c>
      <c r="P32" s="34"/>
      <c r="Q32" s="11">
        <f t="shared" si="1"/>
        <v>15</v>
      </c>
      <c r="R32" s="11">
        <f t="shared" si="2"/>
        <v>4</v>
      </c>
      <c r="S32" s="34"/>
      <c r="T32" s="11">
        <f t="shared" si="3"/>
        <v>31</v>
      </c>
      <c r="U32" s="35"/>
    </row>
    <row r="33" spans="1:21" x14ac:dyDescent="0.2">
      <c r="A33" s="80">
        <v>28</v>
      </c>
      <c r="B33" s="41">
        <v>1523</v>
      </c>
      <c r="C33" s="15"/>
      <c r="D33" s="40">
        <v>24742</v>
      </c>
      <c r="E33" s="42">
        <v>2650</v>
      </c>
      <c r="F33" s="15"/>
      <c r="G33" s="41">
        <v>230414</v>
      </c>
      <c r="H33" s="45" t="e">
        <f>#REF!-#REF!</f>
        <v>#REF!</v>
      </c>
      <c r="I33" s="16"/>
      <c r="J33" s="17">
        <v>0</v>
      </c>
      <c r="K33" s="17">
        <v>0</v>
      </c>
      <c r="L33" s="17">
        <v>0</v>
      </c>
      <c r="M33" s="43"/>
      <c r="N33" s="80">
        <v>28</v>
      </c>
      <c r="O33" s="11">
        <f t="shared" si="0"/>
        <v>28</v>
      </c>
      <c r="P33" s="34"/>
      <c r="Q33" s="11">
        <f t="shared" si="1"/>
        <v>13</v>
      </c>
      <c r="R33" s="11">
        <f t="shared" si="2"/>
        <v>-6</v>
      </c>
      <c r="S33" s="34"/>
      <c r="T33" s="11">
        <f t="shared" si="3"/>
        <v>34</v>
      </c>
      <c r="U33" s="35"/>
    </row>
    <row r="34" spans="1:21" x14ac:dyDescent="0.2">
      <c r="A34" s="80">
        <v>29</v>
      </c>
      <c r="B34" s="41">
        <v>1544</v>
      </c>
      <c r="C34" s="15"/>
      <c r="D34" s="40">
        <v>24746</v>
      </c>
      <c r="E34" s="42">
        <v>2650</v>
      </c>
      <c r="F34" s="15"/>
      <c r="G34" s="41">
        <v>230480</v>
      </c>
      <c r="H34" s="45" t="e">
        <f>#REF!-#REF!</f>
        <v>#REF!</v>
      </c>
      <c r="I34" s="16"/>
      <c r="J34" s="17">
        <v>0</v>
      </c>
      <c r="K34" s="17">
        <v>0</v>
      </c>
      <c r="L34" s="17">
        <v>0</v>
      </c>
      <c r="M34" s="43"/>
      <c r="N34" s="80">
        <v>29</v>
      </c>
      <c r="O34" s="11">
        <f t="shared" si="0"/>
        <v>21</v>
      </c>
      <c r="P34" s="34"/>
      <c r="Q34" s="11">
        <f t="shared" si="1"/>
        <v>4</v>
      </c>
      <c r="R34" s="11">
        <f t="shared" si="2"/>
        <v>0</v>
      </c>
      <c r="S34" s="34"/>
      <c r="T34" s="11">
        <f t="shared" si="3"/>
        <v>66</v>
      </c>
      <c r="U34" s="35"/>
    </row>
    <row r="35" spans="1:21" x14ac:dyDescent="0.2">
      <c r="A35" s="80">
        <v>30</v>
      </c>
      <c r="B35" s="41">
        <v>1570</v>
      </c>
      <c r="C35" s="15"/>
      <c r="D35" s="40">
        <v>24753</v>
      </c>
      <c r="E35" s="42">
        <v>2652</v>
      </c>
      <c r="F35" s="15"/>
      <c r="G35" s="41">
        <v>230539</v>
      </c>
      <c r="H35" s="45" t="e">
        <f>#REF!-#REF!</f>
        <v>#REF!</v>
      </c>
      <c r="I35" s="16"/>
      <c r="J35" s="17">
        <v>0</v>
      </c>
      <c r="K35" s="17">
        <v>0</v>
      </c>
      <c r="L35" s="17">
        <v>0</v>
      </c>
      <c r="M35" s="43"/>
      <c r="N35" s="80">
        <v>30</v>
      </c>
      <c r="O35" s="11">
        <f t="shared" si="0"/>
        <v>26</v>
      </c>
      <c r="P35" s="34"/>
      <c r="Q35" s="11">
        <f t="shared" si="1"/>
        <v>7</v>
      </c>
      <c r="R35" s="11">
        <f t="shared" si="2"/>
        <v>2</v>
      </c>
      <c r="S35" s="34"/>
      <c r="T35" s="11">
        <f t="shared" si="3"/>
        <v>59</v>
      </c>
      <c r="U35" s="35"/>
    </row>
    <row r="36" spans="1:21" x14ac:dyDescent="0.2">
      <c r="A36" s="80">
        <v>31</v>
      </c>
      <c r="B36" s="41">
        <v>1597</v>
      </c>
      <c r="C36" s="15"/>
      <c r="D36" s="40">
        <v>24763</v>
      </c>
      <c r="E36" s="42">
        <v>2654</v>
      </c>
      <c r="F36" s="15"/>
      <c r="G36" s="41">
        <v>230589</v>
      </c>
      <c r="H36" s="45" t="e">
        <f>#REF!-#REF!</f>
        <v>#REF!</v>
      </c>
      <c r="I36" s="16"/>
      <c r="J36" s="17">
        <v>0</v>
      </c>
      <c r="K36" s="17">
        <v>0</v>
      </c>
      <c r="L36" s="17">
        <v>0</v>
      </c>
      <c r="M36" s="43"/>
      <c r="N36" s="80">
        <v>31</v>
      </c>
      <c r="O36" s="11">
        <f t="shared" si="0"/>
        <v>27</v>
      </c>
      <c r="P36" s="34"/>
      <c r="Q36" s="11">
        <f t="shared" si="1"/>
        <v>10</v>
      </c>
      <c r="R36" s="11">
        <f t="shared" si="2"/>
        <v>2</v>
      </c>
      <c r="S36" s="34"/>
      <c r="T36" s="11">
        <f t="shared" si="3"/>
        <v>50</v>
      </c>
      <c r="U36" s="36"/>
    </row>
    <row r="37" spans="1:21" x14ac:dyDescent="0.2">
      <c r="B37" s="20" t="s">
        <v>32</v>
      </c>
      <c r="D37" s="19" t="s">
        <v>32</v>
      </c>
      <c r="E37" s="21" t="s">
        <v>33</v>
      </c>
      <c r="G37" s="20" t="s">
        <v>31</v>
      </c>
    </row>
    <row r="39" spans="1:21" x14ac:dyDescent="0.2">
      <c r="A39" s="80" t="s">
        <v>34</v>
      </c>
      <c r="B39" s="10">
        <f t="shared" ref="B39" si="4">LARGE(B5:B36, 1)</f>
        <v>1597</v>
      </c>
      <c r="C39" s="23"/>
      <c r="D39" s="10">
        <f>LARGE(D5:D36, 1)</f>
        <v>24763</v>
      </c>
      <c r="E39" s="24">
        <f>LARGE(E5:E36, 1)</f>
        <v>2656</v>
      </c>
      <c r="F39" s="8"/>
      <c r="G39" s="22">
        <f>LARGE(G5:G36, 1)</f>
        <v>230589</v>
      </c>
      <c r="H39" s="19"/>
      <c r="I39" s="9"/>
      <c r="J39" s="11">
        <f>LARGE(J5:J36, 1)</f>
        <v>0</v>
      </c>
      <c r="K39" s="11">
        <f>LARGE(K5:K36, 1)</f>
        <v>0</v>
      </c>
      <c r="L39" s="11">
        <f>LARGE(L5:L36, 1)</f>
        <v>0</v>
      </c>
      <c r="N39" s="80" t="s">
        <v>35</v>
      </c>
      <c r="O39" s="55">
        <f t="shared" ref="O39" si="5">AVERAGEIF($M$6:$M$36, "x",O6:O36)</f>
        <v>552</v>
      </c>
      <c r="P39" s="56"/>
      <c r="Q39" s="55">
        <f>AVERAGEIF($M$6:$M$36, "x",Q6:Q36)</f>
        <v>24283</v>
      </c>
      <c r="R39" s="55">
        <f>AVERAGEIF($M$6:$M$36, "x",R6:R36)</f>
        <v>2583</v>
      </c>
      <c r="S39" s="56"/>
      <c r="T39" s="55">
        <f>AVERAGEIF($M$6:$M$36, "x",T6:T36)</f>
        <v>229598</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f>B39-B5</f>
        <v>1597</v>
      </c>
      <c r="D42" s="26">
        <f t="shared" ref="D42:L42" si="6">D39-D5</f>
        <v>24763</v>
      </c>
      <c r="E42" s="26">
        <f t="shared" si="6"/>
        <v>2656</v>
      </c>
      <c r="G42" s="26">
        <f t="shared" si="6"/>
        <v>230589</v>
      </c>
      <c r="H42" s="26"/>
      <c r="J42" s="26">
        <f t="shared" si="6"/>
        <v>0</v>
      </c>
      <c r="K42" s="26">
        <f t="shared" si="6"/>
        <v>0</v>
      </c>
      <c r="L42" s="26">
        <f t="shared" si="6"/>
        <v>0</v>
      </c>
      <c r="N42" s="96"/>
      <c r="O42" s="53">
        <f>Sep!O39</f>
        <v>54</v>
      </c>
      <c r="P42" s="57"/>
      <c r="Q42" s="53">
        <f>Sep!Q39</f>
        <v>32</v>
      </c>
      <c r="R42" s="53">
        <f>Sep!R39</f>
        <v>10</v>
      </c>
      <c r="S42" s="57"/>
      <c r="T42" s="53">
        <f>Sep!T39</f>
        <v>17</v>
      </c>
    </row>
    <row r="43" spans="1:21" x14ac:dyDescent="0.2">
      <c r="N43" s="80">
        <v>1.5</v>
      </c>
      <c r="O43" s="54">
        <f>O42*$N$43</f>
        <v>81</v>
      </c>
      <c r="P43" s="56"/>
      <c r="Q43" s="54">
        <f t="shared" ref="Q43:R43" si="7">Q42*$N$43</f>
        <v>48</v>
      </c>
      <c r="R43" s="54">
        <f t="shared" si="7"/>
        <v>15</v>
      </c>
      <c r="S43" s="56"/>
      <c r="T43" s="54">
        <f t="shared" ref="T43" si="8">T42*$N$43</f>
        <v>25.5</v>
      </c>
    </row>
    <row r="44" spans="1:21" x14ac:dyDescent="0.2">
      <c r="H44" s="31" t="s">
        <v>35</v>
      </c>
      <c r="N44" s="80">
        <v>0.5</v>
      </c>
      <c r="O44" s="54">
        <f>O42*$N$44</f>
        <v>27</v>
      </c>
      <c r="P44" s="56"/>
      <c r="Q44" s="54">
        <f t="shared" ref="Q44:R44" si="9">Q42*$N$44</f>
        <v>16</v>
      </c>
      <c r="R44" s="54">
        <f t="shared" si="9"/>
        <v>5</v>
      </c>
      <c r="S44" s="56"/>
      <c r="T44" s="54">
        <f t="shared" ref="T44" si="10">T42*$N$44</f>
        <v>8.5</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437" priority="143" operator="lessThan">
      <formula>0</formula>
    </cfRule>
  </conditionalFormatting>
  <conditionalFormatting sqref="O43:O44 Q43:R44 T43:T44">
    <cfRule type="cellIs" dxfId="436" priority="142" operator="lessThan">
      <formula>0</formula>
    </cfRule>
  </conditionalFormatting>
  <conditionalFormatting sqref="O39">
    <cfRule type="cellIs" dxfId="435" priority="50" operator="lessThan">
      <formula>$O$44</formula>
    </cfRule>
    <cfRule type="cellIs" dxfId="434" priority="51" operator="greaterThan">
      <formula>$O$43</formula>
    </cfRule>
  </conditionalFormatting>
  <conditionalFormatting sqref="Q39">
    <cfRule type="cellIs" dxfId="433" priority="42" operator="lessThan">
      <formula>$Q$44</formula>
    </cfRule>
    <cfRule type="cellIs" dxfId="432" priority="43" operator="greaterThan">
      <formula>$Q$43</formula>
    </cfRule>
  </conditionalFormatting>
  <conditionalFormatting sqref="R39">
    <cfRule type="cellIs" dxfId="431" priority="40" operator="lessThan">
      <formula>$R$44</formula>
    </cfRule>
    <cfRule type="cellIs" dxfId="430" priority="41" operator="greaterThan">
      <formula>$R$43</formula>
    </cfRule>
  </conditionalFormatting>
  <conditionalFormatting sqref="T39">
    <cfRule type="cellIs" dxfId="429" priority="34" operator="lessThan">
      <formula>$T$44</formula>
    </cfRule>
    <cfRule type="cellIs" dxfId="428" priority="35" operator="greaterThan">
      <formula>$T$43</formula>
    </cfRule>
  </conditionalFormatting>
  <conditionalFormatting sqref="O6:T36">
    <cfRule type="cellIs" dxfId="427" priority="2" stopIfTrue="1" operator="equal">
      <formula>0</formula>
    </cfRule>
    <cfRule type="cellIs" dxfId="426" priority="3" stopIfTrue="1" operator="lessThan">
      <formula>0</formula>
    </cfRule>
  </conditionalFormatting>
  <conditionalFormatting sqref="O6:O36">
    <cfRule type="cellIs" dxfId="425" priority="25" operator="notBetween">
      <formula>$O$44</formula>
      <formula>$O$43</formula>
    </cfRule>
  </conditionalFormatting>
  <conditionalFormatting sqref="Q6:Q36">
    <cfRule type="cellIs" dxfId="424" priority="18" operator="notBetween">
      <formula>$Q$44</formula>
      <formula>$Q$43</formula>
    </cfRule>
  </conditionalFormatting>
  <conditionalFormatting sqref="R6:R36">
    <cfRule type="cellIs" dxfId="423" priority="19" operator="notBetween">
      <formula>$R$44</formula>
      <formula>$R$43</formula>
    </cfRule>
  </conditionalFormatting>
  <conditionalFormatting sqref="T6:T36">
    <cfRule type="cellIs" dxfId="422" priority="22" operator="notBetween">
      <formula>$T$44</formula>
      <formula>$T$43</formula>
    </cfRule>
  </conditionalFormatting>
  <conditionalFormatting sqref="R6:R39">
    <cfRule type="cellIs" dxfId="421" priority="13" stopIfTrue="1" operator="greaterThan">
      <formula>$R$43*2</formula>
    </cfRule>
  </conditionalFormatting>
  <conditionalFormatting sqref="O6:O39">
    <cfRule type="cellIs" dxfId="420" priority="15" stopIfTrue="1" operator="greaterThan">
      <formula>$O$43*2</formula>
    </cfRule>
  </conditionalFormatting>
  <conditionalFormatting sqref="Q6:Q39">
    <cfRule type="cellIs" dxfId="419" priority="6" stopIfTrue="1" operator="greaterThan">
      <formula>$Q$43*2</formula>
    </cfRule>
  </conditionalFormatting>
  <conditionalFormatting sqref="T6:T39">
    <cfRule type="cellIs" dxfId="41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&amp;COctober Meter Reading</oddHeader>
    <oddFoote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1"/>
  <sheetViews>
    <sheetView zoomScaleNormal="100" workbookViewId="0">
      <pane ySplit="3" topLeftCell="A19" activePane="bottomLeft" state="frozen"/>
      <selection pane="bottomLeft" activeCell="G37" sqref="G37"/>
    </sheetView>
  </sheetViews>
  <sheetFormatPr defaultColWidth="9.28515625" defaultRowHeight="12.75" x14ac:dyDescent="0.2"/>
  <cols>
    <col min="1" max="1" width="3" style="12" customWidth="1"/>
    <col min="2" max="2" width="16.5703125" customWidth="1"/>
    <col min="3" max="3" width="0.85546875" customWidth="1"/>
    <col min="4" max="4" width="8.5703125" bestFit="1" customWidth="1"/>
    <col min="5" max="5" width="10.5703125" customWidth="1"/>
    <col min="6" max="6" width="0.85546875" customWidth="1"/>
    <col min="7" max="7" width="14.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6.7109375" customWidth="1"/>
    <col min="16" max="16" width="0.85546875" customWidth="1"/>
    <col min="17" max="18" width="9.42578125" bestFit="1" customWidth="1"/>
    <col min="19" max="19" width="0.85546875" customWidth="1"/>
    <col min="20" max="20" width="15.7109375" customWidth="1"/>
    <col min="21" max="21" width="0.85546875" customWidth="1"/>
  </cols>
  <sheetData>
    <row r="1" spans="1:21" x14ac:dyDescent="0.2">
      <c r="A1" s="93"/>
      <c r="B1" s="77" t="s">
        <v>4</v>
      </c>
      <c r="C1" s="1"/>
      <c r="D1" s="86" t="s">
        <v>1</v>
      </c>
      <c r="E1" s="86"/>
      <c r="F1" s="1"/>
      <c r="G1" s="77" t="s">
        <v>5</v>
      </c>
      <c r="H1" s="78"/>
      <c r="I1" s="1"/>
      <c r="J1" s="84" t="s">
        <v>3</v>
      </c>
      <c r="K1" s="84"/>
      <c r="L1" s="84"/>
      <c r="N1" s="93"/>
      <c r="O1" s="77" t="s">
        <v>4</v>
      </c>
      <c r="P1" s="1"/>
      <c r="Q1" s="86" t="s">
        <v>1</v>
      </c>
      <c r="R1" s="86"/>
      <c r="S1" s="1"/>
      <c r="T1" s="77" t="s">
        <v>5</v>
      </c>
    </row>
    <row r="2" spans="1:21" x14ac:dyDescent="0.2">
      <c r="A2" s="94"/>
      <c r="B2" s="76" t="s">
        <v>11</v>
      </c>
      <c r="C2" s="2"/>
      <c r="D2" s="84" t="s">
        <v>7</v>
      </c>
      <c r="E2" s="84"/>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f>Nov!B39</f>
        <v>2542</v>
      </c>
      <c r="C5" s="15"/>
      <c r="D5" s="26">
        <f>Nov!D39</f>
        <v>25163</v>
      </c>
      <c r="E5" s="26">
        <f>Nov!E39</f>
        <v>2734</v>
      </c>
      <c r="F5" s="15"/>
      <c r="G5" s="26">
        <f>Nov!G39</f>
        <v>231711</v>
      </c>
      <c r="H5" s="11"/>
      <c r="I5" s="15"/>
      <c r="J5" s="26">
        <f>Nov!J39</f>
        <v>0</v>
      </c>
      <c r="K5" s="26">
        <f>Nov!K39</f>
        <v>0</v>
      </c>
      <c r="L5" s="26">
        <f>Nov!L39</f>
        <v>0</v>
      </c>
      <c r="N5"/>
    </row>
    <row r="6" spans="1:21" x14ac:dyDescent="0.2">
      <c r="A6" s="7">
        <v>1</v>
      </c>
      <c r="B6" s="41">
        <v>2565</v>
      </c>
      <c r="C6" s="15"/>
      <c r="D6" s="40">
        <v>25170</v>
      </c>
      <c r="E6" s="42">
        <v>2734</v>
      </c>
      <c r="F6" s="15"/>
      <c r="G6" s="41">
        <v>231800</v>
      </c>
      <c r="H6" s="45" t="e">
        <f>#REF!-#REF!</f>
        <v>#REF!</v>
      </c>
      <c r="I6" s="16"/>
      <c r="J6" s="17">
        <v>0</v>
      </c>
      <c r="K6" s="17">
        <v>0</v>
      </c>
      <c r="L6" s="17">
        <v>0</v>
      </c>
      <c r="M6" s="43" t="s">
        <v>30</v>
      </c>
      <c r="N6" s="80">
        <v>1</v>
      </c>
      <c r="O6" s="11">
        <f t="shared" ref="O6:O36" si="0">B6-B5</f>
        <v>23</v>
      </c>
      <c r="P6" s="34"/>
      <c r="Q6" s="11">
        <f t="shared" ref="Q6:Q36" si="1">D6-D5</f>
        <v>7</v>
      </c>
      <c r="R6" s="11">
        <f t="shared" ref="R6:R36" si="2">E6-E5</f>
        <v>0</v>
      </c>
      <c r="S6" s="34"/>
      <c r="T6" s="11">
        <f t="shared" ref="T6:T36" si="3">G6-G5</f>
        <v>89</v>
      </c>
      <c r="U6" s="34"/>
    </row>
    <row r="7" spans="1:21" x14ac:dyDescent="0.2">
      <c r="A7" s="80">
        <v>2</v>
      </c>
      <c r="B7" s="41">
        <v>2589</v>
      </c>
      <c r="C7" s="15"/>
      <c r="D7" s="40">
        <v>25175</v>
      </c>
      <c r="E7" s="42">
        <v>2734</v>
      </c>
      <c r="F7" s="15"/>
      <c r="G7" s="41">
        <v>231866</v>
      </c>
      <c r="H7" s="45" t="e">
        <f>#REF!-#REF!</f>
        <v>#REF!</v>
      </c>
      <c r="I7" s="16"/>
      <c r="J7" s="17">
        <v>0</v>
      </c>
      <c r="K7" s="17">
        <v>0</v>
      </c>
      <c r="L7" s="17">
        <v>0</v>
      </c>
      <c r="M7" s="43"/>
      <c r="N7" s="80">
        <v>2</v>
      </c>
      <c r="O7" s="11">
        <f t="shared" si="0"/>
        <v>24</v>
      </c>
      <c r="P7" s="34"/>
      <c r="Q7" s="11">
        <f t="shared" si="1"/>
        <v>5</v>
      </c>
      <c r="R7" s="11">
        <f t="shared" si="2"/>
        <v>0</v>
      </c>
      <c r="S7" s="34"/>
      <c r="T7" s="11">
        <f t="shared" si="3"/>
        <v>66</v>
      </c>
      <c r="U7" s="35"/>
    </row>
    <row r="8" spans="1:21" x14ac:dyDescent="0.2">
      <c r="A8" s="80">
        <v>3</v>
      </c>
      <c r="B8" s="41">
        <v>2615</v>
      </c>
      <c r="C8" s="15"/>
      <c r="D8" s="40">
        <v>25182</v>
      </c>
      <c r="E8" s="42">
        <v>2736</v>
      </c>
      <c r="F8" s="15"/>
      <c r="G8" s="41">
        <v>231927</v>
      </c>
      <c r="H8" s="45" t="e">
        <f>#REF!-#REF!</f>
        <v>#REF!</v>
      </c>
      <c r="I8" s="16"/>
      <c r="J8" s="17">
        <v>0</v>
      </c>
      <c r="K8" s="17">
        <v>0</v>
      </c>
      <c r="L8" s="17">
        <v>0</v>
      </c>
      <c r="M8" s="43"/>
      <c r="N8" s="80">
        <v>3</v>
      </c>
      <c r="O8" s="11">
        <f t="shared" si="0"/>
        <v>26</v>
      </c>
      <c r="P8" s="34"/>
      <c r="Q8" s="11">
        <f t="shared" si="1"/>
        <v>7</v>
      </c>
      <c r="R8" s="11">
        <f t="shared" si="2"/>
        <v>2</v>
      </c>
      <c r="S8" s="34"/>
      <c r="T8" s="11">
        <f t="shared" si="3"/>
        <v>61</v>
      </c>
      <c r="U8" s="35"/>
    </row>
    <row r="9" spans="1:21" x14ac:dyDescent="0.2">
      <c r="A9" s="80">
        <v>4</v>
      </c>
      <c r="B9" s="41">
        <v>2638</v>
      </c>
      <c r="C9" s="15"/>
      <c r="D9" s="40">
        <v>25187</v>
      </c>
      <c r="E9" s="42">
        <v>2736</v>
      </c>
      <c r="F9" s="15"/>
      <c r="G9" s="41">
        <v>232008</v>
      </c>
      <c r="H9" s="45" t="e">
        <f>#REF!-#REF!</f>
        <v>#REF!</v>
      </c>
      <c r="I9" s="16"/>
      <c r="J9" s="17">
        <v>0</v>
      </c>
      <c r="K9" s="17">
        <v>0</v>
      </c>
      <c r="L9" s="17">
        <v>0</v>
      </c>
      <c r="M9" s="43"/>
      <c r="N9" s="80">
        <v>4</v>
      </c>
      <c r="O9" s="11">
        <f t="shared" si="0"/>
        <v>23</v>
      </c>
      <c r="P9" s="34"/>
      <c r="Q9" s="11">
        <f t="shared" si="1"/>
        <v>5</v>
      </c>
      <c r="R9" s="11">
        <f t="shared" si="2"/>
        <v>0</v>
      </c>
      <c r="S9" s="34"/>
      <c r="T9" s="11">
        <f t="shared" si="3"/>
        <v>81</v>
      </c>
      <c r="U9" s="35"/>
    </row>
    <row r="10" spans="1:21" x14ac:dyDescent="0.2">
      <c r="A10" s="80">
        <v>5</v>
      </c>
      <c r="B10" s="41">
        <v>2668</v>
      </c>
      <c r="C10" s="15"/>
      <c r="D10" s="40">
        <v>25192</v>
      </c>
      <c r="E10" s="42">
        <v>2738</v>
      </c>
      <c r="F10" s="15"/>
      <c r="G10" s="41">
        <v>232082</v>
      </c>
      <c r="H10" s="45" t="e">
        <f>#REF!-#REF!</f>
        <v>#REF!</v>
      </c>
      <c r="I10" s="16"/>
      <c r="J10" s="17">
        <v>0</v>
      </c>
      <c r="K10" s="17">
        <v>0</v>
      </c>
      <c r="L10" s="17">
        <v>0</v>
      </c>
      <c r="M10" s="43"/>
      <c r="N10" s="80">
        <v>5</v>
      </c>
      <c r="O10" s="11">
        <f t="shared" si="0"/>
        <v>30</v>
      </c>
      <c r="P10" s="34"/>
      <c r="Q10" s="11">
        <f t="shared" si="1"/>
        <v>5</v>
      </c>
      <c r="R10" s="11">
        <f t="shared" si="2"/>
        <v>2</v>
      </c>
      <c r="S10" s="34"/>
      <c r="T10" s="11">
        <f t="shared" si="3"/>
        <v>74</v>
      </c>
      <c r="U10" s="35"/>
    </row>
    <row r="11" spans="1:21" x14ac:dyDescent="0.2">
      <c r="A11" s="80">
        <v>6</v>
      </c>
      <c r="B11" s="41">
        <v>2697</v>
      </c>
      <c r="C11" s="15"/>
      <c r="D11" s="40">
        <v>25202</v>
      </c>
      <c r="E11" s="42">
        <v>2741</v>
      </c>
      <c r="F11" s="15"/>
      <c r="G11" s="41">
        <v>232159</v>
      </c>
      <c r="H11" s="45" t="e">
        <f>#REF!-#REF!</f>
        <v>#REF!</v>
      </c>
      <c r="I11" s="16"/>
      <c r="J11" s="17">
        <v>0</v>
      </c>
      <c r="K11" s="17">
        <v>0</v>
      </c>
      <c r="L11" s="17">
        <v>0</v>
      </c>
      <c r="M11" s="43"/>
      <c r="N11" s="80">
        <v>6</v>
      </c>
      <c r="O11" s="11">
        <f t="shared" si="0"/>
        <v>29</v>
      </c>
      <c r="P11" s="34"/>
      <c r="Q11" s="11">
        <f t="shared" si="1"/>
        <v>10</v>
      </c>
      <c r="R11" s="11">
        <f t="shared" si="2"/>
        <v>3</v>
      </c>
      <c r="S11" s="34"/>
      <c r="T11" s="11">
        <f t="shared" si="3"/>
        <v>77</v>
      </c>
      <c r="U11" s="35"/>
    </row>
    <row r="12" spans="1:21" x14ac:dyDescent="0.2">
      <c r="A12" s="80">
        <v>7</v>
      </c>
      <c r="B12" s="41">
        <v>2723</v>
      </c>
      <c r="C12" s="15"/>
      <c r="D12" s="40">
        <v>25208</v>
      </c>
      <c r="E12" s="42">
        <v>2743</v>
      </c>
      <c r="F12" s="15"/>
      <c r="G12" s="41">
        <v>232230</v>
      </c>
      <c r="H12" s="45" t="e">
        <f>#REF!-#REF!</f>
        <v>#REF!</v>
      </c>
      <c r="I12" s="16"/>
      <c r="J12" s="17">
        <v>0</v>
      </c>
      <c r="K12" s="17">
        <v>0</v>
      </c>
      <c r="L12" s="17">
        <v>0</v>
      </c>
      <c r="M12" s="43"/>
      <c r="N12" s="80">
        <v>7</v>
      </c>
      <c r="O12" s="11">
        <f t="shared" si="0"/>
        <v>26</v>
      </c>
      <c r="P12" s="34"/>
      <c r="Q12" s="11">
        <f t="shared" si="1"/>
        <v>6</v>
      </c>
      <c r="R12" s="11">
        <f t="shared" si="2"/>
        <v>2</v>
      </c>
      <c r="S12" s="34"/>
      <c r="T12" s="11">
        <f t="shared" si="3"/>
        <v>71</v>
      </c>
      <c r="U12" s="35"/>
    </row>
    <row r="13" spans="1:21" x14ac:dyDescent="0.2">
      <c r="A13" s="80">
        <v>8</v>
      </c>
      <c r="B13" s="41">
        <v>2755</v>
      </c>
      <c r="C13" s="15"/>
      <c r="D13" s="40">
        <v>25217</v>
      </c>
      <c r="E13" s="42">
        <v>2744</v>
      </c>
      <c r="F13" s="15"/>
      <c r="G13" s="41">
        <v>232290</v>
      </c>
      <c r="H13" s="45" t="e">
        <f>#REF!-#REF!</f>
        <v>#REF!</v>
      </c>
      <c r="I13" s="16"/>
      <c r="J13" s="17">
        <v>0</v>
      </c>
      <c r="K13" s="17">
        <v>0</v>
      </c>
      <c r="L13" s="17">
        <v>0</v>
      </c>
      <c r="M13" s="43"/>
      <c r="N13" s="80">
        <v>8</v>
      </c>
      <c r="O13" s="11">
        <f t="shared" si="0"/>
        <v>32</v>
      </c>
      <c r="P13" s="34"/>
      <c r="Q13" s="11">
        <f t="shared" si="1"/>
        <v>9</v>
      </c>
      <c r="R13" s="11">
        <f t="shared" si="2"/>
        <v>1</v>
      </c>
      <c r="S13" s="34"/>
      <c r="T13" s="11">
        <f t="shared" si="3"/>
        <v>60</v>
      </c>
      <c r="U13" s="35"/>
    </row>
    <row r="14" spans="1:21" x14ac:dyDescent="0.2">
      <c r="A14" s="80">
        <v>9</v>
      </c>
      <c r="B14" s="41">
        <v>2786</v>
      </c>
      <c r="C14" s="15"/>
      <c r="D14" s="40">
        <v>25228</v>
      </c>
      <c r="E14" s="42">
        <v>2748</v>
      </c>
      <c r="F14" s="15"/>
      <c r="G14" s="41">
        <v>232340</v>
      </c>
      <c r="H14" s="45" t="e">
        <f>#REF!-#REF!</f>
        <v>#REF!</v>
      </c>
      <c r="I14" s="16"/>
      <c r="J14" s="17">
        <v>0</v>
      </c>
      <c r="K14" s="17">
        <v>0</v>
      </c>
      <c r="L14" s="17">
        <v>0</v>
      </c>
      <c r="M14" s="43"/>
      <c r="N14" s="80">
        <v>9</v>
      </c>
      <c r="O14" s="11">
        <f t="shared" si="0"/>
        <v>31</v>
      </c>
      <c r="P14" s="34"/>
      <c r="Q14" s="11">
        <f t="shared" si="1"/>
        <v>11</v>
      </c>
      <c r="R14" s="11">
        <f t="shared" si="2"/>
        <v>4</v>
      </c>
      <c r="S14" s="34"/>
      <c r="T14" s="11">
        <f t="shared" si="3"/>
        <v>50</v>
      </c>
      <c r="U14" s="35"/>
    </row>
    <row r="15" spans="1:21" x14ac:dyDescent="0.2">
      <c r="A15" s="80">
        <v>10</v>
      </c>
      <c r="B15" s="41">
        <v>2815</v>
      </c>
      <c r="C15" s="15"/>
      <c r="D15" s="40">
        <v>25237</v>
      </c>
      <c r="E15" s="42">
        <v>2749</v>
      </c>
      <c r="F15" s="15"/>
      <c r="G15" s="41">
        <v>232386</v>
      </c>
      <c r="H15" s="45" t="e">
        <f>#REF!-#REF!</f>
        <v>#REF!</v>
      </c>
      <c r="I15" s="16"/>
      <c r="J15" s="17">
        <v>0</v>
      </c>
      <c r="K15" s="17">
        <v>0</v>
      </c>
      <c r="L15" s="17">
        <v>0</v>
      </c>
      <c r="M15" s="43"/>
      <c r="N15" s="80">
        <v>10</v>
      </c>
      <c r="O15" s="11">
        <f t="shared" si="0"/>
        <v>29</v>
      </c>
      <c r="P15" s="34"/>
      <c r="Q15" s="11">
        <f t="shared" si="1"/>
        <v>9</v>
      </c>
      <c r="R15" s="11">
        <f t="shared" si="2"/>
        <v>1</v>
      </c>
      <c r="S15" s="34"/>
      <c r="T15" s="11">
        <f t="shared" si="3"/>
        <v>46</v>
      </c>
      <c r="U15" s="35"/>
    </row>
    <row r="16" spans="1:21" x14ac:dyDescent="0.2">
      <c r="A16" s="80">
        <v>11</v>
      </c>
      <c r="B16" s="41">
        <v>2843</v>
      </c>
      <c r="C16" s="15"/>
      <c r="D16" s="40">
        <v>25247</v>
      </c>
      <c r="E16" s="42">
        <v>2752</v>
      </c>
      <c r="F16" s="15"/>
      <c r="G16" s="41">
        <v>232428</v>
      </c>
      <c r="H16" s="45" t="e">
        <f>#REF!-#REF!</f>
        <v>#REF!</v>
      </c>
      <c r="I16" s="16"/>
      <c r="J16" s="17">
        <v>0</v>
      </c>
      <c r="K16" s="17">
        <v>0</v>
      </c>
      <c r="L16" s="17">
        <v>0</v>
      </c>
      <c r="M16" s="43"/>
      <c r="N16" s="80">
        <v>11</v>
      </c>
      <c r="O16" s="11">
        <f t="shared" si="0"/>
        <v>28</v>
      </c>
      <c r="P16" s="34"/>
      <c r="Q16" s="11">
        <f t="shared" si="1"/>
        <v>10</v>
      </c>
      <c r="R16" s="11">
        <f t="shared" si="2"/>
        <v>3</v>
      </c>
      <c r="S16" s="34"/>
      <c r="T16" s="11">
        <f t="shared" si="3"/>
        <v>42</v>
      </c>
      <c r="U16" s="35"/>
    </row>
    <row r="17" spans="1:21" x14ac:dyDescent="0.2">
      <c r="A17" s="80">
        <v>12</v>
      </c>
      <c r="B17" s="41">
        <v>2876</v>
      </c>
      <c r="C17" s="15"/>
      <c r="D17" s="40">
        <v>25258</v>
      </c>
      <c r="E17" s="42">
        <v>2754</v>
      </c>
      <c r="F17" s="15"/>
      <c r="G17" s="41">
        <v>232467</v>
      </c>
      <c r="H17" s="45" t="e">
        <f>#REF!-#REF!</f>
        <v>#REF!</v>
      </c>
      <c r="I17" s="16"/>
      <c r="J17" s="17">
        <v>0</v>
      </c>
      <c r="K17" s="17">
        <v>0</v>
      </c>
      <c r="L17" s="17">
        <v>0</v>
      </c>
      <c r="M17" s="43"/>
      <c r="N17" s="80">
        <v>12</v>
      </c>
      <c r="O17" s="11">
        <f t="shared" si="0"/>
        <v>33</v>
      </c>
      <c r="P17" s="34"/>
      <c r="Q17" s="11">
        <f t="shared" si="1"/>
        <v>11</v>
      </c>
      <c r="R17" s="11">
        <f t="shared" si="2"/>
        <v>2</v>
      </c>
      <c r="S17" s="34"/>
      <c r="T17" s="11">
        <f t="shared" si="3"/>
        <v>39</v>
      </c>
      <c r="U17" s="35"/>
    </row>
    <row r="18" spans="1:21" x14ac:dyDescent="0.2">
      <c r="A18" s="80">
        <v>13</v>
      </c>
      <c r="B18" s="41">
        <v>2903</v>
      </c>
      <c r="C18" s="15"/>
      <c r="D18" s="40">
        <v>25265</v>
      </c>
      <c r="E18" s="42">
        <v>2755</v>
      </c>
      <c r="F18" s="15"/>
      <c r="G18" s="41">
        <v>232509</v>
      </c>
      <c r="H18" s="45" t="e">
        <f>#REF!-#REF!</f>
        <v>#REF!</v>
      </c>
      <c r="I18" s="16"/>
      <c r="J18" s="17">
        <v>0</v>
      </c>
      <c r="K18" s="17">
        <v>0</v>
      </c>
      <c r="L18" s="17">
        <v>0</v>
      </c>
      <c r="M18" s="43"/>
      <c r="N18" s="80">
        <v>13</v>
      </c>
      <c r="O18" s="11">
        <f t="shared" si="0"/>
        <v>27</v>
      </c>
      <c r="P18" s="34"/>
      <c r="Q18" s="11">
        <f t="shared" si="1"/>
        <v>7</v>
      </c>
      <c r="R18" s="11">
        <f t="shared" si="2"/>
        <v>1</v>
      </c>
      <c r="S18" s="34"/>
      <c r="T18" s="11">
        <f t="shared" si="3"/>
        <v>42</v>
      </c>
      <c r="U18" s="35"/>
    </row>
    <row r="19" spans="1:21" x14ac:dyDescent="0.2">
      <c r="A19" s="80">
        <v>14</v>
      </c>
      <c r="B19" s="41">
        <v>2926</v>
      </c>
      <c r="C19" s="15"/>
      <c r="D19" s="40">
        <v>25272</v>
      </c>
      <c r="E19" s="42">
        <v>2756</v>
      </c>
      <c r="F19" s="15"/>
      <c r="G19" s="41">
        <v>232524</v>
      </c>
      <c r="H19" s="45" t="e">
        <f>#REF!-#REF!</f>
        <v>#REF!</v>
      </c>
      <c r="I19" s="16"/>
      <c r="J19" s="17">
        <v>0</v>
      </c>
      <c r="K19" s="17">
        <v>0</v>
      </c>
      <c r="L19" s="17">
        <v>0</v>
      </c>
      <c r="M19" s="43"/>
      <c r="N19" s="80">
        <v>14</v>
      </c>
      <c r="O19" s="11">
        <f t="shared" si="0"/>
        <v>23</v>
      </c>
      <c r="P19" s="34"/>
      <c r="Q19" s="11">
        <f t="shared" si="1"/>
        <v>7</v>
      </c>
      <c r="R19" s="11">
        <f t="shared" si="2"/>
        <v>1</v>
      </c>
      <c r="S19" s="34"/>
      <c r="T19" s="11">
        <f t="shared" si="3"/>
        <v>15</v>
      </c>
      <c r="U19" s="35"/>
    </row>
    <row r="20" spans="1:21" x14ac:dyDescent="0.2">
      <c r="A20" s="80">
        <v>15</v>
      </c>
      <c r="B20" s="41">
        <v>2955</v>
      </c>
      <c r="C20" s="15"/>
      <c r="D20" s="40">
        <v>25275</v>
      </c>
      <c r="E20" s="42">
        <v>2757</v>
      </c>
      <c r="F20" s="15"/>
      <c r="G20" s="41">
        <v>232668</v>
      </c>
      <c r="H20" s="45" t="e">
        <f>#REF!-#REF!</f>
        <v>#REF!</v>
      </c>
      <c r="I20" s="16"/>
      <c r="J20" s="17">
        <v>0</v>
      </c>
      <c r="K20" s="17">
        <v>0</v>
      </c>
      <c r="L20" s="17">
        <v>0</v>
      </c>
      <c r="M20" s="43"/>
      <c r="N20" s="80">
        <v>15</v>
      </c>
      <c r="O20" s="11">
        <f t="shared" si="0"/>
        <v>29</v>
      </c>
      <c r="P20" s="34"/>
      <c r="Q20" s="11">
        <f t="shared" si="1"/>
        <v>3</v>
      </c>
      <c r="R20" s="11">
        <f t="shared" si="2"/>
        <v>1</v>
      </c>
      <c r="S20" s="34"/>
      <c r="T20" s="11">
        <f t="shared" si="3"/>
        <v>144</v>
      </c>
      <c r="U20" s="35"/>
    </row>
    <row r="21" spans="1:21" x14ac:dyDescent="0.2">
      <c r="A21" s="80">
        <v>16</v>
      </c>
      <c r="B21" s="41">
        <v>2976</v>
      </c>
      <c r="C21" s="15"/>
      <c r="D21" s="40">
        <v>25278</v>
      </c>
      <c r="E21" s="42">
        <v>2757</v>
      </c>
      <c r="F21" s="15"/>
      <c r="G21" s="41">
        <v>232760</v>
      </c>
      <c r="H21" s="45" t="e">
        <f>#REF!-#REF!</f>
        <v>#REF!</v>
      </c>
      <c r="I21" s="16"/>
      <c r="J21" s="17">
        <v>0</v>
      </c>
      <c r="K21" s="17">
        <v>0</v>
      </c>
      <c r="L21" s="17">
        <v>0</v>
      </c>
      <c r="M21" s="43"/>
      <c r="N21" s="80">
        <v>16</v>
      </c>
      <c r="O21" s="11">
        <f t="shared" si="0"/>
        <v>21</v>
      </c>
      <c r="P21" s="34"/>
      <c r="Q21" s="11">
        <f t="shared" si="1"/>
        <v>3</v>
      </c>
      <c r="R21" s="11">
        <f t="shared" si="2"/>
        <v>0</v>
      </c>
      <c r="S21" s="34"/>
      <c r="T21" s="11">
        <f t="shared" si="3"/>
        <v>92</v>
      </c>
      <c r="U21" s="35"/>
    </row>
    <row r="22" spans="1:21" x14ac:dyDescent="0.2">
      <c r="A22" s="80">
        <v>17</v>
      </c>
      <c r="B22" s="41">
        <v>3003</v>
      </c>
      <c r="C22" s="15"/>
      <c r="D22" s="40">
        <v>25284</v>
      </c>
      <c r="E22" s="42">
        <v>2759</v>
      </c>
      <c r="F22" s="15"/>
      <c r="G22" s="41">
        <v>232858</v>
      </c>
      <c r="H22" s="45" t="e">
        <f>#REF!-#REF!</f>
        <v>#REF!</v>
      </c>
      <c r="I22" s="16"/>
      <c r="J22" s="17">
        <v>0</v>
      </c>
      <c r="K22" s="17">
        <v>0</v>
      </c>
      <c r="L22" s="17">
        <v>0</v>
      </c>
      <c r="M22" s="16"/>
      <c r="N22" s="80">
        <v>17</v>
      </c>
      <c r="O22" s="11">
        <f t="shared" si="0"/>
        <v>27</v>
      </c>
      <c r="P22" s="34"/>
      <c r="Q22" s="11">
        <f t="shared" si="1"/>
        <v>6</v>
      </c>
      <c r="R22" s="11">
        <f t="shared" si="2"/>
        <v>2</v>
      </c>
      <c r="S22" s="34"/>
      <c r="T22" s="11">
        <f t="shared" si="3"/>
        <v>98</v>
      </c>
      <c r="U22" s="35"/>
    </row>
    <row r="23" spans="1:21" x14ac:dyDescent="0.2">
      <c r="A23" s="80">
        <v>18</v>
      </c>
      <c r="B23" s="41">
        <v>3028</v>
      </c>
      <c r="C23" s="15"/>
      <c r="D23" s="40">
        <v>25289</v>
      </c>
      <c r="E23" s="42">
        <v>2760</v>
      </c>
      <c r="F23" s="15"/>
      <c r="G23" s="41">
        <v>232944</v>
      </c>
      <c r="H23" s="45" t="e">
        <f>#REF!-#REF!</f>
        <v>#REF!</v>
      </c>
      <c r="I23" s="16"/>
      <c r="J23" s="17">
        <v>0</v>
      </c>
      <c r="K23" s="17">
        <v>0</v>
      </c>
      <c r="L23" s="17">
        <v>0</v>
      </c>
      <c r="M23" s="16"/>
      <c r="N23" s="80">
        <v>18</v>
      </c>
      <c r="O23" s="11">
        <f t="shared" si="0"/>
        <v>25</v>
      </c>
      <c r="P23" s="34"/>
      <c r="Q23" s="11">
        <f t="shared" si="1"/>
        <v>5</v>
      </c>
      <c r="R23" s="11">
        <f t="shared" si="2"/>
        <v>1</v>
      </c>
      <c r="S23" s="34"/>
      <c r="T23" s="11">
        <f t="shared" si="3"/>
        <v>86</v>
      </c>
      <c r="U23" s="35"/>
    </row>
    <row r="24" spans="1:21" x14ac:dyDescent="0.2">
      <c r="A24" s="80">
        <v>19</v>
      </c>
      <c r="B24" s="41">
        <v>3055</v>
      </c>
      <c r="C24" s="15"/>
      <c r="D24" s="40">
        <v>25295</v>
      </c>
      <c r="E24" s="42">
        <v>2760</v>
      </c>
      <c r="F24" s="15"/>
      <c r="G24" s="41">
        <v>233002</v>
      </c>
      <c r="H24" s="45" t="e">
        <f>#REF!-#REF!</f>
        <v>#REF!</v>
      </c>
      <c r="I24" s="16"/>
      <c r="J24" s="17">
        <v>0</v>
      </c>
      <c r="K24" s="17">
        <v>0</v>
      </c>
      <c r="L24" s="17">
        <v>0</v>
      </c>
      <c r="M24" s="16"/>
      <c r="N24" s="80">
        <v>19</v>
      </c>
      <c r="O24" s="11">
        <f t="shared" si="0"/>
        <v>27</v>
      </c>
      <c r="P24" s="34"/>
      <c r="Q24" s="11">
        <f t="shared" si="1"/>
        <v>6</v>
      </c>
      <c r="R24" s="11">
        <f t="shared" si="2"/>
        <v>0</v>
      </c>
      <c r="S24" s="34"/>
      <c r="T24" s="11">
        <f t="shared" si="3"/>
        <v>58</v>
      </c>
      <c r="U24" s="35"/>
    </row>
    <row r="25" spans="1:21" x14ac:dyDescent="0.2">
      <c r="A25" s="80">
        <v>20</v>
      </c>
      <c r="B25" s="41">
        <v>3081</v>
      </c>
      <c r="C25" s="15"/>
      <c r="D25" s="40">
        <v>25301</v>
      </c>
      <c r="E25" s="42">
        <v>2763</v>
      </c>
      <c r="F25" s="15"/>
      <c r="G25" s="41">
        <v>233055</v>
      </c>
      <c r="H25" s="45" t="e">
        <f>#REF!-#REF!</f>
        <v>#REF!</v>
      </c>
      <c r="I25" s="16"/>
      <c r="J25" s="17">
        <v>0</v>
      </c>
      <c r="K25" s="17">
        <v>0</v>
      </c>
      <c r="L25" s="17">
        <v>0</v>
      </c>
      <c r="M25" s="16"/>
      <c r="N25" s="80">
        <v>20</v>
      </c>
      <c r="O25" s="11">
        <f t="shared" si="0"/>
        <v>26</v>
      </c>
      <c r="P25" s="34"/>
      <c r="Q25" s="11">
        <f t="shared" si="1"/>
        <v>6</v>
      </c>
      <c r="R25" s="11">
        <f t="shared" si="2"/>
        <v>3</v>
      </c>
      <c r="S25" s="34"/>
      <c r="T25" s="11">
        <f t="shared" si="3"/>
        <v>53</v>
      </c>
      <c r="U25" s="35"/>
    </row>
    <row r="26" spans="1:21" x14ac:dyDescent="0.2">
      <c r="A26" s="80">
        <v>21</v>
      </c>
      <c r="B26" s="41">
        <v>3110</v>
      </c>
      <c r="C26" s="15"/>
      <c r="D26" s="40">
        <v>25309</v>
      </c>
      <c r="E26" s="42">
        <v>2766</v>
      </c>
      <c r="F26" s="15"/>
      <c r="G26" s="41">
        <v>233115</v>
      </c>
      <c r="H26" s="45" t="e">
        <f>#REF!-#REF!</f>
        <v>#REF!</v>
      </c>
      <c r="I26" s="16"/>
      <c r="J26" s="17">
        <v>0</v>
      </c>
      <c r="K26" s="17">
        <v>0</v>
      </c>
      <c r="L26" s="17">
        <v>0</v>
      </c>
      <c r="M26" s="16"/>
      <c r="N26" s="80">
        <v>21</v>
      </c>
      <c r="O26" s="11">
        <f t="shared" si="0"/>
        <v>29</v>
      </c>
      <c r="P26" s="34"/>
      <c r="Q26" s="11">
        <f t="shared" si="1"/>
        <v>8</v>
      </c>
      <c r="R26" s="11">
        <f t="shared" si="2"/>
        <v>3</v>
      </c>
      <c r="S26" s="34"/>
      <c r="T26" s="11">
        <f t="shared" si="3"/>
        <v>60</v>
      </c>
      <c r="U26" s="35"/>
    </row>
    <row r="27" spans="1:21" x14ac:dyDescent="0.2">
      <c r="A27" s="80">
        <v>22</v>
      </c>
      <c r="B27" s="41">
        <v>3134</v>
      </c>
      <c r="C27" s="15"/>
      <c r="D27" s="40">
        <v>25316</v>
      </c>
      <c r="E27" s="42">
        <v>2766</v>
      </c>
      <c r="F27" s="15"/>
      <c r="G27" s="41">
        <v>233164</v>
      </c>
      <c r="H27" s="45" t="e">
        <f>#REF!-#REF!</f>
        <v>#REF!</v>
      </c>
      <c r="I27" s="16"/>
      <c r="J27" s="17">
        <v>0</v>
      </c>
      <c r="K27" s="17">
        <v>0</v>
      </c>
      <c r="L27" s="17">
        <v>0</v>
      </c>
      <c r="M27" s="16"/>
      <c r="N27" s="80">
        <v>22</v>
      </c>
      <c r="O27" s="11">
        <f t="shared" si="0"/>
        <v>24</v>
      </c>
      <c r="P27" s="34"/>
      <c r="Q27" s="11">
        <f t="shared" si="1"/>
        <v>7</v>
      </c>
      <c r="R27" s="11">
        <f t="shared" si="2"/>
        <v>0</v>
      </c>
      <c r="S27" s="34"/>
      <c r="T27" s="11">
        <f t="shared" si="3"/>
        <v>49</v>
      </c>
      <c r="U27" s="35"/>
    </row>
    <row r="28" spans="1:21" x14ac:dyDescent="0.2">
      <c r="A28" s="80">
        <v>23</v>
      </c>
      <c r="B28" s="41"/>
      <c r="C28" s="15"/>
      <c r="D28" s="40"/>
      <c r="E28" s="42"/>
      <c r="F28" s="15"/>
      <c r="G28" s="41"/>
      <c r="H28" s="45" t="e">
        <f>#REF!-#REF!</f>
        <v>#REF!</v>
      </c>
      <c r="I28" s="16"/>
      <c r="J28" s="17">
        <v>0</v>
      </c>
      <c r="K28" s="17">
        <v>0</v>
      </c>
      <c r="L28" s="17">
        <v>0</v>
      </c>
      <c r="M28" s="16"/>
      <c r="N28" s="80">
        <v>23</v>
      </c>
      <c r="O28" s="11">
        <f t="shared" si="0"/>
        <v>-3134</v>
      </c>
      <c r="P28" s="34"/>
      <c r="Q28" s="11">
        <f t="shared" si="1"/>
        <v>-25316</v>
      </c>
      <c r="R28" s="11">
        <f t="shared" si="2"/>
        <v>-2766</v>
      </c>
      <c r="S28" s="34"/>
      <c r="T28" s="11">
        <f t="shared" si="3"/>
        <v>-233164</v>
      </c>
      <c r="U28" s="35"/>
    </row>
    <row r="29" spans="1:21" x14ac:dyDescent="0.2">
      <c r="A29" s="80">
        <v>24</v>
      </c>
      <c r="B29" s="41"/>
      <c r="C29" s="15"/>
      <c r="D29" s="40"/>
      <c r="E29" s="42"/>
      <c r="F29" s="15"/>
      <c r="G29" s="41"/>
      <c r="H29" s="45" t="e">
        <f>#REF!-#REF!</f>
        <v>#REF!</v>
      </c>
      <c r="I29" s="16"/>
      <c r="J29" s="17">
        <v>0</v>
      </c>
      <c r="K29" s="17">
        <v>0</v>
      </c>
      <c r="L29" s="17">
        <v>0</v>
      </c>
      <c r="M29" s="16"/>
      <c r="N29" s="80">
        <v>24</v>
      </c>
      <c r="O29" s="11">
        <f t="shared" si="0"/>
        <v>0</v>
      </c>
      <c r="P29" s="34"/>
      <c r="Q29" s="11">
        <f t="shared" si="1"/>
        <v>0</v>
      </c>
      <c r="R29" s="11">
        <f t="shared" si="2"/>
        <v>0</v>
      </c>
      <c r="S29" s="34"/>
      <c r="T29" s="11">
        <f t="shared" si="3"/>
        <v>0</v>
      </c>
      <c r="U29" s="35"/>
    </row>
    <row r="30" spans="1:21" x14ac:dyDescent="0.2">
      <c r="A30" s="80">
        <v>25</v>
      </c>
      <c r="B30" s="41"/>
      <c r="C30" s="15"/>
      <c r="D30" s="40"/>
      <c r="E30" s="42"/>
      <c r="F30" s="15"/>
      <c r="G30" s="41"/>
      <c r="H30" s="45" t="e">
        <f>#REF!-#REF!</f>
        <v>#REF!</v>
      </c>
      <c r="I30" s="16"/>
      <c r="J30" s="17">
        <v>0</v>
      </c>
      <c r="K30" s="17">
        <v>0</v>
      </c>
      <c r="L30" s="17">
        <v>0</v>
      </c>
      <c r="M30" s="16"/>
      <c r="N30" s="80">
        <v>25</v>
      </c>
      <c r="O30" s="11">
        <f t="shared" si="0"/>
        <v>0</v>
      </c>
      <c r="P30" s="34"/>
      <c r="Q30" s="11">
        <f t="shared" si="1"/>
        <v>0</v>
      </c>
      <c r="R30" s="11">
        <f t="shared" si="2"/>
        <v>0</v>
      </c>
      <c r="S30" s="34"/>
      <c r="T30" s="11">
        <f t="shared" si="3"/>
        <v>0</v>
      </c>
      <c r="U30" s="35"/>
    </row>
    <row r="31" spans="1:21" x14ac:dyDescent="0.2">
      <c r="A31" s="80">
        <v>26</v>
      </c>
      <c r="B31" s="41">
        <v>3235</v>
      </c>
      <c r="C31" s="15"/>
      <c r="D31" s="40">
        <v>25341</v>
      </c>
      <c r="E31" s="42">
        <v>2766</v>
      </c>
      <c r="F31" s="15"/>
      <c r="G31" s="41">
        <v>233408</v>
      </c>
      <c r="H31" s="45" t="e">
        <f>IF(#REF!-#REF!&lt;0,0,#REF!-#REF!)</f>
        <v>#REF!</v>
      </c>
      <c r="I31" s="16"/>
      <c r="J31" s="17">
        <v>0</v>
      </c>
      <c r="K31" s="17">
        <v>0</v>
      </c>
      <c r="L31" s="17">
        <v>0</v>
      </c>
      <c r="M31" s="16"/>
      <c r="N31" s="80">
        <v>26</v>
      </c>
      <c r="O31" s="11">
        <f t="shared" si="0"/>
        <v>3235</v>
      </c>
      <c r="P31" s="34"/>
      <c r="Q31" s="11">
        <f t="shared" si="1"/>
        <v>25341</v>
      </c>
      <c r="R31" s="11">
        <f t="shared" si="2"/>
        <v>2766</v>
      </c>
      <c r="S31" s="34"/>
      <c r="T31" s="11">
        <f t="shared" si="3"/>
        <v>233408</v>
      </c>
      <c r="U31" s="35"/>
    </row>
    <row r="32" spans="1:21" x14ac:dyDescent="0.2">
      <c r="A32" s="80">
        <v>27</v>
      </c>
      <c r="B32" s="41">
        <v>3259</v>
      </c>
      <c r="C32" s="15"/>
      <c r="D32" s="40">
        <v>25346</v>
      </c>
      <c r="E32" s="42">
        <v>2766</v>
      </c>
      <c r="F32" s="15"/>
      <c r="G32" s="41">
        <v>233463</v>
      </c>
      <c r="H32" s="45" t="e">
        <f>IF(#REF!-#REF!&lt;0,0,#REF!-#REF!)</f>
        <v>#REF!</v>
      </c>
      <c r="I32" s="16"/>
      <c r="J32" s="17">
        <v>0</v>
      </c>
      <c r="K32" s="17">
        <v>0</v>
      </c>
      <c r="L32" s="17">
        <v>0</v>
      </c>
      <c r="M32" s="16"/>
      <c r="N32" s="80">
        <v>27</v>
      </c>
      <c r="O32" s="11">
        <f t="shared" si="0"/>
        <v>24</v>
      </c>
      <c r="P32" s="34"/>
      <c r="Q32" s="11">
        <f t="shared" si="1"/>
        <v>5</v>
      </c>
      <c r="R32" s="11">
        <f t="shared" si="2"/>
        <v>0</v>
      </c>
      <c r="S32" s="34"/>
      <c r="T32" s="11">
        <f t="shared" si="3"/>
        <v>55</v>
      </c>
      <c r="U32" s="35"/>
    </row>
    <row r="33" spans="1:21" x14ac:dyDescent="0.2">
      <c r="A33" s="80">
        <v>28</v>
      </c>
      <c r="B33" s="41">
        <v>3289</v>
      </c>
      <c r="C33" s="15"/>
      <c r="D33" s="40">
        <v>25352</v>
      </c>
      <c r="E33" s="42">
        <v>2766</v>
      </c>
      <c r="F33" s="15"/>
      <c r="G33" s="41">
        <v>233503</v>
      </c>
      <c r="H33" s="45" t="e">
        <f>IF(#REF!-#REF!&lt;0,0,#REF!-#REF!)</f>
        <v>#REF!</v>
      </c>
      <c r="I33" s="16"/>
      <c r="J33" s="17">
        <v>0</v>
      </c>
      <c r="K33" s="17">
        <v>0</v>
      </c>
      <c r="L33" s="17">
        <v>0</v>
      </c>
      <c r="M33" s="16"/>
      <c r="N33" s="80">
        <v>28</v>
      </c>
      <c r="O33" s="11">
        <f t="shared" si="0"/>
        <v>30</v>
      </c>
      <c r="P33" s="34"/>
      <c r="Q33" s="11">
        <f t="shared" si="1"/>
        <v>6</v>
      </c>
      <c r="R33" s="11">
        <f t="shared" si="2"/>
        <v>0</v>
      </c>
      <c r="S33" s="34"/>
      <c r="T33" s="11">
        <f t="shared" si="3"/>
        <v>40</v>
      </c>
      <c r="U33" s="35"/>
    </row>
    <row r="34" spans="1:21" x14ac:dyDescent="0.2">
      <c r="A34" s="80">
        <v>29</v>
      </c>
      <c r="B34" s="41">
        <v>3307</v>
      </c>
      <c r="C34" s="15"/>
      <c r="D34" s="40">
        <v>25361</v>
      </c>
      <c r="E34" s="42">
        <v>2768</v>
      </c>
      <c r="F34" s="15"/>
      <c r="G34" s="41">
        <v>233546</v>
      </c>
      <c r="H34" s="45" t="e">
        <f>IF(#REF!-#REF!&lt;0,0,#REF!-#REF!)</f>
        <v>#REF!</v>
      </c>
      <c r="I34" s="16"/>
      <c r="J34" s="17">
        <v>0</v>
      </c>
      <c r="K34" s="17">
        <v>0</v>
      </c>
      <c r="L34" s="17">
        <v>0</v>
      </c>
      <c r="M34" s="16"/>
      <c r="N34" s="80">
        <v>29</v>
      </c>
      <c r="O34" s="11">
        <f t="shared" si="0"/>
        <v>18</v>
      </c>
      <c r="P34" s="34"/>
      <c r="Q34" s="11">
        <f t="shared" si="1"/>
        <v>9</v>
      </c>
      <c r="R34" s="11">
        <f t="shared" si="2"/>
        <v>2</v>
      </c>
      <c r="S34" s="34"/>
      <c r="T34" s="11">
        <f t="shared" si="3"/>
        <v>43</v>
      </c>
      <c r="U34" s="35"/>
    </row>
    <row r="35" spans="1:21" x14ac:dyDescent="0.2">
      <c r="A35" s="80">
        <v>30</v>
      </c>
      <c r="B35" s="41">
        <v>3322</v>
      </c>
      <c r="C35" s="15"/>
      <c r="D35" s="40">
        <v>25367</v>
      </c>
      <c r="E35" s="42">
        <v>2758</v>
      </c>
      <c r="F35" s="15"/>
      <c r="G35" s="41">
        <v>233589</v>
      </c>
      <c r="H35" s="45" t="e">
        <f>IF(#REF!-#REF!&lt;0,0,#REF!-#REF!)</f>
        <v>#REF!</v>
      </c>
      <c r="I35" s="16"/>
      <c r="J35" s="17">
        <v>0</v>
      </c>
      <c r="K35" s="17">
        <v>0</v>
      </c>
      <c r="L35" s="17">
        <v>0</v>
      </c>
      <c r="M35" s="16"/>
      <c r="N35" s="80">
        <v>30</v>
      </c>
      <c r="O35" s="11">
        <f t="shared" si="0"/>
        <v>15</v>
      </c>
      <c r="P35" s="34"/>
      <c r="Q35" s="11">
        <f t="shared" si="1"/>
        <v>6</v>
      </c>
      <c r="R35" s="11">
        <f t="shared" si="2"/>
        <v>-10</v>
      </c>
      <c r="S35" s="34"/>
      <c r="T35" s="11">
        <f t="shared" si="3"/>
        <v>43</v>
      </c>
      <c r="U35" s="35"/>
    </row>
    <row r="36" spans="1:21" x14ac:dyDescent="0.2">
      <c r="A36" s="80">
        <v>31</v>
      </c>
      <c r="B36" s="41">
        <v>3358</v>
      </c>
      <c r="C36" s="15"/>
      <c r="D36" s="40">
        <v>25377</v>
      </c>
      <c r="E36" s="42">
        <v>2770</v>
      </c>
      <c r="F36" s="15"/>
      <c r="G36" s="41">
        <v>233628</v>
      </c>
      <c r="H36" s="45" t="e">
        <f>IF(#REF!-#REF!&lt;0,0,#REF!-#REF!)</f>
        <v>#REF!</v>
      </c>
      <c r="I36" s="16"/>
      <c r="J36" s="17">
        <v>0</v>
      </c>
      <c r="K36" s="17">
        <v>0</v>
      </c>
      <c r="L36" s="17">
        <v>0</v>
      </c>
      <c r="M36" s="16"/>
      <c r="N36" s="80">
        <v>31</v>
      </c>
      <c r="O36" s="11">
        <f t="shared" si="0"/>
        <v>36</v>
      </c>
      <c r="P36" s="34"/>
      <c r="Q36" s="11">
        <f t="shared" si="1"/>
        <v>10</v>
      </c>
      <c r="R36" s="11">
        <f t="shared" si="2"/>
        <v>12</v>
      </c>
      <c r="S36" s="34"/>
      <c r="T36" s="11">
        <f t="shared" si="3"/>
        <v>39</v>
      </c>
      <c r="U36" s="36"/>
    </row>
    <row r="37" spans="1:21" x14ac:dyDescent="0.2">
      <c r="B37" s="20" t="s">
        <v>32</v>
      </c>
      <c r="D37" s="19" t="s">
        <v>32</v>
      </c>
      <c r="E37" s="21" t="s">
        <v>33</v>
      </c>
      <c r="G37" s="20" t="s">
        <v>31</v>
      </c>
    </row>
    <row r="39" spans="1:21" x14ac:dyDescent="0.2">
      <c r="A39" s="80" t="s">
        <v>34</v>
      </c>
      <c r="B39" s="10">
        <f t="shared" ref="B39" si="4">LARGE(B5:B36, 1)</f>
        <v>3358</v>
      </c>
      <c r="C39" s="23"/>
      <c r="D39" s="10">
        <f>LARGE(D5:D36, 1)</f>
        <v>25377</v>
      </c>
      <c r="E39" s="24">
        <f>LARGE(E5:E36, 1)</f>
        <v>2770</v>
      </c>
      <c r="F39" s="8"/>
      <c r="G39" s="22">
        <f>LARGE(G5:G36, 1)</f>
        <v>233628</v>
      </c>
      <c r="H39" s="19"/>
      <c r="I39" s="9"/>
      <c r="J39" s="11">
        <f>LARGE(J5:J36, 1)</f>
        <v>0</v>
      </c>
      <c r="K39" s="11">
        <f>LARGE(K5:K36, 1)</f>
        <v>0</v>
      </c>
      <c r="L39" s="11">
        <f>LARGE(L5:L36, 1)</f>
        <v>0</v>
      </c>
      <c r="N39" s="80" t="s">
        <v>35</v>
      </c>
      <c r="O39" s="55">
        <f t="shared" ref="O39" si="5">AVERAGEIF($M$6:$M$36, "x",O6:O36)</f>
        <v>23</v>
      </c>
      <c r="P39" s="56"/>
      <c r="Q39" s="55">
        <f>AVERAGEIF($M$6:$M$36, "x",Q6:Q36)</f>
        <v>7</v>
      </c>
      <c r="R39" s="55">
        <f>AVERAGEIF($M$6:$M$36, "x",R6:R36)</f>
        <v>0</v>
      </c>
      <c r="S39" s="56"/>
      <c r="T39" s="55">
        <f>AVERAGEIF($M$6:$M$36, "x",T6:T36)</f>
        <v>89</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f>B39-B5</f>
        <v>816</v>
      </c>
      <c r="D42" s="26">
        <f t="shared" ref="D42:L42" si="6">D39-D5</f>
        <v>214</v>
      </c>
      <c r="E42" s="26">
        <f t="shared" si="6"/>
        <v>36</v>
      </c>
      <c r="G42" s="26">
        <f t="shared" si="6"/>
        <v>1917</v>
      </c>
      <c r="H42" s="26"/>
      <c r="J42" s="26">
        <f t="shared" si="6"/>
        <v>0</v>
      </c>
      <c r="K42" s="26">
        <f t="shared" si="6"/>
        <v>0</v>
      </c>
      <c r="L42" s="26">
        <f t="shared" si="6"/>
        <v>0</v>
      </c>
      <c r="N42" s="96"/>
      <c r="O42" s="53">
        <f>Nov!O39</f>
        <v>34</v>
      </c>
      <c r="P42" s="57"/>
      <c r="Q42" s="53">
        <f>Nov!Q39</f>
        <v>11</v>
      </c>
      <c r="R42" s="53">
        <f>Nov!R39</f>
        <v>1</v>
      </c>
      <c r="S42" s="57"/>
      <c r="T42" s="53">
        <f>Nov!T39</f>
        <v>39</v>
      </c>
    </row>
    <row r="43" spans="1:21" x14ac:dyDescent="0.2">
      <c r="N43" s="80">
        <v>1.5</v>
      </c>
      <c r="O43" s="54">
        <f>O42*$N$43</f>
        <v>51</v>
      </c>
      <c r="P43" s="56"/>
      <c r="Q43" s="54">
        <f t="shared" ref="Q43:R43" si="7">Q42*$N$43</f>
        <v>16.5</v>
      </c>
      <c r="R43" s="54">
        <f t="shared" si="7"/>
        <v>1.5</v>
      </c>
      <c r="S43" s="56"/>
      <c r="T43" s="54">
        <f t="shared" ref="T43" si="8">T42*$N$43</f>
        <v>58.5</v>
      </c>
    </row>
    <row r="44" spans="1:21" x14ac:dyDescent="0.2">
      <c r="H44" s="31" t="s">
        <v>35</v>
      </c>
      <c r="N44" s="80">
        <v>0.5</v>
      </c>
      <c r="O44" s="54">
        <f>O42*$N$44</f>
        <v>17</v>
      </c>
      <c r="P44" s="56"/>
      <c r="Q44" s="54">
        <f t="shared" ref="Q44:R44" si="9">Q42*$N$44</f>
        <v>5.5</v>
      </c>
      <c r="R44" s="54">
        <f t="shared" si="9"/>
        <v>0.5</v>
      </c>
      <c r="S44" s="56"/>
      <c r="T44" s="54">
        <f t="shared" ref="T44" si="10">T42*$N$44</f>
        <v>19.5</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417" priority="143" operator="lessThan">
      <formula>0</formula>
    </cfRule>
  </conditionalFormatting>
  <conditionalFormatting sqref="O43:O44 Q43:R44 T43:T44">
    <cfRule type="cellIs" dxfId="416" priority="142" operator="lessThan">
      <formula>0</formula>
    </cfRule>
  </conditionalFormatting>
  <conditionalFormatting sqref="O39">
    <cfRule type="cellIs" dxfId="415" priority="50" operator="lessThan">
      <formula>$O$44</formula>
    </cfRule>
    <cfRule type="cellIs" dxfId="414" priority="51" operator="greaterThan">
      <formula>$O$43</formula>
    </cfRule>
  </conditionalFormatting>
  <conditionalFormatting sqref="Q39">
    <cfRule type="cellIs" dxfId="413" priority="42" operator="lessThan">
      <formula>$Q$44</formula>
    </cfRule>
    <cfRule type="cellIs" dxfId="412" priority="43" operator="greaterThan">
      <formula>$Q$43</formula>
    </cfRule>
  </conditionalFormatting>
  <conditionalFormatting sqref="R39">
    <cfRule type="cellIs" dxfId="411" priority="40" operator="lessThan">
      <formula>$R$44</formula>
    </cfRule>
    <cfRule type="cellIs" dxfId="410" priority="41" operator="greaterThan">
      <formula>$R$43</formula>
    </cfRule>
  </conditionalFormatting>
  <conditionalFormatting sqref="T39">
    <cfRule type="cellIs" dxfId="409" priority="34" operator="lessThan">
      <formula>$T$44</formula>
    </cfRule>
    <cfRule type="cellIs" dxfId="408" priority="35" operator="greaterThan">
      <formula>$T$43</formula>
    </cfRule>
  </conditionalFormatting>
  <conditionalFormatting sqref="O6:T36">
    <cfRule type="cellIs" dxfId="407" priority="2" stopIfTrue="1" operator="equal">
      <formula>0</formula>
    </cfRule>
    <cfRule type="cellIs" dxfId="406" priority="3" stopIfTrue="1" operator="lessThan">
      <formula>0</formula>
    </cfRule>
  </conditionalFormatting>
  <conditionalFormatting sqref="O6:O36">
    <cfRule type="cellIs" dxfId="405" priority="25" operator="notBetween">
      <formula>$O$44</formula>
      <formula>$O$43</formula>
    </cfRule>
  </conditionalFormatting>
  <conditionalFormatting sqref="Q6:Q36">
    <cfRule type="cellIs" dxfId="404" priority="18" operator="notBetween">
      <formula>$Q$44</formula>
      <formula>$Q$43</formula>
    </cfRule>
  </conditionalFormatting>
  <conditionalFormatting sqref="R6:R36">
    <cfRule type="cellIs" dxfId="403" priority="19" operator="notBetween">
      <formula>$R$44</formula>
      <formula>$R$43</formula>
    </cfRule>
  </conditionalFormatting>
  <conditionalFormatting sqref="T6:T36">
    <cfRule type="cellIs" dxfId="402" priority="22" operator="notBetween">
      <formula>$T$44</formula>
      <formula>$T$43</formula>
    </cfRule>
  </conditionalFormatting>
  <conditionalFormatting sqref="R6:R39">
    <cfRule type="cellIs" dxfId="401" priority="13" stopIfTrue="1" operator="greaterThan">
      <formula>$R$43*2</formula>
    </cfRule>
  </conditionalFormatting>
  <conditionalFormatting sqref="O6:O39">
    <cfRule type="cellIs" dxfId="400" priority="15" stopIfTrue="1" operator="greaterThan">
      <formula>$O$43*2</formula>
    </cfRule>
  </conditionalFormatting>
  <conditionalFormatting sqref="Q6:Q39">
    <cfRule type="cellIs" dxfId="399" priority="6" stopIfTrue="1" operator="greaterThan">
      <formula>$Q$43*2</formula>
    </cfRule>
  </conditionalFormatting>
  <conditionalFormatting sqref="T6:T39">
    <cfRule type="cellIs" dxfId="39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0"/>
  <sheetViews>
    <sheetView zoomScaleNormal="100" workbookViewId="0">
      <pane ySplit="3" topLeftCell="A22" activePane="bottomLeft" state="frozen"/>
      <selection pane="bottomLeft" activeCell="D32" sqref="D32"/>
    </sheetView>
  </sheetViews>
  <sheetFormatPr defaultColWidth="9.28515625" defaultRowHeight="12.75" x14ac:dyDescent="0.2"/>
  <cols>
    <col min="1" max="1" width="3" style="12" customWidth="1"/>
    <col min="2" max="2" width="16.85546875" customWidth="1"/>
    <col min="3" max="3" width="0.85546875" customWidth="1"/>
    <col min="4" max="4" width="8.5703125" bestFit="1" customWidth="1"/>
    <col min="5" max="5" width="8.85546875" customWidth="1"/>
    <col min="6" max="6" width="0.85546875" customWidth="1"/>
    <col min="7" max="7" width="15.140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9" customWidth="1"/>
    <col min="16" max="16" width="0.85546875" customWidth="1"/>
    <col min="17" max="18" width="9.42578125" bestFit="1" customWidth="1"/>
    <col min="19" max="19" width="0.85546875" customWidth="1"/>
    <col min="20" max="20" width="15" customWidth="1"/>
    <col min="21" max="21" width="0.85546875" customWidth="1"/>
  </cols>
  <sheetData>
    <row r="1" spans="1:21" x14ac:dyDescent="0.2">
      <c r="A1" s="93"/>
      <c r="B1" s="77" t="s">
        <v>4</v>
      </c>
      <c r="C1" s="1"/>
      <c r="D1" s="86" t="s">
        <v>1</v>
      </c>
      <c r="E1" s="86"/>
      <c r="F1" s="1"/>
      <c r="G1" s="77" t="s">
        <v>5</v>
      </c>
      <c r="H1" s="78"/>
      <c r="I1" s="1"/>
      <c r="J1" s="84" t="s">
        <v>3</v>
      </c>
      <c r="K1" s="84"/>
      <c r="L1" s="84"/>
      <c r="N1" s="93"/>
      <c r="O1" s="77" t="s">
        <v>4</v>
      </c>
      <c r="P1" s="1"/>
      <c r="Q1" s="86" t="s">
        <v>1</v>
      </c>
      <c r="R1" s="86"/>
      <c r="S1" s="1"/>
      <c r="T1" s="77" t="s">
        <v>5</v>
      </c>
    </row>
    <row r="2" spans="1:21" x14ac:dyDescent="0.2">
      <c r="A2" s="94"/>
      <c r="B2" s="76" t="s">
        <v>11</v>
      </c>
      <c r="C2" s="2"/>
      <c r="D2" s="84" t="s">
        <v>7</v>
      </c>
      <c r="E2" s="84"/>
      <c r="F2" s="2"/>
      <c r="G2" s="76" t="s">
        <v>12</v>
      </c>
      <c r="H2" s="76"/>
      <c r="I2" s="2"/>
      <c r="J2" s="84" t="s">
        <v>10</v>
      </c>
      <c r="K2" s="84"/>
      <c r="L2" s="84"/>
      <c r="N2" s="94"/>
      <c r="O2" s="76" t="s">
        <v>11</v>
      </c>
      <c r="P2" s="2"/>
      <c r="Q2" s="84" t="s">
        <v>7</v>
      </c>
      <c r="R2" s="84"/>
      <c r="S2" s="2"/>
      <c r="T2" s="76"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85"/>
      <c r="B4" s="85"/>
      <c r="C4" s="85"/>
      <c r="D4" s="85"/>
      <c r="E4" s="85"/>
      <c r="F4" s="85"/>
      <c r="G4" s="85"/>
      <c r="H4" s="85"/>
      <c r="I4" s="85"/>
      <c r="J4" s="85"/>
      <c r="K4" s="85"/>
      <c r="L4" s="85"/>
      <c r="N4"/>
    </row>
    <row r="5" spans="1:21" ht="12.95" customHeight="1" x14ac:dyDescent="0.2">
      <c r="A5" s="7" t="s">
        <v>29</v>
      </c>
      <c r="B5" s="26">
        <f>Oct!B39</f>
        <v>1597</v>
      </c>
      <c r="C5" s="15"/>
      <c r="D5" s="26">
        <f>Oct!D39</f>
        <v>24763</v>
      </c>
      <c r="E5" s="26">
        <f>Oct!E39</f>
        <v>2656</v>
      </c>
      <c r="F5" s="15"/>
      <c r="G5" s="26">
        <f>Oct!G39</f>
        <v>230589</v>
      </c>
      <c r="H5" s="11"/>
      <c r="I5" s="15"/>
      <c r="J5" s="26">
        <f>Oct!J39</f>
        <v>0</v>
      </c>
      <c r="K5" s="26">
        <f>Oct!K39</f>
        <v>0</v>
      </c>
      <c r="L5" s="26">
        <f>Oct!L39</f>
        <v>0</v>
      </c>
      <c r="N5"/>
    </row>
    <row r="6" spans="1:21" x14ac:dyDescent="0.2">
      <c r="A6" s="7">
        <v>1</v>
      </c>
      <c r="B6" s="41">
        <v>1631</v>
      </c>
      <c r="C6" s="15"/>
      <c r="D6" s="40">
        <v>24774</v>
      </c>
      <c r="E6" s="42">
        <v>2657</v>
      </c>
      <c r="F6" s="15"/>
      <c r="G6" s="41">
        <v>230628</v>
      </c>
      <c r="H6" s="45" t="e">
        <f>#REF!-#REF!</f>
        <v>#REF!</v>
      </c>
      <c r="I6" s="16"/>
      <c r="J6" s="17">
        <v>0</v>
      </c>
      <c r="K6" s="17">
        <v>0</v>
      </c>
      <c r="L6" s="17">
        <v>0</v>
      </c>
      <c r="M6" s="43" t="s">
        <v>30</v>
      </c>
      <c r="N6" s="80">
        <v>1</v>
      </c>
      <c r="O6" s="11">
        <f t="shared" ref="O6:O36" si="0">B6-B5</f>
        <v>34</v>
      </c>
      <c r="P6" s="34"/>
      <c r="Q6" s="11">
        <f t="shared" ref="Q6:Q36" si="1">D6-D5</f>
        <v>11</v>
      </c>
      <c r="R6" s="11">
        <f t="shared" ref="R6:R36" si="2">E6-E5</f>
        <v>1</v>
      </c>
      <c r="S6" s="34"/>
      <c r="T6" s="11">
        <f t="shared" ref="T6:T36" si="3">G6-G5</f>
        <v>39</v>
      </c>
      <c r="U6" s="34"/>
    </row>
    <row r="7" spans="1:21" x14ac:dyDescent="0.2">
      <c r="A7" s="80">
        <v>2</v>
      </c>
      <c r="B7" s="41">
        <v>1664</v>
      </c>
      <c r="C7" s="15"/>
      <c r="D7" s="40">
        <v>24787</v>
      </c>
      <c r="E7" s="42">
        <v>2659</v>
      </c>
      <c r="F7" s="15"/>
      <c r="G7" s="41">
        <v>230663</v>
      </c>
      <c r="H7" s="45" t="e">
        <f>#REF!-#REF!</f>
        <v>#REF!</v>
      </c>
      <c r="I7" s="16"/>
      <c r="J7" s="17">
        <v>0</v>
      </c>
      <c r="K7" s="17">
        <v>0</v>
      </c>
      <c r="L7" s="17">
        <v>0</v>
      </c>
      <c r="M7" s="16"/>
      <c r="N7" s="80">
        <v>2</v>
      </c>
      <c r="O7" s="11">
        <f t="shared" si="0"/>
        <v>33</v>
      </c>
      <c r="P7" s="34"/>
      <c r="Q7" s="11">
        <f t="shared" si="1"/>
        <v>13</v>
      </c>
      <c r="R7" s="11">
        <f t="shared" si="2"/>
        <v>2</v>
      </c>
      <c r="S7" s="34"/>
      <c r="T7" s="11">
        <f t="shared" si="3"/>
        <v>35</v>
      </c>
      <c r="U7" s="35"/>
    </row>
    <row r="8" spans="1:21" x14ac:dyDescent="0.2">
      <c r="A8" s="80">
        <v>3</v>
      </c>
      <c r="B8" s="41">
        <v>1688</v>
      </c>
      <c r="C8" s="15"/>
      <c r="D8" s="40">
        <v>24799</v>
      </c>
      <c r="E8" s="42">
        <v>2659</v>
      </c>
      <c r="F8" s="15"/>
      <c r="G8" s="41">
        <v>230708</v>
      </c>
      <c r="H8" s="45" t="e">
        <f>#REF!-#REF!</f>
        <v>#REF!</v>
      </c>
      <c r="I8" s="16"/>
      <c r="J8" s="17">
        <v>0</v>
      </c>
      <c r="K8" s="17">
        <v>0</v>
      </c>
      <c r="L8" s="17">
        <v>0</v>
      </c>
      <c r="M8" s="16"/>
      <c r="N8" s="80">
        <v>3</v>
      </c>
      <c r="O8" s="11">
        <f t="shared" si="0"/>
        <v>24</v>
      </c>
      <c r="P8" s="34"/>
      <c r="Q8" s="11">
        <f t="shared" si="1"/>
        <v>12</v>
      </c>
      <c r="R8" s="11">
        <f t="shared" si="2"/>
        <v>0</v>
      </c>
      <c r="S8" s="34"/>
      <c r="T8" s="11">
        <f t="shared" si="3"/>
        <v>45</v>
      </c>
      <c r="U8" s="35"/>
    </row>
    <row r="9" spans="1:21" x14ac:dyDescent="0.2">
      <c r="A9" s="80">
        <v>4</v>
      </c>
      <c r="B9" s="41">
        <v>1718</v>
      </c>
      <c r="C9" s="15"/>
      <c r="D9" s="40">
        <v>24800</v>
      </c>
      <c r="E9" s="42">
        <v>2662</v>
      </c>
      <c r="F9" s="15"/>
      <c r="G9" s="41">
        <v>230747</v>
      </c>
      <c r="H9" s="45" t="e">
        <f>#REF!-#REF!</f>
        <v>#REF!</v>
      </c>
      <c r="I9" s="16"/>
      <c r="J9" s="17">
        <v>0</v>
      </c>
      <c r="K9" s="17">
        <v>0</v>
      </c>
      <c r="L9" s="17">
        <v>0</v>
      </c>
      <c r="M9" s="16"/>
      <c r="N9" s="80">
        <v>4</v>
      </c>
      <c r="O9" s="11">
        <f t="shared" si="0"/>
        <v>30</v>
      </c>
      <c r="P9" s="34"/>
      <c r="Q9" s="11">
        <f t="shared" si="1"/>
        <v>1</v>
      </c>
      <c r="R9" s="11">
        <f t="shared" si="2"/>
        <v>3</v>
      </c>
      <c r="S9" s="34"/>
      <c r="T9" s="11">
        <f t="shared" si="3"/>
        <v>39</v>
      </c>
      <c r="U9" s="35"/>
    </row>
    <row r="10" spans="1:21" x14ac:dyDescent="0.2">
      <c r="A10" s="80">
        <v>5</v>
      </c>
      <c r="B10" s="41">
        <v>1748</v>
      </c>
      <c r="C10" s="15"/>
      <c r="D10" s="40">
        <v>24822</v>
      </c>
      <c r="E10" s="42">
        <v>2666</v>
      </c>
      <c r="F10" s="15"/>
      <c r="G10" s="41">
        <v>230780</v>
      </c>
      <c r="H10" s="45" t="e">
        <f>#REF!-#REF!</f>
        <v>#REF!</v>
      </c>
      <c r="I10" s="16"/>
      <c r="J10" s="17">
        <v>0</v>
      </c>
      <c r="K10" s="17">
        <v>0</v>
      </c>
      <c r="L10" s="17">
        <v>0</v>
      </c>
      <c r="M10" s="16"/>
      <c r="N10" s="80">
        <v>5</v>
      </c>
      <c r="O10" s="11">
        <f t="shared" si="0"/>
        <v>30</v>
      </c>
      <c r="P10" s="34"/>
      <c r="Q10" s="11">
        <f t="shared" si="1"/>
        <v>22</v>
      </c>
      <c r="R10" s="11">
        <f t="shared" si="2"/>
        <v>4</v>
      </c>
      <c r="S10" s="34"/>
      <c r="T10" s="11">
        <f t="shared" si="3"/>
        <v>33</v>
      </c>
      <c r="U10" s="35"/>
    </row>
    <row r="11" spans="1:21" x14ac:dyDescent="0.2">
      <c r="A11" s="80">
        <v>6</v>
      </c>
      <c r="B11" s="41">
        <v>1782</v>
      </c>
      <c r="C11" s="15"/>
      <c r="D11" s="40">
        <v>24837</v>
      </c>
      <c r="E11" s="42">
        <v>2669</v>
      </c>
      <c r="F11" s="15"/>
      <c r="G11" s="41">
        <v>230814</v>
      </c>
      <c r="H11" s="45" t="e">
        <f>#REF!-#REF!</f>
        <v>#REF!</v>
      </c>
      <c r="I11" s="16"/>
      <c r="J11" s="17">
        <v>0</v>
      </c>
      <c r="K11" s="17">
        <v>0</v>
      </c>
      <c r="L11" s="17">
        <v>0</v>
      </c>
      <c r="M11" s="16"/>
      <c r="N11" s="80">
        <v>6</v>
      </c>
      <c r="O11" s="11">
        <f t="shared" si="0"/>
        <v>34</v>
      </c>
      <c r="P11" s="34"/>
      <c r="Q11" s="11">
        <f t="shared" si="1"/>
        <v>15</v>
      </c>
      <c r="R11" s="11">
        <f t="shared" si="2"/>
        <v>3</v>
      </c>
      <c r="S11" s="34"/>
      <c r="T11" s="11">
        <f t="shared" si="3"/>
        <v>34</v>
      </c>
      <c r="U11" s="35"/>
    </row>
    <row r="12" spans="1:21" x14ac:dyDescent="0.2">
      <c r="A12" s="80">
        <v>7</v>
      </c>
      <c r="B12" s="41">
        <v>1815</v>
      </c>
      <c r="C12" s="15"/>
      <c r="D12" s="40">
        <v>24850</v>
      </c>
      <c r="E12" s="42">
        <v>2671</v>
      </c>
      <c r="F12" s="15"/>
      <c r="G12" s="41">
        <v>230845</v>
      </c>
      <c r="H12" s="45" t="e">
        <f>#REF!-#REF!</f>
        <v>#REF!</v>
      </c>
      <c r="I12" s="16"/>
      <c r="J12" s="17">
        <v>0</v>
      </c>
      <c r="K12" s="17">
        <v>0</v>
      </c>
      <c r="L12" s="17">
        <v>0</v>
      </c>
      <c r="M12" s="16"/>
      <c r="N12" s="80">
        <v>7</v>
      </c>
      <c r="O12" s="11">
        <f t="shared" si="0"/>
        <v>33</v>
      </c>
      <c r="P12" s="34"/>
      <c r="Q12" s="11">
        <f t="shared" si="1"/>
        <v>13</v>
      </c>
      <c r="R12" s="11">
        <f t="shared" si="2"/>
        <v>2</v>
      </c>
      <c r="S12" s="34"/>
      <c r="T12" s="11">
        <f t="shared" si="3"/>
        <v>31</v>
      </c>
      <c r="U12" s="35"/>
    </row>
    <row r="13" spans="1:21" x14ac:dyDescent="0.2">
      <c r="A13" s="80">
        <v>8</v>
      </c>
      <c r="B13" s="41">
        <v>1849</v>
      </c>
      <c r="C13" s="15"/>
      <c r="D13" s="40">
        <v>24862</v>
      </c>
      <c r="E13" s="42">
        <v>2673</v>
      </c>
      <c r="F13" s="15"/>
      <c r="G13" s="41">
        <v>230878</v>
      </c>
      <c r="H13" s="45" t="e">
        <f>#REF!-#REF!</f>
        <v>#REF!</v>
      </c>
      <c r="I13" s="16"/>
      <c r="J13" s="17">
        <v>0</v>
      </c>
      <c r="K13" s="17">
        <v>0</v>
      </c>
      <c r="L13" s="17">
        <v>0</v>
      </c>
      <c r="M13" s="16"/>
      <c r="N13" s="80">
        <v>8</v>
      </c>
      <c r="O13" s="11">
        <f t="shared" si="0"/>
        <v>34</v>
      </c>
      <c r="P13" s="34"/>
      <c r="Q13" s="11">
        <f t="shared" si="1"/>
        <v>12</v>
      </c>
      <c r="R13" s="11">
        <f t="shared" si="2"/>
        <v>2</v>
      </c>
      <c r="S13" s="34"/>
      <c r="T13" s="11">
        <f t="shared" si="3"/>
        <v>33</v>
      </c>
      <c r="U13" s="35"/>
    </row>
    <row r="14" spans="1:21" x14ac:dyDescent="0.2">
      <c r="A14" s="80">
        <v>9</v>
      </c>
      <c r="B14" s="41">
        <v>1881</v>
      </c>
      <c r="C14" s="15"/>
      <c r="D14" s="40">
        <v>24878</v>
      </c>
      <c r="E14" s="42">
        <v>2676</v>
      </c>
      <c r="F14" s="15"/>
      <c r="G14" s="41">
        <v>230910</v>
      </c>
      <c r="H14" s="45" t="e">
        <f>#REF!-#REF!</f>
        <v>#REF!</v>
      </c>
      <c r="I14" s="16"/>
      <c r="J14" s="17">
        <v>0</v>
      </c>
      <c r="K14" s="17">
        <v>0</v>
      </c>
      <c r="L14" s="17">
        <v>0</v>
      </c>
      <c r="M14" s="16"/>
      <c r="N14" s="80">
        <v>9</v>
      </c>
      <c r="O14" s="11">
        <f t="shared" si="0"/>
        <v>32</v>
      </c>
      <c r="P14" s="34"/>
      <c r="Q14" s="11">
        <f t="shared" si="1"/>
        <v>16</v>
      </c>
      <c r="R14" s="11">
        <f t="shared" si="2"/>
        <v>3</v>
      </c>
      <c r="S14" s="34"/>
      <c r="T14" s="11">
        <f t="shared" si="3"/>
        <v>32</v>
      </c>
      <c r="U14" s="35"/>
    </row>
    <row r="15" spans="1:21" x14ac:dyDescent="0.2">
      <c r="A15" s="80">
        <v>10</v>
      </c>
      <c r="B15" s="41">
        <v>1918</v>
      </c>
      <c r="C15" s="15"/>
      <c r="D15" s="40">
        <v>24896</v>
      </c>
      <c r="E15" s="42">
        <v>2681</v>
      </c>
      <c r="F15" s="15"/>
      <c r="G15" s="41">
        <v>230939</v>
      </c>
      <c r="H15" s="45" t="e">
        <f>#REF!-#REF!</f>
        <v>#REF!</v>
      </c>
      <c r="I15" s="16"/>
      <c r="J15" s="17">
        <v>0</v>
      </c>
      <c r="K15" s="17">
        <v>0</v>
      </c>
      <c r="L15" s="17">
        <v>0</v>
      </c>
      <c r="M15" s="16"/>
      <c r="N15" s="80">
        <v>10</v>
      </c>
      <c r="O15" s="11">
        <f t="shared" si="0"/>
        <v>37</v>
      </c>
      <c r="P15" s="34"/>
      <c r="Q15" s="11">
        <f t="shared" si="1"/>
        <v>18</v>
      </c>
      <c r="R15" s="11">
        <f t="shared" si="2"/>
        <v>5</v>
      </c>
      <c r="S15" s="34"/>
      <c r="T15" s="11">
        <f t="shared" si="3"/>
        <v>29</v>
      </c>
      <c r="U15" s="35"/>
    </row>
    <row r="16" spans="1:21" x14ac:dyDescent="0.2">
      <c r="A16" s="80">
        <v>11</v>
      </c>
      <c r="B16" s="41">
        <v>1950</v>
      </c>
      <c r="C16" s="15"/>
      <c r="D16" s="40">
        <v>24913</v>
      </c>
      <c r="E16" s="42">
        <v>2684</v>
      </c>
      <c r="F16" s="15"/>
      <c r="G16" s="41">
        <v>230968</v>
      </c>
      <c r="H16" s="45" t="e">
        <f>#REF!-#REF!</f>
        <v>#REF!</v>
      </c>
      <c r="I16" s="16"/>
      <c r="J16" s="17">
        <v>0</v>
      </c>
      <c r="K16" s="17">
        <v>0</v>
      </c>
      <c r="L16" s="17">
        <v>0</v>
      </c>
      <c r="M16" s="16"/>
      <c r="N16" s="80">
        <v>11</v>
      </c>
      <c r="O16" s="11">
        <f t="shared" si="0"/>
        <v>32</v>
      </c>
      <c r="P16" s="34"/>
      <c r="Q16" s="11">
        <f t="shared" si="1"/>
        <v>17</v>
      </c>
      <c r="R16" s="11">
        <f t="shared" si="2"/>
        <v>3</v>
      </c>
      <c r="S16" s="34"/>
      <c r="T16" s="11">
        <f t="shared" si="3"/>
        <v>29</v>
      </c>
      <c r="U16" s="35"/>
    </row>
    <row r="17" spans="1:21" x14ac:dyDescent="0.2">
      <c r="A17" s="80">
        <v>12</v>
      </c>
      <c r="B17" s="41">
        <v>1987</v>
      </c>
      <c r="C17" s="15"/>
      <c r="D17" s="40">
        <v>24929</v>
      </c>
      <c r="E17" s="42">
        <v>2687</v>
      </c>
      <c r="F17" s="15"/>
      <c r="G17" s="41">
        <v>230998</v>
      </c>
      <c r="H17" s="45" t="e">
        <f>#REF!-#REF!</f>
        <v>#REF!</v>
      </c>
      <c r="I17" s="16"/>
      <c r="J17" s="17">
        <v>0</v>
      </c>
      <c r="K17" s="17">
        <v>0</v>
      </c>
      <c r="L17" s="17">
        <v>0</v>
      </c>
      <c r="M17" s="16"/>
      <c r="N17" s="80">
        <v>12</v>
      </c>
      <c r="O17" s="11">
        <f t="shared" si="0"/>
        <v>37</v>
      </c>
      <c r="P17" s="34"/>
      <c r="Q17" s="11">
        <f t="shared" si="1"/>
        <v>16</v>
      </c>
      <c r="R17" s="11">
        <f t="shared" si="2"/>
        <v>3</v>
      </c>
      <c r="S17" s="34"/>
      <c r="T17" s="11">
        <f t="shared" si="3"/>
        <v>30</v>
      </c>
      <c r="U17" s="35"/>
    </row>
    <row r="18" spans="1:21" x14ac:dyDescent="0.2">
      <c r="A18" s="80">
        <v>13</v>
      </c>
      <c r="B18" s="41">
        <v>2015</v>
      </c>
      <c r="C18" s="15"/>
      <c r="D18" s="40">
        <v>24944</v>
      </c>
      <c r="E18" s="42">
        <v>2689</v>
      </c>
      <c r="F18" s="15"/>
      <c r="G18" s="41">
        <v>231027</v>
      </c>
      <c r="H18" s="45" t="e">
        <f>#REF!-#REF!</f>
        <v>#REF!</v>
      </c>
      <c r="I18" s="16"/>
      <c r="J18" s="17">
        <v>0</v>
      </c>
      <c r="K18" s="17">
        <v>0</v>
      </c>
      <c r="L18" s="17">
        <v>0</v>
      </c>
      <c r="M18" s="16"/>
      <c r="N18" s="80">
        <v>13</v>
      </c>
      <c r="O18" s="11">
        <f t="shared" si="0"/>
        <v>28</v>
      </c>
      <c r="P18" s="34"/>
      <c r="Q18" s="11">
        <f t="shared" si="1"/>
        <v>15</v>
      </c>
      <c r="R18" s="11">
        <f t="shared" si="2"/>
        <v>2</v>
      </c>
      <c r="S18" s="34"/>
      <c r="T18" s="11">
        <f t="shared" si="3"/>
        <v>29</v>
      </c>
      <c r="U18" s="35"/>
    </row>
    <row r="19" spans="1:21" x14ac:dyDescent="0.2">
      <c r="A19" s="80">
        <v>14</v>
      </c>
      <c r="B19" s="41">
        <v>2051</v>
      </c>
      <c r="C19" s="15"/>
      <c r="D19" s="40">
        <v>24957</v>
      </c>
      <c r="E19" s="42">
        <v>2692</v>
      </c>
      <c r="F19" s="15"/>
      <c r="G19" s="41">
        <v>231056</v>
      </c>
      <c r="H19" s="45" t="e">
        <f>#REF!-#REF!</f>
        <v>#REF!</v>
      </c>
      <c r="I19" s="16"/>
      <c r="J19" s="17">
        <v>0</v>
      </c>
      <c r="K19" s="17">
        <v>0</v>
      </c>
      <c r="L19" s="17">
        <v>0</v>
      </c>
      <c r="M19" s="16"/>
      <c r="N19" s="80">
        <v>14</v>
      </c>
      <c r="O19" s="11">
        <f t="shared" si="0"/>
        <v>36</v>
      </c>
      <c r="P19" s="34"/>
      <c r="Q19" s="11">
        <f t="shared" si="1"/>
        <v>13</v>
      </c>
      <c r="R19" s="11">
        <f t="shared" si="2"/>
        <v>3</v>
      </c>
      <c r="S19" s="34"/>
      <c r="T19" s="11">
        <f t="shared" si="3"/>
        <v>29</v>
      </c>
      <c r="U19" s="35"/>
    </row>
    <row r="20" spans="1:21" x14ac:dyDescent="0.2">
      <c r="A20" s="80">
        <v>15</v>
      </c>
      <c r="B20" s="41">
        <v>2087</v>
      </c>
      <c r="C20" s="15"/>
      <c r="D20" s="40">
        <v>24970</v>
      </c>
      <c r="E20" s="42">
        <v>2697</v>
      </c>
      <c r="F20" s="15"/>
      <c r="G20" s="41">
        <v>231086</v>
      </c>
      <c r="H20" s="45" t="e">
        <f>#REF!-#REF!</f>
        <v>#REF!</v>
      </c>
      <c r="I20" s="16"/>
      <c r="J20" s="17">
        <v>0</v>
      </c>
      <c r="K20" s="17">
        <v>0</v>
      </c>
      <c r="L20" s="17">
        <v>0</v>
      </c>
      <c r="M20" s="16"/>
      <c r="N20" s="80">
        <v>15</v>
      </c>
      <c r="O20" s="11">
        <f t="shared" si="0"/>
        <v>36</v>
      </c>
      <c r="P20" s="34"/>
      <c r="Q20" s="11">
        <f t="shared" si="1"/>
        <v>13</v>
      </c>
      <c r="R20" s="11">
        <f t="shared" si="2"/>
        <v>5</v>
      </c>
      <c r="S20" s="34"/>
      <c r="T20" s="11">
        <f t="shared" si="3"/>
        <v>30</v>
      </c>
      <c r="U20" s="35"/>
    </row>
    <row r="21" spans="1:21" x14ac:dyDescent="0.2">
      <c r="A21" s="80">
        <v>16</v>
      </c>
      <c r="B21" s="41">
        <v>2114</v>
      </c>
      <c r="C21" s="15"/>
      <c r="D21" s="40">
        <v>24991</v>
      </c>
      <c r="E21" s="42">
        <v>2697</v>
      </c>
      <c r="F21" s="15"/>
      <c r="G21" s="41">
        <v>231126</v>
      </c>
      <c r="H21" s="45" t="e">
        <f>#REF!-#REF!</f>
        <v>#REF!</v>
      </c>
      <c r="I21" s="16"/>
      <c r="J21" s="17">
        <v>0</v>
      </c>
      <c r="K21" s="17">
        <v>0</v>
      </c>
      <c r="L21" s="17">
        <v>0</v>
      </c>
      <c r="M21" s="16"/>
      <c r="N21" s="80">
        <v>16</v>
      </c>
      <c r="O21" s="11">
        <f t="shared" si="0"/>
        <v>27</v>
      </c>
      <c r="P21" s="34"/>
      <c r="Q21" s="11">
        <f t="shared" si="1"/>
        <v>21</v>
      </c>
      <c r="R21" s="11">
        <f t="shared" si="2"/>
        <v>0</v>
      </c>
      <c r="S21" s="34"/>
      <c r="T21" s="11">
        <f t="shared" si="3"/>
        <v>40</v>
      </c>
      <c r="U21" s="35"/>
    </row>
    <row r="22" spans="1:21" x14ac:dyDescent="0.2">
      <c r="A22" s="80">
        <v>17</v>
      </c>
      <c r="B22" s="41">
        <v>2145</v>
      </c>
      <c r="C22" s="15"/>
      <c r="D22" s="40">
        <v>25004</v>
      </c>
      <c r="E22" s="42">
        <v>2700</v>
      </c>
      <c r="F22" s="15"/>
      <c r="G22" s="41">
        <v>231170</v>
      </c>
      <c r="H22" s="45" t="e">
        <f>#REF!-#REF!</f>
        <v>#REF!</v>
      </c>
      <c r="I22" s="16"/>
      <c r="J22" s="17">
        <v>0</v>
      </c>
      <c r="K22" s="17">
        <v>0</v>
      </c>
      <c r="L22" s="17">
        <v>0</v>
      </c>
      <c r="M22" s="16"/>
      <c r="N22" s="80">
        <v>17</v>
      </c>
      <c r="O22" s="11">
        <f t="shared" si="0"/>
        <v>31</v>
      </c>
      <c r="P22" s="34"/>
      <c r="Q22" s="11">
        <f t="shared" si="1"/>
        <v>13</v>
      </c>
      <c r="R22" s="11">
        <f t="shared" si="2"/>
        <v>3</v>
      </c>
      <c r="S22" s="34"/>
      <c r="T22" s="11">
        <f t="shared" si="3"/>
        <v>44</v>
      </c>
      <c r="U22" s="35"/>
    </row>
    <row r="23" spans="1:21" x14ac:dyDescent="0.2">
      <c r="A23" s="80">
        <v>18</v>
      </c>
      <c r="B23" s="41">
        <v>2177</v>
      </c>
      <c r="C23" s="15"/>
      <c r="D23" s="40">
        <v>25018</v>
      </c>
      <c r="E23" s="42">
        <v>2703</v>
      </c>
      <c r="F23" s="15"/>
      <c r="G23" s="41">
        <v>231213</v>
      </c>
      <c r="H23" s="45" t="e">
        <f>#REF!-#REF!</f>
        <v>#REF!</v>
      </c>
      <c r="I23" s="16" t="s">
        <v>85</v>
      </c>
      <c r="J23" s="17">
        <v>0</v>
      </c>
      <c r="K23" s="17">
        <v>0</v>
      </c>
      <c r="L23" s="17">
        <v>0</v>
      </c>
      <c r="M23" s="16"/>
      <c r="N23" s="80">
        <v>18</v>
      </c>
      <c r="O23" s="11">
        <f t="shared" si="0"/>
        <v>32</v>
      </c>
      <c r="P23" s="34"/>
      <c r="Q23" s="11">
        <f t="shared" si="1"/>
        <v>14</v>
      </c>
      <c r="R23" s="11">
        <f t="shared" si="2"/>
        <v>3</v>
      </c>
      <c r="S23" s="34"/>
      <c r="T23" s="11">
        <f t="shared" si="3"/>
        <v>43</v>
      </c>
      <c r="U23" s="35"/>
    </row>
    <row r="24" spans="1:21" x14ac:dyDescent="0.2">
      <c r="A24" s="80">
        <v>19</v>
      </c>
      <c r="B24" s="41">
        <v>2210</v>
      </c>
      <c r="C24" s="15"/>
      <c r="D24" s="40">
        <v>25030</v>
      </c>
      <c r="E24" s="42">
        <v>2706</v>
      </c>
      <c r="F24" s="15"/>
      <c r="G24" s="41">
        <v>231258</v>
      </c>
      <c r="H24" s="45" t="e">
        <f>#REF!-#REF!</f>
        <v>#REF!</v>
      </c>
      <c r="I24" s="16" t="s">
        <v>85</v>
      </c>
      <c r="J24" s="17">
        <v>0</v>
      </c>
      <c r="K24" s="17">
        <v>0</v>
      </c>
      <c r="L24" s="17">
        <v>0</v>
      </c>
      <c r="M24" s="16"/>
      <c r="N24" s="80">
        <v>19</v>
      </c>
      <c r="O24" s="11">
        <f t="shared" si="0"/>
        <v>33</v>
      </c>
      <c r="P24" s="34"/>
      <c r="Q24" s="11">
        <f t="shared" si="1"/>
        <v>12</v>
      </c>
      <c r="R24" s="11">
        <f t="shared" si="2"/>
        <v>3</v>
      </c>
      <c r="S24" s="34"/>
      <c r="T24" s="11">
        <f t="shared" si="3"/>
        <v>45</v>
      </c>
      <c r="U24" s="35"/>
    </row>
    <row r="25" spans="1:21" x14ac:dyDescent="0.2">
      <c r="A25" s="80">
        <v>20</v>
      </c>
      <c r="B25" s="41">
        <v>2245</v>
      </c>
      <c r="C25" s="15"/>
      <c r="D25" s="40">
        <v>25048</v>
      </c>
      <c r="E25" s="42">
        <v>2710</v>
      </c>
      <c r="F25" s="15"/>
      <c r="G25" s="41">
        <v>231296</v>
      </c>
      <c r="H25" s="45" t="e">
        <f>#REF!-#REF!</f>
        <v>#REF!</v>
      </c>
      <c r="I25" s="16" t="s">
        <v>85</v>
      </c>
      <c r="J25" s="17">
        <v>0</v>
      </c>
      <c r="K25" s="17">
        <v>0</v>
      </c>
      <c r="L25" s="17">
        <v>0</v>
      </c>
      <c r="M25" s="16"/>
      <c r="N25" s="80">
        <v>20</v>
      </c>
      <c r="O25" s="11">
        <f t="shared" si="0"/>
        <v>35</v>
      </c>
      <c r="P25" s="34"/>
      <c r="Q25" s="11">
        <f t="shared" si="1"/>
        <v>18</v>
      </c>
      <c r="R25" s="11">
        <f t="shared" si="2"/>
        <v>4</v>
      </c>
      <c r="S25" s="34"/>
      <c r="T25" s="11">
        <f t="shared" si="3"/>
        <v>38</v>
      </c>
      <c r="U25" s="35"/>
    </row>
    <row r="26" spans="1:21" x14ac:dyDescent="0.2">
      <c r="A26" s="80">
        <v>21</v>
      </c>
      <c r="B26" s="41">
        <v>2276</v>
      </c>
      <c r="C26" s="15"/>
      <c r="D26" s="40">
        <v>25060</v>
      </c>
      <c r="E26" s="42">
        <v>2714</v>
      </c>
      <c r="F26" s="15"/>
      <c r="G26" s="41">
        <v>231332</v>
      </c>
      <c r="H26" s="45" t="e">
        <f>#REF!-#REF!</f>
        <v>#REF!</v>
      </c>
      <c r="I26" s="16" t="s">
        <v>85</v>
      </c>
      <c r="J26" s="17">
        <v>0</v>
      </c>
      <c r="K26" s="17">
        <v>0</v>
      </c>
      <c r="L26" s="17">
        <v>0</v>
      </c>
      <c r="M26" s="16"/>
      <c r="N26" s="80">
        <v>21</v>
      </c>
      <c r="O26" s="11">
        <f t="shared" si="0"/>
        <v>31</v>
      </c>
      <c r="P26" s="34"/>
      <c r="Q26" s="11">
        <f t="shared" si="1"/>
        <v>12</v>
      </c>
      <c r="R26" s="11">
        <f t="shared" si="2"/>
        <v>4</v>
      </c>
      <c r="S26" s="34"/>
      <c r="T26" s="11">
        <f t="shared" si="3"/>
        <v>36</v>
      </c>
      <c r="U26" s="35"/>
    </row>
    <row r="27" spans="1:21" x14ac:dyDescent="0.2">
      <c r="A27" s="80">
        <v>22</v>
      </c>
      <c r="B27" s="41">
        <v>2312</v>
      </c>
      <c r="C27" s="15"/>
      <c r="D27" s="40">
        <v>25076</v>
      </c>
      <c r="E27" s="42">
        <v>2718</v>
      </c>
      <c r="F27" s="15"/>
      <c r="G27" s="41">
        <v>231370</v>
      </c>
      <c r="H27" s="45" t="e">
        <f>#REF!-#REF!</f>
        <v>#REF!</v>
      </c>
      <c r="I27" s="16" t="s">
        <v>85</v>
      </c>
      <c r="J27" s="17">
        <v>0</v>
      </c>
      <c r="K27" s="17">
        <v>0</v>
      </c>
      <c r="L27" s="17">
        <v>0</v>
      </c>
      <c r="M27" s="16"/>
      <c r="N27" s="80">
        <v>22</v>
      </c>
      <c r="O27" s="11">
        <f t="shared" si="0"/>
        <v>36</v>
      </c>
      <c r="P27" s="34"/>
      <c r="Q27" s="11">
        <f t="shared" si="1"/>
        <v>16</v>
      </c>
      <c r="R27" s="11">
        <f t="shared" si="2"/>
        <v>4</v>
      </c>
      <c r="S27" s="34"/>
      <c r="T27" s="11">
        <f t="shared" si="3"/>
        <v>38</v>
      </c>
      <c r="U27" s="35"/>
    </row>
    <row r="28" spans="1:21" x14ac:dyDescent="0.2">
      <c r="A28" s="80">
        <v>23</v>
      </c>
      <c r="B28" s="41">
        <v>2346</v>
      </c>
      <c r="C28" s="15"/>
      <c r="D28" s="40">
        <v>25091</v>
      </c>
      <c r="E28" s="42">
        <v>2721</v>
      </c>
      <c r="F28" s="15"/>
      <c r="G28" s="41">
        <v>231406</v>
      </c>
      <c r="H28" s="45" t="e">
        <f>#REF!-#REF!</f>
        <v>#REF!</v>
      </c>
      <c r="I28" s="16" t="s">
        <v>85</v>
      </c>
      <c r="J28" s="17">
        <v>0</v>
      </c>
      <c r="K28" s="17">
        <v>0</v>
      </c>
      <c r="L28" s="17">
        <v>0</v>
      </c>
      <c r="M28" s="16"/>
      <c r="N28" s="80">
        <v>23</v>
      </c>
      <c r="O28" s="11">
        <f t="shared" si="0"/>
        <v>34</v>
      </c>
      <c r="P28" s="34"/>
      <c r="Q28" s="11">
        <f t="shared" si="1"/>
        <v>15</v>
      </c>
      <c r="R28" s="11">
        <f t="shared" si="2"/>
        <v>3</v>
      </c>
      <c r="S28" s="34"/>
      <c r="T28" s="11">
        <f t="shared" si="3"/>
        <v>36</v>
      </c>
      <c r="U28" s="35"/>
    </row>
    <row r="29" spans="1:21" x14ac:dyDescent="0.2">
      <c r="A29" s="80">
        <v>24</v>
      </c>
      <c r="B29" s="41">
        <v>2373</v>
      </c>
      <c r="C29" s="15"/>
      <c r="D29" s="40">
        <v>25099</v>
      </c>
      <c r="E29" s="42">
        <v>2723</v>
      </c>
      <c r="F29" s="15"/>
      <c r="G29" s="41">
        <v>231448</v>
      </c>
      <c r="H29" s="45" t="e">
        <f>#REF!-#REF!</f>
        <v>#REF!</v>
      </c>
      <c r="I29" s="16" t="s">
        <v>85</v>
      </c>
      <c r="J29" s="17">
        <v>0</v>
      </c>
      <c r="K29" s="17">
        <v>0</v>
      </c>
      <c r="L29" s="17">
        <v>0</v>
      </c>
      <c r="M29" s="16"/>
      <c r="N29" s="80">
        <v>24</v>
      </c>
      <c r="O29" s="11">
        <f t="shared" si="0"/>
        <v>27</v>
      </c>
      <c r="P29" s="34"/>
      <c r="Q29" s="11">
        <f t="shared" si="1"/>
        <v>8</v>
      </c>
      <c r="R29" s="11">
        <f t="shared" si="2"/>
        <v>2</v>
      </c>
      <c r="S29" s="34"/>
      <c r="T29" s="11">
        <f t="shared" si="3"/>
        <v>42</v>
      </c>
      <c r="U29" s="35"/>
    </row>
    <row r="30" spans="1:21" x14ac:dyDescent="0.2">
      <c r="A30" s="80">
        <v>25</v>
      </c>
      <c r="B30" s="41">
        <v>2396</v>
      </c>
      <c r="C30" s="15"/>
      <c r="D30" s="40">
        <v>25143</v>
      </c>
      <c r="E30" s="42">
        <v>2724</v>
      </c>
      <c r="F30" s="15"/>
      <c r="G30" s="41">
        <v>231485</v>
      </c>
      <c r="H30" s="45" t="e">
        <f>#REF!-#REF!</f>
        <v>#REF!</v>
      </c>
      <c r="I30" s="16" t="s">
        <v>85</v>
      </c>
      <c r="J30" s="17">
        <v>0</v>
      </c>
      <c r="K30" s="17">
        <v>0</v>
      </c>
      <c r="L30" s="17">
        <v>0</v>
      </c>
      <c r="M30" s="16"/>
      <c r="N30" s="80">
        <v>25</v>
      </c>
      <c r="O30" s="11">
        <f t="shared" si="0"/>
        <v>23</v>
      </c>
      <c r="P30" s="34"/>
      <c r="Q30" s="11">
        <f t="shared" si="1"/>
        <v>44</v>
      </c>
      <c r="R30" s="11">
        <f t="shared" si="2"/>
        <v>1</v>
      </c>
      <c r="S30" s="34"/>
      <c r="T30" s="11">
        <f t="shared" si="3"/>
        <v>37</v>
      </c>
      <c r="U30" s="35"/>
    </row>
    <row r="31" spans="1:21" x14ac:dyDescent="0.2">
      <c r="A31" s="80">
        <v>26</v>
      </c>
      <c r="B31" s="41">
        <v>2432</v>
      </c>
      <c r="C31" s="15"/>
      <c r="D31" s="40">
        <v>25125</v>
      </c>
      <c r="E31" s="42">
        <v>2726</v>
      </c>
      <c r="F31" s="15"/>
      <c r="G31" s="41">
        <v>231523</v>
      </c>
      <c r="H31" s="45" t="e">
        <f>#REF!-#REF!</f>
        <v>#REF!</v>
      </c>
      <c r="I31" s="16"/>
      <c r="J31" s="17">
        <v>0</v>
      </c>
      <c r="K31" s="17">
        <v>0</v>
      </c>
      <c r="L31" s="17">
        <v>0</v>
      </c>
      <c r="M31" s="16"/>
      <c r="N31" s="80">
        <v>26</v>
      </c>
      <c r="O31" s="11">
        <f t="shared" si="0"/>
        <v>36</v>
      </c>
      <c r="P31" s="34"/>
      <c r="Q31" s="11">
        <f t="shared" si="1"/>
        <v>-18</v>
      </c>
      <c r="R31" s="11">
        <f t="shared" si="2"/>
        <v>2</v>
      </c>
      <c r="S31" s="34"/>
      <c r="T31" s="11">
        <f t="shared" si="3"/>
        <v>38</v>
      </c>
      <c r="U31" s="35"/>
    </row>
    <row r="32" spans="1:21" x14ac:dyDescent="0.2">
      <c r="A32" s="80">
        <v>27</v>
      </c>
      <c r="B32" s="41">
        <v>2466</v>
      </c>
      <c r="C32" s="15"/>
      <c r="D32" s="40">
        <v>25140</v>
      </c>
      <c r="E32" s="42">
        <v>2728</v>
      </c>
      <c r="F32" s="15"/>
      <c r="G32" s="41">
        <v>231562</v>
      </c>
      <c r="H32" s="45" t="e">
        <f>#REF!-#REF!</f>
        <v>#REF!</v>
      </c>
      <c r="I32" s="16"/>
      <c r="J32" s="17">
        <v>0</v>
      </c>
      <c r="K32" s="17">
        <v>0</v>
      </c>
      <c r="L32" s="17">
        <v>0</v>
      </c>
      <c r="M32" s="16"/>
      <c r="N32" s="80">
        <v>27</v>
      </c>
      <c r="O32" s="11">
        <f t="shared" si="0"/>
        <v>34</v>
      </c>
      <c r="P32" s="34"/>
      <c r="Q32" s="11">
        <f t="shared" si="1"/>
        <v>15</v>
      </c>
      <c r="R32" s="11">
        <f t="shared" si="2"/>
        <v>2</v>
      </c>
      <c r="S32" s="34"/>
      <c r="T32" s="11">
        <f t="shared" si="3"/>
        <v>39</v>
      </c>
      <c r="U32" s="35"/>
    </row>
    <row r="33" spans="1:21" x14ac:dyDescent="0.2">
      <c r="A33" s="80">
        <v>28</v>
      </c>
      <c r="B33" s="41">
        <v>2496</v>
      </c>
      <c r="C33" s="15"/>
      <c r="D33" s="40">
        <v>25152</v>
      </c>
      <c r="E33" s="42">
        <v>2734</v>
      </c>
      <c r="F33" s="15"/>
      <c r="G33" s="41">
        <v>231600</v>
      </c>
      <c r="H33" s="45" t="e">
        <f>#REF!-#REF!</f>
        <v>#REF!</v>
      </c>
      <c r="I33" s="16"/>
      <c r="J33" s="17">
        <v>0</v>
      </c>
      <c r="K33" s="17">
        <v>0</v>
      </c>
      <c r="L33" s="17">
        <v>0</v>
      </c>
      <c r="M33" s="16"/>
      <c r="N33" s="80">
        <v>28</v>
      </c>
      <c r="O33" s="11">
        <f t="shared" si="0"/>
        <v>30</v>
      </c>
      <c r="P33" s="34"/>
      <c r="Q33" s="11">
        <f t="shared" si="1"/>
        <v>12</v>
      </c>
      <c r="R33" s="11">
        <f t="shared" si="2"/>
        <v>6</v>
      </c>
      <c r="S33" s="34"/>
      <c r="T33" s="11">
        <f t="shared" si="3"/>
        <v>38</v>
      </c>
      <c r="U33" s="35"/>
    </row>
    <row r="34" spans="1:21" x14ac:dyDescent="0.2">
      <c r="A34" s="80">
        <v>29</v>
      </c>
      <c r="B34" s="41">
        <v>2518</v>
      </c>
      <c r="C34" s="15"/>
      <c r="D34" s="40">
        <v>25157</v>
      </c>
      <c r="E34" s="42">
        <v>2734</v>
      </c>
      <c r="F34" s="15"/>
      <c r="G34" s="41">
        <v>231641</v>
      </c>
      <c r="H34" s="45" t="e">
        <f>#REF!-#REF!</f>
        <v>#REF!</v>
      </c>
      <c r="I34" s="16"/>
      <c r="J34" s="17">
        <v>0</v>
      </c>
      <c r="K34" s="17">
        <v>0</v>
      </c>
      <c r="L34" s="17">
        <v>0</v>
      </c>
      <c r="M34" s="16"/>
      <c r="N34" s="80">
        <v>29</v>
      </c>
      <c r="O34" s="11">
        <f t="shared" si="0"/>
        <v>22</v>
      </c>
      <c r="P34" s="34"/>
      <c r="Q34" s="11">
        <f t="shared" si="1"/>
        <v>5</v>
      </c>
      <c r="R34" s="11">
        <f t="shared" si="2"/>
        <v>0</v>
      </c>
      <c r="S34" s="34"/>
      <c r="T34" s="11">
        <f t="shared" si="3"/>
        <v>41</v>
      </c>
      <c r="U34" s="35"/>
    </row>
    <row r="35" spans="1:21" x14ac:dyDescent="0.2">
      <c r="A35" s="80">
        <v>30</v>
      </c>
      <c r="B35" s="41">
        <v>2542</v>
      </c>
      <c r="C35" s="15"/>
      <c r="D35" s="40">
        <v>25163</v>
      </c>
      <c r="E35" s="42">
        <v>2734</v>
      </c>
      <c r="F35" s="15"/>
      <c r="G35" s="41">
        <v>231711</v>
      </c>
      <c r="H35" s="45" t="e">
        <f>#REF!-#REF!</f>
        <v>#REF!</v>
      </c>
      <c r="I35" s="16"/>
      <c r="J35" s="17">
        <v>0</v>
      </c>
      <c r="K35" s="17">
        <v>0</v>
      </c>
      <c r="L35" s="17">
        <v>0</v>
      </c>
      <c r="M35" s="16"/>
      <c r="N35" s="80">
        <v>30</v>
      </c>
      <c r="O35" s="11">
        <f t="shared" si="0"/>
        <v>24</v>
      </c>
      <c r="P35" s="34"/>
      <c r="Q35" s="11">
        <f t="shared" si="1"/>
        <v>6</v>
      </c>
      <c r="R35" s="11">
        <f t="shared" si="2"/>
        <v>0</v>
      </c>
      <c r="S35" s="34"/>
      <c r="T35" s="11">
        <f t="shared" si="3"/>
        <v>70</v>
      </c>
      <c r="U35" s="35"/>
    </row>
    <row r="36" spans="1:21" x14ac:dyDescent="0.2">
      <c r="A36" s="80">
        <v>31</v>
      </c>
      <c r="B36" s="41"/>
      <c r="C36" s="15"/>
      <c r="D36" s="40"/>
      <c r="E36" s="42"/>
      <c r="F36" s="15"/>
      <c r="G36" s="41"/>
      <c r="H36" s="45"/>
      <c r="I36" s="16"/>
      <c r="J36" s="17">
        <v>0</v>
      </c>
      <c r="K36" s="17">
        <v>0</v>
      </c>
      <c r="L36" s="17">
        <v>0</v>
      </c>
      <c r="M36" s="16"/>
      <c r="N36" s="80">
        <v>31</v>
      </c>
      <c r="O36" s="11">
        <f t="shared" si="0"/>
        <v>-2542</v>
      </c>
      <c r="P36" s="34"/>
      <c r="Q36" s="11">
        <f t="shared" si="1"/>
        <v>-25163</v>
      </c>
      <c r="R36" s="11">
        <f t="shared" si="2"/>
        <v>-2734</v>
      </c>
      <c r="S36" s="34"/>
      <c r="T36" s="11">
        <f t="shared" si="3"/>
        <v>-231711</v>
      </c>
      <c r="U36" s="36"/>
    </row>
    <row r="37" spans="1:21" x14ac:dyDescent="0.2">
      <c r="B37" s="20" t="s">
        <v>32</v>
      </c>
      <c r="D37" s="19" t="s">
        <v>32</v>
      </c>
      <c r="E37" s="21" t="s">
        <v>33</v>
      </c>
      <c r="G37" s="20" t="s">
        <v>31</v>
      </c>
    </row>
    <row r="39" spans="1:21" x14ac:dyDescent="0.2">
      <c r="A39" s="80" t="s">
        <v>34</v>
      </c>
      <c r="B39" s="10">
        <f t="shared" ref="B39" si="4">LARGE(B5:B36, 1)</f>
        <v>2542</v>
      </c>
      <c r="C39" s="23"/>
      <c r="D39" s="10">
        <f>LARGE(D5:D36, 1)</f>
        <v>25163</v>
      </c>
      <c r="E39" s="24">
        <f>LARGE(E5:E36, 1)</f>
        <v>2734</v>
      </c>
      <c r="F39" s="8"/>
      <c r="G39" s="22">
        <f>LARGE(G5:G36, 1)</f>
        <v>231711</v>
      </c>
      <c r="H39" s="19"/>
      <c r="I39" s="9"/>
      <c r="J39" s="11">
        <f>LARGE(J5:J36, 1)</f>
        <v>0</v>
      </c>
      <c r="K39" s="11">
        <f>LARGE(K5:K36, 1)</f>
        <v>0</v>
      </c>
      <c r="L39" s="11">
        <f>LARGE(L5:L36, 1)</f>
        <v>0</v>
      </c>
      <c r="N39" s="80" t="s">
        <v>35</v>
      </c>
      <c r="O39" s="55">
        <f t="shared" ref="O39" si="5">AVERAGEIF($M$6:$M$36, "x",O6:O36)</f>
        <v>34</v>
      </c>
      <c r="P39" s="56"/>
      <c r="Q39" s="55">
        <f>AVERAGEIF($M$6:$M$36, "x",Q6:Q36)</f>
        <v>11</v>
      </c>
      <c r="R39" s="55">
        <f>AVERAGEIF($M$6:$M$36, "x",R6:R36)</f>
        <v>1</v>
      </c>
      <c r="S39" s="56"/>
      <c r="T39" s="55">
        <f>AVERAGEIF($M$6:$M$36, "x",T6:T36)</f>
        <v>39</v>
      </c>
    </row>
    <row r="40" spans="1:21" x14ac:dyDescent="0.2">
      <c r="O40" s="56"/>
      <c r="P40" s="56"/>
      <c r="Q40" s="56"/>
      <c r="R40" s="56"/>
      <c r="S40" s="56"/>
      <c r="T40" s="56"/>
    </row>
    <row r="41" spans="1:21" x14ac:dyDescent="0.2">
      <c r="B41" s="25" t="s">
        <v>36</v>
      </c>
      <c r="N41" s="95" t="s">
        <v>37</v>
      </c>
      <c r="O41" s="56"/>
      <c r="P41" s="56"/>
      <c r="Q41" s="56"/>
      <c r="R41" s="56"/>
      <c r="S41" s="56"/>
      <c r="T41" s="56"/>
    </row>
    <row r="42" spans="1:21" x14ac:dyDescent="0.2">
      <c r="B42" s="26">
        <f t="shared" ref="B42:L42" si="6">B39-B5</f>
        <v>945</v>
      </c>
      <c r="D42" s="26">
        <f t="shared" si="6"/>
        <v>400</v>
      </c>
      <c r="E42" s="26">
        <f t="shared" si="6"/>
        <v>78</v>
      </c>
      <c r="G42" s="26">
        <f t="shared" si="6"/>
        <v>1122</v>
      </c>
      <c r="H42" s="26"/>
      <c r="J42" s="26">
        <f t="shared" si="6"/>
        <v>0</v>
      </c>
      <c r="K42" s="26">
        <f t="shared" si="6"/>
        <v>0</v>
      </c>
      <c r="L42" s="26">
        <f t="shared" si="6"/>
        <v>0</v>
      </c>
      <c r="N42" s="96"/>
      <c r="O42" s="53">
        <f>Oct!O39</f>
        <v>552</v>
      </c>
      <c r="P42" s="57"/>
      <c r="Q42" s="53">
        <f>Oct!Q39</f>
        <v>24283</v>
      </c>
      <c r="R42" s="53">
        <f>Oct!R39</f>
        <v>2583</v>
      </c>
      <c r="S42" s="57"/>
      <c r="T42" s="53">
        <f>Oct!T39</f>
        <v>229598</v>
      </c>
    </row>
    <row r="43" spans="1:21" x14ac:dyDescent="0.2">
      <c r="N43" s="80">
        <v>1.5</v>
      </c>
      <c r="O43" s="54">
        <f>O42*$N$43</f>
        <v>828</v>
      </c>
      <c r="P43" s="56"/>
      <c r="Q43" s="54">
        <f t="shared" ref="Q43:R43" si="7">Q42*$N$43</f>
        <v>36424.5</v>
      </c>
      <c r="R43" s="54">
        <f t="shared" si="7"/>
        <v>3874.5</v>
      </c>
      <c r="S43" s="56"/>
      <c r="T43" s="54">
        <f t="shared" ref="T43" si="8">T42*$N$43</f>
        <v>344397</v>
      </c>
    </row>
    <row r="44" spans="1:21" ht="14.45" customHeight="1" x14ac:dyDescent="0.2">
      <c r="C44" s="65"/>
      <c r="D44" s="65"/>
      <c r="E44" s="65"/>
      <c r="F44" s="64"/>
      <c r="G44" s="64"/>
      <c r="N44" s="80">
        <v>0.5</v>
      </c>
      <c r="O44" s="54">
        <f>O42*$N$44</f>
        <v>276</v>
      </c>
      <c r="P44" s="56"/>
      <c r="Q44" s="54">
        <f t="shared" ref="Q44:R44" si="9">Q42*$N$44</f>
        <v>12141.5</v>
      </c>
      <c r="R44" s="54">
        <f t="shared" si="9"/>
        <v>1291.5</v>
      </c>
      <c r="S44" s="56"/>
      <c r="T44" s="54">
        <f t="shared" ref="T44" si="10">T42*$N$44</f>
        <v>114799</v>
      </c>
    </row>
    <row r="45" spans="1:21" x14ac:dyDescent="0.2">
      <c r="H45" s="11" t="e">
        <f>AVERAGE(H6:H36)</f>
        <v>#REF!</v>
      </c>
    </row>
    <row r="46" spans="1:21" ht="32.1" customHeight="1" x14ac:dyDescent="0.2">
      <c r="O46" s="58" t="s">
        <v>38</v>
      </c>
      <c r="P46" s="82"/>
      <c r="Q46" s="82"/>
      <c r="R46" s="82"/>
      <c r="S46" s="82"/>
      <c r="T46" s="82"/>
    </row>
    <row r="47" spans="1:21" ht="32.1" customHeight="1" x14ac:dyDescent="0.2">
      <c r="O47" s="59" t="s">
        <v>40</v>
      </c>
      <c r="P47" s="82"/>
      <c r="Q47" s="82"/>
      <c r="R47" s="82"/>
      <c r="S47" s="82"/>
      <c r="T47" s="82"/>
    </row>
    <row r="48" spans="1:21" ht="32.1" customHeight="1" x14ac:dyDescent="0.2">
      <c r="N48" s="63" t="s">
        <v>42</v>
      </c>
      <c r="O48" s="60" t="s">
        <v>43</v>
      </c>
      <c r="P48" s="82"/>
      <c r="Q48" s="82"/>
      <c r="R48" s="82"/>
      <c r="S48" s="82"/>
      <c r="T48" s="82"/>
    </row>
    <row r="49" spans="8:20" ht="32.1" customHeight="1" x14ac:dyDescent="0.2">
      <c r="O49" s="61" t="s">
        <v>45</v>
      </c>
      <c r="P49" s="83"/>
      <c r="Q49" s="83"/>
      <c r="R49" s="83"/>
      <c r="S49" s="83"/>
      <c r="T49" s="83"/>
    </row>
    <row r="50" spans="8:20" ht="32.1" customHeight="1" x14ac:dyDescent="0.2">
      <c r="N50" s="63" t="s">
        <v>42</v>
      </c>
      <c r="O50" s="62" t="s">
        <v>47</v>
      </c>
      <c r="P50" s="83"/>
      <c r="Q50" s="83"/>
      <c r="R50" s="83"/>
      <c r="S50" s="83"/>
      <c r="T50" s="83"/>
    </row>
    <row r="51" spans="8:20" x14ac:dyDescent="0.2">
      <c r="H51" s="11" t="e">
        <f>AVERAGE(H6:H36)</f>
        <v>#REF!</v>
      </c>
    </row>
    <row r="60" spans="8:20" x14ac:dyDescent="0.2">
      <c r="I60" t="s">
        <v>86</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397" priority="195" operator="lessThan">
      <formula>0</formula>
    </cfRule>
  </conditionalFormatting>
  <conditionalFormatting sqref="O43:O44 Q43:R44 T43:T44">
    <cfRule type="cellIs" dxfId="396" priority="194" operator="lessThan">
      <formula>0</formula>
    </cfRule>
  </conditionalFormatting>
  <conditionalFormatting sqref="O39">
    <cfRule type="cellIs" dxfId="395" priority="50" operator="lessThan">
      <formula>$O$44</formula>
    </cfRule>
    <cfRule type="cellIs" dxfId="394" priority="51" operator="greaterThan">
      <formula>$O$43</formula>
    </cfRule>
  </conditionalFormatting>
  <conditionalFormatting sqref="Q39">
    <cfRule type="cellIs" dxfId="393" priority="42" operator="lessThan">
      <formula>$Q$44</formula>
    </cfRule>
    <cfRule type="cellIs" dxfId="392" priority="43" operator="greaterThan">
      <formula>$Q$43</formula>
    </cfRule>
  </conditionalFormatting>
  <conditionalFormatting sqref="R39">
    <cfRule type="cellIs" dxfId="391" priority="40" operator="lessThan">
      <formula>$R$44</formula>
    </cfRule>
    <cfRule type="cellIs" dxfId="390" priority="41" operator="greaterThan">
      <formula>$R$43</formula>
    </cfRule>
  </conditionalFormatting>
  <conditionalFormatting sqref="T39">
    <cfRule type="cellIs" dxfId="389" priority="34" operator="lessThan">
      <formula>$T$44</formula>
    </cfRule>
    <cfRule type="cellIs" dxfId="388" priority="35" operator="greaterThan">
      <formula>$T$43</formula>
    </cfRule>
  </conditionalFormatting>
  <conditionalFormatting sqref="O6:T36">
    <cfRule type="cellIs" dxfId="387" priority="2" stopIfTrue="1" operator="equal">
      <formula>0</formula>
    </cfRule>
    <cfRule type="cellIs" dxfId="386" priority="3" stopIfTrue="1" operator="lessThan">
      <formula>0</formula>
    </cfRule>
  </conditionalFormatting>
  <conditionalFormatting sqref="O6:O36">
    <cfRule type="cellIs" dxfId="385" priority="25" operator="notBetween">
      <formula>$O$44</formula>
      <formula>$O$43</formula>
    </cfRule>
  </conditionalFormatting>
  <conditionalFormatting sqref="Q6:Q36">
    <cfRule type="cellIs" dxfId="384" priority="18" operator="notBetween">
      <formula>$Q$44</formula>
      <formula>$Q$43</formula>
    </cfRule>
  </conditionalFormatting>
  <conditionalFormatting sqref="R6:R36">
    <cfRule type="cellIs" dxfId="383" priority="19" operator="notBetween">
      <formula>$R$44</formula>
      <formula>$R$43</formula>
    </cfRule>
  </conditionalFormatting>
  <conditionalFormatting sqref="T6:T36">
    <cfRule type="cellIs" dxfId="382" priority="22" operator="notBetween">
      <formula>$T$44</formula>
      <formula>$T$43</formula>
    </cfRule>
  </conditionalFormatting>
  <conditionalFormatting sqref="R6:R39">
    <cfRule type="cellIs" dxfId="381" priority="13" stopIfTrue="1" operator="greaterThan">
      <formula>$R$43*2</formula>
    </cfRule>
  </conditionalFormatting>
  <conditionalFormatting sqref="O6:O39">
    <cfRule type="cellIs" dxfId="380" priority="15" stopIfTrue="1" operator="greaterThan">
      <formula>$O$43*2</formula>
    </cfRule>
  </conditionalFormatting>
  <conditionalFormatting sqref="Q6:Q39">
    <cfRule type="cellIs" dxfId="379" priority="6" stopIfTrue="1" operator="greaterThan">
      <formula>$Q$43*2</formula>
    </cfRule>
  </conditionalFormatting>
  <conditionalFormatting sqref="T6:T39">
    <cfRule type="cellIs" dxfId="378"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&amp;CNovember Meter Reading</oddHeader>
    <oddFoote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51"/>
  <sheetViews>
    <sheetView zoomScaleNormal="100" workbookViewId="0">
      <pane ySplit="3" topLeftCell="A60" activePane="bottomLeft" state="frozen"/>
      <selection pane="bottomLeft" activeCell="AS29" sqref="AS29"/>
    </sheetView>
  </sheetViews>
  <sheetFormatPr defaultColWidth="9.28515625" defaultRowHeight="12.75" x14ac:dyDescent="0.2"/>
  <cols>
    <col min="1" max="1" width="3" style="12" customWidth="1"/>
    <col min="2" max="2" width="8.140625" bestFit="1" customWidth="1"/>
    <col min="3" max="3" width="1.140625" customWidth="1"/>
    <col min="4" max="4" width="14.140625" hidden="1" customWidth="1"/>
    <col min="5" max="5" width="1.140625" hidden="1" customWidth="1"/>
    <col min="6" max="7" width="8" hidden="1" customWidth="1"/>
    <col min="8" max="8" width="0.85546875" customWidth="1"/>
    <col min="9" max="9" width="8.5703125" bestFit="1" customWidth="1"/>
    <col min="10" max="10" width="7.140625" customWidth="1"/>
    <col min="11" max="11" width="0.28515625" customWidth="1"/>
    <col min="12" max="12" width="7.85546875" hidden="1" customWidth="1"/>
    <col min="13" max="13" width="0.85546875" customWidth="1"/>
    <col min="14" max="14" width="7.5703125" bestFit="1" customWidth="1"/>
    <col min="15" max="15" width="1.42578125"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5" max="25" width="9.7109375" bestFit="1" customWidth="1"/>
    <col min="26" max="26" width="1.140625" customWidth="1"/>
    <col min="27" max="27" width="9.42578125" hidden="1" customWidth="1"/>
    <col min="28" max="28" width="10.7109375" hidden="1" customWidth="1"/>
    <col min="29" max="29" width="9.7109375" hidden="1" customWidth="1"/>
    <col min="30" max="30" width="9.42578125" hidden="1" customWidth="1"/>
    <col min="31" max="32" width="0.85546875" customWidth="1"/>
    <col min="33" max="35" width="9.42578125" hidden="1" customWidth="1"/>
    <col min="36" max="36" width="0.85546875" customWidth="1"/>
    <col min="37" max="37" width="9.7109375" bestFit="1" customWidth="1"/>
    <col min="38" max="38" width="0.85546875" customWidth="1"/>
    <col min="39" max="39" width="9.7109375" hidden="1" customWidth="1"/>
    <col min="40" max="40" width="9.42578125" hidden="1" customWidth="1"/>
    <col min="41" max="41" width="0.85546875" customWidth="1"/>
  </cols>
  <sheetData>
    <row r="1" spans="1:41"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1"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85"/>
      <c r="B4" s="85"/>
      <c r="C4" s="85"/>
      <c r="D4" s="85"/>
      <c r="E4" s="85"/>
      <c r="F4" s="85"/>
      <c r="G4" s="85"/>
      <c r="H4" s="85"/>
      <c r="I4" s="85"/>
      <c r="J4" s="85"/>
      <c r="K4" s="85"/>
      <c r="L4" s="85"/>
      <c r="M4" s="85"/>
      <c r="N4" s="85"/>
      <c r="O4" s="85"/>
      <c r="P4" s="85"/>
      <c r="Q4" s="85"/>
      <c r="R4" s="85"/>
      <c r="S4" s="85"/>
      <c r="T4" s="85"/>
      <c r="U4" s="85"/>
      <c r="V4" s="85"/>
      <c r="X4"/>
    </row>
    <row r="5" spans="1:41" ht="12.95" customHeight="1" x14ac:dyDescent="0.2">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c r="X5"/>
    </row>
    <row r="6" spans="1:41" x14ac:dyDescent="0.2">
      <c r="A6" s="7">
        <v>1</v>
      </c>
      <c r="B6" s="40">
        <v>3387</v>
      </c>
      <c r="C6" s="14">
        <v>0</v>
      </c>
      <c r="D6" s="14">
        <v>0</v>
      </c>
      <c r="E6" s="41"/>
      <c r="F6" s="13"/>
      <c r="G6" s="13"/>
      <c r="H6" s="15"/>
      <c r="I6" s="40">
        <v>25383</v>
      </c>
      <c r="J6" s="42">
        <v>2771</v>
      </c>
      <c r="K6" s="42"/>
      <c r="L6" s="18"/>
      <c r="M6" s="15"/>
      <c r="N6" s="41">
        <v>233701</v>
      </c>
      <c r="O6" s="41"/>
      <c r="P6" s="41"/>
      <c r="Q6" s="18"/>
      <c r="R6" s="45" t="e">
        <f>Q6-Q5</f>
        <v>#REF!</v>
      </c>
      <c r="S6" s="16"/>
      <c r="T6" s="17">
        <v>0</v>
      </c>
      <c r="U6" s="17">
        <v>0</v>
      </c>
      <c r="V6" s="17">
        <v>0</v>
      </c>
      <c r="W6" s="43" t="s">
        <v>30</v>
      </c>
      <c r="X6" s="80">
        <v>1</v>
      </c>
      <c r="Y6" s="11">
        <f>B6-B5</f>
        <v>29</v>
      </c>
      <c r="Z6" s="11" t="e">
        <f t="shared" ref="Z6:AD21" si="0">C6-C5</f>
        <v>#REF!</v>
      </c>
      <c r="AA6" s="11" t="e">
        <f t="shared" si="0"/>
        <v>#REF!</v>
      </c>
      <c r="AB6" s="11" t="e">
        <f t="shared" si="0"/>
        <v>#REF!</v>
      </c>
      <c r="AC6" s="11" t="e">
        <f t="shared" si="0"/>
        <v>#REF!</v>
      </c>
      <c r="AD6" s="11" t="e">
        <f t="shared" si="0"/>
        <v>#REF!</v>
      </c>
      <c r="AE6" s="34"/>
      <c r="AF6" s="11">
        <f t="shared" ref="AF6:AI21" si="1">I6-I5</f>
        <v>6</v>
      </c>
      <c r="AG6" s="11">
        <f t="shared" si="1"/>
        <v>1</v>
      </c>
      <c r="AH6" s="11" t="e">
        <f t="shared" si="1"/>
        <v>#REF!</v>
      </c>
      <c r="AI6" s="11" t="e">
        <f t="shared" si="1"/>
        <v>#REF!</v>
      </c>
      <c r="AJ6" s="34"/>
      <c r="AK6" s="11">
        <f t="shared" ref="AK6:AN21" si="2">N6-N5</f>
        <v>73</v>
      </c>
      <c r="AL6" s="11" t="e">
        <f t="shared" si="2"/>
        <v>#REF!</v>
      </c>
      <c r="AM6" s="11" t="e">
        <f t="shared" si="2"/>
        <v>#REF!</v>
      </c>
      <c r="AN6" s="11" t="e">
        <f t="shared" si="2"/>
        <v>#REF!</v>
      </c>
      <c r="AO6" s="34"/>
    </row>
    <row r="7" spans="1:41" x14ac:dyDescent="0.2">
      <c r="A7" s="80">
        <v>2</v>
      </c>
      <c r="B7" s="40">
        <v>3405</v>
      </c>
      <c r="C7" s="14">
        <v>0</v>
      </c>
      <c r="D7" s="14">
        <v>0</v>
      </c>
      <c r="E7" s="41"/>
      <c r="F7" s="18"/>
      <c r="G7" s="18"/>
      <c r="H7" s="15"/>
      <c r="I7" s="40">
        <v>25386</v>
      </c>
      <c r="J7" s="42">
        <v>2771</v>
      </c>
      <c r="K7" s="42"/>
      <c r="L7" s="18"/>
      <c r="M7" s="15"/>
      <c r="N7" s="41">
        <v>233770</v>
      </c>
      <c r="O7" s="41"/>
      <c r="P7" s="41"/>
      <c r="Q7" s="18"/>
      <c r="R7" s="45">
        <f t="shared" ref="R7:R36" si="3">Q7-Q6</f>
        <v>0</v>
      </c>
      <c r="S7" s="16"/>
      <c r="T7" s="17">
        <v>0</v>
      </c>
      <c r="U7" s="17">
        <v>0</v>
      </c>
      <c r="V7" s="17">
        <v>0</v>
      </c>
      <c r="W7" s="16"/>
      <c r="X7" s="80">
        <v>2</v>
      </c>
      <c r="Y7" s="11">
        <f t="shared" ref="Y7:AD33" si="4">B7-B6</f>
        <v>18</v>
      </c>
      <c r="Z7" s="11">
        <f t="shared" si="0"/>
        <v>0</v>
      </c>
      <c r="AA7" s="11">
        <f t="shared" si="0"/>
        <v>0</v>
      </c>
      <c r="AB7" s="11">
        <f t="shared" si="0"/>
        <v>0</v>
      </c>
      <c r="AC7" s="11">
        <f t="shared" si="0"/>
        <v>0</v>
      </c>
      <c r="AD7" s="11">
        <f t="shared" si="0"/>
        <v>0</v>
      </c>
      <c r="AE7" s="34"/>
      <c r="AF7" s="11">
        <f t="shared" si="1"/>
        <v>3</v>
      </c>
      <c r="AG7" s="11">
        <f t="shared" si="1"/>
        <v>0</v>
      </c>
      <c r="AH7" s="11">
        <f t="shared" si="1"/>
        <v>0</v>
      </c>
      <c r="AI7" s="11">
        <f t="shared" si="1"/>
        <v>0</v>
      </c>
      <c r="AJ7" s="34"/>
      <c r="AK7" s="11">
        <f t="shared" si="2"/>
        <v>69</v>
      </c>
      <c r="AL7" s="11">
        <f t="shared" si="2"/>
        <v>0</v>
      </c>
      <c r="AM7" s="11">
        <f t="shared" si="2"/>
        <v>0</v>
      </c>
      <c r="AN7" s="11">
        <f t="shared" si="2"/>
        <v>0</v>
      </c>
      <c r="AO7" s="35"/>
    </row>
    <row r="8" spans="1:41" x14ac:dyDescent="0.2">
      <c r="A8" s="80">
        <v>3</v>
      </c>
      <c r="B8" s="40">
        <v>3425</v>
      </c>
      <c r="C8" s="14">
        <v>0</v>
      </c>
      <c r="D8" s="14">
        <v>0</v>
      </c>
      <c r="E8" s="41"/>
      <c r="F8" s="18"/>
      <c r="G8" s="18"/>
      <c r="H8" s="15"/>
      <c r="I8" s="40">
        <v>25389</v>
      </c>
      <c r="J8" s="42">
        <v>2772</v>
      </c>
      <c r="K8" s="42"/>
      <c r="L8" s="18"/>
      <c r="M8" s="15"/>
      <c r="N8" s="41">
        <v>233840</v>
      </c>
      <c r="O8" s="41"/>
      <c r="P8" s="41"/>
      <c r="Q8" s="18"/>
      <c r="R8" s="45">
        <f t="shared" si="3"/>
        <v>0</v>
      </c>
      <c r="S8" s="16"/>
      <c r="T8" s="17">
        <v>0</v>
      </c>
      <c r="U8" s="17">
        <v>0</v>
      </c>
      <c r="V8" s="17">
        <v>0</v>
      </c>
      <c r="W8" s="16"/>
      <c r="X8" s="80">
        <v>3</v>
      </c>
      <c r="Y8" s="11">
        <f t="shared" si="4"/>
        <v>20</v>
      </c>
      <c r="Z8" s="11">
        <f t="shared" si="0"/>
        <v>0</v>
      </c>
      <c r="AA8" s="11">
        <f t="shared" si="0"/>
        <v>0</v>
      </c>
      <c r="AB8" s="11">
        <f t="shared" si="0"/>
        <v>0</v>
      </c>
      <c r="AC8" s="11">
        <f t="shared" si="0"/>
        <v>0</v>
      </c>
      <c r="AD8" s="11">
        <f t="shared" si="0"/>
        <v>0</v>
      </c>
      <c r="AE8" s="34"/>
      <c r="AF8" s="11">
        <f t="shared" si="1"/>
        <v>3</v>
      </c>
      <c r="AG8" s="11">
        <f t="shared" si="1"/>
        <v>1</v>
      </c>
      <c r="AH8" s="11">
        <f t="shared" si="1"/>
        <v>0</v>
      </c>
      <c r="AI8" s="11">
        <f t="shared" si="1"/>
        <v>0</v>
      </c>
      <c r="AJ8" s="34"/>
      <c r="AK8" s="11">
        <f t="shared" si="2"/>
        <v>70</v>
      </c>
      <c r="AL8" s="11">
        <f t="shared" si="2"/>
        <v>0</v>
      </c>
      <c r="AM8" s="11">
        <f t="shared" si="2"/>
        <v>0</v>
      </c>
      <c r="AN8" s="11">
        <f t="shared" si="2"/>
        <v>0</v>
      </c>
      <c r="AO8" s="35"/>
    </row>
    <row r="9" spans="1:41" x14ac:dyDescent="0.2">
      <c r="A9" s="80">
        <v>4</v>
      </c>
      <c r="B9" s="40">
        <v>3558</v>
      </c>
      <c r="C9" s="14">
        <v>0</v>
      </c>
      <c r="D9" s="14">
        <v>0</v>
      </c>
      <c r="E9" s="41"/>
      <c r="F9" s="18"/>
      <c r="G9" s="18"/>
      <c r="H9" s="15"/>
      <c r="I9" s="40">
        <v>25399</v>
      </c>
      <c r="J9" s="42">
        <v>2774</v>
      </c>
      <c r="K9" s="42"/>
      <c r="L9" s="18"/>
      <c r="M9" s="15"/>
      <c r="N9" s="41">
        <v>233997</v>
      </c>
      <c r="O9" s="41"/>
      <c r="P9" s="41"/>
      <c r="Q9" s="18"/>
      <c r="R9" s="45">
        <f t="shared" si="3"/>
        <v>0</v>
      </c>
      <c r="S9" s="16"/>
      <c r="T9" s="17">
        <v>0</v>
      </c>
      <c r="U9" s="17">
        <v>0</v>
      </c>
      <c r="V9" s="17">
        <v>0</v>
      </c>
      <c r="W9" s="16"/>
      <c r="X9" s="80">
        <v>4</v>
      </c>
      <c r="Y9" s="11">
        <f t="shared" si="4"/>
        <v>133</v>
      </c>
      <c r="Z9" s="11">
        <f t="shared" si="0"/>
        <v>0</v>
      </c>
      <c r="AA9" s="11">
        <f t="shared" si="0"/>
        <v>0</v>
      </c>
      <c r="AB9" s="11">
        <f t="shared" si="0"/>
        <v>0</v>
      </c>
      <c r="AC9" s="11">
        <f t="shared" si="0"/>
        <v>0</v>
      </c>
      <c r="AD9" s="11">
        <f t="shared" si="0"/>
        <v>0</v>
      </c>
      <c r="AE9" s="34"/>
      <c r="AF9" s="11">
        <f t="shared" si="1"/>
        <v>10</v>
      </c>
      <c r="AG9" s="11">
        <f t="shared" si="1"/>
        <v>2</v>
      </c>
      <c r="AH9" s="11">
        <f t="shared" si="1"/>
        <v>0</v>
      </c>
      <c r="AI9" s="11">
        <f t="shared" si="1"/>
        <v>0</v>
      </c>
      <c r="AJ9" s="34"/>
      <c r="AK9" s="11">
        <f t="shared" si="2"/>
        <v>157</v>
      </c>
      <c r="AL9" s="11">
        <f t="shared" si="2"/>
        <v>0</v>
      </c>
      <c r="AM9" s="11">
        <f t="shared" si="2"/>
        <v>0</v>
      </c>
      <c r="AN9" s="11">
        <f t="shared" si="2"/>
        <v>0</v>
      </c>
      <c r="AO9" s="35"/>
    </row>
    <row r="10" spans="1:41" x14ac:dyDescent="0.2">
      <c r="A10" s="80">
        <v>5</v>
      </c>
      <c r="B10" s="40">
        <v>3508</v>
      </c>
      <c r="C10" s="14">
        <v>0</v>
      </c>
      <c r="D10" s="14">
        <v>0</v>
      </c>
      <c r="E10" s="41"/>
      <c r="F10" s="18"/>
      <c r="G10" s="18"/>
      <c r="H10" s="15"/>
      <c r="I10" s="40">
        <v>25409</v>
      </c>
      <c r="J10" s="42">
        <v>2774</v>
      </c>
      <c r="K10" s="42"/>
      <c r="L10" s="18"/>
      <c r="M10" s="15"/>
      <c r="N10" s="41">
        <v>233990</v>
      </c>
      <c r="O10" s="41"/>
      <c r="P10" s="41"/>
      <c r="Q10" s="18"/>
      <c r="R10" s="45">
        <f t="shared" si="3"/>
        <v>0</v>
      </c>
      <c r="S10" s="16"/>
      <c r="T10" s="17">
        <v>0</v>
      </c>
      <c r="U10" s="17">
        <v>0</v>
      </c>
      <c r="V10" s="17">
        <v>0</v>
      </c>
      <c r="W10" s="16"/>
      <c r="X10" s="80">
        <v>5</v>
      </c>
      <c r="Y10" s="11">
        <f t="shared" si="4"/>
        <v>-50</v>
      </c>
      <c r="Z10" s="11">
        <f t="shared" si="0"/>
        <v>0</v>
      </c>
      <c r="AA10" s="11">
        <f t="shared" si="0"/>
        <v>0</v>
      </c>
      <c r="AB10" s="11">
        <f t="shared" si="0"/>
        <v>0</v>
      </c>
      <c r="AC10" s="11">
        <f t="shared" si="0"/>
        <v>0</v>
      </c>
      <c r="AD10" s="11">
        <f t="shared" si="0"/>
        <v>0</v>
      </c>
      <c r="AE10" s="34"/>
      <c r="AF10" s="11">
        <f t="shared" si="1"/>
        <v>10</v>
      </c>
      <c r="AG10" s="11">
        <f t="shared" si="1"/>
        <v>0</v>
      </c>
      <c r="AH10" s="11">
        <f t="shared" si="1"/>
        <v>0</v>
      </c>
      <c r="AI10" s="11">
        <f t="shared" si="1"/>
        <v>0</v>
      </c>
      <c r="AJ10" s="34"/>
      <c r="AK10" s="11">
        <f t="shared" si="2"/>
        <v>-7</v>
      </c>
      <c r="AL10" s="11">
        <f t="shared" si="2"/>
        <v>0</v>
      </c>
      <c r="AM10" s="11">
        <f t="shared" si="2"/>
        <v>0</v>
      </c>
      <c r="AN10" s="11">
        <f t="shared" si="2"/>
        <v>0</v>
      </c>
      <c r="AO10" s="35"/>
    </row>
    <row r="11" spans="1:41" x14ac:dyDescent="0.2">
      <c r="A11" s="80">
        <v>6</v>
      </c>
      <c r="B11" s="40">
        <v>3533</v>
      </c>
      <c r="C11" s="14">
        <v>0</v>
      </c>
      <c r="D11" s="14">
        <v>0</v>
      </c>
      <c r="E11" s="41"/>
      <c r="F11" s="18"/>
      <c r="G11" s="18"/>
      <c r="H11" s="15"/>
      <c r="I11" s="40">
        <v>25416</v>
      </c>
      <c r="J11" s="42">
        <v>2776</v>
      </c>
      <c r="K11" s="42"/>
      <c r="L11" s="18"/>
      <c r="M11" s="15"/>
      <c r="N11" s="41">
        <v>234039</v>
      </c>
      <c r="O11" s="41"/>
      <c r="P11" s="41"/>
      <c r="Q11" s="18"/>
      <c r="R11" s="45">
        <f t="shared" si="3"/>
        <v>0</v>
      </c>
      <c r="S11" s="16"/>
      <c r="T11" s="17">
        <v>0</v>
      </c>
      <c r="U11" s="17">
        <v>0</v>
      </c>
      <c r="V11" s="17">
        <v>0</v>
      </c>
      <c r="W11" s="16"/>
      <c r="X11" s="80">
        <v>6</v>
      </c>
      <c r="Y11" s="11">
        <f t="shared" si="4"/>
        <v>25</v>
      </c>
      <c r="Z11" s="11">
        <f t="shared" si="0"/>
        <v>0</v>
      </c>
      <c r="AA11" s="11">
        <f t="shared" si="0"/>
        <v>0</v>
      </c>
      <c r="AB11" s="11">
        <f t="shared" si="0"/>
        <v>0</v>
      </c>
      <c r="AC11" s="11">
        <f t="shared" si="0"/>
        <v>0</v>
      </c>
      <c r="AD11" s="11">
        <f t="shared" si="0"/>
        <v>0</v>
      </c>
      <c r="AE11" s="34"/>
      <c r="AF11" s="11">
        <f t="shared" si="1"/>
        <v>7</v>
      </c>
      <c r="AG11" s="11">
        <f t="shared" si="1"/>
        <v>2</v>
      </c>
      <c r="AH11" s="11">
        <f t="shared" si="1"/>
        <v>0</v>
      </c>
      <c r="AI11" s="11">
        <f t="shared" si="1"/>
        <v>0</v>
      </c>
      <c r="AJ11" s="34"/>
      <c r="AK11" s="11">
        <f t="shared" si="2"/>
        <v>49</v>
      </c>
      <c r="AL11" s="11">
        <f t="shared" si="2"/>
        <v>0</v>
      </c>
      <c r="AM11" s="11">
        <f t="shared" si="2"/>
        <v>0</v>
      </c>
      <c r="AN11" s="11">
        <f t="shared" si="2"/>
        <v>0</v>
      </c>
      <c r="AO11" s="35"/>
    </row>
    <row r="12" spans="1:41" x14ac:dyDescent="0.2">
      <c r="A12" s="80">
        <v>7</v>
      </c>
      <c r="B12" s="40">
        <v>3557</v>
      </c>
      <c r="C12" s="14">
        <v>0</v>
      </c>
      <c r="D12" s="14">
        <v>0</v>
      </c>
      <c r="E12" s="41"/>
      <c r="F12" s="18"/>
      <c r="G12" s="18"/>
      <c r="H12" s="15"/>
      <c r="I12" s="40">
        <v>25423</v>
      </c>
      <c r="J12" s="42">
        <v>2776</v>
      </c>
      <c r="K12" s="42"/>
      <c r="L12" s="18"/>
      <c r="M12" s="15"/>
      <c r="N12" s="41">
        <v>234093</v>
      </c>
      <c r="O12" s="41"/>
      <c r="P12" s="41"/>
      <c r="Q12" s="18"/>
      <c r="R12" s="45">
        <f t="shared" si="3"/>
        <v>0</v>
      </c>
      <c r="S12" s="16"/>
      <c r="T12" s="17">
        <v>0</v>
      </c>
      <c r="U12" s="17">
        <v>0</v>
      </c>
      <c r="V12" s="17">
        <v>0</v>
      </c>
      <c r="W12" s="16"/>
      <c r="X12" s="80">
        <v>7</v>
      </c>
      <c r="Y12" s="11">
        <f t="shared" si="4"/>
        <v>24</v>
      </c>
      <c r="Z12" s="11">
        <f t="shared" si="0"/>
        <v>0</v>
      </c>
      <c r="AA12" s="11">
        <f t="shared" si="0"/>
        <v>0</v>
      </c>
      <c r="AB12" s="11">
        <f t="shared" si="0"/>
        <v>0</v>
      </c>
      <c r="AC12" s="11">
        <f t="shared" si="0"/>
        <v>0</v>
      </c>
      <c r="AD12" s="11">
        <f t="shared" si="0"/>
        <v>0</v>
      </c>
      <c r="AE12" s="34"/>
      <c r="AF12" s="11">
        <f t="shared" si="1"/>
        <v>7</v>
      </c>
      <c r="AG12" s="11">
        <f t="shared" si="1"/>
        <v>0</v>
      </c>
      <c r="AH12" s="11">
        <f t="shared" si="1"/>
        <v>0</v>
      </c>
      <c r="AI12" s="11">
        <f t="shared" si="1"/>
        <v>0</v>
      </c>
      <c r="AJ12" s="34"/>
      <c r="AK12" s="11">
        <f t="shared" si="2"/>
        <v>54</v>
      </c>
      <c r="AL12" s="11">
        <f t="shared" si="2"/>
        <v>0</v>
      </c>
      <c r="AM12" s="11">
        <f t="shared" si="2"/>
        <v>0</v>
      </c>
      <c r="AN12" s="11">
        <f t="shared" si="2"/>
        <v>0</v>
      </c>
      <c r="AO12" s="35"/>
    </row>
    <row r="13" spans="1:41" x14ac:dyDescent="0.2">
      <c r="A13" s="80">
        <v>8</v>
      </c>
      <c r="B13" s="40">
        <v>3583</v>
      </c>
      <c r="C13" s="14">
        <v>0</v>
      </c>
      <c r="D13" s="14">
        <v>0</v>
      </c>
      <c r="E13" s="41"/>
      <c r="F13" s="18"/>
      <c r="G13" s="18"/>
      <c r="H13" s="15"/>
      <c r="I13" s="40">
        <v>25431</v>
      </c>
      <c r="J13" s="42">
        <v>2779</v>
      </c>
      <c r="K13" s="42"/>
      <c r="L13" s="18"/>
      <c r="M13" s="15"/>
      <c r="N13" s="41">
        <v>234162</v>
      </c>
      <c r="O13" s="41"/>
      <c r="P13" s="41"/>
      <c r="Q13" s="18"/>
      <c r="R13" s="45">
        <f t="shared" si="3"/>
        <v>0</v>
      </c>
      <c r="S13" s="16"/>
      <c r="T13" s="17">
        <v>0</v>
      </c>
      <c r="U13" s="17">
        <v>0</v>
      </c>
      <c r="V13" s="17">
        <v>0</v>
      </c>
      <c r="W13" s="16"/>
      <c r="X13" s="80">
        <v>8</v>
      </c>
      <c r="Y13" s="11">
        <f t="shared" si="4"/>
        <v>26</v>
      </c>
      <c r="Z13" s="11">
        <f t="shared" si="0"/>
        <v>0</v>
      </c>
      <c r="AA13" s="11">
        <f t="shared" si="0"/>
        <v>0</v>
      </c>
      <c r="AB13" s="11">
        <f t="shared" si="0"/>
        <v>0</v>
      </c>
      <c r="AC13" s="11">
        <f t="shared" si="0"/>
        <v>0</v>
      </c>
      <c r="AD13" s="11">
        <f t="shared" si="0"/>
        <v>0</v>
      </c>
      <c r="AE13" s="34"/>
      <c r="AF13" s="11">
        <f t="shared" si="1"/>
        <v>8</v>
      </c>
      <c r="AG13" s="11">
        <f t="shared" si="1"/>
        <v>3</v>
      </c>
      <c r="AH13" s="11">
        <f t="shared" si="1"/>
        <v>0</v>
      </c>
      <c r="AI13" s="11">
        <f t="shared" si="1"/>
        <v>0</v>
      </c>
      <c r="AJ13" s="34"/>
      <c r="AK13" s="11">
        <f t="shared" si="2"/>
        <v>69</v>
      </c>
      <c r="AL13" s="11">
        <f t="shared" si="2"/>
        <v>0</v>
      </c>
      <c r="AM13" s="11">
        <f t="shared" si="2"/>
        <v>0</v>
      </c>
      <c r="AN13" s="11">
        <f t="shared" si="2"/>
        <v>0</v>
      </c>
      <c r="AO13" s="35"/>
    </row>
    <row r="14" spans="1:41" x14ac:dyDescent="0.2">
      <c r="A14" s="80">
        <v>9</v>
      </c>
      <c r="B14" s="40">
        <v>3609</v>
      </c>
      <c r="C14" s="14">
        <v>0</v>
      </c>
      <c r="D14" s="14">
        <v>0</v>
      </c>
      <c r="E14" s="41"/>
      <c r="F14" s="18"/>
      <c r="G14" s="18"/>
      <c r="H14" s="15"/>
      <c r="I14" s="40">
        <v>25435</v>
      </c>
      <c r="J14" s="42">
        <v>2779</v>
      </c>
      <c r="K14" s="42"/>
      <c r="L14" s="18"/>
      <c r="M14" s="15"/>
      <c r="N14" s="41">
        <v>234254</v>
      </c>
      <c r="O14" s="41"/>
      <c r="P14" s="41"/>
      <c r="Q14" s="18"/>
      <c r="R14" s="45">
        <f t="shared" si="3"/>
        <v>0</v>
      </c>
      <c r="S14" s="16"/>
      <c r="T14" s="17">
        <v>0</v>
      </c>
      <c r="U14" s="17">
        <v>0</v>
      </c>
      <c r="V14" s="17">
        <v>0</v>
      </c>
      <c r="W14" s="16"/>
      <c r="X14" s="80">
        <v>9</v>
      </c>
      <c r="Y14" s="11">
        <f t="shared" si="4"/>
        <v>26</v>
      </c>
      <c r="Z14" s="11">
        <f t="shared" si="0"/>
        <v>0</v>
      </c>
      <c r="AA14" s="11">
        <f t="shared" si="0"/>
        <v>0</v>
      </c>
      <c r="AB14" s="11">
        <f t="shared" si="0"/>
        <v>0</v>
      </c>
      <c r="AC14" s="11">
        <f t="shared" si="0"/>
        <v>0</v>
      </c>
      <c r="AD14" s="11">
        <f t="shared" si="0"/>
        <v>0</v>
      </c>
      <c r="AE14" s="34"/>
      <c r="AF14" s="11">
        <f t="shared" si="1"/>
        <v>4</v>
      </c>
      <c r="AG14" s="11">
        <f t="shared" si="1"/>
        <v>0</v>
      </c>
      <c r="AH14" s="11">
        <f t="shared" si="1"/>
        <v>0</v>
      </c>
      <c r="AI14" s="11">
        <f t="shared" si="1"/>
        <v>0</v>
      </c>
      <c r="AJ14" s="34"/>
      <c r="AK14" s="11">
        <f t="shared" si="2"/>
        <v>92</v>
      </c>
      <c r="AL14" s="11">
        <f t="shared" si="2"/>
        <v>0</v>
      </c>
      <c r="AM14" s="11">
        <f t="shared" si="2"/>
        <v>0</v>
      </c>
      <c r="AN14" s="11">
        <f t="shared" si="2"/>
        <v>0</v>
      </c>
      <c r="AO14" s="35"/>
    </row>
    <row r="15" spans="1:41" x14ac:dyDescent="0.2">
      <c r="A15" s="80">
        <v>10</v>
      </c>
      <c r="B15" s="40">
        <v>3634</v>
      </c>
      <c r="C15" s="14">
        <v>0</v>
      </c>
      <c r="D15" s="14">
        <v>0</v>
      </c>
      <c r="E15" s="41"/>
      <c r="F15" s="18"/>
      <c r="G15" s="18"/>
      <c r="H15" s="15"/>
      <c r="I15" s="40">
        <v>25438</v>
      </c>
      <c r="J15" s="42">
        <v>2779</v>
      </c>
      <c r="K15" s="42"/>
      <c r="L15" s="18"/>
      <c r="M15" s="15"/>
      <c r="N15" s="41">
        <v>234334</v>
      </c>
      <c r="O15" s="41"/>
      <c r="P15" s="41"/>
      <c r="Q15" s="18"/>
      <c r="R15" s="45">
        <f t="shared" si="3"/>
        <v>0</v>
      </c>
      <c r="S15" s="16"/>
      <c r="T15" s="17">
        <v>0</v>
      </c>
      <c r="U15" s="17">
        <v>0</v>
      </c>
      <c r="V15" s="17">
        <v>0</v>
      </c>
      <c r="W15" s="16"/>
      <c r="X15" s="80">
        <v>10</v>
      </c>
      <c r="Y15" s="11">
        <f t="shared" si="4"/>
        <v>25</v>
      </c>
      <c r="Z15" s="11">
        <f t="shared" si="0"/>
        <v>0</v>
      </c>
      <c r="AA15" s="11">
        <f t="shared" si="0"/>
        <v>0</v>
      </c>
      <c r="AB15" s="11">
        <f t="shared" si="0"/>
        <v>0</v>
      </c>
      <c r="AC15" s="11">
        <f t="shared" si="0"/>
        <v>0</v>
      </c>
      <c r="AD15" s="11">
        <f t="shared" si="0"/>
        <v>0</v>
      </c>
      <c r="AE15" s="34"/>
      <c r="AF15" s="11">
        <f t="shared" si="1"/>
        <v>3</v>
      </c>
      <c r="AG15" s="11">
        <f t="shared" si="1"/>
        <v>0</v>
      </c>
      <c r="AH15" s="11">
        <f t="shared" si="1"/>
        <v>0</v>
      </c>
      <c r="AI15" s="11">
        <f t="shared" si="1"/>
        <v>0</v>
      </c>
      <c r="AJ15" s="34"/>
      <c r="AK15" s="11">
        <f t="shared" si="2"/>
        <v>80</v>
      </c>
      <c r="AL15" s="11">
        <f t="shared" si="2"/>
        <v>0</v>
      </c>
      <c r="AM15" s="11">
        <f t="shared" si="2"/>
        <v>0</v>
      </c>
      <c r="AN15" s="11">
        <f t="shared" si="2"/>
        <v>0</v>
      </c>
      <c r="AO15" s="35"/>
    </row>
    <row r="16" spans="1:41" x14ac:dyDescent="0.2">
      <c r="A16" s="80">
        <v>11</v>
      </c>
      <c r="B16" s="40">
        <v>3645</v>
      </c>
      <c r="C16" s="14">
        <v>0</v>
      </c>
      <c r="D16" s="14">
        <v>0</v>
      </c>
      <c r="E16" s="41"/>
      <c r="F16" s="18"/>
      <c r="G16" s="18"/>
      <c r="H16" s="15"/>
      <c r="I16" s="40">
        <v>25440</v>
      </c>
      <c r="J16" s="42">
        <v>2779</v>
      </c>
      <c r="K16" s="42"/>
      <c r="L16" s="18"/>
      <c r="M16" s="15"/>
      <c r="N16" s="41">
        <v>234437</v>
      </c>
      <c r="O16" s="41"/>
      <c r="P16" s="41"/>
      <c r="Q16" s="18"/>
      <c r="R16" s="45">
        <f t="shared" si="3"/>
        <v>0</v>
      </c>
      <c r="S16" s="16"/>
      <c r="T16" s="17">
        <v>0</v>
      </c>
      <c r="U16" s="17">
        <v>0</v>
      </c>
      <c r="V16" s="17">
        <v>0</v>
      </c>
      <c r="W16" s="16"/>
      <c r="X16" s="80">
        <v>11</v>
      </c>
      <c r="Y16" s="11">
        <f t="shared" si="4"/>
        <v>11</v>
      </c>
      <c r="Z16" s="11">
        <f t="shared" si="0"/>
        <v>0</v>
      </c>
      <c r="AA16" s="11">
        <f t="shared" si="0"/>
        <v>0</v>
      </c>
      <c r="AB16" s="11">
        <f t="shared" si="0"/>
        <v>0</v>
      </c>
      <c r="AC16" s="11">
        <f t="shared" si="0"/>
        <v>0</v>
      </c>
      <c r="AD16" s="11">
        <f t="shared" si="0"/>
        <v>0</v>
      </c>
      <c r="AE16" s="34"/>
      <c r="AF16" s="11">
        <f t="shared" si="1"/>
        <v>2</v>
      </c>
      <c r="AG16" s="11">
        <f t="shared" si="1"/>
        <v>0</v>
      </c>
      <c r="AH16" s="11">
        <f t="shared" si="1"/>
        <v>0</v>
      </c>
      <c r="AI16" s="11">
        <f t="shared" si="1"/>
        <v>0</v>
      </c>
      <c r="AJ16" s="34"/>
      <c r="AK16" s="11">
        <f t="shared" si="2"/>
        <v>103</v>
      </c>
      <c r="AL16" s="11">
        <f t="shared" si="2"/>
        <v>0</v>
      </c>
      <c r="AM16" s="11">
        <f t="shared" si="2"/>
        <v>0</v>
      </c>
      <c r="AN16" s="11">
        <f t="shared" si="2"/>
        <v>0</v>
      </c>
      <c r="AO16" s="35"/>
    </row>
    <row r="17" spans="1:41" x14ac:dyDescent="0.2">
      <c r="A17" s="80">
        <v>12</v>
      </c>
      <c r="B17" s="40">
        <v>3663</v>
      </c>
      <c r="C17" s="14">
        <v>0</v>
      </c>
      <c r="D17" s="14">
        <v>0</v>
      </c>
      <c r="E17" s="41"/>
      <c r="F17" s="18"/>
      <c r="G17" s="18"/>
      <c r="H17" s="15"/>
      <c r="I17" s="40">
        <v>25442</v>
      </c>
      <c r="J17" s="42">
        <v>2779</v>
      </c>
      <c r="K17" s="42"/>
      <c r="L17" s="18"/>
      <c r="M17" s="15"/>
      <c r="N17" s="41">
        <v>234562</v>
      </c>
      <c r="O17" s="41"/>
      <c r="P17" s="41"/>
      <c r="Q17" s="18"/>
      <c r="R17" s="45">
        <f t="shared" si="3"/>
        <v>0</v>
      </c>
      <c r="S17" s="16"/>
      <c r="T17" s="17">
        <v>0</v>
      </c>
      <c r="U17" s="17">
        <v>0</v>
      </c>
      <c r="V17" s="17">
        <v>0</v>
      </c>
      <c r="W17" s="16"/>
      <c r="X17" s="80">
        <v>12</v>
      </c>
      <c r="Y17" s="11">
        <f t="shared" si="4"/>
        <v>18</v>
      </c>
      <c r="Z17" s="11">
        <f t="shared" si="0"/>
        <v>0</v>
      </c>
      <c r="AA17" s="11">
        <f t="shared" si="0"/>
        <v>0</v>
      </c>
      <c r="AB17" s="11">
        <f t="shared" si="0"/>
        <v>0</v>
      </c>
      <c r="AC17" s="11">
        <f t="shared" si="0"/>
        <v>0</v>
      </c>
      <c r="AD17" s="11">
        <f t="shared" si="0"/>
        <v>0</v>
      </c>
      <c r="AE17" s="34"/>
      <c r="AF17" s="11">
        <f t="shared" si="1"/>
        <v>2</v>
      </c>
      <c r="AG17" s="11">
        <f t="shared" si="1"/>
        <v>0</v>
      </c>
      <c r="AH17" s="11">
        <f t="shared" si="1"/>
        <v>0</v>
      </c>
      <c r="AI17" s="11">
        <f t="shared" si="1"/>
        <v>0</v>
      </c>
      <c r="AJ17" s="34"/>
      <c r="AK17" s="11">
        <f t="shared" si="2"/>
        <v>125</v>
      </c>
      <c r="AL17" s="11">
        <f t="shared" si="2"/>
        <v>0</v>
      </c>
      <c r="AM17" s="11">
        <f t="shared" si="2"/>
        <v>0</v>
      </c>
      <c r="AN17" s="11">
        <f t="shared" si="2"/>
        <v>0</v>
      </c>
      <c r="AO17" s="35"/>
    </row>
    <row r="18" spans="1:41" x14ac:dyDescent="0.2">
      <c r="A18" s="80">
        <v>13</v>
      </c>
      <c r="B18" s="40">
        <v>3689</v>
      </c>
      <c r="C18" s="14">
        <v>0</v>
      </c>
      <c r="D18" s="14">
        <v>0</v>
      </c>
      <c r="E18" s="41"/>
      <c r="F18" s="18"/>
      <c r="G18" s="18"/>
      <c r="H18" s="15"/>
      <c r="I18" s="40">
        <v>25446</v>
      </c>
      <c r="J18" s="42">
        <v>2779</v>
      </c>
      <c r="K18" s="42"/>
      <c r="L18" s="18"/>
      <c r="M18" s="15"/>
      <c r="N18" s="41">
        <v>234700</v>
      </c>
      <c r="O18" s="41"/>
      <c r="P18" s="41"/>
      <c r="Q18" s="18"/>
      <c r="R18" s="45">
        <f t="shared" si="3"/>
        <v>0</v>
      </c>
      <c r="S18" s="16"/>
      <c r="T18" s="17">
        <v>0</v>
      </c>
      <c r="U18" s="17">
        <v>0</v>
      </c>
      <c r="V18" s="17">
        <v>0</v>
      </c>
      <c r="W18" s="16"/>
      <c r="X18" s="80">
        <v>13</v>
      </c>
      <c r="Y18" s="11">
        <f t="shared" si="4"/>
        <v>26</v>
      </c>
      <c r="Z18" s="11">
        <f t="shared" si="0"/>
        <v>0</v>
      </c>
      <c r="AA18" s="11">
        <f t="shared" si="0"/>
        <v>0</v>
      </c>
      <c r="AB18" s="11">
        <f t="shared" si="0"/>
        <v>0</v>
      </c>
      <c r="AC18" s="11">
        <f t="shared" si="0"/>
        <v>0</v>
      </c>
      <c r="AD18" s="11">
        <f t="shared" si="0"/>
        <v>0</v>
      </c>
      <c r="AE18" s="34"/>
      <c r="AF18" s="11">
        <f t="shared" si="1"/>
        <v>4</v>
      </c>
      <c r="AG18" s="11">
        <f t="shared" si="1"/>
        <v>0</v>
      </c>
      <c r="AH18" s="11">
        <f t="shared" si="1"/>
        <v>0</v>
      </c>
      <c r="AI18" s="11">
        <f t="shared" si="1"/>
        <v>0</v>
      </c>
      <c r="AJ18" s="34"/>
      <c r="AK18" s="11">
        <f t="shared" si="2"/>
        <v>138</v>
      </c>
      <c r="AL18" s="11">
        <f t="shared" si="2"/>
        <v>0</v>
      </c>
      <c r="AM18" s="11">
        <f t="shared" si="2"/>
        <v>0</v>
      </c>
      <c r="AN18" s="11">
        <f t="shared" si="2"/>
        <v>0</v>
      </c>
      <c r="AO18" s="35"/>
    </row>
    <row r="19" spans="1:41" x14ac:dyDescent="0.2">
      <c r="A19" s="80">
        <v>14</v>
      </c>
      <c r="B19" s="40">
        <v>3711</v>
      </c>
      <c r="C19" s="14">
        <v>0</v>
      </c>
      <c r="D19" s="14">
        <v>0</v>
      </c>
      <c r="E19" s="41"/>
      <c r="F19" s="18"/>
      <c r="G19" s="18"/>
      <c r="H19" s="15"/>
      <c r="I19" s="40">
        <v>25450</v>
      </c>
      <c r="J19" s="42">
        <v>2780</v>
      </c>
      <c r="K19" s="42"/>
      <c r="L19" s="18"/>
      <c r="M19" s="15"/>
      <c r="N19" s="41">
        <v>234781</v>
      </c>
      <c r="O19" s="41"/>
      <c r="P19" s="41"/>
      <c r="Q19" s="18"/>
      <c r="R19" s="45">
        <f t="shared" si="3"/>
        <v>0</v>
      </c>
      <c r="S19" s="16"/>
      <c r="T19" s="17">
        <v>0</v>
      </c>
      <c r="U19" s="17">
        <v>0</v>
      </c>
      <c r="V19" s="17">
        <v>0</v>
      </c>
      <c r="W19" s="16"/>
      <c r="X19" s="80">
        <v>14</v>
      </c>
      <c r="Y19" s="11">
        <f t="shared" si="4"/>
        <v>22</v>
      </c>
      <c r="Z19" s="11">
        <f t="shared" si="0"/>
        <v>0</v>
      </c>
      <c r="AA19" s="11">
        <f t="shared" si="0"/>
        <v>0</v>
      </c>
      <c r="AB19" s="11">
        <f t="shared" si="0"/>
        <v>0</v>
      </c>
      <c r="AC19" s="11">
        <f t="shared" si="0"/>
        <v>0</v>
      </c>
      <c r="AD19" s="11">
        <f t="shared" si="0"/>
        <v>0</v>
      </c>
      <c r="AE19" s="34"/>
      <c r="AF19" s="11">
        <f t="shared" si="1"/>
        <v>4</v>
      </c>
      <c r="AG19" s="11">
        <f t="shared" si="1"/>
        <v>1</v>
      </c>
      <c r="AH19" s="11">
        <f t="shared" si="1"/>
        <v>0</v>
      </c>
      <c r="AI19" s="11">
        <f t="shared" si="1"/>
        <v>0</v>
      </c>
      <c r="AJ19" s="34"/>
      <c r="AK19" s="11">
        <f t="shared" si="2"/>
        <v>81</v>
      </c>
      <c r="AL19" s="11">
        <f t="shared" si="2"/>
        <v>0</v>
      </c>
      <c r="AM19" s="11">
        <f t="shared" si="2"/>
        <v>0</v>
      </c>
      <c r="AN19" s="11">
        <f t="shared" si="2"/>
        <v>0</v>
      </c>
      <c r="AO19" s="35"/>
    </row>
    <row r="20" spans="1:41" x14ac:dyDescent="0.2">
      <c r="A20" s="80">
        <v>15</v>
      </c>
      <c r="B20" s="40">
        <v>3739</v>
      </c>
      <c r="C20" s="14">
        <v>0</v>
      </c>
      <c r="D20" s="14">
        <v>0</v>
      </c>
      <c r="E20" s="41"/>
      <c r="F20" s="18"/>
      <c r="G20" s="18"/>
      <c r="H20" s="15"/>
      <c r="I20" s="40">
        <v>25457</v>
      </c>
      <c r="J20" s="42">
        <v>2781</v>
      </c>
      <c r="K20" s="42"/>
      <c r="L20" s="18"/>
      <c r="M20" s="15"/>
      <c r="N20" s="41">
        <v>234846</v>
      </c>
      <c r="O20" s="41"/>
      <c r="P20" s="41"/>
      <c r="Q20" s="18"/>
      <c r="R20" s="45">
        <f t="shared" si="3"/>
        <v>0</v>
      </c>
      <c r="S20" s="16"/>
      <c r="T20" s="17">
        <v>0</v>
      </c>
      <c r="U20" s="17">
        <v>0</v>
      </c>
      <c r="V20" s="17">
        <v>0</v>
      </c>
      <c r="W20" s="16"/>
      <c r="X20" s="80">
        <v>15</v>
      </c>
      <c r="Y20" s="11">
        <f t="shared" si="4"/>
        <v>28</v>
      </c>
      <c r="Z20" s="11">
        <f t="shared" si="0"/>
        <v>0</v>
      </c>
      <c r="AA20" s="11">
        <f t="shared" si="0"/>
        <v>0</v>
      </c>
      <c r="AB20" s="11">
        <f t="shared" si="0"/>
        <v>0</v>
      </c>
      <c r="AC20" s="11">
        <f t="shared" si="0"/>
        <v>0</v>
      </c>
      <c r="AD20" s="11">
        <f t="shared" si="0"/>
        <v>0</v>
      </c>
      <c r="AE20" s="34"/>
      <c r="AF20" s="11">
        <f t="shared" si="1"/>
        <v>7</v>
      </c>
      <c r="AG20" s="11">
        <f t="shared" si="1"/>
        <v>1</v>
      </c>
      <c r="AH20" s="11">
        <f t="shared" si="1"/>
        <v>0</v>
      </c>
      <c r="AI20" s="11">
        <f t="shared" si="1"/>
        <v>0</v>
      </c>
      <c r="AJ20" s="34"/>
      <c r="AK20" s="11">
        <f t="shared" si="2"/>
        <v>65</v>
      </c>
      <c r="AL20" s="11">
        <f t="shared" si="2"/>
        <v>0</v>
      </c>
      <c r="AM20" s="11">
        <f t="shared" si="2"/>
        <v>0</v>
      </c>
      <c r="AN20" s="11">
        <f t="shared" si="2"/>
        <v>0</v>
      </c>
      <c r="AO20" s="35"/>
    </row>
    <row r="21" spans="1:41" x14ac:dyDescent="0.2">
      <c r="A21" s="80">
        <v>16</v>
      </c>
      <c r="B21" s="40">
        <v>3764</v>
      </c>
      <c r="C21" s="14">
        <v>0</v>
      </c>
      <c r="D21" s="14">
        <v>0</v>
      </c>
      <c r="E21" s="41"/>
      <c r="F21" s="18"/>
      <c r="G21" s="18"/>
      <c r="H21" s="15"/>
      <c r="I21" s="40">
        <v>25463</v>
      </c>
      <c r="J21" s="42">
        <v>2782</v>
      </c>
      <c r="K21" s="42"/>
      <c r="L21" s="18"/>
      <c r="M21" s="15"/>
      <c r="N21" s="41">
        <v>234924</v>
      </c>
      <c r="O21" s="41"/>
      <c r="P21" s="41"/>
      <c r="Q21" s="18"/>
      <c r="R21" s="45">
        <f t="shared" si="3"/>
        <v>0</v>
      </c>
      <c r="S21" s="16"/>
      <c r="T21" s="17">
        <v>0</v>
      </c>
      <c r="U21" s="17">
        <v>0</v>
      </c>
      <c r="V21" s="17">
        <v>0</v>
      </c>
      <c r="W21" s="16"/>
      <c r="X21" s="80">
        <v>16</v>
      </c>
      <c r="Y21" s="11">
        <f t="shared" si="4"/>
        <v>25</v>
      </c>
      <c r="Z21" s="11">
        <f t="shared" si="0"/>
        <v>0</v>
      </c>
      <c r="AA21" s="11">
        <f t="shared" si="0"/>
        <v>0</v>
      </c>
      <c r="AB21" s="11">
        <f t="shared" si="0"/>
        <v>0</v>
      </c>
      <c r="AC21" s="11">
        <f t="shared" si="0"/>
        <v>0</v>
      </c>
      <c r="AD21" s="11">
        <f t="shared" si="0"/>
        <v>0</v>
      </c>
      <c r="AE21" s="34"/>
      <c r="AF21" s="11">
        <f t="shared" si="1"/>
        <v>6</v>
      </c>
      <c r="AG21" s="11">
        <f t="shared" si="1"/>
        <v>1</v>
      </c>
      <c r="AH21" s="11">
        <f t="shared" si="1"/>
        <v>0</v>
      </c>
      <c r="AI21" s="11">
        <f t="shared" si="1"/>
        <v>0</v>
      </c>
      <c r="AJ21" s="34"/>
      <c r="AK21" s="11">
        <f t="shared" si="2"/>
        <v>78</v>
      </c>
      <c r="AL21" s="11">
        <f t="shared" si="2"/>
        <v>0</v>
      </c>
      <c r="AM21" s="11">
        <f t="shared" si="2"/>
        <v>0</v>
      </c>
      <c r="AN21" s="11">
        <f t="shared" si="2"/>
        <v>0</v>
      </c>
      <c r="AO21" s="35"/>
    </row>
    <row r="22" spans="1:41" x14ac:dyDescent="0.2">
      <c r="A22" s="80">
        <v>17</v>
      </c>
      <c r="B22" s="40">
        <v>3791</v>
      </c>
      <c r="C22" s="14">
        <v>0</v>
      </c>
      <c r="D22" s="14">
        <v>0</v>
      </c>
      <c r="E22" s="41"/>
      <c r="F22" s="18"/>
      <c r="G22" s="18"/>
      <c r="H22" s="15"/>
      <c r="I22" s="40">
        <v>25469</v>
      </c>
      <c r="J22" s="42">
        <v>2784</v>
      </c>
      <c r="K22" s="42"/>
      <c r="L22" s="18"/>
      <c r="M22" s="15"/>
      <c r="N22" s="41">
        <v>235002</v>
      </c>
      <c r="O22" s="41"/>
      <c r="P22" s="41"/>
      <c r="Q22" s="18"/>
      <c r="R22" s="45">
        <f t="shared" si="3"/>
        <v>0</v>
      </c>
      <c r="S22" s="16"/>
      <c r="T22" s="17">
        <v>0</v>
      </c>
      <c r="U22" s="17">
        <v>0</v>
      </c>
      <c r="V22" s="17">
        <v>0</v>
      </c>
      <c r="W22" s="16"/>
      <c r="X22" s="80">
        <v>17</v>
      </c>
      <c r="Y22" s="11">
        <f t="shared" si="4"/>
        <v>27</v>
      </c>
      <c r="Z22" s="11">
        <f t="shared" si="4"/>
        <v>0</v>
      </c>
      <c r="AA22" s="11">
        <f t="shared" si="4"/>
        <v>0</v>
      </c>
      <c r="AB22" s="11">
        <f t="shared" si="4"/>
        <v>0</v>
      </c>
      <c r="AC22" s="11">
        <f t="shared" si="4"/>
        <v>0</v>
      </c>
      <c r="AD22" s="11">
        <f t="shared" si="4"/>
        <v>0</v>
      </c>
      <c r="AE22" s="34"/>
      <c r="AF22" s="11">
        <f t="shared" ref="AF22:AI36" si="5">I22-I21</f>
        <v>6</v>
      </c>
      <c r="AG22" s="11">
        <f t="shared" si="5"/>
        <v>2</v>
      </c>
      <c r="AH22" s="11">
        <f t="shared" si="5"/>
        <v>0</v>
      </c>
      <c r="AI22" s="11">
        <f t="shared" si="5"/>
        <v>0</v>
      </c>
      <c r="AJ22" s="34"/>
      <c r="AK22" s="11">
        <f t="shared" ref="AK22:AN36" si="6">N22-N21</f>
        <v>78</v>
      </c>
      <c r="AL22" s="11">
        <f t="shared" si="6"/>
        <v>0</v>
      </c>
      <c r="AM22" s="11">
        <f t="shared" si="6"/>
        <v>0</v>
      </c>
      <c r="AN22" s="11">
        <f t="shared" si="6"/>
        <v>0</v>
      </c>
      <c r="AO22" s="35"/>
    </row>
    <row r="23" spans="1:41" x14ac:dyDescent="0.2">
      <c r="A23" s="80">
        <v>18</v>
      </c>
      <c r="B23" s="40">
        <v>3815</v>
      </c>
      <c r="C23" s="14">
        <v>0</v>
      </c>
      <c r="D23" s="14">
        <v>0</v>
      </c>
      <c r="E23" s="41"/>
      <c r="F23" s="18"/>
      <c r="G23" s="18"/>
      <c r="H23" s="15"/>
      <c r="I23" s="40">
        <v>25475</v>
      </c>
      <c r="J23" s="42">
        <v>2785</v>
      </c>
      <c r="K23" s="42"/>
      <c r="L23" s="18"/>
      <c r="M23" s="15"/>
      <c r="N23" s="41">
        <v>235048</v>
      </c>
      <c r="O23" s="41"/>
      <c r="P23" s="41"/>
      <c r="Q23" s="18"/>
      <c r="R23" s="45">
        <f t="shared" si="3"/>
        <v>0</v>
      </c>
      <c r="S23" s="16"/>
      <c r="T23" s="17">
        <v>0</v>
      </c>
      <c r="U23" s="17">
        <v>0</v>
      </c>
      <c r="V23" s="17">
        <v>0</v>
      </c>
      <c r="W23" s="16"/>
      <c r="X23" s="80">
        <v>18</v>
      </c>
      <c r="Y23" s="11">
        <f t="shared" si="4"/>
        <v>24</v>
      </c>
      <c r="Z23" s="11">
        <f t="shared" si="4"/>
        <v>0</v>
      </c>
      <c r="AA23" s="11">
        <f t="shared" si="4"/>
        <v>0</v>
      </c>
      <c r="AB23" s="11">
        <f t="shared" si="4"/>
        <v>0</v>
      </c>
      <c r="AC23" s="11">
        <f t="shared" si="4"/>
        <v>0</v>
      </c>
      <c r="AD23" s="11">
        <f t="shared" si="4"/>
        <v>0</v>
      </c>
      <c r="AE23" s="34"/>
      <c r="AF23" s="11">
        <f t="shared" si="5"/>
        <v>6</v>
      </c>
      <c r="AG23" s="11">
        <f t="shared" si="5"/>
        <v>1</v>
      </c>
      <c r="AH23" s="11">
        <f t="shared" si="5"/>
        <v>0</v>
      </c>
      <c r="AI23" s="11">
        <f t="shared" si="5"/>
        <v>0</v>
      </c>
      <c r="AJ23" s="34"/>
      <c r="AK23" s="11">
        <f t="shared" si="6"/>
        <v>46</v>
      </c>
      <c r="AL23" s="11">
        <f t="shared" si="6"/>
        <v>0</v>
      </c>
      <c r="AM23" s="11">
        <f t="shared" si="6"/>
        <v>0</v>
      </c>
      <c r="AN23" s="11">
        <f t="shared" si="6"/>
        <v>0</v>
      </c>
      <c r="AO23" s="35"/>
    </row>
    <row r="24" spans="1:41" x14ac:dyDescent="0.2">
      <c r="A24" s="80">
        <v>19</v>
      </c>
      <c r="B24" s="40">
        <v>3837</v>
      </c>
      <c r="C24" s="14">
        <v>0</v>
      </c>
      <c r="D24" s="14">
        <v>0</v>
      </c>
      <c r="E24" s="41"/>
      <c r="F24" s="18"/>
      <c r="G24" s="18"/>
      <c r="H24" s="15"/>
      <c r="I24" s="40">
        <v>25480</v>
      </c>
      <c r="J24" s="42">
        <v>2785</v>
      </c>
      <c r="K24" s="42"/>
      <c r="L24" s="18"/>
      <c r="M24" s="15"/>
      <c r="N24" s="41">
        <v>235106</v>
      </c>
      <c r="O24" s="41"/>
      <c r="P24" s="41"/>
      <c r="Q24" s="18"/>
      <c r="R24" s="45">
        <f t="shared" si="3"/>
        <v>0</v>
      </c>
      <c r="S24" s="16"/>
      <c r="T24" s="17">
        <v>0</v>
      </c>
      <c r="U24" s="17">
        <v>0</v>
      </c>
      <c r="V24" s="17">
        <v>0</v>
      </c>
      <c r="W24" s="16"/>
      <c r="X24" s="80">
        <v>19</v>
      </c>
      <c r="Y24" s="11">
        <f t="shared" si="4"/>
        <v>22</v>
      </c>
      <c r="Z24" s="11">
        <f t="shared" si="4"/>
        <v>0</v>
      </c>
      <c r="AA24" s="11">
        <f t="shared" si="4"/>
        <v>0</v>
      </c>
      <c r="AB24" s="11">
        <f t="shared" si="4"/>
        <v>0</v>
      </c>
      <c r="AC24" s="11">
        <f t="shared" si="4"/>
        <v>0</v>
      </c>
      <c r="AD24" s="11">
        <f t="shared" si="4"/>
        <v>0</v>
      </c>
      <c r="AE24" s="34"/>
      <c r="AF24" s="11">
        <f t="shared" si="5"/>
        <v>5</v>
      </c>
      <c r="AG24" s="11">
        <f t="shared" si="5"/>
        <v>0</v>
      </c>
      <c r="AH24" s="11">
        <f t="shared" si="5"/>
        <v>0</v>
      </c>
      <c r="AI24" s="11">
        <f t="shared" si="5"/>
        <v>0</v>
      </c>
      <c r="AJ24" s="34"/>
      <c r="AK24" s="11">
        <f t="shared" si="6"/>
        <v>58</v>
      </c>
      <c r="AL24" s="11">
        <f t="shared" si="6"/>
        <v>0</v>
      </c>
      <c r="AM24" s="11">
        <f t="shared" si="6"/>
        <v>0</v>
      </c>
      <c r="AN24" s="11">
        <f t="shared" si="6"/>
        <v>0</v>
      </c>
      <c r="AO24" s="35"/>
    </row>
    <row r="25" spans="1:41" x14ac:dyDescent="0.2">
      <c r="A25" s="80">
        <v>20</v>
      </c>
      <c r="B25" s="40">
        <v>3876</v>
      </c>
      <c r="C25" s="14">
        <v>0</v>
      </c>
      <c r="D25" s="14">
        <v>0</v>
      </c>
      <c r="E25" s="41"/>
      <c r="F25" s="18"/>
      <c r="G25" s="18"/>
      <c r="H25" s="15"/>
      <c r="I25" s="40">
        <v>25493</v>
      </c>
      <c r="J25" s="42">
        <v>2788</v>
      </c>
      <c r="K25" s="42"/>
      <c r="L25" s="18"/>
      <c r="M25" s="15"/>
      <c r="N25" s="41">
        <v>235166</v>
      </c>
      <c r="O25" s="41"/>
      <c r="P25" s="41"/>
      <c r="Q25" s="18"/>
      <c r="R25" s="45">
        <f t="shared" si="3"/>
        <v>0</v>
      </c>
      <c r="S25" s="16"/>
      <c r="T25" s="17">
        <v>0</v>
      </c>
      <c r="U25" s="17">
        <v>0</v>
      </c>
      <c r="V25" s="17">
        <v>0</v>
      </c>
      <c r="W25" s="16"/>
      <c r="X25" s="80">
        <v>20</v>
      </c>
      <c r="Y25" s="11">
        <f t="shared" si="4"/>
        <v>39</v>
      </c>
      <c r="Z25" s="11">
        <f t="shared" si="4"/>
        <v>0</v>
      </c>
      <c r="AA25" s="11">
        <f t="shared" si="4"/>
        <v>0</v>
      </c>
      <c r="AB25" s="11">
        <f t="shared" si="4"/>
        <v>0</v>
      </c>
      <c r="AC25" s="11">
        <f t="shared" si="4"/>
        <v>0</v>
      </c>
      <c r="AD25" s="11">
        <f t="shared" si="4"/>
        <v>0</v>
      </c>
      <c r="AE25" s="34"/>
      <c r="AF25" s="11">
        <f t="shared" si="5"/>
        <v>13</v>
      </c>
      <c r="AG25" s="11">
        <f t="shared" si="5"/>
        <v>3</v>
      </c>
      <c r="AH25" s="11">
        <f t="shared" si="5"/>
        <v>0</v>
      </c>
      <c r="AI25" s="11">
        <f t="shared" si="5"/>
        <v>0</v>
      </c>
      <c r="AJ25" s="34"/>
      <c r="AK25" s="11">
        <f t="shared" si="6"/>
        <v>60</v>
      </c>
      <c r="AL25" s="11">
        <f t="shared" si="6"/>
        <v>0</v>
      </c>
      <c r="AM25" s="11">
        <f t="shared" si="6"/>
        <v>0</v>
      </c>
      <c r="AN25" s="11">
        <f t="shared" si="6"/>
        <v>0</v>
      </c>
      <c r="AO25" s="35"/>
    </row>
    <row r="26" spans="1:41" x14ac:dyDescent="0.2">
      <c r="A26" s="80">
        <v>21</v>
      </c>
      <c r="B26" s="40">
        <v>3908</v>
      </c>
      <c r="C26" s="14">
        <v>0</v>
      </c>
      <c r="D26" s="14">
        <v>0</v>
      </c>
      <c r="E26" s="41"/>
      <c r="F26" s="18"/>
      <c r="G26" s="18"/>
      <c r="H26" s="15"/>
      <c r="I26" s="40">
        <v>25500</v>
      </c>
      <c r="J26" s="42">
        <v>2788</v>
      </c>
      <c r="K26" s="42"/>
      <c r="L26" s="18"/>
      <c r="M26" s="15"/>
      <c r="N26" s="41">
        <v>235221</v>
      </c>
      <c r="O26" s="41"/>
      <c r="P26" s="41"/>
      <c r="Q26" s="18"/>
      <c r="R26" s="45">
        <f t="shared" si="3"/>
        <v>0</v>
      </c>
      <c r="S26" s="16"/>
      <c r="T26" s="17">
        <v>0</v>
      </c>
      <c r="U26" s="17">
        <v>0</v>
      </c>
      <c r="V26" s="17">
        <v>0</v>
      </c>
      <c r="W26" s="16"/>
      <c r="X26" s="80">
        <v>21</v>
      </c>
      <c r="Y26" s="11">
        <f t="shared" si="4"/>
        <v>32</v>
      </c>
      <c r="Z26" s="11">
        <f t="shared" si="4"/>
        <v>0</v>
      </c>
      <c r="AA26" s="11">
        <f t="shared" si="4"/>
        <v>0</v>
      </c>
      <c r="AB26" s="11">
        <f t="shared" si="4"/>
        <v>0</v>
      </c>
      <c r="AC26" s="11">
        <f t="shared" si="4"/>
        <v>0</v>
      </c>
      <c r="AD26" s="11">
        <f t="shared" si="4"/>
        <v>0</v>
      </c>
      <c r="AE26" s="34"/>
      <c r="AF26" s="11">
        <f t="shared" si="5"/>
        <v>7</v>
      </c>
      <c r="AG26" s="11">
        <f t="shared" si="5"/>
        <v>0</v>
      </c>
      <c r="AH26" s="11">
        <f t="shared" si="5"/>
        <v>0</v>
      </c>
      <c r="AI26" s="11">
        <f t="shared" si="5"/>
        <v>0</v>
      </c>
      <c r="AJ26" s="34"/>
      <c r="AK26" s="11">
        <f t="shared" si="6"/>
        <v>55</v>
      </c>
      <c r="AL26" s="11">
        <f t="shared" si="6"/>
        <v>0</v>
      </c>
      <c r="AM26" s="11">
        <f t="shared" si="6"/>
        <v>0</v>
      </c>
      <c r="AN26" s="11">
        <f t="shared" si="6"/>
        <v>0</v>
      </c>
      <c r="AO26" s="35"/>
    </row>
    <row r="27" spans="1:41" x14ac:dyDescent="0.2">
      <c r="A27" s="80">
        <v>22</v>
      </c>
      <c r="B27" s="40">
        <v>3938</v>
      </c>
      <c r="C27" s="14">
        <v>0</v>
      </c>
      <c r="D27" s="14">
        <v>0</v>
      </c>
      <c r="E27" s="41"/>
      <c r="F27" s="18"/>
      <c r="G27" s="18"/>
      <c r="H27" s="15"/>
      <c r="I27" s="40">
        <v>25508</v>
      </c>
      <c r="J27" s="42">
        <v>2791</v>
      </c>
      <c r="K27" s="42"/>
      <c r="L27" s="18"/>
      <c r="M27" s="15"/>
      <c r="N27" s="41">
        <v>235271</v>
      </c>
      <c r="O27" s="41"/>
      <c r="P27" s="41"/>
      <c r="Q27" s="18"/>
      <c r="R27" s="45">
        <f t="shared" si="3"/>
        <v>0</v>
      </c>
      <c r="S27" s="16"/>
      <c r="T27" s="17">
        <v>0</v>
      </c>
      <c r="U27" s="17">
        <v>0</v>
      </c>
      <c r="V27" s="17">
        <v>0</v>
      </c>
      <c r="W27" s="16"/>
      <c r="X27" s="80">
        <v>22</v>
      </c>
      <c r="Y27" s="11">
        <f t="shared" si="4"/>
        <v>30</v>
      </c>
      <c r="Z27" s="11">
        <f t="shared" si="4"/>
        <v>0</v>
      </c>
      <c r="AA27" s="11">
        <f t="shared" si="4"/>
        <v>0</v>
      </c>
      <c r="AB27" s="11">
        <f t="shared" si="4"/>
        <v>0</v>
      </c>
      <c r="AC27" s="11">
        <f t="shared" si="4"/>
        <v>0</v>
      </c>
      <c r="AD27" s="11">
        <f t="shared" si="4"/>
        <v>0</v>
      </c>
      <c r="AE27" s="34"/>
      <c r="AF27" s="11">
        <f t="shared" si="5"/>
        <v>8</v>
      </c>
      <c r="AG27" s="11">
        <f t="shared" si="5"/>
        <v>3</v>
      </c>
      <c r="AH27" s="11">
        <f t="shared" si="5"/>
        <v>0</v>
      </c>
      <c r="AI27" s="11">
        <f t="shared" si="5"/>
        <v>0</v>
      </c>
      <c r="AJ27" s="34"/>
      <c r="AK27" s="11">
        <f t="shared" si="6"/>
        <v>50</v>
      </c>
      <c r="AL27" s="11">
        <f t="shared" si="6"/>
        <v>0</v>
      </c>
      <c r="AM27" s="11">
        <f t="shared" si="6"/>
        <v>0</v>
      </c>
      <c r="AN27" s="11">
        <f t="shared" si="6"/>
        <v>0</v>
      </c>
      <c r="AO27" s="35"/>
    </row>
    <row r="28" spans="1:41" x14ac:dyDescent="0.2">
      <c r="A28" s="80">
        <v>23</v>
      </c>
      <c r="B28" s="40">
        <v>3958</v>
      </c>
      <c r="C28" s="14">
        <v>0</v>
      </c>
      <c r="D28" s="14">
        <v>0</v>
      </c>
      <c r="E28" s="41"/>
      <c r="F28" s="18"/>
      <c r="G28" s="18"/>
      <c r="H28" s="15"/>
      <c r="I28" s="40">
        <v>25518</v>
      </c>
      <c r="J28" s="42">
        <v>2792</v>
      </c>
      <c r="K28" s="42"/>
      <c r="L28" s="18"/>
      <c r="M28" s="15"/>
      <c r="N28" s="41">
        <v>235311</v>
      </c>
      <c r="O28" s="41"/>
      <c r="P28" s="41"/>
      <c r="Q28" s="18"/>
      <c r="R28" s="45">
        <f t="shared" si="3"/>
        <v>0</v>
      </c>
      <c r="S28" s="16"/>
      <c r="T28" s="17">
        <v>0</v>
      </c>
      <c r="U28" s="17">
        <v>0</v>
      </c>
      <c r="V28" s="17">
        <v>0</v>
      </c>
      <c r="W28" s="16"/>
      <c r="X28" s="80">
        <v>23</v>
      </c>
      <c r="Y28" s="11">
        <f t="shared" si="4"/>
        <v>20</v>
      </c>
      <c r="Z28" s="11">
        <f t="shared" si="4"/>
        <v>0</v>
      </c>
      <c r="AA28" s="11">
        <f t="shared" si="4"/>
        <v>0</v>
      </c>
      <c r="AB28" s="11">
        <f t="shared" si="4"/>
        <v>0</v>
      </c>
      <c r="AC28" s="11">
        <f t="shared" si="4"/>
        <v>0</v>
      </c>
      <c r="AD28" s="11">
        <f t="shared" si="4"/>
        <v>0</v>
      </c>
      <c r="AE28" s="34"/>
      <c r="AF28" s="11">
        <f t="shared" si="5"/>
        <v>10</v>
      </c>
      <c r="AG28" s="11">
        <f t="shared" si="5"/>
        <v>1</v>
      </c>
      <c r="AH28" s="11">
        <f t="shared" si="5"/>
        <v>0</v>
      </c>
      <c r="AI28" s="11">
        <f t="shared" si="5"/>
        <v>0</v>
      </c>
      <c r="AJ28" s="34"/>
      <c r="AK28" s="11">
        <f t="shared" si="6"/>
        <v>40</v>
      </c>
      <c r="AL28" s="11">
        <f t="shared" si="6"/>
        <v>0</v>
      </c>
      <c r="AM28" s="11">
        <f t="shared" si="6"/>
        <v>0</v>
      </c>
      <c r="AN28" s="11">
        <f t="shared" si="6"/>
        <v>0</v>
      </c>
      <c r="AO28" s="35"/>
    </row>
    <row r="29" spans="1:41" x14ac:dyDescent="0.2">
      <c r="A29" s="80">
        <v>24</v>
      </c>
      <c r="B29" s="40">
        <v>3940</v>
      </c>
      <c r="C29" s="14">
        <v>0</v>
      </c>
      <c r="D29" s="14">
        <v>0</v>
      </c>
      <c r="E29" s="41"/>
      <c r="F29" s="18"/>
      <c r="G29" s="18"/>
      <c r="H29" s="15"/>
      <c r="I29" s="40">
        <v>25507</v>
      </c>
      <c r="J29" s="42">
        <v>2795</v>
      </c>
      <c r="K29" s="42"/>
      <c r="L29" s="18"/>
      <c r="M29" s="15"/>
      <c r="N29" s="41">
        <v>235398</v>
      </c>
      <c r="O29" s="41"/>
      <c r="P29" s="41"/>
      <c r="Q29" s="18"/>
      <c r="R29" s="45">
        <f t="shared" si="3"/>
        <v>0</v>
      </c>
      <c r="S29" s="16"/>
      <c r="T29" s="17">
        <v>0</v>
      </c>
      <c r="U29" s="17">
        <v>0</v>
      </c>
      <c r="V29" s="17">
        <v>0</v>
      </c>
      <c r="W29" s="16"/>
      <c r="X29" s="80">
        <v>24</v>
      </c>
      <c r="Y29" s="11">
        <f t="shared" si="4"/>
        <v>-18</v>
      </c>
      <c r="Z29" s="11">
        <f t="shared" si="4"/>
        <v>0</v>
      </c>
      <c r="AA29" s="11">
        <f t="shared" si="4"/>
        <v>0</v>
      </c>
      <c r="AB29" s="11">
        <f t="shared" si="4"/>
        <v>0</v>
      </c>
      <c r="AC29" s="11">
        <f t="shared" si="4"/>
        <v>0</v>
      </c>
      <c r="AD29" s="11">
        <f t="shared" si="4"/>
        <v>0</v>
      </c>
      <c r="AE29" s="34"/>
      <c r="AF29" s="11">
        <f t="shared" si="5"/>
        <v>-11</v>
      </c>
      <c r="AG29" s="11">
        <f t="shared" si="5"/>
        <v>3</v>
      </c>
      <c r="AH29" s="11">
        <f t="shared" si="5"/>
        <v>0</v>
      </c>
      <c r="AI29" s="11">
        <f t="shared" si="5"/>
        <v>0</v>
      </c>
      <c r="AJ29" s="34"/>
      <c r="AK29" s="11">
        <f t="shared" si="6"/>
        <v>87</v>
      </c>
      <c r="AL29" s="11">
        <f t="shared" si="6"/>
        <v>0</v>
      </c>
      <c r="AM29" s="11">
        <f t="shared" si="6"/>
        <v>0</v>
      </c>
      <c r="AN29" s="11">
        <f t="shared" si="6"/>
        <v>0</v>
      </c>
      <c r="AO29" s="35"/>
    </row>
    <row r="30" spans="1:41" x14ac:dyDescent="0.2">
      <c r="A30" s="80">
        <v>25</v>
      </c>
      <c r="B30" s="40">
        <v>4004</v>
      </c>
      <c r="C30" s="14">
        <v>0</v>
      </c>
      <c r="D30" s="14">
        <v>0</v>
      </c>
      <c r="E30" s="41"/>
      <c r="F30" s="18"/>
      <c r="G30" s="18"/>
      <c r="H30" s="15"/>
      <c r="I30" s="40">
        <v>25526</v>
      </c>
      <c r="J30" s="42">
        <v>2795</v>
      </c>
      <c r="K30" s="42"/>
      <c r="L30" s="18"/>
      <c r="M30" s="15"/>
      <c r="N30" s="41">
        <v>235412</v>
      </c>
      <c r="O30" s="41"/>
      <c r="P30" s="41"/>
      <c r="Q30" s="18"/>
      <c r="R30" s="45">
        <f t="shared" si="3"/>
        <v>0</v>
      </c>
      <c r="S30" s="16"/>
      <c r="T30" s="17">
        <v>0</v>
      </c>
      <c r="U30" s="17">
        <v>0</v>
      </c>
      <c r="V30" s="17">
        <v>0</v>
      </c>
      <c r="W30" s="16"/>
      <c r="X30" s="80">
        <v>25</v>
      </c>
      <c r="Y30" s="11">
        <f t="shared" si="4"/>
        <v>64</v>
      </c>
      <c r="Z30" s="11">
        <f t="shared" si="4"/>
        <v>0</v>
      </c>
      <c r="AA30" s="11">
        <f t="shared" si="4"/>
        <v>0</v>
      </c>
      <c r="AB30" s="11">
        <f t="shared" si="4"/>
        <v>0</v>
      </c>
      <c r="AC30" s="11">
        <f t="shared" si="4"/>
        <v>0</v>
      </c>
      <c r="AD30" s="11">
        <f t="shared" si="4"/>
        <v>0</v>
      </c>
      <c r="AE30" s="34"/>
      <c r="AF30" s="11">
        <f t="shared" si="5"/>
        <v>19</v>
      </c>
      <c r="AG30" s="11">
        <f t="shared" si="5"/>
        <v>0</v>
      </c>
      <c r="AH30" s="11">
        <f t="shared" si="5"/>
        <v>0</v>
      </c>
      <c r="AI30" s="11">
        <f t="shared" si="5"/>
        <v>0</v>
      </c>
      <c r="AJ30" s="34"/>
      <c r="AK30" s="11">
        <f t="shared" si="6"/>
        <v>14</v>
      </c>
      <c r="AL30" s="11">
        <f t="shared" si="6"/>
        <v>0</v>
      </c>
      <c r="AM30" s="11">
        <f t="shared" si="6"/>
        <v>0</v>
      </c>
      <c r="AN30" s="11">
        <f t="shared" si="6"/>
        <v>0</v>
      </c>
      <c r="AO30" s="35"/>
    </row>
    <row r="31" spans="1:41" x14ac:dyDescent="0.2">
      <c r="A31" s="80">
        <v>26</v>
      </c>
      <c r="B31" s="40">
        <v>4041</v>
      </c>
      <c r="C31" s="14">
        <v>0</v>
      </c>
      <c r="D31" s="14">
        <v>0</v>
      </c>
      <c r="E31" s="41"/>
      <c r="F31" s="18"/>
      <c r="G31" s="18"/>
      <c r="H31" s="15"/>
      <c r="I31" s="40">
        <v>25549</v>
      </c>
      <c r="J31" s="42">
        <v>2796</v>
      </c>
      <c r="K31" s="42"/>
      <c r="L31" s="18"/>
      <c r="M31" s="15"/>
      <c r="N31" s="41">
        <v>235460</v>
      </c>
      <c r="O31" s="41"/>
      <c r="P31" s="41"/>
      <c r="Q31" s="18"/>
      <c r="R31" s="45">
        <f t="shared" si="3"/>
        <v>0</v>
      </c>
      <c r="S31" s="16"/>
      <c r="T31" s="17">
        <v>0</v>
      </c>
      <c r="U31" s="17">
        <v>0</v>
      </c>
      <c r="V31" s="17">
        <v>0</v>
      </c>
      <c r="W31" s="16"/>
      <c r="X31" s="80">
        <v>26</v>
      </c>
      <c r="Y31" s="11">
        <f t="shared" si="4"/>
        <v>37</v>
      </c>
      <c r="Z31" s="11">
        <f t="shared" si="4"/>
        <v>0</v>
      </c>
      <c r="AA31" s="11">
        <f t="shared" si="4"/>
        <v>0</v>
      </c>
      <c r="AB31" s="11">
        <f t="shared" si="4"/>
        <v>0</v>
      </c>
      <c r="AC31" s="11">
        <f t="shared" si="4"/>
        <v>0</v>
      </c>
      <c r="AD31" s="11">
        <f t="shared" si="4"/>
        <v>0</v>
      </c>
      <c r="AE31" s="34"/>
      <c r="AF31" s="11">
        <f t="shared" si="5"/>
        <v>23</v>
      </c>
      <c r="AG31" s="11">
        <f t="shared" si="5"/>
        <v>1</v>
      </c>
      <c r="AH31" s="11">
        <f t="shared" si="5"/>
        <v>0</v>
      </c>
      <c r="AI31" s="11">
        <f t="shared" si="5"/>
        <v>0</v>
      </c>
      <c r="AJ31" s="34"/>
      <c r="AK31" s="11">
        <f t="shared" si="6"/>
        <v>48</v>
      </c>
      <c r="AL31" s="11">
        <f t="shared" si="6"/>
        <v>0</v>
      </c>
      <c r="AM31" s="11">
        <f t="shared" si="6"/>
        <v>0</v>
      </c>
      <c r="AN31" s="11">
        <f t="shared" si="6"/>
        <v>0</v>
      </c>
      <c r="AO31" s="35"/>
    </row>
    <row r="32" spans="1:41" x14ac:dyDescent="0.2">
      <c r="A32" s="80">
        <v>27</v>
      </c>
      <c r="B32" s="40">
        <v>4074</v>
      </c>
      <c r="C32" s="14">
        <v>0</v>
      </c>
      <c r="D32" s="14">
        <v>0</v>
      </c>
      <c r="E32" s="41"/>
      <c r="F32" s="18"/>
      <c r="G32" s="18"/>
      <c r="H32" s="15"/>
      <c r="I32" s="40">
        <v>25560</v>
      </c>
      <c r="J32" s="42">
        <v>2800</v>
      </c>
      <c r="K32" s="42"/>
      <c r="L32" s="18"/>
      <c r="M32" s="15"/>
      <c r="N32" s="41">
        <v>235507</v>
      </c>
      <c r="O32" s="41"/>
      <c r="P32" s="41"/>
      <c r="Q32" s="18"/>
      <c r="R32" s="45">
        <f t="shared" si="3"/>
        <v>0</v>
      </c>
      <c r="S32" s="16"/>
      <c r="T32" s="17">
        <v>0</v>
      </c>
      <c r="U32" s="17">
        <v>0</v>
      </c>
      <c r="V32" s="17">
        <v>0</v>
      </c>
      <c r="W32" s="16"/>
      <c r="X32" s="80">
        <v>27</v>
      </c>
      <c r="Y32" s="11">
        <f t="shared" si="4"/>
        <v>33</v>
      </c>
      <c r="Z32" s="11">
        <f t="shared" si="4"/>
        <v>0</v>
      </c>
      <c r="AA32" s="11">
        <f t="shared" si="4"/>
        <v>0</v>
      </c>
      <c r="AB32" s="11">
        <f t="shared" si="4"/>
        <v>0</v>
      </c>
      <c r="AC32" s="11">
        <f t="shared" si="4"/>
        <v>0</v>
      </c>
      <c r="AD32" s="11">
        <f t="shared" si="4"/>
        <v>0</v>
      </c>
      <c r="AE32" s="34"/>
      <c r="AF32" s="11">
        <f t="shared" si="5"/>
        <v>11</v>
      </c>
      <c r="AG32" s="11">
        <f t="shared" si="5"/>
        <v>4</v>
      </c>
      <c r="AH32" s="11">
        <f t="shared" si="5"/>
        <v>0</v>
      </c>
      <c r="AI32" s="11">
        <f t="shared" si="5"/>
        <v>0</v>
      </c>
      <c r="AJ32" s="34"/>
      <c r="AK32" s="11">
        <f t="shared" si="6"/>
        <v>47</v>
      </c>
      <c r="AL32" s="11">
        <f t="shared" si="6"/>
        <v>0</v>
      </c>
      <c r="AM32" s="11">
        <f t="shared" si="6"/>
        <v>0</v>
      </c>
      <c r="AN32" s="11">
        <f t="shared" si="6"/>
        <v>0</v>
      </c>
      <c r="AO32" s="35"/>
    </row>
    <row r="33" spans="1:41" x14ac:dyDescent="0.2">
      <c r="A33" s="80">
        <v>28</v>
      </c>
      <c r="B33" s="40">
        <v>4103</v>
      </c>
      <c r="C33" s="14">
        <v>0</v>
      </c>
      <c r="D33" s="14">
        <v>0</v>
      </c>
      <c r="E33" s="41"/>
      <c r="F33" s="18"/>
      <c r="G33" s="18"/>
      <c r="H33" s="15"/>
      <c r="I33" s="40">
        <v>25568</v>
      </c>
      <c r="J33" s="42">
        <v>2800</v>
      </c>
      <c r="K33" s="42"/>
      <c r="L33" s="18"/>
      <c r="M33" s="15"/>
      <c r="N33" s="41">
        <v>235574</v>
      </c>
      <c r="O33" s="41"/>
      <c r="P33" s="41"/>
      <c r="Q33" s="18"/>
      <c r="R33" s="45">
        <f t="shared" si="3"/>
        <v>0</v>
      </c>
      <c r="S33" s="16"/>
      <c r="T33" s="17">
        <v>0</v>
      </c>
      <c r="U33" s="17">
        <v>0</v>
      </c>
      <c r="V33" s="17">
        <v>0</v>
      </c>
      <c r="W33" s="16"/>
      <c r="X33" s="80">
        <v>28</v>
      </c>
      <c r="Y33" s="11">
        <f t="shared" si="4"/>
        <v>29</v>
      </c>
      <c r="Z33" s="11">
        <f t="shared" si="4"/>
        <v>0</v>
      </c>
      <c r="AA33" s="11">
        <f t="shared" si="4"/>
        <v>0</v>
      </c>
      <c r="AB33" s="11">
        <f t="shared" si="4"/>
        <v>0</v>
      </c>
      <c r="AC33" s="11">
        <f t="shared" si="4"/>
        <v>0</v>
      </c>
      <c r="AD33" s="11">
        <f t="shared" si="4"/>
        <v>0</v>
      </c>
      <c r="AE33" s="34"/>
      <c r="AF33" s="11">
        <f t="shared" si="5"/>
        <v>8</v>
      </c>
      <c r="AG33" s="11">
        <f t="shared" si="5"/>
        <v>0</v>
      </c>
      <c r="AH33" s="11">
        <f t="shared" si="5"/>
        <v>0</v>
      </c>
      <c r="AI33" s="11">
        <f t="shared" si="5"/>
        <v>0</v>
      </c>
      <c r="AJ33" s="34"/>
      <c r="AK33" s="11">
        <f t="shared" si="6"/>
        <v>67</v>
      </c>
      <c r="AL33" s="11">
        <f t="shared" si="6"/>
        <v>0</v>
      </c>
      <c r="AM33" s="11">
        <f t="shared" si="6"/>
        <v>0</v>
      </c>
      <c r="AN33" s="11">
        <f t="shared" si="6"/>
        <v>0</v>
      </c>
      <c r="AO33" s="35"/>
    </row>
    <row r="34" spans="1:41" x14ac:dyDescent="0.2">
      <c r="A34" s="80">
        <v>29</v>
      </c>
      <c r="B34" s="40">
        <v>4129</v>
      </c>
      <c r="C34" s="14">
        <v>0</v>
      </c>
      <c r="D34" s="14">
        <v>0</v>
      </c>
      <c r="E34" s="41"/>
      <c r="F34" s="18"/>
      <c r="G34" s="18"/>
      <c r="H34" s="15"/>
      <c r="I34" s="40">
        <v>25575</v>
      </c>
      <c r="J34" s="42">
        <v>2800</v>
      </c>
      <c r="K34" s="42"/>
      <c r="L34" s="18"/>
      <c r="M34" s="15"/>
      <c r="N34" s="41">
        <v>235651</v>
      </c>
      <c r="O34" s="41"/>
      <c r="P34" s="41"/>
      <c r="Q34" s="18"/>
      <c r="R34" s="45">
        <f t="shared" si="3"/>
        <v>0</v>
      </c>
      <c r="S34" s="16"/>
      <c r="T34" s="17">
        <v>0</v>
      </c>
      <c r="U34" s="17">
        <v>0</v>
      </c>
      <c r="V34" s="17">
        <v>0</v>
      </c>
      <c r="W34" s="16"/>
      <c r="X34" s="80">
        <v>29</v>
      </c>
      <c r="Y34" s="11">
        <f t="shared" ref="Y34:AD36" si="7">B34-B33</f>
        <v>26</v>
      </c>
      <c r="Z34" s="11">
        <f t="shared" si="7"/>
        <v>0</v>
      </c>
      <c r="AA34" s="11">
        <f t="shared" si="7"/>
        <v>0</v>
      </c>
      <c r="AB34" s="11">
        <f t="shared" si="7"/>
        <v>0</v>
      </c>
      <c r="AC34" s="11">
        <f t="shared" si="7"/>
        <v>0</v>
      </c>
      <c r="AD34" s="11">
        <f t="shared" si="7"/>
        <v>0</v>
      </c>
      <c r="AE34" s="34"/>
      <c r="AF34" s="11">
        <f t="shared" si="5"/>
        <v>7</v>
      </c>
      <c r="AG34" s="11">
        <f t="shared" si="5"/>
        <v>0</v>
      </c>
      <c r="AH34" s="11">
        <f t="shared" si="5"/>
        <v>0</v>
      </c>
      <c r="AI34" s="11">
        <f t="shared" si="5"/>
        <v>0</v>
      </c>
      <c r="AJ34" s="34"/>
      <c r="AK34" s="11">
        <f t="shared" si="6"/>
        <v>77</v>
      </c>
      <c r="AL34" s="11">
        <f t="shared" si="6"/>
        <v>0</v>
      </c>
      <c r="AM34" s="11">
        <f t="shared" si="6"/>
        <v>0</v>
      </c>
      <c r="AN34" s="11">
        <f t="shared" si="6"/>
        <v>0</v>
      </c>
      <c r="AO34" s="35"/>
    </row>
    <row r="35" spans="1:41" x14ac:dyDescent="0.2">
      <c r="A35" s="80">
        <v>30</v>
      </c>
      <c r="B35" s="40">
        <v>4156</v>
      </c>
      <c r="C35" s="14">
        <v>0</v>
      </c>
      <c r="D35" s="14">
        <v>0</v>
      </c>
      <c r="E35" s="41"/>
      <c r="F35" s="18"/>
      <c r="G35" s="18"/>
      <c r="H35" s="15"/>
      <c r="I35" s="40">
        <v>25580</v>
      </c>
      <c r="J35" s="42">
        <v>2800</v>
      </c>
      <c r="K35" s="42"/>
      <c r="L35" s="18"/>
      <c r="M35" s="15"/>
      <c r="N35" s="41">
        <v>235771</v>
      </c>
      <c r="O35" s="41"/>
      <c r="P35" s="41"/>
      <c r="Q35" s="18"/>
      <c r="R35" s="45">
        <f t="shared" si="3"/>
        <v>0</v>
      </c>
      <c r="S35" s="16"/>
      <c r="T35" s="17">
        <v>0</v>
      </c>
      <c r="U35" s="17">
        <v>0</v>
      </c>
      <c r="V35" s="17">
        <v>0</v>
      </c>
      <c r="W35" s="16"/>
      <c r="X35" s="80">
        <v>30</v>
      </c>
      <c r="Y35" s="11">
        <f t="shared" si="7"/>
        <v>27</v>
      </c>
      <c r="Z35" s="11">
        <f t="shared" si="7"/>
        <v>0</v>
      </c>
      <c r="AA35" s="11">
        <f t="shared" si="7"/>
        <v>0</v>
      </c>
      <c r="AB35" s="11">
        <f t="shared" si="7"/>
        <v>0</v>
      </c>
      <c r="AC35" s="11">
        <f t="shared" si="7"/>
        <v>0</v>
      </c>
      <c r="AD35" s="11">
        <f t="shared" si="7"/>
        <v>0</v>
      </c>
      <c r="AE35" s="34"/>
      <c r="AF35" s="11">
        <f t="shared" si="5"/>
        <v>5</v>
      </c>
      <c r="AG35" s="11">
        <f t="shared" si="5"/>
        <v>0</v>
      </c>
      <c r="AH35" s="11">
        <f t="shared" si="5"/>
        <v>0</v>
      </c>
      <c r="AI35" s="11">
        <f t="shared" si="5"/>
        <v>0</v>
      </c>
      <c r="AJ35" s="34"/>
      <c r="AK35" s="11">
        <f t="shared" si="6"/>
        <v>120</v>
      </c>
      <c r="AL35" s="11">
        <f t="shared" si="6"/>
        <v>0</v>
      </c>
      <c r="AM35" s="11">
        <f t="shared" si="6"/>
        <v>0</v>
      </c>
      <c r="AN35" s="11">
        <f t="shared" si="6"/>
        <v>0</v>
      </c>
      <c r="AO35" s="35"/>
    </row>
    <row r="36" spans="1:41" x14ac:dyDescent="0.2">
      <c r="A36" s="80">
        <v>31</v>
      </c>
      <c r="B36" s="40">
        <v>4184</v>
      </c>
      <c r="C36" s="14">
        <v>0</v>
      </c>
      <c r="D36" s="14">
        <v>0</v>
      </c>
      <c r="E36" s="41"/>
      <c r="F36" s="18"/>
      <c r="G36" s="18"/>
      <c r="H36" s="15"/>
      <c r="I36" s="40">
        <v>25587</v>
      </c>
      <c r="J36" s="42">
        <v>2800</v>
      </c>
      <c r="K36" s="42"/>
      <c r="L36" s="18"/>
      <c r="M36" s="15"/>
      <c r="N36" s="41">
        <v>235754</v>
      </c>
      <c r="O36" s="41"/>
      <c r="P36" s="41"/>
      <c r="Q36" s="18"/>
      <c r="R36" s="45">
        <f t="shared" si="3"/>
        <v>0</v>
      </c>
      <c r="S36" s="16"/>
      <c r="T36" s="17">
        <v>0</v>
      </c>
      <c r="U36" s="17">
        <v>0</v>
      </c>
      <c r="V36" s="17">
        <v>0</v>
      </c>
      <c r="W36" s="16"/>
      <c r="X36" s="80">
        <v>31</v>
      </c>
      <c r="Y36" s="11">
        <f t="shared" si="7"/>
        <v>28</v>
      </c>
      <c r="Z36" s="11">
        <f t="shared" si="7"/>
        <v>0</v>
      </c>
      <c r="AA36" s="11">
        <f t="shared" si="7"/>
        <v>0</v>
      </c>
      <c r="AB36" s="11">
        <f t="shared" si="7"/>
        <v>0</v>
      </c>
      <c r="AC36" s="11">
        <f t="shared" si="7"/>
        <v>0</v>
      </c>
      <c r="AD36" s="11">
        <f t="shared" si="7"/>
        <v>0</v>
      </c>
      <c r="AE36" s="34"/>
      <c r="AF36" s="11">
        <f t="shared" si="5"/>
        <v>7</v>
      </c>
      <c r="AG36" s="11">
        <f t="shared" si="5"/>
        <v>0</v>
      </c>
      <c r="AH36" s="11">
        <f t="shared" si="5"/>
        <v>0</v>
      </c>
      <c r="AI36" s="11">
        <f t="shared" si="5"/>
        <v>0</v>
      </c>
      <c r="AJ36" s="34"/>
      <c r="AK36" s="11">
        <f t="shared" si="6"/>
        <v>-17</v>
      </c>
      <c r="AL36" s="11">
        <f t="shared" si="6"/>
        <v>0</v>
      </c>
      <c r="AM36" s="11">
        <f t="shared" si="6"/>
        <v>0</v>
      </c>
      <c r="AN36" s="11">
        <f t="shared" si="6"/>
        <v>0</v>
      </c>
      <c r="AO36" s="36"/>
    </row>
    <row r="37" spans="1:41" x14ac:dyDescent="0.2">
      <c r="B37" s="19" t="s">
        <v>32</v>
      </c>
      <c r="C37" s="32"/>
      <c r="D37" s="32"/>
      <c r="E37" s="20" t="s">
        <v>31</v>
      </c>
      <c r="F37" s="19" t="s">
        <v>32</v>
      </c>
      <c r="G37" s="19" t="s">
        <v>32</v>
      </c>
      <c r="I37" s="19" t="s">
        <v>32</v>
      </c>
      <c r="J37" s="21" t="s">
        <v>33</v>
      </c>
      <c r="K37" s="21" t="s">
        <v>33</v>
      </c>
      <c r="L37" s="19" t="s">
        <v>32</v>
      </c>
      <c r="N37" s="20" t="s">
        <v>31</v>
      </c>
      <c r="O37" s="20" t="s">
        <v>31</v>
      </c>
      <c r="P37" s="20" t="s">
        <v>31</v>
      </c>
      <c r="Q37" s="19" t="s">
        <v>32</v>
      </c>
    </row>
    <row r="39" spans="1:41" x14ac:dyDescent="0.2">
      <c r="A39" s="80" t="s">
        <v>34</v>
      </c>
      <c r="B39" s="10">
        <f t="shared" ref="B39:G39" si="8">LARGE(B5:B36, 1)</f>
        <v>4184</v>
      </c>
      <c r="C39" s="11" t="e">
        <f t="shared" si="8"/>
        <v>#REF!</v>
      </c>
      <c r="D39" s="11" t="e">
        <f t="shared" si="8"/>
        <v>#REF!</v>
      </c>
      <c r="E39" s="22" t="e">
        <f t="shared" si="8"/>
        <v>#REF!</v>
      </c>
      <c r="F39" s="10" t="e">
        <f t="shared" si="8"/>
        <v>#REF!</v>
      </c>
      <c r="G39" s="10" t="e">
        <f t="shared" si="8"/>
        <v>#REF!</v>
      </c>
      <c r="H39" s="23"/>
      <c r="I39" s="10">
        <f>LARGE(I5:I36, 1)</f>
        <v>25587</v>
      </c>
      <c r="J39" s="24">
        <f>LARGE(J5:J36, 1)</f>
        <v>2800</v>
      </c>
      <c r="K39" s="24" t="e">
        <f>LARGE(K5:K36, 1)</f>
        <v>#REF!</v>
      </c>
      <c r="L39" s="10" t="e">
        <f>LARGE(L5:L36, 1)</f>
        <v>#REF!</v>
      </c>
      <c r="M39" s="8"/>
      <c r="N39" s="22">
        <f>LARGE(N5:N36, 1)</f>
        <v>235771</v>
      </c>
      <c r="O39" s="22" t="e">
        <f>LARGE(O5:O36, 1)</f>
        <v>#REF!</v>
      </c>
      <c r="P39" s="22" t="e">
        <f>LARGE(P5:P36, 1)</f>
        <v>#REF!</v>
      </c>
      <c r="Q39" s="10" t="e">
        <f>LARGE(Q5:Q36, 1)</f>
        <v>#REF!</v>
      </c>
      <c r="R39" s="19"/>
      <c r="S39" s="9"/>
      <c r="T39" s="11">
        <f>LARGE(T5:T36, 1)</f>
        <v>0</v>
      </c>
      <c r="U39" s="11">
        <f>LARGE(U5:U36, 1)</f>
        <v>0</v>
      </c>
      <c r="V39" s="11">
        <f>LARGE(V5:V36, 1)</f>
        <v>0</v>
      </c>
      <c r="X39" s="80" t="s">
        <v>35</v>
      </c>
      <c r="Y39" s="55">
        <f t="shared" ref="Y39:AD39" si="9">AVERAGEIF($W$6:$W$36, "x",Y6:Y36)</f>
        <v>29</v>
      </c>
      <c r="Z39" s="55" t="e">
        <f t="shared" si="9"/>
        <v>#REF!</v>
      </c>
      <c r="AA39" s="55" t="e">
        <f t="shared" si="9"/>
        <v>#REF!</v>
      </c>
      <c r="AB39" s="55" t="e">
        <f t="shared" si="9"/>
        <v>#REF!</v>
      </c>
      <c r="AC39" s="55" t="e">
        <f t="shared" si="9"/>
        <v>#REF!</v>
      </c>
      <c r="AD39" s="55" t="e">
        <f t="shared" si="9"/>
        <v>#REF!</v>
      </c>
      <c r="AE39" s="56"/>
      <c r="AF39" s="55">
        <f>AVERAGEIF($W$6:$W$36, "x",AF6:AF36)</f>
        <v>6</v>
      </c>
      <c r="AG39" s="55">
        <f>AVERAGEIF($W$6:$W$36, "x",AG6:AG36)</f>
        <v>1</v>
      </c>
      <c r="AH39" s="55" t="e">
        <f>AVERAGEIF($W$6:$W$36, "x",AH6:AH36)</f>
        <v>#REF!</v>
      </c>
      <c r="AI39" s="55" t="e">
        <f>AVERAGEIF($W$6:$W$36, "x",AI6:AI36)</f>
        <v>#REF!</v>
      </c>
      <c r="AJ39" s="56"/>
      <c r="AK39" s="55">
        <f>AVERAGEIF($W$6:$W$36, "x",AK6:AK36)</f>
        <v>73</v>
      </c>
      <c r="AL39" s="55" t="e">
        <f>AVERAGEIF($W$6:$W$36, "x",AL6:AL36)</f>
        <v>#REF!</v>
      </c>
      <c r="AM39" s="55" t="e">
        <f>AVERAGEIF($W$6:$W$36, "x",AM6:AM36)</f>
        <v>#REF!</v>
      </c>
      <c r="AN39" s="55" t="e">
        <f>AVERAGEIF($W$6:$W$36, "x",AN6:AN36)</f>
        <v>#REF!</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95" t="s">
        <v>37</v>
      </c>
      <c r="Y41" s="56"/>
      <c r="Z41" s="56"/>
      <c r="AA41" s="56"/>
      <c r="AB41" s="56"/>
      <c r="AC41" s="56"/>
      <c r="AD41" s="56"/>
      <c r="AE41" s="56"/>
      <c r="AF41" s="56"/>
      <c r="AG41" s="56"/>
      <c r="AH41" s="56"/>
      <c r="AI41" s="56"/>
      <c r="AJ41" s="56"/>
      <c r="AK41" s="56"/>
      <c r="AL41" s="56"/>
      <c r="AM41" s="56"/>
      <c r="AN41" s="56"/>
    </row>
    <row r="42" spans="1:41" x14ac:dyDescent="0.2">
      <c r="B42" s="26">
        <f>B39-B5</f>
        <v>826</v>
      </c>
      <c r="C42" s="26" t="e">
        <f t="shared" ref="C42:V42" si="10">C39-C5</f>
        <v>#REF!</v>
      </c>
      <c r="D42" s="26" t="e">
        <f t="shared" si="10"/>
        <v>#REF!</v>
      </c>
      <c r="E42" s="26" t="e">
        <f t="shared" si="10"/>
        <v>#REF!</v>
      </c>
      <c r="F42" s="26" t="e">
        <f t="shared" si="10"/>
        <v>#REF!</v>
      </c>
      <c r="G42" s="26" t="e">
        <f t="shared" si="10"/>
        <v>#REF!</v>
      </c>
      <c r="I42" s="26">
        <f t="shared" si="10"/>
        <v>210</v>
      </c>
      <c r="J42" s="26">
        <f t="shared" si="10"/>
        <v>30</v>
      </c>
      <c r="K42" s="26" t="e">
        <f t="shared" si="10"/>
        <v>#REF!</v>
      </c>
      <c r="L42" s="26" t="e">
        <f t="shared" si="10"/>
        <v>#REF!</v>
      </c>
      <c r="N42" s="26">
        <f t="shared" si="10"/>
        <v>2143</v>
      </c>
      <c r="O42" s="26" t="e">
        <f t="shared" si="10"/>
        <v>#REF!</v>
      </c>
      <c r="P42" s="26" t="e">
        <f t="shared" si="10"/>
        <v>#REF!</v>
      </c>
      <c r="Q42" s="26" t="e">
        <f t="shared" si="10"/>
        <v>#REF!</v>
      </c>
      <c r="R42" s="26"/>
      <c r="T42" s="26">
        <f t="shared" si="10"/>
        <v>0</v>
      </c>
      <c r="U42" s="26">
        <f t="shared" si="10"/>
        <v>0</v>
      </c>
      <c r="V42" s="26">
        <f t="shared" si="10"/>
        <v>0</v>
      </c>
      <c r="X42" s="96"/>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1" x14ac:dyDescent="0.2">
      <c r="X43" s="80">
        <v>1.5</v>
      </c>
      <c r="Y43" s="54">
        <f>Y42*$X$43</f>
        <v>0</v>
      </c>
      <c r="Z43" s="54">
        <f t="shared" ref="Z43:AD43" si="11">Z42*$X$43</f>
        <v>0</v>
      </c>
      <c r="AA43" s="54">
        <f t="shared" si="11"/>
        <v>0</v>
      </c>
      <c r="AB43" s="54">
        <f t="shared" si="11"/>
        <v>179.8125</v>
      </c>
      <c r="AC43" s="54">
        <f t="shared" si="11"/>
        <v>5.25</v>
      </c>
      <c r="AD43" s="54">
        <f t="shared" si="11"/>
        <v>32.71875</v>
      </c>
      <c r="AE43" s="56"/>
      <c r="AF43" s="54">
        <f t="shared" ref="AF43:AI43" si="12">AF42*$X$43</f>
        <v>65.4375</v>
      </c>
      <c r="AG43" s="54">
        <f t="shared" si="12"/>
        <v>0</v>
      </c>
      <c r="AH43" s="54">
        <f t="shared" si="12"/>
        <v>12.5625</v>
      </c>
      <c r="AI43" s="54">
        <f t="shared" si="12"/>
        <v>1.78125</v>
      </c>
      <c r="AJ43" s="56"/>
      <c r="AK43" s="54">
        <f t="shared" ref="AK43:AN43" si="13">AK42*$X$43</f>
        <v>79.6875</v>
      </c>
      <c r="AL43" s="54">
        <f t="shared" si="13"/>
        <v>103.78125</v>
      </c>
      <c r="AM43" s="54">
        <f t="shared" si="13"/>
        <v>13.96875</v>
      </c>
      <c r="AN43" s="54">
        <f t="shared" si="13"/>
        <v>0</v>
      </c>
    </row>
    <row r="44" spans="1:41" x14ac:dyDescent="0.2">
      <c r="R44" s="31" t="s">
        <v>35</v>
      </c>
      <c r="X44" s="80">
        <v>0.5</v>
      </c>
      <c r="Y44" s="54">
        <f>Y42*$X$44</f>
        <v>0</v>
      </c>
      <c r="Z44" s="54">
        <f t="shared" ref="Z44:AD44" si="14">Z42*$X$44</f>
        <v>0</v>
      </c>
      <c r="AA44" s="54">
        <f t="shared" si="14"/>
        <v>0</v>
      </c>
      <c r="AB44" s="54">
        <f t="shared" si="14"/>
        <v>59.9375</v>
      </c>
      <c r="AC44" s="54">
        <f t="shared" si="14"/>
        <v>1.75</v>
      </c>
      <c r="AD44" s="54">
        <f t="shared" si="14"/>
        <v>10.90625</v>
      </c>
      <c r="AE44" s="56"/>
      <c r="AF44" s="54">
        <f t="shared" ref="AF44:AI44" si="15">AF42*$X$44</f>
        <v>21.8125</v>
      </c>
      <c r="AG44" s="54">
        <f t="shared" si="15"/>
        <v>0</v>
      </c>
      <c r="AH44" s="54">
        <f t="shared" si="15"/>
        <v>4.1875</v>
      </c>
      <c r="AI44" s="54">
        <f t="shared" si="15"/>
        <v>0.59375</v>
      </c>
      <c r="AJ44" s="56"/>
      <c r="AK44" s="54">
        <f t="shared" ref="AK44:AL44" si="16">AK42*$X$44</f>
        <v>26.5625</v>
      </c>
      <c r="AL44" s="54">
        <f t="shared" si="16"/>
        <v>34.59375</v>
      </c>
      <c r="AM44" s="54">
        <v>0</v>
      </c>
      <c r="AN44" s="54">
        <v>0</v>
      </c>
    </row>
    <row r="45" spans="1:41" x14ac:dyDescent="0.2">
      <c r="R45" s="11" t="e">
        <f>AVERAGE(R6:R36)</f>
        <v>#REF!</v>
      </c>
    </row>
    <row r="46" spans="1:41" ht="32.1" customHeight="1" x14ac:dyDescent="0.2">
      <c r="Y46" s="58" t="s">
        <v>38</v>
      </c>
      <c r="Z46" s="82" t="s">
        <v>39</v>
      </c>
      <c r="AA46" s="82"/>
      <c r="AB46" s="82"/>
      <c r="AC46" s="82"/>
      <c r="AD46" s="82"/>
      <c r="AE46" s="82"/>
      <c r="AF46" s="82"/>
      <c r="AG46" s="82"/>
      <c r="AH46" s="82"/>
      <c r="AI46" s="82"/>
      <c r="AJ46" s="82"/>
      <c r="AK46" s="82"/>
      <c r="AL46" s="82"/>
      <c r="AM46" s="82"/>
      <c r="AN46" s="82"/>
    </row>
    <row r="47" spans="1:41" ht="32.1" customHeight="1" x14ac:dyDescent="0.2">
      <c r="Y47" s="59" t="s">
        <v>40</v>
      </c>
      <c r="Z47" s="82" t="s">
        <v>41</v>
      </c>
      <c r="AA47" s="82"/>
      <c r="AB47" s="82"/>
      <c r="AC47" s="82"/>
      <c r="AD47" s="82"/>
      <c r="AE47" s="82"/>
      <c r="AF47" s="82"/>
      <c r="AG47" s="82"/>
      <c r="AH47" s="82"/>
      <c r="AI47" s="82"/>
      <c r="AJ47" s="82"/>
      <c r="AK47" s="82"/>
      <c r="AL47" s="82"/>
      <c r="AM47" s="82"/>
      <c r="AN47" s="82"/>
    </row>
    <row r="48" spans="1:41" ht="32.1" customHeight="1" x14ac:dyDescent="0.2">
      <c r="X48" s="63" t="s">
        <v>42</v>
      </c>
      <c r="Y48" s="60" t="s">
        <v>43</v>
      </c>
      <c r="Z48" s="82" t="s">
        <v>44</v>
      </c>
      <c r="AA48" s="82"/>
      <c r="AB48" s="82"/>
      <c r="AC48" s="82"/>
      <c r="AD48" s="82"/>
      <c r="AE48" s="82"/>
      <c r="AF48" s="82"/>
      <c r="AG48" s="82"/>
      <c r="AH48" s="82"/>
      <c r="AI48" s="82"/>
      <c r="AJ48" s="82"/>
      <c r="AK48" s="82"/>
      <c r="AL48" s="82"/>
      <c r="AM48" s="82"/>
      <c r="AN48" s="82"/>
    </row>
    <row r="49" spans="18:40" ht="32.1" customHeight="1" x14ac:dyDescent="0.2">
      <c r="Y49" s="61" t="s">
        <v>45</v>
      </c>
      <c r="Z49" s="83" t="s">
        <v>46</v>
      </c>
      <c r="AA49" s="83"/>
      <c r="AB49" s="83"/>
      <c r="AC49" s="83"/>
      <c r="AD49" s="83"/>
      <c r="AE49" s="83"/>
      <c r="AF49" s="83"/>
      <c r="AG49" s="83"/>
      <c r="AH49" s="83"/>
      <c r="AI49" s="83"/>
      <c r="AJ49" s="83"/>
      <c r="AK49" s="83"/>
      <c r="AL49" s="83"/>
      <c r="AM49" s="83"/>
      <c r="AN49" s="83"/>
    </row>
    <row r="50" spans="18:40" ht="32.1" customHeight="1" x14ac:dyDescent="0.2">
      <c r="X50" s="63" t="s">
        <v>42</v>
      </c>
      <c r="Y50" s="62" t="s">
        <v>47</v>
      </c>
      <c r="Z50" s="82" t="s">
        <v>48</v>
      </c>
      <c r="AA50" s="83"/>
      <c r="AB50" s="83"/>
      <c r="AC50" s="83"/>
      <c r="AD50" s="83"/>
      <c r="AE50" s="83"/>
      <c r="AF50" s="83"/>
      <c r="AG50" s="83"/>
      <c r="AH50" s="83"/>
      <c r="AI50" s="83"/>
      <c r="AJ50" s="83"/>
      <c r="AK50" s="83"/>
      <c r="AL50" s="83"/>
      <c r="AM50" s="83"/>
      <c r="AN50" s="83"/>
    </row>
    <row r="51" spans="18:40" x14ac:dyDescent="0.2">
      <c r="R51" s="11" t="e">
        <f>AVERAGE(R6:R36)</f>
        <v>#REF!</v>
      </c>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377" priority="55" operator="lessThan">
      <formula>0</formula>
    </cfRule>
  </conditionalFormatting>
  <conditionalFormatting sqref="Y43:AD44 AF43:AI44 AK43:AN43 AK44:AL44">
    <cfRule type="cellIs" dxfId="376" priority="54" operator="lessThan">
      <formula>0</formula>
    </cfRule>
  </conditionalFormatting>
  <conditionalFormatting sqref="AM44:AN44">
    <cfRule type="cellIs" dxfId="375" priority="53" operator="lessThan">
      <formula>0</formula>
    </cfRule>
  </conditionalFormatting>
  <conditionalFormatting sqref="Y39:AN39">
    <cfRule type="cellIs" dxfId="374" priority="52" operator="lessThan">
      <formula>0</formula>
    </cfRule>
  </conditionalFormatting>
  <conditionalFormatting sqref="Y39">
    <cfRule type="cellIs" dxfId="373" priority="50" operator="lessThan">
      <formula>$Y$44</formula>
    </cfRule>
    <cfRule type="cellIs" dxfId="372" priority="51" operator="greaterThan">
      <formula>$Y$43</formula>
    </cfRule>
  </conditionalFormatting>
  <conditionalFormatting sqref="AB39">
    <cfRule type="cellIs" dxfId="371" priority="48" operator="lessThan">
      <formula>$AB$44</formula>
    </cfRule>
    <cfRule type="cellIs" dxfId="370" priority="49" operator="greaterThan">
      <formula>$AB$43</formula>
    </cfRule>
  </conditionalFormatting>
  <conditionalFormatting sqref="AC39">
    <cfRule type="cellIs" dxfId="369" priority="46" operator="lessThan">
      <formula>$AC$44</formula>
    </cfRule>
    <cfRule type="cellIs" dxfId="368" priority="47" operator="greaterThan">
      <formula>$AC$43</formula>
    </cfRule>
  </conditionalFormatting>
  <conditionalFormatting sqref="AD39">
    <cfRule type="cellIs" dxfId="367" priority="44" operator="lessThan">
      <formula>$AD$44</formula>
    </cfRule>
    <cfRule type="cellIs" dxfId="366" priority="45" operator="greaterThan">
      <formula>$AD$43</formula>
    </cfRule>
  </conditionalFormatting>
  <conditionalFormatting sqref="AF39">
    <cfRule type="cellIs" dxfId="365" priority="42" operator="lessThan">
      <formula>$AF$44</formula>
    </cfRule>
    <cfRule type="cellIs" dxfId="364" priority="43" operator="greaterThan">
      <formula>$AF$43</formula>
    </cfRule>
  </conditionalFormatting>
  <conditionalFormatting sqref="AG39">
    <cfRule type="cellIs" dxfId="363" priority="40" operator="lessThan">
      <formula>$AG$44</formula>
    </cfRule>
    <cfRule type="cellIs" dxfId="362" priority="41" operator="greaterThan">
      <formula>$AG$43</formula>
    </cfRule>
  </conditionalFormatting>
  <conditionalFormatting sqref="AH39">
    <cfRule type="cellIs" dxfId="361" priority="38" operator="lessThan">
      <formula>$AH$44</formula>
    </cfRule>
    <cfRule type="cellIs" dxfId="360" priority="39" operator="greaterThan">
      <formula>$AH$43</formula>
    </cfRule>
  </conditionalFormatting>
  <conditionalFormatting sqref="AI39">
    <cfRule type="cellIs" dxfId="359" priority="36" operator="lessThan">
      <formula>$AI$44</formula>
    </cfRule>
    <cfRule type="cellIs" dxfId="358" priority="37" operator="greaterThan">
      <formula>$AI$43</formula>
    </cfRule>
  </conditionalFormatting>
  <conditionalFormatting sqref="AK39">
    <cfRule type="cellIs" dxfId="357" priority="34" operator="lessThan">
      <formula>$AK$44</formula>
    </cfRule>
    <cfRule type="cellIs" dxfId="356" priority="35" operator="greaterThan">
      <formula>$AK$43</formula>
    </cfRule>
  </conditionalFormatting>
  <conditionalFormatting sqref="AL39">
    <cfRule type="cellIs" dxfId="355" priority="32" operator="lessThan">
      <formula>$AL$44</formula>
    </cfRule>
    <cfRule type="cellIs" dxfId="354" priority="33" operator="greaterThan">
      <formula>$AL$43</formula>
    </cfRule>
  </conditionalFormatting>
  <conditionalFormatting sqref="AM39">
    <cfRule type="cellIs" dxfId="353" priority="30" operator="lessThan">
      <formula>$AM$44</formula>
    </cfRule>
    <cfRule type="cellIs" dxfId="352" priority="31" operator="greaterThan">
      <formula>$AM$43</formula>
    </cfRule>
  </conditionalFormatting>
  <conditionalFormatting sqref="AN39">
    <cfRule type="cellIs" dxfId="351" priority="28" operator="lessThan">
      <formula>$AN$44</formula>
    </cfRule>
    <cfRule type="cellIs" dxfId="350" priority="29" operator="greaterThan">
      <formula>$AN$43</formula>
    </cfRule>
  </conditionalFormatting>
  <conditionalFormatting sqref="AB6:AB36">
    <cfRule type="cellIs" dxfId="349" priority="27" operator="notBetween">
      <formula>$AB$44</formula>
      <formula>$AB$43</formula>
    </cfRule>
  </conditionalFormatting>
  <conditionalFormatting sqref="AC6:AC36">
    <cfRule type="cellIs" dxfId="348" priority="16" operator="notBetween">
      <formula>$AC$43</formula>
      <formula>$AC$44</formula>
    </cfRule>
  </conditionalFormatting>
  <conditionalFormatting sqref="Y6:AN36">
    <cfRule type="cellIs" dxfId="347" priority="2" stopIfTrue="1" operator="equal">
      <formula>0</formula>
    </cfRule>
    <cfRule type="cellIs" dxfId="346" priority="3" stopIfTrue="1" operator="lessThan">
      <formula>0</formula>
    </cfRule>
  </conditionalFormatting>
  <conditionalFormatting sqref="Y6:Y36">
    <cfRule type="cellIs" dxfId="345" priority="25" operator="notBetween">
      <formula>$Y$44</formula>
      <formula>$Y$43</formula>
    </cfRule>
  </conditionalFormatting>
  <conditionalFormatting sqref="AD6:AD36">
    <cfRule type="cellIs" dxfId="344" priority="17" operator="notBetween">
      <formula>$AD$44</formula>
      <formula>$AD$43</formula>
    </cfRule>
  </conditionalFormatting>
  <conditionalFormatting sqref="AF6:AF36">
    <cfRule type="cellIs" dxfId="343" priority="18" operator="notBetween">
      <formula>$AF$44</formula>
      <formula>$AF$43</formula>
    </cfRule>
  </conditionalFormatting>
  <conditionalFormatting sqref="AG6:AG36">
    <cfRule type="cellIs" dxfId="342" priority="19" operator="notBetween">
      <formula>$AG$44</formula>
      <formula>$AG$43</formula>
    </cfRule>
  </conditionalFormatting>
  <conditionalFormatting sqref="AH6:AH36">
    <cfRule type="cellIs" dxfId="341" priority="20" operator="notBetween">
      <formula>$AH$44</formula>
      <formula>$AH$43</formula>
    </cfRule>
  </conditionalFormatting>
  <conditionalFormatting sqref="AI6:AI36">
    <cfRule type="cellIs" dxfId="340" priority="21" operator="notBetween">
      <formula>$AI$44</formula>
      <formula>$AI$43</formula>
    </cfRule>
  </conditionalFormatting>
  <conditionalFormatting sqref="AK6:AK36">
    <cfRule type="cellIs" dxfId="339" priority="22" operator="notBetween">
      <formula>$AK$44</formula>
      <formula>$AK$43</formula>
    </cfRule>
  </conditionalFormatting>
  <conditionalFormatting sqref="AL6:AL36">
    <cfRule type="cellIs" dxfId="338" priority="23" operator="notBetween">
      <formula>$AL$44</formula>
      <formula>$AL$43</formula>
    </cfRule>
  </conditionalFormatting>
  <conditionalFormatting sqref="AM6:AM36">
    <cfRule type="cellIs" dxfId="337" priority="26" operator="notBetween">
      <formula>$AM$44</formula>
      <formula>$AM$43</formula>
    </cfRule>
  </conditionalFormatting>
  <conditionalFormatting sqref="AN6:AN36">
    <cfRule type="cellIs" dxfId="336" priority="24" operator="notBetween">
      <formula>$AN$44</formula>
      <formula>$AN$43</formula>
    </cfRule>
  </conditionalFormatting>
  <conditionalFormatting sqref="AG6:AG39">
    <cfRule type="cellIs" dxfId="335" priority="13" stopIfTrue="1" operator="greaterThan">
      <formula>$AG$43*2</formula>
    </cfRule>
  </conditionalFormatting>
  <conditionalFormatting sqref="Y6:Y39">
    <cfRule type="cellIs" dxfId="334" priority="15" stopIfTrue="1" operator="greaterThan">
      <formula>$Y$43*2</formula>
    </cfRule>
  </conditionalFormatting>
  <conditionalFormatting sqref="AB6:AB39">
    <cfRule type="cellIs" dxfId="333" priority="14" stopIfTrue="1" operator="greaterThan">
      <formula>$AB$43*2</formula>
    </cfRule>
  </conditionalFormatting>
  <conditionalFormatting sqref="AC6:AC39">
    <cfRule type="cellIs" dxfId="332" priority="4" stopIfTrue="1" operator="greaterThan">
      <formula>$AC$43*2</formula>
    </cfRule>
  </conditionalFormatting>
  <conditionalFormatting sqref="AD6:AD39">
    <cfRule type="cellIs" dxfId="331" priority="5" stopIfTrue="1" operator="greaterThan">
      <formula>$AD$43*2</formula>
    </cfRule>
  </conditionalFormatting>
  <conditionalFormatting sqref="AF6:AF39">
    <cfRule type="cellIs" dxfId="330" priority="6" stopIfTrue="1" operator="greaterThan">
      <formula>$AF$43*2</formula>
    </cfRule>
  </conditionalFormatting>
  <conditionalFormatting sqref="AH6:AH39">
    <cfRule type="cellIs" dxfId="329" priority="7" stopIfTrue="1" operator="greaterThan">
      <formula>$AH$43*2</formula>
    </cfRule>
  </conditionalFormatting>
  <conditionalFormatting sqref="AI6:AI39">
    <cfRule type="cellIs" dxfId="328" priority="8" stopIfTrue="1" operator="greaterThan">
      <formula>$AI$43*2</formula>
    </cfRule>
  </conditionalFormatting>
  <conditionalFormatting sqref="AK6:AK39">
    <cfRule type="cellIs" dxfId="327" priority="10" stopIfTrue="1" operator="greaterThan">
      <formula>$AK$43*2</formula>
    </cfRule>
  </conditionalFormatting>
  <conditionalFormatting sqref="AL6:AL39">
    <cfRule type="cellIs" dxfId="326" priority="9" stopIfTrue="1" operator="greaterThan">
      <formula>$AL$43*2</formula>
    </cfRule>
  </conditionalFormatting>
  <conditionalFormatting sqref="AM6:AM39">
    <cfRule type="cellIs" dxfId="325" priority="11" stopIfTrue="1" operator="greaterThan">
      <formula>$AM$43*2</formula>
    </cfRule>
  </conditionalFormatting>
  <conditionalFormatting sqref="AN6:AN39">
    <cfRule type="cellIs" dxfId="324"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&amp;CJanuary Meter Reading</oddHeader>
    <oddFoote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9982-4886-4929-8C8A-B8B0EB95F223}">
  <dimension ref="A1:AF48"/>
  <sheetViews>
    <sheetView workbookViewId="0">
      <selection activeCell="AE1" sqref="AE1:AE1048576"/>
    </sheetView>
  </sheetViews>
  <sheetFormatPr defaultRowHeight="12.75" x14ac:dyDescent="0.2"/>
  <cols>
    <col min="3" max="3" width="3.42578125" customWidth="1"/>
    <col min="6" max="6" width="1.5703125" customWidth="1"/>
    <col min="8" max="14" width="0" hidden="1" customWidth="1"/>
    <col min="16" max="21" width="0" hidden="1" customWidth="1"/>
    <col min="24" max="26" width="0" hidden="1" customWidth="1"/>
    <col min="28" max="31" width="0" hidden="1" customWidth="1"/>
  </cols>
  <sheetData>
    <row r="1" spans="1:32" x14ac:dyDescent="0.2">
      <c r="A1" s="93"/>
      <c r="B1" s="77" t="s">
        <v>4</v>
      </c>
      <c r="C1" s="1"/>
      <c r="D1" s="86" t="s">
        <v>1</v>
      </c>
      <c r="E1" s="86"/>
      <c r="F1" s="1"/>
      <c r="G1" s="77" t="s">
        <v>5</v>
      </c>
      <c r="H1" s="78"/>
      <c r="I1" s="1"/>
      <c r="J1" s="90" t="s">
        <v>3</v>
      </c>
      <c r="K1" s="91"/>
      <c r="L1" s="92"/>
      <c r="N1" s="93"/>
      <c r="O1" s="87" t="s">
        <v>4</v>
      </c>
      <c r="P1" s="88"/>
      <c r="Q1" s="88"/>
      <c r="R1" s="88"/>
      <c r="S1" s="88"/>
      <c r="T1" s="89"/>
      <c r="U1" s="1"/>
      <c r="V1" s="86" t="s">
        <v>1</v>
      </c>
      <c r="W1" s="86"/>
      <c r="X1" s="86"/>
      <c r="Y1" s="86"/>
      <c r="Z1" s="1"/>
      <c r="AA1" s="87" t="s">
        <v>5</v>
      </c>
      <c r="AB1" s="88"/>
      <c r="AC1" s="88"/>
      <c r="AD1" s="89"/>
    </row>
    <row r="2" spans="1:32" x14ac:dyDescent="0.2">
      <c r="A2" s="94"/>
      <c r="B2" s="76" t="s">
        <v>11</v>
      </c>
      <c r="C2" s="2"/>
      <c r="D2" s="84" t="s">
        <v>7</v>
      </c>
      <c r="E2" s="84"/>
      <c r="F2" s="2"/>
      <c r="G2" s="76" t="s">
        <v>12</v>
      </c>
      <c r="H2" s="76"/>
      <c r="I2" s="2"/>
      <c r="J2" s="90" t="s">
        <v>10</v>
      </c>
      <c r="K2" s="91"/>
      <c r="L2" s="92"/>
      <c r="N2" s="94"/>
      <c r="O2" s="84" t="s">
        <v>11</v>
      </c>
      <c r="P2" s="84"/>
      <c r="Q2" s="84"/>
      <c r="R2" s="90"/>
      <c r="S2" s="91"/>
      <c r="T2" s="92"/>
      <c r="U2" s="2"/>
      <c r="V2" s="84" t="s">
        <v>7</v>
      </c>
      <c r="W2" s="84"/>
      <c r="X2" s="84" t="s">
        <v>8</v>
      </c>
      <c r="Y2" s="84"/>
      <c r="Z2" s="2"/>
      <c r="AA2" s="84" t="s">
        <v>12</v>
      </c>
      <c r="AB2" s="84"/>
      <c r="AC2" s="76"/>
      <c r="AD2" s="76" t="s">
        <v>9</v>
      </c>
    </row>
    <row r="3" spans="1:32" ht="124.5" x14ac:dyDescent="0.2">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c r="AF3" s="6"/>
    </row>
    <row r="4" spans="1:32" x14ac:dyDescent="0.2">
      <c r="A4" s="85"/>
      <c r="B4" s="85"/>
      <c r="C4" s="85"/>
      <c r="D4" s="85"/>
      <c r="E4" s="85"/>
      <c r="F4" s="85"/>
      <c r="G4" s="85"/>
      <c r="H4" s="85"/>
      <c r="I4" s="85"/>
      <c r="J4" s="85"/>
      <c r="K4" s="85"/>
      <c r="L4" s="85"/>
    </row>
    <row r="5" spans="1:32" x14ac:dyDescent="0.2">
      <c r="A5" s="7" t="s">
        <v>29</v>
      </c>
      <c r="B5" s="26">
        <f>Dec!B39</f>
        <v>3358</v>
      </c>
      <c r="C5" s="15"/>
      <c r="D5" s="26">
        <f>Dec!D39</f>
        <v>25377</v>
      </c>
      <c r="E5" s="26">
        <f>Dec!E39</f>
        <v>2770</v>
      </c>
      <c r="F5" s="15"/>
      <c r="G5" s="26">
        <f>Dec!G39</f>
        <v>233628</v>
      </c>
      <c r="H5" s="11"/>
      <c r="I5" s="15"/>
      <c r="J5" s="26">
        <v>0</v>
      </c>
      <c r="K5" s="26">
        <v>0</v>
      </c>
      <c r="L5" s="26">
        <v>0</v>
      </c>
    </row>
    <row r="6" spans="1:32" x14ac:dyDescent="0.2">
      <c r="A6" s="7">
        <v>1</v>
      </c>
      <c r="B6" s="40">
        <v>4184</v>
      </c>
      <c r="C6" s="15"/>
      <c r="D6" s="40">
        <v>25610</v>
      </c>
      <c r="E6" s="42">
        <v>2806</v>
      </c>
      <c r="F6" s="15"/>
      <c r="G6" s="41">
        <v>235810</v>
      </c>
      <c r="H6" s="45" t="e">
        <f>#REF!-#REF!</f>
        <v>#REF!</v>
      </c>
      <c r="I6" s="16"/>
      <c r="J6" s="17">
        <v>0</v>
      </c>
      <c r="K6" s="17">
        <v>0</v>
      </c>
      <c r="L6" s="17">
        <v>0</v>
      </c>
      <c r="M6" s="43" t="s">
        <v>30</v>
      </c>
      <c r="N6" s="80">
        <v>1</v>
      </c>
      <c r="O6" s="11">
        <f t="shared" ref="O6:O33" si="0">B6-B5</f>
        <v>826</v>
      </c>
      <c r="P6" s="11" t="e">
        <f>#REF!-#REF!</f>
        <v>#REF!</v>
      </c>
      <c r="Q6" s="11" t="e">
        <f>#REF!-#REF!</f>
        <v>#REF!</v>
      </c>
      <c r="R6" s="11" t="e">
        <f>#REF!-#REF!</f>
        <v>#REF!</v>
      </c>
      <c r="S6" s="11" t="e">
        <f>#REF!-#REF!</f>
        <v>#REF!</v>
      </c>
      <c r="T6" s="11" t="e">
        <f>#REF!-#REF!</f>
        <v>#REF!</v>
      </c>
      <c r="U6" s="34"/>
      <c r="V6" s="11">
        <f t="shared" ref="V6:V33" si="1">D6-D5</f>
        <v>233</v>
      </c>
      <c r="W6" s="11">
        <f t="shared" ref="W6:W33" si="2">E6-E5</f>
        <v>36</v>
      </c>
      <c r="X6" s="11" t="e">
        <f>#REF!-#REF!</f>
        <v>#REF!</v>
      </c>
      <c r="Y6" s="11" t="e">
        <f>#REF!-#REF!</f>
        <v>#REF!</v>
      </c>
      <c r="Z6" s="34"/>
      <c r="AA6" s="11">
        <f>G6-G5</f>
        <v>2182</v>
      </c>
      <c r="AB6" s="11" t="e">
        <f>#REF!-#REF!</f>
        <v>#REF!</v>
      </c>
      <c r="AC6" s="11" t="e">
        <f>#REF!-#REF!</f>
        <v>#REF!</v>
      </c>
      <c r="AD6" s="11" t="e">
        <f>#REF!-#REF!</f>
        <v>#REF!</v>
      </c>
      <c r="AE6" s="34"/>
    </row>
    <row r="7" spans="1:32" x14ac:dyDescent="0.2">
      <c r="A7" s="80">
        <v>2</v>
      </c>
      <c r="B7" s="40">
        <v>4239</v>
      </c>
      <c r="C7" s="15"/>
      <c r="D7" s="40">
        <v>25608</v>
      </c>
      <c r="E7" s="42">
        <v>2807</v>
      </c>
      <c r="F7" s="15"/>
      <c r="G7" s="41">
        <v>235873</v>
      </c>
      <c r="H7" s="45" t="e">
        <f>#REF!-#REF!</f>
        <v>#REF!</v>
      </c>
      <c r="I7" s="16"/>
      <c r="J7" s="17">
        <v>0</v>
      </c>
      <c r="K7" s="17">
        <v>0</v>
      </c>
      <c r="L7" s="17">
        <v>0</v>
      </c>
      <c r="M7" s="16"/>
      <c r="N7" s="80">
        <v>2</v>
      </c>
      <c r="O7" s="11">
        <f t="shared" si="0"/>
        <v>55</v>
      </c>
      <c r="P7" s="11" t="e">
        <f>#REF!-#REF!</f>
        <v>#REF!</v>
      </c>
      <c r="Q7" s="11" t="e">
        <f>#REF!-#REF!</f>
        <v>#REF!</v>
      </c>
      <c r="R7" s="11" t="e">
        <f>#REF!-#REF!</f>
        <v>#REF!</v>
      </c>
      <c r="S7" s="11" t="e">
        <f>#REF!-#REF!</f>
        <v>#REF!</v>
      </c>
      <c r="T7" s="11" t="e">
        <f>#REF!-#REF!</f>
        <v>#REF!</v>
      </c>
      <c r="U7" s="34"/>
      <c r="V7" s="11">
        <f t="shared" si="1"/>
        <v>-2</v>
      </c>
      <c r="W7" s="11">
        <f t="shared" si="2"/>
        <v>1</v>
      </c>
      <c r="X7" s="11" t="e">
        <f>#REF!-#REF!</f>
        <v>#REF!</v>
      </c>
      <c r="Y7" s="11" t="e">
        <f>#REF!-#REF!</f>
        <v>#REF!</v>
      </c>
      <c r="Z7" s="34"/>
      <c r="AA7" s="11">
        <f>G7-G6</f>
        <v>63</v>
      </c>
      <c r="AB7" s="11" t="e">
        <f>#REF!-#REF!</f>
        <v>#REF!</v>
      </c>
      <c r="AC7" s="11" t="e">
        <f>#REF!-#REF!</f>
        <v>#REF!</v>
      </c>
      <c r="AD7" s="11" t="e">
        <f>#REF!-#REF!</f>
        <v>#REF!</v>
      </c>
      <c r="AE7" s="35"/>
    </row>
    <row r="8" spans="1:32" x14ac:dyDescent="0.2">
      <c r="A8" s="80">
        <v>3</v>
      </c>
      <c r="B8" s="40">
        <v>4264</v>
      </c>
      <c r="C8" s="15"/>
      <c r="D8" s="40">
        <v>25616</v>
      </c>
      <c r="E8" s="42">
        <v>2808</v>
      </c>
      <c r="F8" s="15"/>
      <c r="G8" s="41">
        <v>235933</v>
      </c>
      <c r="H8" s="45" t="e">
        <f>#REF!-#REF!</f>
        <v>#REF!</v>
      </c>
      <c r="I8" s="16"/>
      <c r="J8" s="17">
        <v>0</v>
      </c>
      <c r="K8" s="17">
        <v>0</v>
      </c>
      <c r="L8" s="17">
        <v>0</v>
      </c>
      <c r="M8" s="16"/>
      <c r="N8" s="80">
        <v>3</v>
      </c>
      <c r="O8" s="11">
        <f t="shared" si="0"/>
        <v>25</v>
      </c>
      <c r="P8" s="11" t="e">
        <f>#REF!-#REF!</f>
        <v>#REF!</v>
      </c>
      <c r="Q8" s="11" t="e">
        <f>#REF!-#REF!</f>
        <v>#REF!</v>
      </c>
      <c r="R8" s="11" t="e">
        <f>#REF!-#REF!</f>
        <v>#REF!</v>
      </c>
      <c r="S8" s="11" t="e">
        <f>#REF!-#REF!</f>
        <v>#REF!</v>
      </c>
      <c r="T8" s="11" t="e">
        <f>#REF!-#REF!</f>
        <v>#REF!</v>
      </c>
      <c r="U8" s="34"/>
      <c r="V8" s="11">
        <f t="shared" si="1"/>
        <v>8</v>
      </c>
      <c r="W8" s="11">
        <f t="shared" si="2"/>
        <v>1</v>
      </c>
      <c r="X8" s="11" t="e">
        <f>#REF!-#REF!</f>
        <v>#REF!</v>
      </c>
      <c r="Y8" s="11" t="e">
        <f>#REF!-#REF!</f>
        <v>#REF!</v>
      </c>
      <c r="Z8" s="34"/>
      <c r="AA8" s="11">
        <f>G8-G7</f>
        <v>60</v>
      </c>
      <c r="AB8" s="11" t="e">
        <f>#REF!-#REF!</f>
        <v>#REF!</v>
      </c>
      <c r="AC8" s="11" t="e">
        <f>#REF!-#REF!</f>
        <v>#REF!</v>
      </c>
      <c r="AD8" s="11" t="e">
        <f>#REF!-#REF!</f>
        <v>#REF!</v>
      </c>
      <c r="AE8" s="35"/>
    </row>
    <row r="9" spans="1:32" x14ac:dyDescent="0.2">
      <c r="A9" s="80">
        <v>4</v>
      </c>
      <c r="B9" s="40">
        <v>4303</v>
      </c>
      <c r="C9" s="15"/>
      <c r="D9" s="40">
        <v>25623</v>
      </c>
      <c r="E9" s="42">
        <v>2809</v>
      </c>
      <c r="F9" s="15"/>
      <c r="G9" s="41">
        <v>235984</v>
      </c>
      <c r="H9" s="45" t="e">
        <f>#REF!-#REF!</f>
        <v>#REF!</v>
      </c>
      <c r="I9" s="16"/>
      <c r="J9" s="17">
        <v>0</v>
      </c>
      <c r="K9" s="17">
        <v>0</v>
      </c>
      <c r="L9" s="17">
        <v>0</v>
      </c>
      <c r="M9" s="16"/>
      <c r="N9" s="80">
        <v>4</v>
      </c>
      <c r="O9" s="11">
        <f t="shared" si="0"/>
        <v>39</v>
      </c>
      <c r="P9" s="11" t="e">
        <f>#REF!-#REF!</f>
        <v>#REF!</v>
      </c>
      <c r="Q9" s="11" t="e">
        <f>#REF!-#REF!</f>
        <v>#REF!</v>
      </c>
      <c r="R9" s="11" t="e">
        <f>#REF!-#REF!</f>
        <v>#REF!</v>
      </c>
      <c r="S9" s="11" t="e">
        <f>#REF!-#REF!</f>
        <v>#REF!</v>
      </c>
      <c r="T9" s="11" t="e">
        <f>#REF!-#REF!</f>
        <v>#REF!</v>
      </c>
      <c r="U9" s="34"/>
      <c r="V9" s="11">
        <f t="shared" si="1"/>
        <v>7</v>
      </c>
      <c r="W9" s="11">
        <f t="shared" si="2"/>
        <v>1</v>
      </c>
      <c r="X9" s="11" t="e">
        <f>#REF!-#REF!</f>
        <v>#REF!</v>
      </c>
      <c r="Y9" s="11" t="e">
        <f>#REF!-#REF!</f>
        <v>#REF!</v>
      </c>
      <c r="Z9" s="34"/>
      <c r="AA9" s="11">
        <f>G9-G8</f>
        <v>51</v>
      </c>
      <c r="AB9" s="11" t="e">
        <f>#REF!-#REF!</f>
        <v>#REF!</v>
      </c>
      <c r="AC9" s="11" t="e">
        <f>#REF!-#REF!</f>
        <v>#REF!</v>
      </c>
      <c r="AD9" s="11" t="e">
        <f>#REF!-#REF!</f>
        <v>#REF!</v>
      </c>
      <c r="AE9" s="35"/>
    </row>
    <row r="10" spans="1:32" x14ac:dyDescent="0.2">
      <c r="A10" s="80">
        <v>5</v>
      </c>
      <c r="B10" s="40">
        <v>4343</v>
      </c>
      <c r="C10" s="15"/>
      <c r="D10" s="40">
        <v>25633</v>
      </c>
      <c r="E10" s="42">
        <v>2812</v>
      </c>
      <c r="F10" s="15"/>
      <c r="G10" s="41">
        <v>236027</v>
      </c>
      <c r="H10" s="45" t="e">
        <f>#REF!-#REF!</f>
        <v>#REF!</v>
      </c>
      <c r="I10" s="16"/>
      <c r="J10" s="17">
        <v>0</v>
      </c>
      <c r="K10" s="17">
        <v>0</v>
      </c>
      <c r="L10" s="17">
        <v>0</v>
      </c>
      <c r="M10" s="16"/>
      <c r="N10" s="80">
        <v>5</v>
      </c>
      <c r="O10" s="11">
        <f t="shared" si="0"/>
        <v>40</v>
      </c>
      <c r="P10" s="11" t="e">
        <f>#REF!-#REF!</f>
        <v>#REF!</v>
      </c>
      <c r="Q10" s="11" t="e">
        <f>#REF!-#REF!</f>
        <v>#REF!</v>
      </c>
      <c r="R10" s="11" t="e">
        <f>#REF!-#REF!</f>
        <v>#REF!</v>
      </c>
      <c r="S10" s="11" t="e">
        <f>#REF!-#REF!</f>
        <v>#REF!</v>
      </c>
      <c r="T10" s="11" t="e">
        <f>#REF!-#REF!</f>
        <v>#REF!</v>
      </c>
      <c r="U10" s="34"/>
      <c r="V10" s="11">
        <f t="shared" si="1"/>
        <v>10</v>
      </c>
      <c r="W10" s="11">
        <f t="shared" si="2"/>
        <v>3</v>
      </c>
      <c r="X10" s="11" t="e">
        <f>#REF!-#REF!</f>
        <v>#REF!</v>
      </c>
      <c r="Y10" s="11" t="e">
        <f>#REF!-#REF!</f>
        <v>#REF!</v>
      </c>
      <c r="Z10" s="34"/>
      <c r="AA10" s="11">
        <f>G10-G9</f>
        <v>43</v>
      </c>
      <c r="AB10" s="11" t="e">
        <f>#REF!-#REF!</f>
        <v>#REF!</v>
      </c>
      <c r="AC10" s="11" t="e">
        <f>#REF!-#REF!</f>
        <v>#REF!</v>
      </c>
      <c r="AD10" s="11" t="e">
        <f>#REF!-#REF!</f>
        <v>#REF!</v>
      </c>
      <c r="AE10" s="35"/>
    </row>
    <row r="11" spans="1:32" x14ac:dyDescent="0.2">
      <c r="A11" s="80">
        <v>6</v>
      </c>
      <c r="B11" s="40">
        <v>4366</v>
      </c>
      <c r="C11" s="15"/>
      <c r="D11" s="40">
        <v>25637</v>
      </c>
      <c r="E11" s="42">
        <v>2812</v>
      </c>
      <c r="F11" s="15"/>
      <c r="G11" s="41">
        <v>236110</v>
      </c>
      <c r="H11" s="45" t="e">
        <f>#REF!-#REF!</f>
        <v>#REF!</v>
      </c>
      <c r="I11" s="16"/>
      <c r="J11" s="17">
        <v>0</v>
      </c>
      <c r="K11" s="17">
        <v>0</v>
      </c>
      <c r="L11" s="17">
        <v>0</v>
      </c>
      <c r="M11" s="16"/>
      <c r="N11" s="80">
        <v>6</v>
      </c>
      <c r="O11" s="11">
        <f t="shared" si="0"/>
        <v>23</v>
      </c>
      <c r="P11" s="11" t="e">
        <f>#REF!-#REF!</f>
        <v>#REF!</v>
      </c>
      <c r="Q11" s="11" t="e">
        <f>#REF!-#REF!</f>
        <v>#REF!</v>
      </c>
      <c r="R11" s="11" t="e">
        <f>#REF!-#REF!</f>
        <v>#REF!</v>
      </c>
      <c r="S11" s="11" t="e">
        <f>#REF!-#REF!</f>
        <v>#REF!</v>
      </c>
      <c r="T11" s="11" t="e">
        <f>#REF!-#REF!</f>
        <v>#REF!</v>
      </c>
      <c r="U11" s="34"/>
      <c r="V11" s="11">
        <f t="shared" si="1"/>
        <v>4</v>
      </c>
      <c r="W11" s="11">
        <f t="shared" si="2"/>
        <v>0</v>
      </c>
      <c r="X11" s="11" t="e">
        <f>#REF!-#REF!</f>
        <v>#REF!</v>
      </c>
      <c r="Y11" s="11" t="e">
        <f>#REF!-#REF!</f>
        <v>#REF!</v>
      </c>
      <c r="Z11" s="34"/>
      <c r="AA11" s="11">
        <f>G12-G10</f>
        <v>143</v>
      </c>
      <c r="AB11" s="11" t="e">
        <f>#REF!-#REF!</f>
        <v>#REF!</v>
      </c>
      <c r="AC11" s="11" t="e">
        <f>#REF!-#REF!</f>
        <v>#REF!</v>
      </c>
      <c r="AD11" s="11" t="e">
        <f>#REF!-#REF!</f>
        <v>#REF!</v>
      </c>
      <c r="AE11" s="35"/>
    </row>
    <row r="12" spans="1:32" x14ac:dyDescent="0.2">
      <c r="A12" s="80">
        <v>7</v>
      </c>
      <c r="B12" s="40">
        <v>4391</v>
      </c>
      <c r="C12" s="15"/>
      <c r="D12" s="40">
        <v>25641</v>
      </c>
      <c r="E12" s="42">
        <v>2813</v>
      </c>
      <c r="F12" s="15"/>
      <c r="G12" s="41">
        <v>236170</v>
      </c>
      <c r="H12" s="45" t="e">
        <f>#REF!-#REF!</f>
        <v>#REF!</v>
      </c>
      <c r="I12" s="16"/>
      <c r="J12" s="17">
        <v>0</v>
      </c>
      <c r="K12" s="17">
        <v>0</v>
      </c>
      <c r="L12" s="17">
        <v>0</v>
      </c>
      <c r="M12" s="16"/>
      <c r="N12" s="80">
        <v>7</v>
      </c>
      <c r="O12" s="11">
        <f t="shared" si="0"/>
        <v>25</v>
      </c>
      <c r="P12" s="11" t="e">
        <f>#REF!-#REF!</f>
        <v>#REF!</v>
      </c>
      <c r="Q12" s="11" t="e">
        <f>#REF!-#REF!</f>
        <v>#REF!</v>
      </c>
      <c r="R12" s="11" t="e">
        <f>#REF!-#REF!</f>
        <v>#REF!</v>
      </c>
      <c r="S12" s="11" t="e">
        <f>#REF!-#REF!</f>
        <v>#REF!</v>
      </c>
      <c r="T12" s="11" t="e">
        <f>#REF!-#REF!</f>
        <v>#REF!</v>
      </c>
      <c r="U12" s="34"/>
      <c r="V12" s="11">
        <f t="shared" si="1"/>
        <v>4</v>
      </c>
      <c r="W12" s="11">
        <f t="shared" si="2"/>
        <v>1</v>
      </c>
      <c r="X12" s="11" t="e">
        <f>#REF!-#REF!</f>
        <v>#REF!</v>
      </c>
      <c r="Y12" s="11" t="e">
        <f>#REF!-#REF!</f>
        <v>#REF!</v>
      </c>
      <c r="Z12" s="34"/>
      <c r="AA12" s="11">
        <f t="shared" ref="AA12:AA32" si="3">G13-G12</f>
        <v>71</v>
      </c>
      <c r="AB12" s="11" t="e">
        <f>#REF!-#REF!</f>
        <v>#REF!</v>
      </c>
      <c r="AC12" s="11" t="e">
        <f>#REF!-#REF!</f>
        <v>#REF!</v>
      </c>
      <c r="AD12" s="11" t="e">
        <f>#REF!-#REF!</f>
        <v>#REF!</v>
      </c>
      <c r="AE12" s="35"/>
    </row>
    <row r="13" spans="1:32" x14ac:dyDescent="0.2">
      <c r="A13" s="80">
        <v>8</v>
      </c>
      <c r="B13" s="40">
        <v>4414</v>
      </c>
      <c r="C13" s="15"/>
      <c r="D13" s="40">
        <v>25649</v>
      </c>
      <c r="E13" s="42">
        <v>2844</v>
      </c>
      <c r="F13" s="15"/>
      <c r="G13" s="41">
        <v>236241</v>
      </c>
      <c r="H13" s="45" t="e">
        <f>#REF!-#REF!</f>
        <v>#REF!</v>
      </c>
      <c r="I13" s="16"/>
      <c r="J13" s="17">
        <v>0</v>
      </c>
      <c r="K13" s="17">
        <v>0</v>
      </c>
      <c r="L13" s="17">
        <v>0</v>
      </c>
      <c r="M13" s="16"/>
      <c r="N13" s="80">
        <v>8</v>
      </c>
      <c r="O13" s="11">
        <f t="shared" si="0"/>
        <v>23</v>
      </c>
      <c r="P13" s="11" t="e">
        <f>#REF!-#REF!</f>
        <v>#REF!</v>
      </c>
      <c r="Q13" s="11" t="e">
        <f>#REF!-#REF!</f>
        <v>#REF!</v>
      </c>
      <c r="R13" s="11" t="e">
        <f>#REF!-#REF!</f>
        <v>#REF!</v>
      </c>
      <c r="S13" s="11" t="e">
        <f>#REF!-#REF!</f>
        <v>#REF!</v>
      </c>
      <c r="T13" s="11" t="e">
        <f>#REF!-#REF!</f>
        <v>#REF!</v>
      </c>
      <c r="U13" s="34"/>
      <c r="V13" s="11">
        <f t="shared" si="1"/>
        <v>8</v>
      </c>
      <c r="W13" s="11">
        <f t="shared" si="2"/>
        <v>31</v>
      </c>
      <c r="X13" s="11" t="e">
        <f>#REF!-#REF!</f>
        <v>#REF!</v>
      </c>
      <c r="Y13" s="11" t="e">
        <f>#REF!-#REF!</f>
        <v>#REF!</v>
      </c>
      <c r="Z13" s="34"/>
      <c r="AA13" s="11">
        <f t="shared" si="3"/>
        <v>44</v>
      </c>
      <c r="AB13" s="11" t="e">
        <f>#REF!-#REF!</f>
        <v>#REF!</v>
      </c>
      <c r="AC13" s="11" t="e">
        <f>#REF!-#REF!</f>
        <v>#REF!</v>
      </c>
      <c r="AD13" s="11" t="e">
        <f>#REF!-#REF!</f>
        <v>#REF!</v>
      </c>
      <c r="AE13" s="35"/>
    </row>
    <row r="14" spans="1:32" x14ac:dyDescent="0.2">
      <c r="A14" s="80">
        <v>9</v>
      </c>
      <c r="B14" s="40">
        <v>4438</v>
      </c>
      <c r="C14" s="15"/>
      <c r="D14" s="40">
        <v>25655</v>
      </c>
      <c r="E14" s="42">
        <v>2844</v>
      </c>
      <c r="F14" s="15"/>
      <c r="G14" s="41">
        <v>236285</v>
      </c>
      <c r="H14" s="45" t="e">
        <f>#REF!-#REF!</f>
        <v>#REF!</v>
      </c>
      <c r="I14" s="16"/>
      <c r="J14" s="17">
        <v>0</v>
      </c>
      <c r="K14" s="17">
        <v>0</v>
      </c>
      <c r="L14" s="17">
        <v>0</v>
      </c>
      <c r="M14" s="16"/>
      <c r="N14" s="80">
        <v>9</v>
      </c>
      <c r="O14" s="11">
        <f t="shared" si="0"/>
        <v>24</v>
      </c>
      <c r="P14" s="11" t="e">
        <f>#REF!-#REF!</f>
        <v>#REF!</v>
      </c>
      <c r="Q14" s="11" t="e">
        <f>#REF!-#REF!</f>
        <v>#REF!</v>
      </c>
      <c r="R14" s="11" t="e">
        <f>#REF!-#REF!</f>
        <v>#REF!</v>
      </c>
      <c r="S14" s="11" t="e">
        <f>#REF!-#REF!</f>
        <v>#REF!</v>
      </c>
      <c r="T14" s="11" t="e">
        <f>#REF!-#REF!</f>
        <v>#REF!</v>
      </c>
      <c r="U14" s="34"/>
      <c r="V14" s="11">
        <f t="shared" si="1"/>
        <v>6</v>
      </c>
      <c r="W14" s="11">
        <f t="shared" si="2"/>
        <v>0</v>
      </c>
      <c r="X14" s="11" t="e">
        <f>#REF!-#REF!</f>
        <v>#REF!</v>
      </c>
      <c r="Y14" s="11" t="e">
        <f>#REF!-#REF!</f>
        <v>#REF!</v>
      </c>
      <c r="Z14" s="34"/>
      <c r="AA14" s="11">
        <f t="shared" si="3"/>
        <v>45</v>
      </c>
      <c r="AB14" s="11" t="e">
        <f>#REF!-#REF!</f>
        <v>#REF!</v>
      </c>
      <c r="AC14" s="11" t="e">
        <f>#REF!-#REF!</f>
        <v>#REF!</v>
      </c>
      <c r="AD14" s="11" t="e">
        <f>#REF!-#REF!</f>
        <v>#REF!</v>
      </c>
      <c r="AE14" s="35"/>
    </row>
    <row r="15" spans="1:32" x14ac:dyDescent="0.2">
      <c r="A15" s="80">
        <v>10</v>
      </c>
      <c r="B15" s="40">
        <v>4468</v>
      </c>
      <c r="C15" s="15"/>
      <c r="D15" s="40">
        <v>25662</v>
      </c>
      <c r="E15" s="42">
        <v>2814</v>
      </c>
      <c r="F15" s="15"/>
      <c r="G15" s="41">
        <v>236330</v>
      </c>
      <c r="H15" s="45" t="e">
        <f>#REF!-#REF!</f>
        <v>#REF!</v>
      </c>
      <c r="I15" s="16"/>
      <c r="J15" s="17">
        <v>0</v>
      </c>
      <c r="K15" s="17">
        <v>0</v>
      </c>
      <c r="L15" s="17">
        <v>0</v>
      </c>
      <c r="M15" s="16"/>
      <c r="N15" s="80">
        <v>10</v>
      </c>
      <c r="O15" s="11">
        <f t="shared" si="0"/>
        <v>30</v>
      </c>
      <c r="P15" s="11" t="e">
        <f>#REF!-#REF!</f>
        <v>#REF!</v>
      </c>
      <c r="Q15" s="11" t="e">
        <f>#REF!-#REF!</f>
        <v>#REF!</v>
      </c>
      <c r="R15" s="11" t="e">
        <f>#REF!-#REF!</f>
        <v>#REF!</v>
      </c>
      <c r="S15" s="11" t="e">
        <f>#REF!-#REF!</f>
        <v>#REF!</v>
      </c>
      <c r="T15" s="11" t="e">
        <f>#REF!-#REF!</f>
        <v>#REF!</v>
      </c>
      <c r="U15" s="34"/>
      <c r="V15" s="11">
        <f t="shared" si="1"/>
        <v>7</v>
      </c>
      <c r="W15" s="11">
        <f t="shared" si="2"/>
        <v>-30</v>
      </c>
      <c r="X15" s="11" t="e">
        <f>#REF!-#REF!</f>
        <v>#REF!</v>
      </c>
      <c r="Y15" s="11" t="e">
        <f>#REF!-#REF!</f>
        <v>#REF!</v>
      </c>
      <c r="Z15" s="34"/>
      <c r="AA15" s="11">
        <f t="shared" si="3"/>
        <v>69</v>
      </c>
      <c r="AB15" s="11" t="e">
        <f>#REF!-#REF!</f>
        <v>#REF!</v>
      </c>
      <c r="AC15" s="11" t="e">
        <f>#REF!-#REF!</f>
        <v>#REF!</v>
      </c>
      <c r="AD15" s="11" t="e">
        <f>#REF!-#REF!</f>
        <v>#REF!</v>
      </c>
      <c r="AE15" s="35"/>
    </row>
    <row r="16" spans="1:32" x14ac:dyDescent="0.2">
      <c r="A16" s="80">
        <v>11</v>
      </c>
      <c r="B16" s="40">
        <v>4509</v>
      </c>
      <c r="C16" s="15"/>
      <c r="D16" s="40">
        <v>25667</v>
      </c>
      <c r="E16" s="42">
        <v>2814</v>
      </c>
      <c r="F16" s="15"/>
      <c r="G16" s="41">
        <v>236399</v>
      </c>
      <c r="H16" s="45" t="e">
        <f>#REF!-#REF!</f>
        <v>#REF!</v>
      </c>
      <c r="I16" s="16"/>
      <c r="J16" s="17">
        <v>0</v>
      </c>
      <c r="K16" s="17">
        <v>0</v>
      </c>
      <c r="L16" s="17">
        <v>0</v>
      </c>
      <c r="M16" s="16"/>
      <c r="N16" s="80">
        <v>11</v>
      </c>
      <c r="O16" s="11">
        <f t="shared" si="0"/>
        <v>41</v>
      </c>
      <c r="P16" s="11" t="e">
        <f>#REF!-#REF!</f>
        <v>#REF!</v>
      </c>
      <c r="Q16" s="11" t="e">
        <f>#REF!-#REF!</f>
        <v>#REF!</v>
      </c>
      <c r="R16" s="11" t="e">
        <f>#REF!-#REF!</f>
        <v>#REF!</v>
      </c>
      <c r="S16" s="11" t="e">
        <f>#REF!-#REF!</f>
        <v>#REF!</v>
      </c>
      <c r="T16" s="11" t="e">
        <f>#REF!-#REF!</f>
        <v>#REF!</v>
      </c>
      <c r="U16" s="34"/>
      <c r="V16" s="11">
        <f t="shared" si="1"/>
        <v>5</v>
      </c>
      <c r="W16" s="11">
        <f t="shared" si="2"/>
        <v>0</v>
      </c>
      <c r="X16" s="11" t="e">
        <f>#REF!-#REF!</f>
        <v>#REF!</v>
      </c>
      <c r="Y16" s="11" t="e">
        <f>#REF!-#REF!</f>
        <v>#REF!</v>
      </c>
      <c r="Z16" s="34"/>
      <c r="AA16" s="11">
        <f t="shared" si="3"/>
        <v>132</v>
      </c>
      <c r="AB16" s="11" t="e">
        <f>#REF!-#REF!</f>
        <v>#REF!</v>
      </c>
      <c r="AC16" s="11" t="e">
        <f>#REF!-#REF!</f>
        <v>#REF!</v>
      </c>
      <c r="AD16" s="11" t="e">
        <f>#REF!-#REF!</f>
        <v>#REF!</v>
      </c>
      <c r="AE16" s="35"/>
    </row>
    <row r="17" spans="1:31" x14ac:dyDescent="0.2">
      <c r="A17" s="80">
        <v>12</v>
      </c>
      <c r="B17" s="40">
        <v>4544</v>
      </c>
      <c r="C17" s="15"/>
      <c r="D17" s="40">
        <v>25669</v>
      </c>
      <c r="E17" s="42">
        <v>2814</v>
      </c>
      <c r="F17" s="15"/>
      <c r="G17" s="41">
        <v>236531</v>
      </c>
      <c r="H17" s="45" t="e">
        <f>#REF!-#REF!</f>
        <v>#REF!</v>
      </c>
      <c r="I17" s="16"/>
      <c r="J17" s="17">
        <v>0</v>
      </c>
      <c r="K17" s="17">
        <v>0</v>
      </c>
      <c r="L17" s="17">
        <v>0</v>
      </c>
      <c r="M17" s="16"/>
      <c r="N17" s="80">
        <v>12</v>
      </c>
      <c r="O17" s="11">
        <f t="shared" si="0"/>
        <v>35</v>
      </c>
      <c r="P17" s="11" t="e">
        <f>#REF!-#REF!</f>
        <v>#REF!</v>
      </c>
      <c r="Q17" s="11" t="e">
        <f>#REF!-#REF!</f>
        <v>#REF!</v>
      </c>
      <c r="R17" s="11" t="e">
        <f>#REF!-#REF!</f>
        <v>#REF!</v>
      </c>
      <c r="S17" s="11" t="e">
        <f>#REF!-#REF!</f>
        <v>#REF!</v>
      </c>
      <c r="T17" s="11" t="e">
        <f>#REF!-#REF!</f>
        <v>#REF!</v>
      </c>
      <c r="U17" s="34"/>
      <c r="V17" s="11">
        <f t="shared" si="1"/>
        <v>2</v>
      </c>
      <c r="W17" s="11">
        <f t="shared" si="2"/>
        <v>0</v>
      </c>
      <c r="X17" s="11" t="e">
        <f>#REF!-#REF!</f>
        <v>#REF!</v>
      </c>
      <c r="Y17" s="11" t="e">
        <f>#REF!-#REF!</f>
        <v>#REF!</v>
      </c>
      <c r="Z17" s="34"/>
      <c r="AA17" s="11">
        <f t="shared" si="3"/>
        <v>150</v>
      </c>
      <c r="AB17" s="11" t="e">
        <f>#REF!-#REF!</f>
        <v>#REF!</v>
      </c>
      <c r="AC17" s="11" t="e">
        <f>#REF!-#REF!</f>
        <v>#REF!</v>
      </c>
      <c r="AD17" s="11" t="e">
        <f>#REF!-#REF!</f>
        <v>#REF!</v>
      </c>
      <c r="AE17" s="35"/>
    </row>
    <row r="18" spans="1:31" x14ac:dyDescent="0.2">
      <c r="A18" s="80">
        <v>13</v>
      </c>
      <c r="B18" s="40">
        <v>4567</v>
      </c>
      <c r="C18" s="15"/>
      <c r="D18" s="40">
        <v>25674</v>
      </c>
      <c r="E18" s="42">
        <v>2814</v>
      </c>
      <c r="F18" s="15"/>
      <c r="G18" s="41">
        <v>236681</v>
      </c>
      <c r="H18" s="45" t="e">
        <f>#REF!-#REF!</f>
        <v>#REF!</v>
      </c>
      <c r="I18" s="16"/>
      <c r="J18" s="17">
        <v>0</v>
      </c>
      <c r="K18" s="17">
        <v>0</v>
      </c>
      <c r="L18" s="17">
        <v>0</v>
      </c>
      <c r="M18" s="16"/>
      <c r="N18" s="80">
        <v>13</v>
      </c>
      <c r="O18" s="11">
        <f t="shared" si="0"/>
        <v>23</v>
      </c>
      <c r="P18" s="11" t="e">
        <f>#REF!-#REF!</f>
        <v>#REF!</v>
      </c>
      <c r="Q18" s="11" t="e">
        <f>#REF!-#REF!</f>
        <v>#REF!</v>
      </c>
      <c r="R18" s="11" t="e">
        <f>#REF!-#REF!</f>
        <v>#REF!</v>
      </c>
      <c r="S18" s="11" t="e">
        <f>#REF!-#REF!</f>
        <v>#REF!</v>
      </c>
      <c r="T18" s="11" t="e">
        <f>#REF!-#REF!</f>
        <v>#REF!</v>
      </c>
      <c r="U18" s="34"/>
      <c r="V18" s="11">
        <f t="shared" si="1"/>
        <v>5</v>
      </c>
      <c r="W18" s="11">
        <f t="shared" si="2"/>
        <v>0</v>
      </c>
      <c r="X18" s="11" t="e">
        <f>#REF!-#REF!</f>
        <v>#REF!</v>
      </c>
      <c r="Y18" s="11" t="e">
        <f>#REF!-#REF!</f>
        <v>#REF!</v>
      </c>
      <c r="Z18" s="34"/>
      <c r="AA18" s="11">
        <f t="shared" si="3"/>
        <v>140</v>
      </c>
      <c r="AB18" s="11" t="e">
        <f>#REF!-#REF!</f>
        <v>#REF!</v>
      </c>
      <c r="AC18" s="11" t="e">
        <f>#REF!-#REF!</f>
        <v>#REF!</v>
      </c>
      <c r="AD18" s="11" t="e">
        <f>#REF!-#REF!</f>
        <v>#REF!</v>
      </c>
      <c r="AE18" s="35"/>
    </row>
    <row r="19" spans="1:31" x14ac:dyDescent="0.2">
      <c r="A19" s="80">
        <v>14</v>
      </c>
      <c r="B19" s="40">
        <v>4591</v>
      </c>
      <c r="C19" s="15"/>
      <c r="D19" s="40">
        <v>25679</v>
      </c>
      <c r="E19" s="42">
        <v>2814</v>
      </c>
      <c r="F19" s="15"/>
      <c r="G19" s="41">
        <v>236821</v>
      </c>
      <c r="H19" s="45" t="e">
        <f>#REF!-#REF!</f>
        <v>#REF!</v>
      </c>
      <c r="I19" s="16"/>
      <c r="J19" s="17">
        <v>0</v>
      </c>
      <c r="K19" s="17">
        <v>0</v>
      </c>
      <c r="L19" s="17">
        <v>0</v>
      </c>
      <c r="M19" s="16"/>
      <c r="N19" s="80">
        <v>14</v>
      </c>
      <c r="O19" s="11">
        <f t="shared" si="0"/>
        <v>24</v>
      </c>
      <c r="P19" s="11" t="e">
        <f>#REF!-#REF!</f>
        <v>#REF!</v>
      </c>
      <c r="Q19" s="11" t="e">
        <f>#REF!-#REF!</f>
        <v>#REF!</v>
      </c>
      <c r="R19" s="11" t="e">
        <f>#REF!-#REF!</f>
        <v>#REF!</v>
      </c>
      <c r="S19" s="11" t="e">
        <f>#REF!-#REF!</f>
        <v>#REF!</v>
      </c>
      <c r="T19" s="11" t="e">
        <f>#REF!-#REF!</f>
        <v>#REF!</v>
      </c>
      <c r="U19" s="34"/>
      <c r="V19" s="11">
        <f t="shared" si="1"/>
        <v>5</v>
      </c>
      <c r="W19" s="11">
        <f t="shared" si="2"/>
        <v>0</v>
      </c>
      <c r="X19" s="11" t="e">
        <f>#REF!-#REF!</f>
        <v>#REF!</v>
      </c>
      <c r="Y19" s="11" t="e">
        <f>#REF!-#REF!</f>
        <v>#REF!</v>
      </c>
      <c r="Z19" s="34"/>
      <c r="AA19" s="11">
        <f t="shared" si="3"/>
        <v>77</v>
      </c>
      <c r="AB19" s="11" t="e">
        <f>#REF!-#REF!</f>
        <v>#REF!</v>
      </c>
      <c r="AC19" s="11" t="e">
        <f>#REF!-#REF!</f>
        <v>#REF!</v>
      </c>
      <c r="AD19" s="11" t="e">
        <f>#REF!-#REF!</f>
        <v>#REF!</v>
      </c>
      <c r="AE19" s="35"/>
    </row>
    <row r="20" spans="1:31" x14ac:dyDescent="0.2">
      <c r="A20" s="80">
        <v>15</v>
      </c>
      <c r="B20" s="40">
        <v>4614</v>
      </c>
      <c r="C20" s="15"/>
      <c r="D20" s="40">
        <v>25679</v>
      </c>
      <c r="E20" s="42">
        <v>2814</v>
      </c>
      <c r="F20" s="15"/>
      <c r="G20" s="41">
        <v>236898</v>
      </c>
      <c r="H20" s="45" t="e">
        <f>#REF!-#REF!</f>
        <v>#REF!</v>
      </c>
      <c r="I20" s="16"/>
      <c r="J20" s="17">
        <v>0</v>
      </c>
      <c r="K20" s="17">
        <v>0</v>
      </c>
      <c r="L20" s="17">
        <v>0</v>
      </c>
      <c r="M20" s="16"/>
      <c r="N20" s="80">
        <v>15</v>
      </c>
      <c r="O20" s="11">
        <f t="shared" si="0"/>
        <v>23</v>
      </c>
      <c r="P20" s="11" t="e">
        <f>#REF!-#REF!</f>
        <v>#REF!</v>
      </c>
      <c r="Q20" s="11" t="e">
        <f>#REF!-#REF!</f>
        <v>#REF!</v>
      </c>
      <c r="R20" s="11" t="e">
        <f>#REF!-#REF!</f>
        <v>#REF!</v>
      </c>
      <c r="S20" s="11" t="e">
        <f>#REF!-#REF!</f>
        <v>#REF!</v>
      </c>
      <c r="T20" s="11" t="e">
        <f>#REF!-#REF!</f>
        <v>#REF!</v>
      </c>
      <c r="U20" s="34"/>
      <c r="V20" s="11">
        <f t="shared" si="1"/>
        <v>0</v>
      </c>
      <c r="W20" s="11">
        <f t="shared" si="2"/>
        <v>0</v>
      </c>
      <c r="X20" s="11" t="e">
        <f>#REF!-#REF!</f>
        <v>#REF!</v>
      </c>
      <c r="Y20" s="11" t="e">
        <f>#REF!-#REF!</f>
        <v>#REF!</v>
      </c>
      <c r="Z20" s="34"/>
      <c r="AA20" s="11">
        <f t="shared" si="3"/>
        <v>244</v>
      </c>
      <c r="AB20" s="11" t="e">
        <f>#REF!-#REF!</f>
        <v>#REF!</v>
      </c>
      <c r="AC20" s="11" t="e">
        <f>#REF!-#REF!</f>
        <v>#REF!</v>
      </c>
      <c r="AD20" s="11" t="e">
        <f>#REF!-#REF!</f>
        <v>#REF!</v>
      </c>
      <c r="AE20" s="35"/>
    </row>
    <row r="21" spans="1:31" x14ac:dyDescent="0.2">
      <c r="A21" s="80">
        <v>16</v>
      </c>
      <c r="B21" s="40">
        <v>4651</v>
      </c>
      <c r="C21" s="15"/>
      <c r="D21" s="40">
        <v>25684</v>
      </c>
      <c r="E21" s="42">
        <v>2814</v>
      </c>
      <c r="F21" s="15"/>
      <c r="G21" s="41">
        <v>237142</v>
      </c>
      <c r="H21" s="45" t="e">
        <f>#REF!-#REF!</f>
        <v>#REF!</v>
      </c>
      <c r="I21" s="16"/>
      <c r="J21" s="17">
        <v>0</v>
      </c>
      <c r="K21" s="17">
        <v>0</v>
      </c>
      <c r="L21" s="17">
        <v>0</v>
      </c>
      <c r="M21" s="16"/>
      <c r="N21" s="80">
        <v>16</v>
      </c>
      <c r="O21" s="11">
        <f t="shared" si="0"/>
        <v>37</v>
      </c>
      <c r="P21" s="11" t="e">
        <f>#REF!-#REF!</f>
        <v>#REF!</v>
      </c>
      <c r="Q21" s="11" t="e">
        <f>#REF!-#REF!</f>
        <v>#REF!</v>
      </c>
      <c r="R21" s="11" t="e">
        <f>#REF!-#REF!</f>
        <v>#REF!</v>
      </c>
      <c r="S21" s="11" t="e">
        <f>#REF!-#REF!</f>
        <v>#REF!</v>
      </c>
      <c r="T21" s="11" t="e">
        <f>#REF!-#REF!</f>
        <v>#REF!</v>
      </c>
      <c r="U21" s="34"/>
      <c r="V21" s="11">
        <f t="shared" si="1"/>
        <v>5</v>
      </c>
      <c r="W21" s="11">
        <f t="shared" si="2"/>
        <v>0</v>
      </c>
      <c r="X21" s="11" t="e">
        <f>#REF!-#REF!</f>
        <v>#REF!</v>
      </c>
      <c r="Y21" s="11" t="e">
        <f>#REF!-#REF!</f>
        <v>#REF!</v>
      </c>
      <c r="Z21" s="34"/>
      <c r="AA21" s="11">
        <f t="shared" si="3"/>
        <v>146</v>
      </c>
      <c r="AB21" s="11" t="e">
        <f>#REF!-#REF!</f>
        <v>#REF!</v>
      </c>
      <c r="AC21" s="11" t="e">
        <f>#REF!-#REF!</f>
        <v>#REF!</v>
      </c>
      <c r="AD21" s="11" t="e">
        <f>#REF!-#REF!</f>
        <v>#REF!</v>
      </c>
      <c r="AE21" s="35"/>
    </row>
    <row r="22" spans="1:31" x14ac:dyDescent="0.2">
      <c r="A22" s="80">
        <v>17</v>
      </c>
      <c r="B22" s="40">
        <v>4697</v>
      </c>
      <c r="C22" s="15"/>
      <c r="D22" s="40">
        <v>25689</v>
      </c>
      <c r="E22" s="42">
        <v>2844</v>
      </c>
      <c r="F22" s="15"/>
      <c r="G22" s="41">
        <v>237288</v>
      </c>
      <c r="H22" s="45" t="e">
        <f>#REF!-#REF!</f>
        <v>#REF!</v>
      </c>
      <c r="I22" s="16"/>
      <c r="J22" s="17">
        <v>0</v>
      </c>
      <c r="K22" s="17">
        <v>0</v>
      </c>
      <c r="L22" s="17">
        <v>0</v>
      </c>
      <c r="M22" s="16"/>
      <c r="N22" s="80">
        <v>17</v>
      </c>
      <c r="O22" s="11">
        <f t="shared" si="0"/>
        <v>46</v>
      </c>
      <c r="P22" s="11" t="e">
        <f>#REF!-#REF!</f>
        <v>#REF!</v>
      </c>
      <c r="Q22" s="11" t="e">
        <f>#REF!-#REF!</f>
        <v>#REF!</v>
      </c>
      <c r="R22" s="11" t="e">
        <f>#REF!-#REF!</f>
        <v>#REF!</v>
      </c>
      <c r="S22" s="11" t="e">
        <f>#REF!-#REF!</f>
        <v>#REF!</v>
      </c>
      <c r="T22" s="11" t="e">
        <f>#REF!-#REF!</f>
        <v>#REF!</v>
      </c>
      <c r="U22" s="34"/>
      <c r="V22" s="11">
        <f t="shared" si="1"/>
        <v>5</v>
      </c>
      <c r="W22" s="11">
        <f t="shared" si="2"/>
        <v>30</v>
      </c>
      <c r="X22" s="11" t="e">
        <f>#REF!-#REF!</f>
        <v>#REF!</v>
      </c>
      <c r="Y22" s="11" t="e">
        <f>#REF!-#REF!</f>
        <v>#REF!</v>
      </c>
      <c r="Z22" s="34"/>
      <c r="AA22" s="11">
        <f t="shared" si="3"/>
        <v>165</v>
      </c>
      <c r="AB22" s="11" t="e">
        <f>#REF!-#REF!</f>
        <v>#REF!</v>
      </c>
      <c r="AC22" s="11" t="e">
        <f>#REF!-#REF!</f>
        <v>#REF!</v>
      </c>
      <c r="AD22" s="11" t="e">
        <f>#REF!-#REF!</f>
        <v>#REF!</v>
      </c>
      <c r="AE22" s="35"/>
    </row>
    <row r="23" spans="1:31" x14ac:dyDescent="0.2">
      <c r="A23" s="80">
        <v>18</v>
      </c>
      <c r="B23" s="40">
        <v>4745</v>
      </c>
      <c r="C23" s="15"/>
      <c r="D23" s="40">
        <v>25693</v>
      </c>
      <c r="E23" s="42">
        <v>2854</v>
      </c>
      <c r="F23" s="15"/>
      <c r="G23" s="41">
        <v>237453</v>
      </c>
      <c r="H23" s="45" t="e">
        <f>#REF!-#REF!</f>
        <v>#REF!</v>
      </c>
      <c r="I23" s="16"/>
      <c r="J23" s="17">
        <v>0</v>
      </c>
      <c r="K23" s="17">
        <v>0</v>
      </c>
      <c r="L23" s="17">
        <v>0</v>
      </c>
      <c r="M23" s="16"/>
      <c r="N23" s="80">
        <v>18</v>
      </c>
      <c r="O23" s="11">
        <f t="shared" si="0"/>
        <v>48</v>
      </c>
      <c r="P23" s="11" t="e">
        <f>#REF!-#REF!</f>
        <v>#REF!</v>
      </c>
      <c r="Q23" s="11" t="e">
        <f>#REF!-#REF!</f>
        <v>#REF!</v>
      </c>
      <c r="R23" s="11" t="e">
        <f>#REF!-#REF!</f>
        <v>#REF!</v>
      </c>
      <c r="S23" s="11" t="e">
        <f>#REF!-#REF!</f>
        <v>#REF!</v>
      </c>
      <c r="T23" s="11" t="e">
        <f>#REF!-#REF!</f>
        <v>#REF!</v>
      </c>
      <c r="U23" s="34"/>
      <c r="V23" s="11">
        <f t="shared" si="1"/>
        <v>4</v>
      </c>
      <c r="W23" s="11">
        <f t="shared" si="2"/>
        <v>10</v>
      </c>
      <c r="X23" s="11" t="e">
        <f>#REF!-#REF!</f>
        <v>#REF!</v>
      </c>
      <c r="Y23" s="11" t="e">
        <f>#REF!-#REF!</f>
        <v>#REF!</v>
      </c>
      <c r="Z23" s="34"/>
      <c r="AA23" s="11">
        <f t="shared" si="3"/>
        <v>140</v>
      </c>
      <c r="AB23" s="11" t="e">
        <f>#REF!-#REF!</f>
        <v>#REF!</v>
      </c>
      <c r="AC23" s="11" t="e">
        <f>#REF!-#REF!</f>
        <v>#REF!</v>
      </c>
      <c r="AD23" s="11" t="e">
        <f>#REF!-#REF!</f>
        <v>#REF!</v>
      </c>
      <c r="AE23" s="35"/>
    </row>
    <row r="24" spans="1:31" x14ac:dyDescent="0.2">
      <c r="A24" s="80">
        <v>19</v>
      </c>
      <c r="B24" s="40">
        <v>4781</v>
      </c>
      <c r="C24" s="15"/>
      <c r="D24" s="40">
        <v>25696</v>
      </c>
      <c r="E24" s="42">
        <v>2814</v>
      </c>
      <c r="F24" s="15"/>
      <c r="G24" s="41">
        <v>237593</v>
      </c>
      <c r="H24" s="45" t="e">
        <f>#REF!-#REF!</f>
        <v>#REF!</v>
      </c>
      <c r="I24" s="16"/>
      <c r="J24" s="17">
        <v>0</v>
      </c>
      <c r="K24" s="17">
        <v>0</v>
      </c>
      <c r="L24" s="17">
        <v>0</v>
      </c>
      <c r="M24" s="16"/>
      <c r="N24" s="80">
        <v>19</v>
      </c>
      <c r="O24" s="11">
        <f t="shared" si="0"/>
        <v>36</v>
      </c>
      <c r="P24" s="11" t="e">
        <f>#REF!-#REF!</f>
        <v>#REF!</v>
      </c>
      <c r="Q24" s="11" t="e">
        <f>#REF!-#REF!</f>
        <v>#REF!</v>
      </c>
      <c r="R24" s="11" t="e">
        <f>#REF!-#REF!</f>
        <v>#REF!</v>
      </c>
      <c r="S24" s="11" t="e">
        <f>#REF!-#REF!</f>
        <v>#REF!</v>
      </c>
      <c r="T24" s="11" t="e">
        <f>#REF!-#REF!</f>
        <v>#REF!</v>
      </c>
      <c r="U24" s="34"/>
      <c r="V24" s="11">
        <f t="shared" si="1"/>
        <v>3</v>
      </c>
      <c r="W24" s="11">
        <f t="shared" si="2"/>
        <v>-40</v>
      </c>
      <c r="X24" s="11" t="e">
        <f>#REF!-#REF!</f>
        <v>#REF!</v>
      </c>
      <c r="Y24" s="11" t="e">
        <f>#REF!-#REF!</f>
        <v>#REF!</v>
      </c>
      <c r="Z24" s="34"/>
      <c r="AA24" s="11">
        <f t="shared" si="3"/>
        <v>120</v>
      </c>
      <c r="AB24" s="11" t="e">
        <f>#REF!-#REF!</f>
        <v>#REF!</v>
      </c>
      <c r="AC24" s="11" t="e">
        <f>#REF!-#REF!</f>
        <v>#REF!</v>
      </c>
      <c r="AD24" s="11" t="e">
        <f>#REF!-#REF!</f>
        <v>#REF!</v>
      </c>
      <c r="AE24" s="35"/>
    </row>
    <row r="25" spans="1:31" x14ac:dyDescent="0.2">
      <c r="A25" s="80">
        <v>20</v>
      </c>
      <c r="B25" s="40">
        <v>4815</v>
      </c>
      <c r="C25" s="15"/>
      <c r="D25" s="40">
        <v>25701</v>
      </c>
      <c r="E25" s="42">
        <v>2814</v>
      </c>
      <c r="F25" s="15"/>
      <c r="G25" s="41">
        <v>237713</v>
      </c>
      <c r="H25" s="45" t="e">
        <f>#REF!-#REF!</f>
        <v>#REF!</v>
      </c>
      <c r="I25" s="16"/>
      <c r="J25" s="17">
        <v>0</v>
      </c>
      <c r="K25" s="17">
        <v>0</v>
      </c>
      <c r="L25" s="17">
        <v>0</v>
      </c>
      <c r="M25" s="16"/>
      <c r="N25" s="80">
        <v>20</v>
      </c>
      <c r="O25" s="11">
        <f t="shared" si="0"/>
        <v>34</v>
      </c>
      <c r="P25" s="11" t="e">
        <f>#REF!-#REF!</f>
        <v>#REF!</v>
      </c>
      <c r="Q25" s="11" t="e">
        <f>#REF!-#REF!</f>
        <v>#REF!</v>
      </c>
      <c r="R25" s="11" t="e">
        <f>#REF!-#REF!</f>
        <v>#REF!</v>
      </c>
      <c r="S25" s="11" t="e">
        <f>#REF!-#REF!</f>
        <v>#REF!</v>
      </c>
      <c r="T25" s="11" t="e">
        <f>#REF!-#REF!</f>
        <v>#REF!</v>
      </c>
      <c r="U25" s="34"/>
      <c r="V25" s="11">
        <f t="shared" si="1"/>
        <v>5</v>
      </c>
      <c r="W25" s="11">
        <f t="shared" si="2"/>
        <v>0</v>
      </c>
      <c r="X25" s="11" t="e">
        <f>#REF!-#REF!</f>
        <v>#REF!</v>
      </c>
      <c r="Y25" s="11" t="e">
        <f>#REF!-#REF!</f>
        <v>#REF!</v>
      </c>
      <c r="Z25" s="34"/>
      <c r="AA25" s="11">
        <f t="shared" si="3"/>
        <v>88</v>
      </c>
      <c r="AB25" s="11" t="e">
        <f>#REF!-#REF!</f>
        <v>#REF!</v>
      </c>
      <c r="AC25" s="11" t="e">
        <f>#REF!-#REF!</f>
        <v>#REF!</v>
      </c>
      <c r="AD25" s="11" t="e">
        <f>#REF!-#REF!</f>
        <v>#REF!</v>
      </c>
      <c r="AE25" s="35"/>
    </row>
    <row r="26" spans="1:31" x14ac:dyDescent="0.2">
      <c r="A26" s="80">
        <v>21</v>
      </c>
      <c r="B26" s="40">
        <v>4871</v>
      </c>
      <c r="C26" s="15"/>
      <c r="D26" s="40">
        <v>25706</v>
      </c>
      <c r="E26" s="42">
        <v>2814</v>
      </c>
      <c r="F26" s="15"/>
      <c r="G26" s="41">
        <v>237801</v>
      </c>
      <c r="H26" s="45" t="e">
        <f>#REF!-#REF!</f>
        <v>#REF!</v>
      </c>
      <c r="I26" s="16"/>
      <c r="J26" s="17">
        <v>0</v>
      </c>
      <c r="K26" s="17">
        <v>0</v>
      </c>
      <c r="L26" s="17">
        <v>0</v>
      </c>
      <c r="M26" s="16"/>
      <c r="N26" s="80">
        <v>21</v>
      </c>
      <c r="O26" s="11">
        <f t="shared" si="0"/>
        <v>56</v>
      </c>
      <c r="P26" s="11" t="e">
        <f>#REF!-#REF!</f>
        <v>#REF!</v>
      </c>
      <c r="Q26" s="11" t="e">
        <f>#REF!-#REF!</f>
        <v>#REF!</v>
      </c>
      <c r="R26" s="11" t="e">
        <f>#REF!-#REF!</f>
        <v>#REF!</v>
      </c>
      <c r="S26" s="11" t="e">
        <f>#REF!-#REF!</f>
        <v>#REF!</v>
      </c>
      <c r="T26" s="11" t="e">
        <f>#REF!-#REF!</f>
        <v>#REF!</v>
      </c>
      <c r="U26" s="34"/>
      <c r="V26" s="11">
        <f t="shared" si="1"/>
        <v>5</v>
      </c>
      <c r="W26" s="11">
        <f t="shared" si="2"/>
        <v>0</v>
      </c>
      <c r="X26" s="11" t="e">
        <f>#REF!-#REF!</f>
        <v>#REF!</v>
      </c>
      <c r="Y26" s="11" t="e">
        <f>#REF!-#REF!</f>
        <v>#REF!</v>
      </c>
      <c r="Z26" s="34"/>
      <c r="AA26" s="11">
        <f t="shared" si="3"/>
        <v>54</v>
      </c>
      <c r="AB26" s="11" t="e">
        <f>#REF!-#REF!</f>
        <v>#REF!</v>
      </c>
      <c r="AC26" s="11" t="e">
        <f>#REF!-#REF!</f>
        <v>#REF!</v>
      </c>
      <c r="AD26" s="11" t="e">
        <f>#REF!-#REF!</f>
        <v>#REF!</v>
      </c>
      <c r="AE26" s="35"/>
    </row>
    <row r="27" spans="1:31" x14ac:dyDescent="0.2">
      <c r="A27" s="80">
        <v>22</v>
      </c>
      <c r="B27" s="40">
        <v>4903</v>
      </c>
      <c r="C27" s="15"/>
      <c r="D27" s="40">
        <v>25712</v>
      </c>
      <c r="E27" s="42">
        <v>2844</v>
      </c>
      <c r="F27" s="15"/>
      <c r="G27" s="41">
        <v>237855</v>
      </c>
      <c r="H27" s="45" t="e">
        <f>#REF!-#REF!</f>
        <v>#REF!</v>
      </c>
      <c r="I27" s="16"/>
      <c r="J27" s="17">
        <v>0</v>
      </c>
      <c r="K27" s="17">
        <v>0</v>
      </c>
      <c r="L27" s="17">
        <v>0</v>
      </c>
      <c r="M27" s="16"/>
      <c r="N27" s="80">
        <v>22</v>
      </c>
      <c r="O27" s="11">
        <f t="shared" si="0"/>
        <v>32</v>
      </c>
      <c r="P27" s="11" t="e">
        <f>#REF!-#REF!</f>
        <v>#REF!</v>
      </c>
      <c r="Q27" s="11" t="e">
        <f>#REF!-#REF!</f>
        <v>#REF!</v>
      </c>
      <c r="R27" s="11" t="e">
        <f>#REF!-#REF!</f>
        <v>#REF!</v>
      </c>
      <c r="S27" s="11" t="e">
        <f>#REF!-#REF!</f>
        <v>#REF!</v>
      </c>
      <c r="T27" s="11" t="e">
        <f>#REF!-#REF!</f>
        <v>#REF!</v>
      </c>
      <c r="U27" s="34"/>
      <c r="V27" s="11">
        <f t="shared" si="1"/>
        <v>6</v>
      </c>
      <c r="W27" s="11">
        <f t="shared" si="2"/>
        <v>30</v>
      </c>
      <c r="X27" s="11" t="e">
        <f>#REF!-#REF!</f>
        <v>#REF!</v>
      </c>
      <c r="Y27" s="11" t="e">
        <f>#REF!-#REF!</f>
        <v>#REF!</v>
      </c>
      <c r="Z27" s="34"/>
      <c r="AA27" s="11">
        <f t="shared" si="3"/>
        <v>53</v>
      </c>
      <c r="AB27" s="11" t="e">
        <f>#REF!-#REF!</f>
        <v>#REF!</v>
      </c>
      <c r="AC27" s="11" t="e">
        <f>#REF!-#REF!</f>
        <v>#REF!</v>
      </c>
      <c r="AD27" s="11" t="e">
        <f>#REF!-#REF!</f>
        <v>#REF!</v>
      </c>
      <c r="AE27" s="35"/>
    </row>
    <row r="28" spans="1:31" x14ac:dyDescent="0.2">
      <c r="A28" s="80">
        <v>23</v>
      </c>
      <c r="B28" s="40">
        <v>4936</v>
      </c>
      <c r="C28" s="15"/>
      <c r="D28" s="40">
        <v>25719</v>
      </c>
      <c r="E28" s="42">
        <v>2854</v>
      </c>
      <c r="F28" s="15"/>
      <c r="G28" s="41">
        <v>237908</v>
      </c>
      <c r="H28" s="45" t="e">
        <f>#REF!-#REF!</f>
        <v>#REF!</v>
      </c>
      <c r="I28" s="16"/>
      <c r="J28" s="17">
        <v>0</v>
      </c>
      <c r="K28" s="17">
        <v>0</v>
      </c>
      <c r="L28" s="17">
        <v>0</v>
      </c>
      <c r="M28" s="16"/>
      <c r="N28" s="80">
        <v>23</v>
      </c>
      <c r="O28" s="11">
        <f t="shared" si="0"/>
        <v>33</v>
      </c>
      <c r="P28" s="11" t="e">
        <f>#REF!-#REF!</f>
        <v>#REF!</v>
      </c>
      <c r="Q28" s="11" t="e">
        <f>#REF!-#REF!</f>
        <v>#REF!</v>
      </c>
      <c r="R28" s="11" t="e">
        <f>#REF!-#REF!</f>
        <v>#REF!</v>
      </c>
      <c r="S28" s="11" t="e">
        <f>#REF!-#REF!</f>
        <v>#REF!</v>
      </c>
      <c r="T28" s="11" t="e">
        <f>#REF!-#REF!</f>
        <v>#REF!</v>
      </c>
      <c r="U28" s="34"/>
      <c r="V28" s="11">
        <f t="shared" si="1"/>
        <v>7</v>
      </c>
      <c r="W28" s="11">
        <f t="shared" si="2"/>
        <v>10</v>
      </c>
      <c r="X28" s="11" t="e">
        <f>#REF!-#REF!</f>
        <v>#REF!</v>
      </c>
      <c r="Y28" s="11" t="e">
        <f>#REF!-#REF!</f>
        <v>#REF!</v>
      </c>
      <c r="Z28" s="34"/>
      <c r="AA28" s="11">
        <f t="shared" si="3"/>
        <v>46</v>
      </c>
      <c r="AB28" s="11" t="e">
        <f>#REF!-#REF!</f>
        <v>#REF!</v>
      </c>
      <c r="AC28" s="11" t="e">
        <f>#REF!-#REF!</f>
        <v>#REF!</v>
      </c>
      <c r="AD28" s="11" t="e">
        <f>#REF!-#REF!</f>
        <v>#REF!</v>
      </c>
      <c r="AE28" s="35"/>
    </row>
    <row r="29" spans="1:31" x14ac:dyDescent="0.2">
      <c r="A29" s="80">
        <v>24</v>
      </c>
      <c r="B29" s="40">
        <v>4962</v>
      </c>
      <c r="C29" s="15"/>
      <c r="D29" s="40">
        <v>25726</v>
      </c>
      <c r="E29" s="42">
        <v>2814</v>
      </c>
      <c r="F29" s="15"/>
      <c r="G29" s="41">
        <v>237954</v>
      </c>
      <c r="H29" s="45" t="e">
        <f>#REF!-#REF!</f>
        <v>#REF!</v>
      </c>
      <c r="I29" s="16"/>
      <c r="J29" s="17">
        <v>0</v>
      </c>
      <c r="K29" s="17">
        <v>0</v>
      </c>
      <c r="L29" s="17">
        <v>0</v>
      </c>
      <c r="M29" s="16"/>
      <c r="N29" s="80">
        <v>24</v>
      </c>
      <c r="O29" s="11">
        <f t="shared" si="0"/>
        <v>26</v>
      </c>
      <c r="P29" s="11" t="e">
        <f>#REF!-#REF!</f>
        <v>#REF!</v>
      </c>
      <c r="Q29" s="11" t="e">
        <f>#REF!-#REF!</f>
        <v>#REF!</v>
      </c>
      <c r="R29" s="11" t="e">
        <f>#REF!-#REF!</f>
        <v>#REF!</v>
      </c>
      <c r="S29" s="11" t="e">
        <f>#REF!-#REF!</f>
        <v>#REF!</v>
      </c>
      <c r="T29" s="11" t="e">
        <f>#REF!-#REF!</f>
        <v>#REF!</v>
      </c>
      <c r="U29" s="34"/>
      <c r="V29" s="11">
        <f t="shared" si="1"/>
        <v>7</v>
      </c>
      <c r="W29" s="11">
        <f t="shared" si="2"/>
        <v>-40</v>
      </c>
      <c r="X29" s="11" t="e">
        <f>#REF!-#REF!</f>
        <v>#REF!</v>
      </c>
      <c r="Y29" s="11" t="e">
        <f>#REF!-#REF!</f>
        <v>#REF!</v>
      </c>
      <c r="Z29" s="34"/>
      <c r="AA29" s="11">
        <f t="shared" si="3"/>
        <v>42</v>
      </c>
      <c r="AB29" s="11" t="e">
        <f>#REF!-#REF!</f>
        <v>#REF!</v>
      </c>
      <c r="AC29" s="11" t="e">
        <f>#REF!-#REF!</f>
        <v>#REF!</v>
      </c>
      <c r="AD29" s="11" t="e">
        <f>#REF!-#REF!</f>
        <v>#REF!</v>
      </c>
      <c r="AE29" s="35"/>
    </row>
    <row r="30" spans="1:31" x14ac:dyDescent="0.2">
      <c r="A30" s="80">
        <v>25</v>
      </c>
      <c r="B30" s="40">
        <v>4992</v>
      </c>
      <c r="C30" s="15"/>
      <c r="D30" s="40">
        <v>25735</v>
      </c>
      <c r="E30" s="42">
        <v>2814</v>
      </c>
      <c r="F30" s="15"/>
      <c r="G30" s="41">
        <v>237996</v>
      </c>
      <c r="H30" s="45" t="e">
        <f>#REF!-#REF!</f>
        <v>#REF!</v>
      </c>
      <c r="I30" s="16"/>
      <c r="J30" s="17">
        <v>0</v>
      </c>
      <c r="K30" s="17">
        <v>0</v>
      </c>
      <c r="L30" s="17">
        <v>0</v>
      </c>
      <c r="M30" s="16"/>
      <c r="N30" s="80">
        <v>25</v>
      </c>
      <c r="O30" s="11">
        <f t="shared" si="0"/>
        <v>30</v>
      </c>
      <c r="P30" s="11" t="e">
        <f>#REF!-#REF!</f>
        <v>#REF!</v>
      </c>
      <c r="Q30" s="11" t="e">
        <f>#REF!-#REF!</f>
        <v>#REF!</v>
      </c>
      <c r="R30" s="11" t="e">
        <f>#REF!-#REF!</f>
        <v>#REF!</v>
      </c>
      <c r="S30" s="11" t="e">
        <f>#REF!-#REF!</f>
        <v>#REF!</v>
      </c>
      <c r="T30" s="11" t="e">
        <f>#REF!-#REF!</f>
        <v>#REF!</v>
      </c>
      <c r="U30" s="34"/>
      <c r="V30" s="11">
        <f t="shared" si="1"/>
        <v>9</v>
      </c>
      <c r="W30" s="11">
        <f t="shared" si="2"/>
        <v>0</v>
      </c>
      <c r="X30" s="11" t="e">
        <f>#REF!-#REF!</f>
        <v>#REF!</v>
      </c>
      <c r="Y30" s="11" t="e">
        <f>#REF!-#REF!</f>
        <v>#REF!</v>
      </c>
      <c r="Z30" s="34"/>
      <c r="AA30" s="11">
        <f t="shared" si="3"/>
        <v>42</v>
      </c>
      <c r="AB30" s="11" t="e">
        <f>#REF!-#REF!</f>
        <v>#REF!</v>
      </c>
      <c r="AC30" s="11" t="e">
        <f>#REF!-#REF!</f>
        <v>#REF!</v>
      </c>
      <c r="AD30" s="11" t="e">
        <f>#REF!-#REF!</f>
        <v>#REF!</v>
      </c>
      <c r="AE30" s="35"/>
    </row>
    <row r="31" spans="1:31" x14ac:dyDescent="0.2">
      <c r="A31" s="80">
        <v>26</v>
      </c>
      <c r="B31" s="40">
        <v>5024</v>
      </c>
      <c r="C31" s="15"/>
      <c r="D31" s="40">
        <v>25743</v>
      </c>
      <c r="E31" s="42">
        <v>2814</v>
      </c>
      <c r="F31" s="15"/>
      <c r="G31" s="41">
        <v>238038</v>
      </c>
      <c r="H31" s="45" t="e">
        <f>#REF!-#REF!</f>
        <v>#REF!</v>
      </c>
      <c r="I31" s="16"/>
      <c r="J31" s="17">
        <v>0</v>
      </c>
      <c r="K31" s="17">
        <v>0</v>
      </c>
      <c r="L31" s="17">
        <v>0</v>
      </c>
      <c r="M31" s="16"/>
      <c r="N31" s="80">
        <v>26</v>
      </c>
      <c r="O31" s="11">
        <f t="shared" si="0"/>
        <v>32</v>
      </c>
      <c r="P31" s="11" t="e">
        <f>#REF!-#REF!</f>
        <v>#REF!</v>
      </c>
      <c r="Q31" s="11" t="e">
        <f>#REF!-#REF!</f>
        <v>#REF!</v>
      </c>
      <c r="R31" s="11" t="e">
        <f>#REF!-#REF!</f>
        <v>#REF!</v>
      </c>
      <c r="S31" s="11" t="e">
        <f>#REF!-#REF!</f>
        <v>#REF!</v>
      </c>
      <c r="T31" s="11" t="e">
        <f>#REF!-#REF!</f>
        <v>#REF!</v>
      </c>
      <c r="U31" s="34"/>
      <c r="V31" s="11">
        <f t="shared" si="1"/>
        <v>8</v>
      </c>
      <c r="W31" s="11">
        <f t="shared" si="2"/>
        <v>0</v>
      </c>
      <c r="X31" s="11" t="e">
        <f>#REF!-#REF!</f>
        <v>#REF!</v>
      </c>
      <c r="Y31" s="11" t="e">
        <f>#REF!-#REF!</f>
        <v>#REF!</v>
      </c>
      <c r="Z31" s="34"/>
      <c r="AA31" s="11">
        <f t="shared" si="3"/>
        <v>42</v>
      </c>
      <c r="AB31" s="11" t="e">
        <f>#REF!-#REF!</f>
        <v>#REF!</v>
      </c>
      <c r="AC31" s="11" t="e">
        <f>#REF!-#REF!</f>
        <v>#REF!</v>
      </c>
      <c r="AD31" s="11" t="e">
        <f>#REF!-#REF!</f>
        <v>#REF!</v>
      </c>
      <c r="AE31" s="35"/>
    </row>
    <row r="32" spans="1:31" x14ac:dyDescent="0.2">
      <c r="A32" s="80">
        <v>27</v>
      </c>
      <c r="B32" s="40">
        <v>5059</v>
      </c>
      <c r="C32" s="15"/>
      <c r="D32" s="40">
        <v>25753</v>
      </c>
      <c r="E32" s="42">
        <v>2814</v>
      </c>
      <c r="F32" s="15"/>
      <c r="G32" s="41">
        <v>238080</v>
      </c>
      <c r="H32" s="45" t="e">
        <f>#REF!-#REF!</f>
        <v>#REF!</v>
      </c>
      <c r="I32" s="16"/>
      <c r="J32" s="17">
        <v>0</v>
      </c>
      <c r="K32" s="17">
        <v>0</v>
      </c>
      <c r="L32" s="17">
        <v>0</v>
      </c>
      <c r="M32" s="16"/>
      <c r="N32" s="80">
        <v>27</v>
      </c>
      <c r="O32" s="11">
        <f t="shared" si="0"/>
        <v>35</v>
      </c>
      <c r="P32" s="11" t="e">
        <f>#REF!-#REF!</f>
        <v>#REF!</v>
      </c>
      <c r="Q32" s="11" t="e">
        <f>#REF!-#REF!</f>
        <v>#REF!</v>
      </c>
      <c r="R32" s="11" t="e">
        <f>#REF!-#REF!</f>
        <v>#REF!</v>
      </c>
      <c r="S32" s="11" t="e">
        <f>#REF!-#REF!</f>
        <v>#REF!</v>
      </c>
      <c r="T32" s="11" t="e">
        <f>#REF!-#REF!</f>
        <v>#REF!</v>
      </c>
      <c r="U32" s="34"/>
      <c r="V32" s="11">
        <f t="shared" si="1"/>
        <v>10</v>
      </c>
      <c r="W32" s="11">
        <f t="shared" si="2"/>
        <v>0</v>
      </c>
      <c r="X32" s="11" t="e">
        <f>#REF!-#REF!</f>
        <v>#REF!</v>
      </c>
      <c r="Y32" s="11" t="e">
        <f>#REF!-#REF!</f>
        <v>#REF!</v>
      </c>
      <c r="Z32" s="34"/>
      <c r="AA32" s="11">
        <f t="shared" si="3"/>
        <v>40</v>
      </c>
      <c r="AB32" s="11" t="e">
        <f>#REF!-#REF!</f>
        <v>#REF!</v>
      </c>
      <c r="AC32" s="11" t="e">
        <f>#REF!-#REF!</f>
        <v>#REF!</v>
      </c>
      <c r="AD32" s="11" t="e">
        <f>#REF!-#REF!</f>
        <v>#REF!</v>
      </c>
      <c r="AE32" s="35"/>
    </row>
    <row r="33" spans="1:31" x14ac:dyDescent="0.2">
      <c r="A33" s="80">
        <v>28</v>
      </c>
      <c r="B33" s="40">
        <v>5085</v>
      </c>
      <c r="C33" s="15"/>
      <c r="D33" s="40">
        <v>25762</v>
      </c>
      <c r="E33" s="42">
        <v>2814</v>
      </c>
      <c r="F33" s="15"/>
      <c r="G33" s="41">
        <v>238120</v>
      </c>
      <c r="H33" s="45" t="e">
        <f>#REF!-#REF!</f>
        <v>#REF!</v>
      </c>
      <c r="I33" s="16"/>
      <c r="J33" s="17">
        <v>0</v>
      </c>
      <c r="K33" s="17">
        <v>0</v>
      </c>
      <c r="L33" s="17">
        <v>0</v>
      </c>
      <c r="M33" s="16"/>
      <c r="N33" s="80">
        <v>28</v>
      </c>
      <c r="O33" s="11">
        <f t="shared" si="0"/>
        <v>26</v>
      </c>
      <c r="P33" s="11" t="e">
        <f>#REF!-#REF!</f>
        <v>#REF!</v>
      </c>
      <c r="Q33" s="11" t="e">
        <f>#REF!-#REF!</f>
        <v>#REF!</v>
      </c>
      <c r="R33" s="11" t="e">
        <f>#REF!-#REF!</f>
        <v>#REF!</v>
      </c>
      <c r="S33" s="11" t="e">
        <f>#REF!-#REF!</f>
        <v>#REF!</v>
      </c>
      <c r="T33" s="11" t="e">
        <f>#REF!-#REF!</f>
        <v>#REF!</v>
      </c>
      <c r="U33" s="34"/>
      <c r="V33" s="11">
        <f t="shared" si="1"/>
        <v>9</v>
      </c>
      <c r="W33" s="11">
        <f t="shared" si="2"/>
        <v>0</v>
      </c>
      <c r="X33" s="11" t="e">
        <f>#REF!-#REF!</f>
        <v>#REF!</v>
      </c>
      <c r="Y33" s="11" t="e">
        <f>#REF!-#REF!</f>
        <v>#REF!</v>
      </c>
      <c r="Z33" s="34"/>
      <c r="AA33" s="11" t="e">
        <f>#REF!-G33</f>
        <v>#REF!</v>
      </c>
      <c r="AB33" s="11" t="e">
        <f>#REF!-#REF!</f>
        <v>#REF!</v>
      </c>
      <c r="AC33" s="11" t="e">
        <f>#REF!-#REF!</f>
        <v>#REF!</v>
      </c>
      <c r="AD33" s="11" t="e">
        <f>#REF!-#REF!</f>
        <v>#REF!</v>
      </c>
      <c r="AE33" s="35"/>
    </row>
    <row r="34" spans="1:31" x14ac:dyDescent="0.2">
      <c r="A34" s="12"/>
      <c r="B34" s="19" t="s">
        <v>32</v>
      </c>
      <c r="D34" s="19" t="s">
        <v>32</v>
      </c>
      <c r="E34" s="21" t="s">
        <v>33</v>
      </c>
      <c r="G34" s="20" t="s">
        <v>31</v>
      </c>
      <c r="N34" s="12"/>
    </row>
    <row r="35" spans="1:31" x14ac:dyDescent="0.2">
      <c r="A35" s="12"/>
      <c r="N35" s="12"/>
    </row>
    <row r="36" spans="1:31" x14ac:dyDescent="0.2">
      <c r="A36" s="80" t="s">
        <v>34</v>
      </c>
      <c r="B36" s="10">
        <f>LARGE(B5:B33, 1)</f>
        <v>5085</v>
      </c>
      <c r="C36" s="23"/>
      <c r="D36" s="10">
        <f>LARGE(D5:D33, 1)</f>
        <v>25762</v>
      </c>
      <c r="E36" s="24">
        <f>LARGE(E5:E33, 1)</f>
        <v>2854</v>
      </c>
      <c r="F36" s="8"/>
      <c r="G36" s="22">
        <f>LARGE(G5:G33, 1)</f>
        <v>238120</v>
      </c>
      <c r="H36" s="19"/>
      <c r="I36" s="9"/>
      <c r="J36" s="11">
        <f>LARGE(J5:J33, 1)</f>
        <v>0</v>
      </c>
      <c r="K36" s="11">
        <f>LARGE(K5:K33, 1)</f>
        <v>0</v>
      </c>
      <c r="L36" s="11">
        <f>LARGE(L5:L33, 1)</f>
        <v>0</v>
      </c>
      <c r="N36" s="80" t="s">
        <v>35</v>
      </c>
      <c r="O36" s="55">
        <f t="shared" ref="O36:T36" si="4">AVERAGEIF($M$6:$M$33, "x",O6:O33)</f>
        <v>826</v>
      </c>
      <c r="P36" s="55" t="e">
        <f t="shared" si="4"/>
        <v>#REF!</v>
      </c>
      <c r="Q36" s="55" t="e">
        <f t="shared" si="4"/>
        <v>#REF!</v>
      </c>
      <c r="R36" s="55" t="e">
        <f t="shared" si="4"/>
        <v>#REF!</v>
      </c>
      <c r="S36" s="55" t="e">
        <f t="shared" si="4"/>
        <v>#REF!</v>
      </c>
      <c r="T36" s="55" t="e">
        <f t="shared" si="4"/>
        <v>#REF!</v>
      </c>
      <c r="U36" s="56"/>
      <c r="V36" s="55">
        <f>AVERAGEIF($M$6:$M$33, "x",V6:V33)</f>
        <v>233</v>
      </c>
      <c r="W36" s="55">
        <f>AVERAGEIF($M$6:$M$33, "x",W6:W33)</f>
        <v>36</v>
      </c>
      <c r="X36" s="55" t="e">
        <f>AVERAGEIF($M$6:$M$33, "x",X6:X33)</f>
        <v>#REF!</v>
      </c>
      <c r="Y36" s="55" t="e">
        <f>AVERAGEIF($M$6:$M$33, "x",Y6:Y33)</f>
        <v>#REF!</v>
      </c>
      <c r="Z36" s="56"/>
      <c r="AA36" s="55">
        <f>AVERAGEIF($M$6:$M$33, "x",AA6:AA33)</f>
        <v>2182</v>
      </c>
      <c r="AB36" s="55" t="e">
        <f>AVERAGEIF($M$6:$M$33, "x",AB6:AB33)</f>
        <v>#REF!</v>
      </c>
      <c r="AC36" s="55" t="e">
        <f>AVERAGEIF($M$6:$M$33, "x",AC6:AC33)</f>
        <v>#REF!</v>
      </c>
      <c r="AD36" s="55" t="e">
        <f>AVERAGEIF($M$6:$M$33, "x",AD6:AD33)</f>
        <v>#REF!</v>
      </c>
    </row>
    <row r="37" spans="1:31" x14ac:dyDescent="0.2">
      <c r="A37" s="12"/>
      <c r="N37" s="12"/>
      <c r="O37" s="56"/>
      <c r="P37" s="56"/>
      <c r="Q37" s="56"/>
      <c r="R37" s="56"/>
      <c r="S37" s="56"/>
      <c r="T37" s="56"/>
      <c r="U37" s="56"/>
      <c r="V37" s="56"/>
      <c r="W37" s="56"/>
      <c r="X37" s="56"/>
      <c r="Y37" s="56"/>
      <c r="Z37" s="56"/>
      <c r="AA37" s="56"/>
      <c r="AB37" s="56"/>
      <c r="AC37" s="56"/>
      <c r="AD37" s="56"/>
    </row>
    <row r="38" spans="1:31" x14ac:dyDescent="0.2">
      <c r="A38" s="12"/>
      <c r="B38" s="25" t="s">
        <v>36</v>
      </c>
      <c r="N38" s="95" t="s">
        <v>37</v>
      </c>
      <c r="O38" s="56"/>
      <c r="P38" s="56"/>
      <c r="Q38" s="56"/>
      <c r="R38" s="56"/>
      <c r="S38" s="56"/>
      <c r="T38" s="56"/>
      <c r="U38" s="56"/>
      <c r="V38" s="56"/>
      <c r="W38" s="56"/>
      <c r="X38" s="56"/>
      <c r="Y38" s="56"/>
      <c r="Z38" s="56"/>
      <c r="AA38" s="56"/>
      <c r="AB38" s="56"/>
      <c r="AC38" s="56"/>
      <c r="AD38" s="56"/>
    </row>
    <row r="39" spans="1:31" x14ac:dyDescent="0.2">
      <c r="A39" s="12"/>
      <c r="B39" s="26">
        <f>B36-B5</f>
        <v>1727</v>
      </c>
      <c r="D39" s="26">
        <f>D36-D5</f>
        <v>385</v>
      </c>
      <c r="E39" s="26">
        <f>E36-E5</f>
        <v>84</v>
      </c>
      <c r="G39" s="26">
        <f>G36-G5</f>
        <v>4492</v>
      </c>
      <c r="H39" s="26"/>
      <c r="J39" s="26">
        <f>J36-J5</f>
        <v>0</v>
      </c>
      <c r="K39" s="26">
        <f>K36-K5</f>
        <v>0</v>
      </c>
      <c r="L39" s="26">
        <f>L36-L5</f>
        <v>0</v>
      </c>
      <c r="N39" s="96"/>
      <c r="O39" s="53">
        <v>0</v>
      </c>
      <c r="P39" s="53">
        <v>0</v>
      </c>
      <c r="Q39" s="53">
        <v>0</v>
      </c>
      <c r="R39" s="53">
        <v>119.875</v>
      </c>
      <c r="S39" s="53">
        <v>3.5</v>
      </c>
      <c r="T39" s="53">
        <v>21.8125</v>
      </c>
      <c r="U39" s="57"/>
      <c r="V39" s="53">
        <v>43.625</v>
      </c>
      <c r="W39" s="53">
        <v>0</v>
      </c>
      <c r="X39" s="53">
        <v>8.375</v>
      </c>
      <c r="Y39" s="53">
        <v>1.1875</v>
      </c>
      <c r="Z39" s="57"/>
      <c r="AA39" s="53">
        <v>53.125</v>
      </c>
      <c r="AB39" s="53">
        <v>69.1875</v>
      </c>
      <c r="AC39" s="53">
        <v>9.3125</v>
      </c>
      <c r="AD39" s="53">
        <v>0</v>
      </c>
    </row>
    <row r="40" spans="1:31" x14ac:dyDescent="0.2">
      <c r="A40" s="12"/>
      <c r="N40" s="80">
        <v>1.5</v>
      </c>
      <c r="O40" s="54">
        <f>O39*$N$40</f>
        <v>0</v>
      </c>
      <c r="P40" s="54">
        <f t="shared" ref="P40:T40" si="5">P39*$N$40</f>
        <v>0</v>
      </c>
      <c r="Q40" s="54">
        <f t="shared" si="5"/>
        <v>0</v>
      </c>
      <c r="R40" s="54">
        <f t="shared" si="5"/>
        <v>179.8125</v>
      </c>
      <c r="S40" s="54">
        <f t="shared" si="5"/>
        <v>5.25</v>
      </c>
      <c r="T40" s="54">
        <f t="shared" si="5"/>
        <v>32.71875</v>
      </c>
      <c r="U40" s="56"/>
      <c r="V40" s="54">
        <f t="shared" ref="V40:Y40" si="6">V39*$N$40</f>
        <v>65.4375</v>
      </c>
      <c r="W40" s="54">
        <f t="shared" si="6"/>
        <v>0</v>
      </c>
      <c r="X40" s="54">
        <f t="shared" si="6"/>
        <v>12.5625</v>
      </c>
      <c r="Y40" s="54">
        <f t="shared" si="6"/>
        <v>1.78125</v>
      </c>
      <c r="Z40" s="56"/>
      <c r="AA40" s="54">
        <f t="shared" ref="AA40:AD40" si="7">AA39*$N$40</f>
        <v>79.6875</v>
      </c>
      <c r="AB40" s="54">
        <f t="shared" si="7"/>
        <v>103.78125</v>
      </c>
      <c r="AC40" s="54">
        <f t="shared" si="7"/>
        <v>13.96875</v>
      </c>
      <c r="AD40" s="54">
        <f t="shared" si="7"/>
        <v>0</v>
      </c>
    </row>
    <row r="41" spans="1:31" x14ac:dyDescent="0.2">
      <c r="A41" s="12"/>
      <c r="H41" s="31" t="s">
        <v>35</v>
      </c>
      <c r="N41" s="80">
        <v>0.5</v>
      </c>
      <c r="O41" s="54">
        <f>O39*$N$41</f>
        <v>0</v>
      </c>
      <c r="P41" s="54">
        <f t="shared" ref="P41:T41" si="8">P39*$N$41</f>
        <v>0</v>
      </c>
      <c r="Q41" s="54">
        <f t="shared" si="8"/>
        <v>0</v>
      </c>
      <c r="R41" s="54">
        <f t="shared" si="8"/>
        <v>59.9375</v>
      </c>
      <c r="S41" s="54">
        <f t="shared" si="8"/>
        <v>1.75</v>
      </c>
      <c r="T41" s="54">
        <f t="shared" si="8"/>
        <v>10.90625</v>
      </c>
      <c r="U41" s="56"/>
      <c r="V41" s="54">
        <f t="shared" ref="V41:Y41" si="9">V39*$N$41</f>
        <v>21.8125</v>
      </c>
      <c r="W41" s="54">
        <f t="shared" si="9"/>
        <v>0</v>
      </c>
      <c r="X41" s="54">
        <f t="shared" si="9"/>
        <v>4.1875</v>
      </c>
      <c r="Y41" s="54">
        <f t="shared" si="9"/>
        <v>0.59375</v>
      </c>
      <c r="Z41" s="56"/>
      <c r="AA41" s="54">
        <f t="shared" ref="AA41:AB41" si="10">AA39*$N$41</f>
        <v>26.5625</v>
      </c>
      <c r="AB41" s="54">
        <f t="shared" si="10"/>
        <v>34.59375</v>
      </c>
      <c r="AC41" s="54">
        <v>0</v>
      </c>
      <c r="AD41" s="54">
        <v>0</v>
      </c>
    </row>
    <row r="42" spans="1:31" x14ac:dyDescent="0.2">
      <c r="A42" s="12"/>
      <c r="H42" s="11" t="e">
        <f>AVERAGE(H6:H33)</f>
        <v>#REF!</v>
      </c>
      <c r="N42" s="12"/>
    </row>
    <row r="43" spans="1:31" x14ac:dyDescent="0.2">
      <c r="A43" s="12"/>
      <c r="N43" s="12"/>
      <c r="O43" s="58" t="s">
        <v>38</v>
      </c>
      <c r="P43" s="82" t="s">
        <v>39</v>
      </c>
      <c r="Q43" s="82"/>
      <c r="R43" s="82"/>
      <c r="S43" s="82"/>
      <c r="T43" s="82"/>
      <c r="U43" s="82"/>
      <c r="V43" s="82"/>
      <c r="W43" s="82"/>
      <c r="X43" s="82"/>
      <c r="Y43" s="82"/>
      <c r="Z43" s="82"/>
      <c r="AA43" s="82"/>
      <c r="AB43" s="82"/>
      <c r="AC43" s="82"/>
      <c r="AD43" s="82"/>
    </row>
    <row r="44" spans="1:31" ht="15" x14ac:dyDescent="0.2">
      <c r="A44" s="12"/>
      <c r="N44" s="12"/>
      <c r="O44" s="59" t="s">
        <v>40</v>
      </c>
      <c r="P44" s="82" t="s">
        <v>41</v>
      </c>
      <c r="Q44" s="82"/>
      <c r="R44" s="82"/>
      <c r="S44" s="82"/>
      <c r="T44" s="82"/>
      <c r="U44" s="82"/>
      <c r="V44" s="82"/>
      <c r="W44" s="82"/>
      <c r="X44" s="82"/>
      <c r="Y44" s="82"/>
      <c r="Z44" s="82"/>
      <c r="AA44" s="82"/>
      <c r="AB44" s="82"/>
      <c r="AC44" s="82"/>
      <c r="AD44" s="82"/>
    </row>
    <row r="45" spans="1:31" ht="27" x14ac:dyDescent="0.2">
      <c r="A45" s="12"/>
      <c r="N45" s="63" t="s">
        <v>42</v>
      </c>
      <c r="O45" s="60" t="s">
        <v>43</v>
      </c>
      <c r="P45" s="82" t="s">
        <v>44</v>
      </c>
      <c r="Q45" s="82"/>
      <c r="R45" s="82"/>
      <c r="S45" s="82"/>
      <c r="T45" s="82"/>
      <c r="U45" s="82"/>
      <c r="V45" s="82"/>
      <c r="W45" s="82"/>
      <c r="X45" s="82"/>
      <c r="Y45" s="82"/>
      <c r="Z45" s="82"/>
      <c r="AA45" s="82"/>
      <c r="AB45" s="82"/>
      <c r="AC45" s="82"/>
      <c r="AD45" s="82"/>
    </row>
    <row r="46" spans="1:31" x14ac:dyDescent="0.2">
      <c r="A46" s="12"/>
      <c r="N46" s="12"/>
      <c r="O46" s="61" t="s">
        <v>45</v>
      </c>
      <c r="P46" s="83" t="s">
        <v>46</v>
      </c>
      <c r="Q46" s="83"/>
      <c r="R46" s="83"/>
      <c r="S46" s="83"/>
      <c r="T46" s="83"/>
      <c r="U46" s="83"/>
      <c r="V46" s="83"/>
      <c r="W46" s="83"/>
      <c r="X46" s="83"/>
      <c r="Y46" s="83"/>
      <c r="Z46" s="83"/>
      <c r="AA46" s="83"/>
      <c r="AB46" s="83"/>
      <c r="AC46" s="83"/>
      <c r="AD46" s="83"/>
    </row>
    <row r="47" spans="1:31" ht="27" x14ac:dyDescent="0.2">
      <c r="A47" s="12"/>
      <c r="N47" s="63" t="s">
        <v>42</v>
      </c>
      <c r="O47" s="62" t="s">
        <v>47</v>
      </c>
      <c r="P47" s="82" t="s">
        <v>48</v>
      </c>
      <c r="Q47" s="83"/>
      <c r="R47" s="83"/>
      <c r="S47" s="83"/>
      <c r="T47" s="83"/>
      <c r="U47" s="83"/>
      <c r="V47" s="83"/>
      <c r="W47" s="83"/>
      <c r="X47" s="83"/>
      <c r="Y47" s="83"/>
      <c r="Z47" s="83"/>
      <c r="AA47" s="83"/>
      <c r="AB47" s="83"/>
      <c r="AC47" s="83"/>
      <c r="AD47" s="83"/>
    </row>
    <row r="48" spans="1:31" x14ac:dyDescent="0.2">
      <c r="A48" s="12"/>
      <c r="H48" s="11" t="e">
        <f>AVERAGE(H6:H33)</f>
        <v>#REF!</v>
      </c>
      <c r="N48" s="12"/>
    </row>
  </sheetData>
  <mergeCells count="21">
    <mergeCell ref="N38:N39"/>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 ref="P43:AD43"/>
    <mergeCell ref="P44:AD44"/>
    <mergeCell ref="P45:AD45"/>
    <mergeCell ref="P46:AD46"/>
    <mergeCell ref="P47:AD47"/>
  </mergeCells>
  <conditionalFormatting sqref="O39:T39 V39:Y39 AA39:AD39">
    <cfRule type="cellIs" dxfId="323" priority="55" operator="lessThan">
      <formula>0</formula>
    </cfRule>
  </conditionalFormatting>
  <conditionalFormatting sqref="O40:T41 V40:Y41 AA40:AD40 AA41:AB41">
    <cfRule type="cellIs" dxfId="322" priority="54" operator="lessThan">
      <formula>0</formula>
    </cfRule>
  </conditionalFormatting>
  <conditionalFormatting sqref="AC41:AD41">
    <cfRule type="cellIs" dxfId="321" priority="53" operator="lessThan">
      <formula>0</formula>
    </cfRule>
  </conditionalFormatting>
  <conditionalFormatting sqref="O36:AD36">
    <cfRule type="cellIs" dxfId="320" priority="52" operator="lessThan">
      <formula>0</formula>
    </cfRule>
  </conditionalFormatting>
  <conditionalFormatting sqref="O36">
    <cfRule type="cellIs" dxfId="319" priority="50" operator="lessThan">
      <formula>$O$41</formula>
    </cfRule>
    <cfRule type="cellIs" dxfId="318" priority="51" operator="greaterThan">
      <formula>$O$40</formula>
    </cfRule>
  </conditionalFormatting>
  <conditionalFormatting sqref="R36">
    <cfRule type="cellIs" dxfId="317" priority="48" operator="lessThan">
      <formula>$R$41</formula>
    </cfRule>
    <cfRule type="cellIs" dxfId="316" priority="49" operator="greaterThan">
      <formula>$R$40</formula>
    </cfRule>
  </conditionalFormatting>
  <conditionalFormatting sqref="S36">
    <cfRule type="cellIs" dxfId="315" priority="46" operator="lessThan">
      <formula>$S$41</formula>
    </cfRule>
    <cfRule type="cellIs" dxfId="314" priority="47" operator="greaterThan">
      <formula>$S$40</formula>
    </cfRule>
  </conditionalFormatting>
  <conditionalFormatting sqref="T36">
    <cfRule type="cellIs" dxfId="313" priority="44" operator="lessThan">
      <formula>$T$41</formula>
    </cfRule>
    <cfRule type="cellIs" dxfId="312" priority="45" operator="greaterThan">
      <formula>$T$40</formula>
    </cfRule>
  </conditionalFormatting>
  <conditionalFormatting sqref="V36">
    <cfRule type="cellIs" dxfId="311" priority="42" operator="lessThan">
      <formula>$V$41</formula>
    </cfRule>
    <cfRule type="cellIs" dxfId="310" priority="43" operator="greaterThan">
      <formula>$V$40</formula>
    </cfRule>
  </conditionalFormatting>
  <conditionalFormatting sqref="W36">
    <cfRule type="cellIs" dxfId="309" priority="40" operator="lessThan">
      <formula>$W$41</formula>
    </cfRule>
    <cfRule type="cellIs" dxfId="308" priority="41" operator="greaterThan">
      <formula>$W$40</formula>
    </cfRule>
  </conditionalFormatting>
  <conditionalFormatting sqref="X36">
    <cfRule type="cellIs" dxfId="307" priority="38" operator="lessThan">
      <formula>$X$41</formula>
    </cfRule>
    <cfRule type="cellIs" dxfId="306" priority="39" operator="greaterThan">
      <formula>$X$40</formula>
    </cfRule>
  </conditionalFormatting>
  <conditionalFormatting sqref="Y36">
    <cfRule type="cellIs" dxfId="305" priority="36" operator="lessThan">
      <formula>$Y$41</formula>
    </cfRule>
    <cfRule type="cellIs" dxfId="304" priority="37" operator="greaterThan">
      <formula>$Y$40</formula>
    </cfRule>
  </conditionalFormatting>
  <conditionalFormatting sqref="AA36">
    <cfRule type="cellIs" dxfId="303" priority="34" operator="lessThan">
      <formula>$AA$41</formula>
    </cfRule>
    <cfRule type="cellIs" dxfId="302" priority="35" operator="greaterThan">
      <formula>$AA$40</formula>
    </cfRule>
  </conditionalFormatting>
  <conditionalFormatting sqref="AB36">
    <cfRule type="cellIs" dxfId="301" priority="32" operator="lessThan">
      <formula>$AB$41</formula>
    </cfRule>
    <cfRule type="cellIs" dxfId="300" priority="33" operator="greaterThan">
      <formula>$AB$40</formula>
    </cfRule>
  </conditionalFormatting>
  <conditionalFormatting sqref="AC36">
    <cfRule type="cellIs" dxfId="299" priority="30" operator="lessThan">
      <formula>$AC$41</formula>
    </cfRule>
    <cfRule type="cellIs" dxfId="298" priority="31" operator="greaterThan">
      <formula>$AC$40</formula>
    </cfRule>
  </conditionalFormatting>
  <conditionalFormatting sqref="AD36">
    <cfRule type="cellIs" dxfId="297" priority="28" operator="lessThan">
      <formula>$AD$41</formula>
    </cfRule>
    <cfRule type="cellIs" dxfId="296" priority="29" operator="greaterThan">
      <formula>$AD$40</formula>
    </cfRule>
  </conditionalFormatting>
  <conditionalFormatting sqref="R6:R33">
    <cfRule type="cellIs" dxfId="295" priority="27" operator="notBetween">
      <formula>$R$41</formula>
      <formula>$R$40</formula>
    </cfRule>
  </conditionalFormatting>
  <conditionalFormatting sqref="S6:S33">
    <cfRule type="cellIs" dxfId="294" priority="16" operator="notBetween">
      <formula>$S$40</formula>
      <formula>$S$41</formula>
    </cfRule>
  </conditionalFormatting>
  <conditionalFormatting sqref="O6:AD33">
    <cfRule type="cellIs" dxfId="293" priority="2" stopIfTrue="1" operator="equal">
      <formula>0</formula>
    </cfRule>
    <cfRule type="cellIs" dxfId="292" priority="3" stopIfTrue="1" operator="lessThan">
      <formula>0</formula>
    </cfRule>
  </conditionalFormatting>
  <conditionalFormatting sqref="O6:O33">
    <cfRule type="cellIs" dxfId="291" priority="25" operator="notBetween">
      <formula>$O$41</formula>
      <formula>$O$40</formula>
    </cfRule>
  </conditionalFormatting>
  <conditionalFormatting sqref="T6:T33">
    <cfRule type="cellIs" dxfId="290" priority="17" operator="notBetween">
      <formula>$T$41</formula>
      <formula>$T$40</formula>
    </cfRule>
  </conditionalFormatting>
  <conditionalFormatting sqref="V6:V33">
    <cfRule type="cellIs" dxfId="289" priority="18" operator="notBetween">
      <formula>$V$41</formula>
      <formula>$V$40</formula>
    </cfRule>
  </conditionalFormatting>
  <conditionalFormatting sqref="W6:W33">
    <cfRule type="cellIs" dxfId="288" priority="19" operator="notBetween">
      <formula>$W$41</formula>
      <formula>$W$40</formula>
    </cfRule>
  </conditionalFormatting>
  <conditionalFormatting sqref="X6:X33">
    <cfRule type="cellIs" dxfId="287" priority="20" operator="notBetween">
      <formula>$X$41</formula>
      <formula>$X$40</formula>
    </cfRule>
  </conditionalFormatting>
  <conditionalFormatting sqref="Y6:Y33">
    <cfRule type="cellIs" dxfId="286" priority="21" operator="notBetween">
      <formula>$Y$41</formula>
      <formula>$Y$40</formula>
    </cfRule>
  </conditionalFormatting>
  <conditionalFormatting sqref="AA6:AA33">
    <cfRule type="cellIs" dxfId="285" priority="22" operator="notBetween">
      <formula>$AA$41</formula>
      <formula>$AA$40</formula>
    </cfRule>
  </conditionalFormatting>
  <conditionalFormatting sqref="AB6:AB33">
    <cfRule type="cellIs" dxfId="284" priority="23" operator="notBetween">
      <formula>$AB$41</formula>
      <formula>$AB$40</formula>
    </cfRule>
  </conditionalFormatting>
  <conditionalFormatting sqref="AC6:AC33">
    <cfRule type="cellIs" dxfId="283" priority="26" operator="notBetween">
      <formula>$AC$41</formula>
      <formula>$AC$40</formula>
    </cfRule>
  </conditionalFormatting>
  <conditionalFormatting sqref="AD6:AD33">
    <cfRule type="cellIs" dxfId="282" priority="24" operator="notBetween">
      <formula>$AD$41</formula>
      <formula>$AD$40</formula>
    </cfRule>
  </conditionalFormatting>
  <conditionalFormatting sqref="O34:AD35">
    <cfRule type="cellIs" priority="1" stopIfTrue="1" operator="equal">
      <formula>""</formula>
    </cfRule>
  </conditionalFormatting>
  <conditionalFormatting sqref="W6:W36">
    <cfRule type="cellIs" dxfId="281" priority="196" stopIfTrue="1" operator="greaterThan">
      <formula>$W$40*2</formula>
    </cfRule>
  </conditionalFormatting>
  <conditionalFormatting sqref="O6:O36">
    <cfRule type="cellIs" dxfId="280" priority="198" stopIfTrue="1" operator="greaterThan">
      <formula>$O$40*2</formula>
    </cfRule>
  </conditionalFormatting>
  <conditionalFormatting sqref="R6:R36">
    <cfRule type="cellIs" dxfId="279" priority="200" stopIfTrue="1" operator="greaterThan">
      <formula>$R$40*2</formula>
    </cfRule>
  </conditionalFormatting>
  <conditionalFormatting sqref="S6:S36">
    <cfRule type="cellIs" dxfId="278" priority="202" stopIfTrue="1" operator="greaterThan">
      <formula>$S$40*2</formula>
    </cfRule>
  </conditionalFormatting>
  <conditionalFormatting sqref="T6:T36">
    <cfRule type="cellIs" dxfId="277" priority="204" stopIfTrue="1" operator="greaterThan">
      <formula>$T$40*2</formula>
    </cfRule>
  </conditionalFormatting>
  <conditionalFormatting sqref="V6:V36">
    <cfRule type="cellIs" dxfId="276" priority="206" stopIfTrue="1" operator="greaterThan">
      <formula>$V$40*2</formula>
    </cfRule>
  </conditionalFormatting>
  <conditionalFormatting sqref="X6:X36">
    <cfRule type="cellIs" dxfId="275" priority="208" stopIfTrue="1" operator="greaterThan">
      <formula>$X$40*2</formula>
    </cfRule>
  </conditionalFormatting>
  <conditionalFormatting sqref="Y6:Y36">
    <cfRule type="cellIs" dxfId="274" priority="210" stopIfTrue="1" operator="greaterThan">
      <formula>$Y$40*2</formula>
    </cfRule>
  </conditionalFormatting>
  <conditionalFormatting sqref="AA6:AA36">
    <cfRule type="cellIs" dxfId="273" priority="212" stopIfTrue="1" operator="greaterThan">
      <formula>$AA$40*2</formula>
    </cfRule>
  </conditionalFormatting>
  <conditionalFormatting sqref="AB6:AB36">
    <cfRule type="cellIs" dxfId="272" priority="214" stopIfTrue="1" operator="greaterThan">
      <formula>$AB$40*2</formula>
    </cfRule>
  </conditionalFormatting>
  <conditionalFormatting sqref="AC6:AC36">
    <cfRule type="cellIs" dxfId="271" priority="216" stopIfTrue="1" operator="greaterThan">
      <formula>$AC$40*2</formula>
    </cfRule>
  </conditionalFormatting>
  <conditionalFormatting sqref="AD6:AD36">
    <cfRule type="cellIs" dxfId="270" priority="218" stopIfTrue="1" operator="greaterThan">
      <formula>$AD$40*2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194E-D553-46E7-8E7D-E13EB8465917}">
  <dimension ref="A1:AE50"/>
  <sheetViews>
    <sheetView topLeftCell="A5" workbookViewId="0">
      <selection activeCell="G43" sqref="G43"/>
    </sheetView>
  </sheetViews>
  <sheetFormatPr defaultColWidth="9.140625" defaultRowHeight="12.75" x14ac:dyDescent="0.2"/>
  <cols>
    <col min="8" max="13" width="3.42578125" hidden="1" customWidth="1"/>
    <col min="16" max="21" width="0" hidden="1" customWidth="1"/>
    <col min="24" max="25" width="0" hidden="1" customWidth="1"/>
    <col min="28" max="31" width="0" hidden="1" customWidth="1"/>
  </cols>
  <sheetData>
    <row r="1" spans="1:31" x14ac:dyDescent="0.2">
      <c r="A1" s="93"/>
      <c r="B1" s="77" t="s">
        <v>4</v>
      </c>
      <c r="C1" s="1"/>
      <c r="D1" s="86" t="s">
        <v>1</v>
      </c>
      <c r="E1" s="86"/>
      <c r="F1" s="1"/>
      <c r="G1" s="77" t="s">
        <v>5</v>
      </c>
      <c r="H1" s="78"/>
      <c r="I1" s="1"/>
      <c r="J1" s="84" t="s">
        <v>3</v>
      </c>
      <c r="K1" s="84"/>
      <c r="L1" s="84"/>
      <c r="N1" s="93"/>
      <c r="O1" s="87" t="s">
        <v>4</v>
      </c>
      <c r="P1" s="88"/>
      <c r="Q1" s="88"/>
      <c r="R1" s="88"/>
      <c r="S1" s="88"/>
      <c r="T1" s="89"/>
      <c r="U1" s="1"/>
      <c r="V1" s="86" t="s">
        <v>1</v>
      </c>
      <c r="W1" s="86"/>
      <c r="X1" s="86"/>
      <c r="Y1" s="86"/>
      <c r="Z1" s="1"/>
      <c r="AA1" s="87" t="s">
        <v>5</v>
      </c>
      <c r="AB1" s="88"/>
      <c r="AC1" s="88"/>
      <c r="AD1" s="89"/>
    </row>
    <row r="2" spans="1:31" x14ac:dyDescent="0.2">
      <c r="A2" s="94"/>
      <c r="B2" s="76" t="s">
        <v>11</v>
      </c>
      <c r="C2" s="2"/>
      <c r="D2" s="84" t="s">
        <v>7</v>
      </c>
      <c r="E2" s="84"/>
      <c r="F2" s="2"/>
      <c r="G2" s="79" t="s">
        <v>12</v>
      </c>
      <c r="H2" s="76"/>
      <c r="I2" s="2"/>
      <c r="J2" s="84" t="s">
        <v>10</v>
      </c>
      <c r="K2" s="84"/>
      <c r="L2" s="84"/>
      <c r="N2" s="94"/>
      <c r="O2" s="84" t="s">
        <v>11</v>
      </c>
      <c r="P2" s="84"/>
      <c r="Q2" s="84"/>
      <c r="R2" s="90"/>
      <c r="S2" s="91"/>
      <c r="T2" s="92"/>
      <c r="U2" s="2"/>
      <c r="V2" s="84" t="s">
        <v>7</v>
      </c>
      <c r="W2" s="84"/>
      <c r="X2" s="84" t="s">
        <v>8</v>
      </c>
      <c r="Y2" s="84"/>
      <c r="Z2" s="2"/>
      <c r="AA2" s="84" t="s">
        <v>12</v>
      </c>
      <c r="AB2" s="84"/>
      <c r="AC2" s="76"/>
      <c r="AD2" s="76" t="s">
        <v>9</v>
      </c>
    </row>
    <row r="3" spans="1:31" ht="124.5" x14ac:dyDescent="0.2">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row>
    <row r="4" spans="1:31" x14ac:dyDescent="0.2">
      <c r="A4" s="85"/>
      <c r="B4" s="85"/>
      <c r="C4" s="85"/>
      <c r="D4" s="85"/>
      <c r="E4" s="85"/>
      <c r="F4" s="85"/>
      <c r="G4" s="85"/>
      <c r="H4" s="85"/>
      <c r="I4" s="85"/>
      <c r="J4" s="85"/>
      <c r="K4" s="85"/>
      <c r="L4" s="85"/>
    </row>
    <row r="5" spans="1:31" x14ac:dyDescent="0.2">
      <c r="A5" s="7" t="s">
        <v>29</v>
      </c>
      <c r="B5" s="26">
        <f>Dec!B39</f>
        <v>3358</v>
      </c>
      <c r="C5" s="15"/>
      <c r="D5" s="26">
        <f>Dec!D39</f>
        <v>25377</v>
      </c>
      <c r="E5" s="26">
        <f>Dec!E39</f>
        <v>2770</v>
      </c>
      <c r="F5" s="15"/>
      <c r="G5" s="26">
        <f>Dec!G39</f>
        <v>233628</v>
      </c>
      <c r="H5" s="11"/>
      <c r="I5" s="15"/>
      <c r="J5" s="26">
        <v>0</v>
      </c>
      <c r="K5" s="26">
        <v>0</v>
      </c>
      <c r="L5" s="26">
        <v>0</v>
      </c>
    </row>
    <row r="6" spans="1:31" x14ac:dyDescent="0.2">
      <c r="A6" s="7">
        <v>1</v>
      </c>
      <c r="B6" s="40">
        <v>5120</v>
      </c>
      <c r="C6" s="15"/>
      <c r="D6" s="40">
        <v>25774</v>
      </c>
      <c r="E6" s="42">
        <v>2844</v>
      </c>
      <c r="F6" s="15"/>
      <c r="G6" s="41">
        <v>238131</v>
      </c>
      <c r="H6" s="45" t="e">
        <f>#REF!-#REF!</f>
        <v>#REF!</v>
      </c>
      <c r="I6" s="16"/>
      <c r="J6" s="17">
        <v>0</v>
      </c>
      <c r="K6" s="17">
        <v>0</v>
      </c>
      <c r="L6" s="17">
        <v>0</v>
      </c>
      <c r="M6" s="43" t="s">
        <v>30</v>
      </c>
      <c r="N6" s="80">
        <v>1</v>
      </c>
      <c r="O6" s="11">
        <f t="shared" ref="O6:O33" si="0">B6-B5</f>
        <v>1762</v>
      </c>
      <c r="P6" s="11" t="e">
        <f>#REF!-#REF!</f>
        <v>#REF!</v>
      </c>
      <c r="Q6" s="11" t="e">
        <f>#REF!-#REF!</f>
        <v>#REF!</v>
      </c>
      <c r="R6" s="11" t="e">
        <f>#REF!-#REF!</f>
        <v>#REF!</v>
      </c>
      <c r="S6" s="11" t="e">
        <f>#REF!-#REF!</f>
        <v>#REF!</v>
      </c>
      <c r="T6" s="11" t="e">
        <f>#REF!-#REF!</f>
        <v>#REF!</v>
      </c>
      <c r="U6" s="34"/>
      <c r="V6" s="11">
        <f t="shared" ref="V6:V33" si="1">D6-D5</f>
        <v>397</v>
      </c>
      <c r="W6" s="11">
        <f t="shared" ref="W6:W33" si="2">E6-E5</f>
        <v>74</v>
      </c>
      <c r="X6" s="11" t="e">
        <f>#REF!-#REF!</f>
        <v>#REF!</v>
      </c>
      <c r="Y6" s="11" t="e">
        <f>#REF!-#REF!</f>
        <v>#REF!</v>
      </c>
      <c r="Z6" s="34"/>
      <c r="AA6" s="11">
        <f>G6-G5</f>
        <v>4503</v>
      </c>
      <c r="AB6" s="11" t="e">
        <f>#REF!-#REF!</f>
        <v>#REF!</v>
      </c>
      <c r="AC6" s="11" t="e">
        <f>#REF!-#REF!</f>
        <v>#REF!</v>
      </c>
      <c r="AD6" s="11" t="e">
        <f>#REF!-#REF!</f>
        <v>#REF!</v>
      </c>
      <c r="AE6" s="34"/>
    </row>
    <row r="7" spans="1:31" x14ac:dyDescent="0.2">
      <c r="A7" s="80">
        <v>2</v>
      </c>
      <c r="B7" s="40">
        <v>5152</v>
      </c>
      <c r="C7" s="15"/>
      <c r="D7" s="40">
        <v>25786</v>
      </c>
      <c r="E7" s="42">
        <v>2818</v>
      </c>
      <c r="F7" s="15"/>
      <c r="G7" s="41">
        <v>238205</v>
      </c>
      <c r="H7" s="45" t="e">
        <f>#REF!-#REF!</f>
        <v>#REF!</v>
      </c>
      <c r="I7" s="16"/>
      <c r="J7" s="17">
        <v>0</v>
      </c>
      <c r="K7" s="17">
        <v>0</v>
      </c>
      <c r="L7" s="17">
        <v>0</v>
      </c>
      <c r="M7" s="16"/>
      <c r="N7" s="80">
        <v>2</v>
      </c>
      <c r="O7" s="11">
        <f t="shared" si="0"/>
        <v>32</v>
      </c>
      <c r="P7" s="11" t="e">
        <f>#REF!-#REF!</f>
        <v>#REF!</v>
      </c>
      <c r="Q7" s="11" t="e">
        <f>#REF!-#REF!</f>
        <v>#REF!</v>
      </c>
      <c r="R7" s="11" t="e">
        <f>#REF!-#REF!</f>
        <v>#REF!</v>
      </c>
      <c r="S7" s="11" t="e">
        <f>#REF!-#REF!</f>
        <v>#REF!</v>
      </c>
      <c r="T7" s="11" t="e">
        <f>#REF!-#REF!</f>
        <v>#REF!</v>
      </c>
      <c r="U7" s="34"/>
      <c r="V7" s="11">
        <f t="shared" si="1"/>
        <v>12</v>
      </c>
      <c r="W7" s="11">
        <f t="shared" si="2"/>
        <v>-26</v>
      </c>
      <c r="X7" s="11" t="e">
        <f>#REF!-#REF!</f>
        <v>#REF!</v>
      </c>
      <c r="Y7" s="11" t="e">
        <f>#REF!-#REF!</f>
        <v>#REF!</v>
      </c>
      <c r="Z7" s="34"/>
      <c r="AA7" s="11">
        <f>G7-G6</f>
        <v>74</v>
      </c>
      <c r="AB7" s="11" t="e">
        <f>#REF!-#REF!</f>
        <v>#REF!</v>
      </c>
      <c r="AC7" s="11" t="e">
        <f>#REF!-#REF!</f>
        <v>#REF!</v>
      </c>
      <c r="AD7" s="11" t="e">
        <f>#REF!-#REF!</f>
        <v>#REF!</v>
      </c>
      <c r="AE7" s="35"/>
    </row>
    <row r="8" spans="1:31" x14ac:dyDescent="0.2">
      <c r="A8" s="80">
        <v>3</v>
      </c>
      <c r="B8" s="40">
        <v>5183</v>
      </c>
      <c r="C8" s="15"/>
      <c r="D8" s="40">
        <v>25795</v>
      </c>
      <c r="E8" s="42">
        <v>2822</v>
      </c>
      <c r="F8" s="15"/>
      <c r="G8" s="41">
        <v>238261</v>
      </c>
      <c r="H8" s="45" t="e">
        <f>#REF!-#REF!</f>
        <v>#REF!</v>
      </c>
      <c r="I8" s="16"/>
      <c r="J8" s="17">
        <v>0</v>
      </c>
      <c r="K8" s="17">
        <v>0</v>
      </c>
      <c r="L8" s="17">
        <v>0</v>
      </c>
      <c r="M8" s="16"/>
      <c r="N8" s="80">
        <v>3</v>
      </c>
      <c r="O8" s="11">
        <f t="shared" si="0"/>
        <v>31</v>
      </c>
      <c r="P8" s="11" t="e">
        <f>#REF!-#REF!</f>
        <v>#REF!</v>
      </c>
      <c r="Q8" s="11" t="e">
        <f>#REF!-#REF!</f>
        <v>#REF!</v>
      </c>
      <c r="R8" s="11" t="e">
        <f>#REF!-#REF!</f>
        <v>#REF!</v>
      </c>
      <c r="S8" s="11" t="e">
        <f>#REF!-#REF!</f>
        <v>#REF!</v>
      </c>
      <c r="T8" s="11" t="e">
        <f>#REF!-#REF!</f>
        <v>#REF!</v>
      </c>
      <c r="U8" s="34"/>
      <c r="V8" s="11">
        <f t="shared" si="1"/>
        <v>9</v>
      </c>
      <c r="W8" s="11">
        <f t="shared" si="2"/>
        <v>4</v>
      </c>
      <c r="X8" s="11" t="e">
        <f>#REF!-#REF!</f>
        <v>#REF!</v>
      </c>
      <c r="Y8" s="11" t="e">
        <f>#REF!-#REF!</f>
        <v>#REF!</v>
      </c>
      <c r="Z8" s="34"/>
      <c r="AA8" s="11">
        <f>G8-G7</f>
        <v>56</v>
      </c>
      <c r="AB8" s="11" t="e">
        <f>#REF!-#REF!</f>
        <v>#REF!</v>
      </c>
      <c r="AC8" s="11" t="e">
        <f>#REF!-#REF!</f>
        <v>#REF!</v>
      </c>
      <c r="AD8" s="11" t="e">
        <f>#REF!-#REF!</f>
        <v>#REF!</v>
      </c>
      <c r="AE8" s="35"/>
    </row>
    <row r="9" spans="1:31" x14ac:dyDescent="0.2">
      <c r="A9" s="80">
        <v>4</v>
      </c>
      <c r="B9" s="40">
        <v>5212</v>
      </c>
      <c r="C9" s="15"/>
      <c r="D9" s="40">
        <v>25803</v>
      </c>
      <c r="E9" s="42">
        <v>2824</v>
      </c>
      <c r="F9" s="15"/>
      <c r="G9" s="41">
        <v>238316</v>
      </c>
      <c r="H9" s="45" t="e">
        <f>#REF!-#REF!</f>
        <v>#REF!</v>
      </c>
      <c r="I9" s="16"/>
      <c r="J9" s="17">
        <v>0</v>
      </c>
      <c r="K9" s="17">
        <v>0</v>
      </c>
      <c r="L9" s="17">
        <v>0</v>
      </c>
      <c r="M9" s="16"/>
      <c r="N9" s="80">
        <v>4</v>
      </c>
      <c r="O9" s="11">
        <f t="shared" si="0"/>
        <v>29</v>
      </c>
      <c r="P9" s="11" t="e">
        <f>#REF!-#REF!</f>
        <v>#REF!</v>
      </c>
      <c r="Q9" s="11" t="e">
        <f>#REF!-#REF!</f>
        <v>#REF!</v>
      </c>
      <c r="R9" s="11" t="e">
        <f>#REF!-#REF!</f>
        <v>#REF!</v>
      </c>
      <c r="S9" s="11" t="e">
        <f>#REF!-#REF!</f>
        <v>#REF!</v>
      </c>
      <c r="T9" s="11" t="e">
        <f>#REF!-#REF!</f>
        <v>#REF!</v>
      </c>
      <c r="U9" s="34"/>
      <c r="V9" s="11">
        <f t="shared" si="1"/>
        <v>8</v>
      </c>
      <c r="W9" s="11">
        <f t="shared" si="2"/>
        <v>2</v>
      </c>
      <c r="X9" s="11" t="e">
        <f>#REF!-#REF!</f>
        <v>#REF!</v>
      </c>
      <c r="Y9" s="11" t="e">
        <f>#REF!-#REF!</f>
        <v>#REF!</v>
      </c>
      <c r="Z9" s="34"/>
      <c r="AA9" s="11">
        <f>G9-G8</f>
        <v>55</v>
      </c>
      <c r="AB9" s="11" t="e">
        <f>#REF!-#REF!</f>
        <v>#REF!</v>
      </c>
      <c r="AC9" s="11" t="e">
        <f>#REF!-#REF!</f>
        <v>#REF!</v>
      </c>
      <c r="AD9" s="11" t="e">
        <f>#REF!-#REF!</f>
        <v>#REF!</v>
      </c>
      <c r="AE9" s="35"/>
    </row>
    <row r="10" spans="1:31" x14ac:dyDescent="0.2">
      <c r="A10" s="80">
        <v>5</v>
      </c>
      <c r="B10" s="40">
        <v>5241</v>
      </c>
      <c r="C10" s="15"/>
      <c r="D10" s="40">
        <v>25811</v>
      </c>
      <c r="E10" s="42">
        <v>2824</v>
      </c>
      <c r="F10" s="15"/>
      <c r="G10" s="41">
        <v>238364</v>
      </c>
      <c r="H10" s="45" t="e">
        <f>#REF!-#REF!</f>
        <v>#REF!</v>
      </c>
      <c r="I10" s="16"/>
      <c r="J10" s="17">
        <v>0</v>
      </c>
      <c r="K10" s="17">
        <v>0</v>
      </c>
      <c r="L10" s="17">
        <v>0</v>
      </c>
      <c r="M10" s="16"/>
      <c r="N10" s="80">
        <v>5</v>
      </c>
      <c r="O10" s="11">
        <f t="shared" si="0"/>
        <v>29</v>
      </c>
      <c r="P10" s="11" t="e">
        <f>#REF!-#REF!</f>
        <v>#REF!</v>
      </c>
      <c r="Q10" s="11" t="e">
        <f>#REF!-#REF!</f>
        <v>#REF!</v>
      </c>
      <c r="R10" s="11" t="e">
        <f>#REF!-#REF!</f>
        <v>#REF!</v>
      </c>
      <c r="S10" s="11" t="e">
        <f>#REF!-#REF!</f>
        <v>#REF!</v>
      </c>
      <c r="T10" s="11" t="e">
        <f>#REF!-#REF!</f>
        <v>#REF!</v>
      </c>
      <c r="U10" s="34"/>
      <c r="V10" s="11">
        <f t="shared" si="1"/>
        <v>8</v>
      </c>
      <c r="W10" s="11">
        <f t="shared" si="2"/>
        <v>0</v>
      </c>
      <c r="X10" s="11" t="e">
        <f>#REF!-#REF!</f>
        <v>#REF!</v>
      </c>
      <c r="Y10" s="11" t="e">
        <f>#REF!-#REF!</f>
        <v>#REF!</v>
      </c>
      <c r="Z10" s="34"/>
      <c r="AA10" s="11">
        <f>G10-G9</f>
        <v>48</v>
      </c>
      <c r="AB10" s="11" t="e">
        <f>#REF!-#REF!</f>
        <v>#REF!</v>
      </c>
      <c r="AC10" s="11" t="e">
        <f>#REF!-#REF!</f>
        <v>#REF!</v>
      </c>
      <c r="AD10" s="11" t="e">
        <f>#REF!-#REF!</f>
        <v>#REF!</v>
      </c>
      <c r="AE10" s="35"/>
    </row>
    <row r="11" spans="1:31" x14ac:dyDescent="0.2">
      <c r="A11" s="80">
        <v>6</v>
      </c>
      <c r="B11" s="40">
        <v>5268</v>
      </c>
      <c r="C11" s="15"/>
      <c r="D11" s="40">
        <v>25820</v>
      </c>
      <c r="E11" s="42">
        <v>2827</v>
      </c>
      <c r="F11" s="15"/>
      <c r="G11" s="41">
        <v>238409</v>
      </c>
      <c r="H11" s="45" t="e">
        <f>#REF!-#REF!</f>
        <v>#REF!</v>
      </c>
      <c r="I11" s="16"/>
      <c r="J11" s="17">
        <v>0</v>
      </c>
      <c r="K11" s="17">
        <v>0</v>
      </c>
      <c r="L11" s="17">
        <v>0</v>
      </c>
      <c r="M11" s="16"/>
      <c r="N11" s="80">
        <v>6</v>
      </c>
      <c r="O11" s="11">
        <f t="shared" si="0"/>
        <v>27</v>
      </c>
      <c r="P11" s="11" t="e">
        <f>#REF!-#REF!</f>
        <v>#REF!</v>
      </c>
      <c r="Q11" s="11" t="e">
        <f>#REF!-#REF!</f>
        <v>#REF!</v>
      </c>
      <c r="R11" s="11" t="e">
        <f>#REF!-#REF!</f>
        <v>#REF!</v>
      </c>
      <c r="S11" s="11" t="e">
        <f>#REF!-#REF!</f>
        <v>#REF!</v>
      </c>
      <c r="T11" s="11" t="e">
        <f>#REF!-#REF!</f>
        <v>#REF!</v>
      </c>
      <c r="U11" s="34"/>
      <c r="V11" s="11">
        <f t="shared" si="1"/>
        <v>9</v>
      </c>
      <c r="W11" s="11">
        <f t="shared" si="2"/>
        <v>3</v>
      </c>
      <c r="X11" s="11" t="e">
        <f>#REF!-#REF!</f>
        <v>#REF!</v>
      </c>
      <c r="Y11" s="11" t="e">
        <f>#REF!-#REF!</f>
        <v>#REF!</v>
      </c>
      <c r="Z11" s="34"/>
      <c r="AA11" s="11">
        <f>G12-G10</f>
        <v>96</v>
      </c>
      <c r="AB11" s="11" t="e">
        <f>#REF!-#REF!</f>
        <v>#REF!</v>
      </c>
      <c r="AC11" s="11" t="e">
        <f>#REF!-#REF!</f>
        <v>#REF!</v>
      </c>
      <c r="AD11" s="11" t="e">
        <f>#REF!-#REF!</f>
        <v>#REF!</v>
      </c>
      <c r="AE11" s="35"/>
    </row>
    <row r="12" spans="1:31" x14ac:dyDescent="0.2">
      <c r="A12" s="80">
        <v>7</v>
      </c>
      <c r="B12" s="40">
        <v>5233</v>
      </c>
      <c r="C12" s="15"/>
      <c r="D12" s="40">
        <v>25829</v>
      </c>
      <c r="E12" s="42">
        <v>2829</v>
      </c>
      <c r="F12" s="15"/>
      <c r="G12" s="41">
        <v>238460</v>
      </c>
      <c r="H12" s="45" t="e">
        <f>#REF!-#REF!</f>
        <v>#REF!</v>
      </c>
      <c r="I12" s="16"/>
      <c r="J12" s="17">
        <v>0</v>
      </c>
      <c r="K12" s="17">
        <v>0</v>
      </c>
      <c r="L12" s="17">
        <v>0</v>
      </c>
      <c r="M12" s="16"/>
      <c r="N12" s="80">
        <v>7</v>
      </c>
      <c r="O12" s="11">
        <f t="shared" si="0"/>
        <v>-35</v>
      </c>
      <c r="P12" s="11" t="e">
        <f>#REF!-#REF!</f>
        <v>#REF!</v>
      </c>
      <c r="Q12" s="11" t="e">
        <f>#REF!-#REF!</f>
        <v>#REF!</v>
      </c>
      <c r="R12" s="11" t="e">
        <f>#REF!-#REF!</f>
        <v>#REF!</v>
      </c>
      <c r="S12" s="11" t="e">
        <f>#REF!-#REF!</f>
        <v>#REF!</v>
      </c>
      <c r="T12" s="11" t="e">
        <f>#REF!-#REF!</f>
        <v>#REF!</v>
      </c>
      <c r="U12" s="34"/>
      <c r="V12" s="11">
        <f t="shared" si="1"/>
        <v>9</v>
      </c>
      <c r="W12" s="11">
        <f t="shared" si="2"/>
        <v>2</v>
      </c>
      <c r="X12" s="11" t="e">
        <f>#REF!-#REF!</f>
        <v>#REF!</v>
      </c>
      <c r="Y12" s="11" t="e">
        <f>#REF!-#REF!</f>
        <v>#REF!</v>
      </c>
      <c r="Z12" s="34"/>
      <c r="AA12" s="11">
        <f t="shared" ref="AA12:AA32" si="3">G13-G12</f>
        <v>53</v>
      </c>
      <c r="AB12" s="11" t="e">
        <f>#REF!-#REF!</f>
        <v>#REF!</v>
      </c>
      <c r="AC12" s="11" t="e">
        <f>#REF!-#REF!</f>
        <v>#REF!</v>
      </c>
      <c r="AD12" s="11" t="e">
        <f>#REF!-#REF!</f>
        <v>#REF!</v>
      </c>
      <c r="AE12" s="35"/>
    </row>
    <row r="13" spans="1:31" x14ac:dyDescent="0.2">
      <c r="A13" s="80">
        <v>8</v>
      </c>
      <c r="B13" s="40">
        <v>5326</v>
      </c>
      <c r="C13" s="15"/>
      <c r="D13" s="40">
        <v>25838</v>
      </c>
      <c r="E13" s="42">
        <v>2830</v>
      </c>
      <c r="F13" s="15"/>
      <c r="G13" s="41">
        <v>238513</v>
      </c>
      <c r="H13" s="45" t="e">
        <f>#REF!-#REF!</f>
        <v>#REF!</v>
      </c>
      <c r="I13" s="16"/>
      <c r="J13" s="17">
        <v>0</v>
      </c>
      <c r="K13" s="17">
        <v>0</v>
      </c>
      <c r="L13" s="17">
        <v>0</v>
      </c>
      <c r="M13" s="16"/>
      <c r="N13" s="80">
        <v>8</v>
      </c>
      <c r="O13" s="11">
        <f t="shared" si="0"/>
        <v>93</v>
      </c>
      <c r="P13" s="11" t="e">
        <f>#REF!-#REF!</f>
        <v>#REF!</v>
      </c>
      <c r="Q13" s="11" t="e">
        <f>#REF!-#REF!</f>
        <v>#REF!</v>
      </c>
      <c r="R13" s="11" t="e">
        <f>#REF!-#REF!</f>
        <v>#REF!</v>
      </c>
      <c r="S13" s="11" t="e">
        <f>#REF!-#REF!</f>
        <v>#REF!</v>
      </c>
      <c r="T13" s="11" t="e">
        <f>#REF!-#REF!</f>
        <v>#REF!</v>
      </c>
      <c r="U13" s="34"/>
      <c r="V13" s="11">
        <f t="shared" si="1"/>
        <v>9</v>
      </c>
      <c r="W13" s="11">
        <f t="shared" si="2"/>
        <v>1</v>
      </c>
      <c r="X13" s="11" t="e">
        <f>#REF!-#REF!</f>
        <v>#REF!</v>
      </c>
      <c r="Y13" s="11" t="e">
        <f>#REF!-#REF!</f>
        <v>#REF!</v>
      </c>
      <c r="Z13" s="34"/>
      <c r="AA13" s="11">
        <f t="shared" si="3"/>
        <v>119</v>
      </c>
      <c r="AB13" s="11" t="e">
        <f>#REF!-#REF!</f>
        <v>#REF!</v>
      </c>
      <c r="AC13" s="11" t="e">
        <f>#REF!-#REF!</f>
        <v>#REF!</v>
      </c>
      <c r="AD13" s="11" t="e">
        <f>#REF!-#REF!</f>
        <v>#REF!</v>
      </c>
      <c r="AE13" s="35"/>
    </row>
    <row r="14" spans="1:31" x14ac:dyDescent="0.2">
      <c r="A14" s="80">
        <v>9</v>
      </c>
      <c r="B14" s="40">
        <v>5368</v>
      </c>
      <c r="C14" s="15"/>
      <c r="D14" s="40">
        <v>25863</v>
      </c>
      <c r="E14" s="42">
        <v>2830</v>
      </c>
      <c r="F14" s="15"/>
      <c r="G14" s="41">
        <v>238632</v>
      </c>
      <c r="H14" s="45" t="e">
        <f>#REF!-#REF!</f>
        <v>#REF!</v>
      </c>
      <c r="I14" s="16"/>
      <c r="J14" s="17">
        <v>0</v>
      </c>
      <c r="K14" s="17">
        <v>0</v>
      </c>
      <c r="L14" s="17">
        <v>0</v>
      </c>
      <c r="M14" s="16"/>
      <c r="N14" s="80">
        <v>9</v>
      </c>
      <c r="O14" s="11">
        <f t="shared" si="0"/>
        <v>42</v>
      </c>
      <c r="P14" s="11" t="e">
        <f>#REF!-#REF!</f>
        <v>#REF!</v>
      </c>
      <c r="Q14" s="11" t="e">
        <f>#REF!-#REF!</f>
        <v>#REF!</v>
      </c>
      <c r="R14" s="11" t="e">
        <f>#REF!-#REF!</f>
        <v>#REF!</v>
      </c>
      <c r="S14" s="11" t="e">
        <f>#REF!-#REF!</f>
        <v>#REF!</v>
      </c>
      <c r="T14" s="11" t="e">
        <f>#REF!-#REF!</f>
        <v>#REF!</v>
      </c>
      <c r="U14" s="34"/>
      <c r="V14" s="11">
        <f t="shared" si="1"/>
        <v>25</v>
      </c>
      <c r="W14" s="11">
        <f t="shared" si="2"/>
        <v>0</v>
      </c>
      <c r="X14" s="11" t="e">
        <f>#REF!-#REF!</f>
        <v>#REF!</v>
      </c>
      <c r="Y14" s="11" t="e">
        <f>#REF!-#REF!</f>
        <v>#REF!</v>
      </c>
      <c r="Z14" s="34"/>
      <c r="AA14" s="11">
        <f t="shared" si="3"/>
        <v>-37</v>
      </c>
      <c r="AB14" s="11" t="e">
        <f>#REF!-#REF!</f>
        <v>#REF!</v>
      </c>
      <c r="AC14" s="11" t="e">
        <f>#REF!-#REF!</f>
        <v>#REF!</v>
      </c>
      <c r="AD14" s="11" t="e">
        <f>#REF!-#REF!</f>
        <v>#REF!</v>
      </c>
      <c r="AE14" s="35"/>
    </row>
    <row r="15" spans="1:31" x14ac:dyDescent="0.2">
      <c r="A15" s="80">
        <v>10</v>
      </c>
      <c r="B15" s="40">
        <v>5395</v>
      </c>
      <c r="C15" s="15"/>
      <c r="D15" s="40">
        <v>25871</v>
      </c>
      <c r="E15" s="42">
        <v>2830</v>
      </c>
      <c r="F15" s="15"/>
      <c r="G15" s="41">
        <v>238595</v>
      </c>
      <c r="H15" s="45" t="e">
        <f>#REF!-#REF!</f>
        <v>#REF!</v>
      </c>
      <c r="I15" s="16"/>
      <c r="J15" s="17">
        <v>0</v>
      </c>
      <c r="K15" s="17">
        <v>0</v>
      </c>
      <c r="L15" s="17">
        <v>0</v>
      </c>
      <c r="M15" s="16"/>
      <c r="N15" s="80">
        <v>10</v>
      </c>
      <c r="O15" s="11">
        <f t="shared" si="0"/>
        <v>27</v>
      </c>
      <c r="P15" s="11" t="e">
        <f>#REF!-#REF!</f>
        <v>#REF!</v>
      </c>
      <c r="Q15" s="11" t="e">
        <f>#REF!-#REF!</f>
        <v>#REF!</v>
      </c>
      <c r="R15" s="11" t="e">
        <f>#REF!-#REF!</f>
        <v>#REF!</v>
      </c>
      <c r="S15" s="11" t="e">
        <f>#REF!-#REF!</f>
        <v>#REF!</v>
      </c>
      <c r="T15" s="11" t="e">
        <f>#REF!-#REF!</f>
        <v>#REF!</v>
      </c>
      <c r="U15" s="34"/>
      <c r="V15" s="11">
        <f t="shared" si="1"/>
        <v>8</v>
      </c>
      <c r="W15" s="11">
        <f t="shared" si="2"/>
        <v>0</v>
      </c>
      <c r="X15" s="11" t="e">
        <f>#REF!-#REF!</f>
        <v>#REF!</v>
      </c>
      <c r="Y15" s="11" t="e">
        <f>#REF!-#REF!</f>
        <v>#REF!</v>
      </c>
      <c r="Z15" s="34"/>
      <c r="AA15" s="11">
        <f t="shared" si="3"/>
        <v>48</v>
      </c>
      <c r="AB15" s="11" t="e">
        <f>#REF!-#REF!</f>
        <v>#REF!</v>
      </c>
      <c r="AC15" s="11" t="e">
        <f>#REF!-#REF!</f>
        <v>#REF!</v>
      </c>
      <c r="AD15" s="11" t="e">
        <f>#REF!-#REF!</f>
        <v>#REF!</v>
      </c>
      <c r="AE15" s="35"/>
    </row>
    <row r="16" spans="1:31" x14ac:dyDescent="0.2">
      <c r="A16" s="80">
        <v>11</v>
      </c>
      <c r="B16" s="40">
        <v>5424</v>
      </c>
      <c r="C16" s="15"/>
      <c r="D16" s="40">
        <v>25880</v>
      </c>
      <c r="E16" s="42">
        <v>2830</v>
      </c>
      <c r="F16" s="15"/>
      <c r="G16" s="41">
        <v>238643</v>
      </c>
      <c r="H16" s="45" t="e">
        <f>#REF!-#REF!</f>
        <v>#REF!</v>
      </c>
      <c r="I16" s="16"/>
      <c r="J16" s="17">
        <v>0</v>
      </c>
      <c r="K16" s="17">
        <v>0</v>
      </c>
      <c r="L16" s="17">
        <v>0</v>
      </c>
      <c r="M16" s="16"/>
      <c r="N16" s="80">
        <v>11</v>
      </c>
      <c r="O16" s="11">
        <f t="shared" si="0"/>
        <v>29</v>
      </c>
      <c r="P16" s="11" t="e">
        <f>#REF!-#REF!</f>
        <v>#REF!</v>
      </c>
      <c r="Q16" s="11" t="e">
        <f>#REF!-#REF!</f>
        <v>#REF!</v>
      </c>
      <c r="R16" s="11" t="e">
        <f>#REF!-#REF!</f>
        <v>#REF!</v>
      </c>
      <c r="S16" s="11" t="e">
        <f>#REF!-#REF!</f>
        <v>#REF!</v>
      </c>
      <c r="T16" s="11" t="e">
        <f>#REF!-#REF!</f>
        <v>#REF!</v>
      </c>
      <c r="U16" s="34"/>
      <c r="V16" s="11">
        <f t="shared" si="1"/>
        <v>9</v>
      </c>
      <c r="W16" s="11">
        <f t="shared" si="2"/>
        <v>0</v>
      </c>
      <c r="X16" s="11" t="e">
        <f>#REF!-#REF!</f>
        <v>#REF!</v>
      </c>
      <c r="Y16" s="11" t="e">
        <f>#REF!-#REF!</f>
        <v>#REF!</v>
      </c>
      <c r="Z16" s="34"/>
      <c r="AA16" s="11">
        <f t="shared" si="3"/>
        <v>35</v>
      </c>
      <c r="AB16" s="11" t="e">
        <f>#REF!-#REF!</f>
        <v>#REF!</v>
      </c>
      <c r="AC16" s="11" t="e">
        <f>#REF!-#REF!</f>
        <v>#REF!</v>
      </c>
      <c r="AD16" s="11" t="e">
        <f>#REF!-#REF!</f>
        <v>#REF!</v>
      </c>
      <c r="AE16" s="35"/>
    </row>
    <row r="17" spans="1:31" x14ac:dyDescent="0.2">
      <c r="A17" s="80">
        <v>12</v>
      </c>
      <c r="B17" s="40">
        <v>5458</v>
      </c>
      <c r="C17" s="15"/>
      <c r="D17" s="40">
        <v>25890</v>
      </c>
      <c r="E17" s="42">
        <v>2830</v>
      </c>
      <c r="F17" s="15"/>
      <c r="G17" s="41">
        <v>238678</v>
      </c>
      <c r="H17" s="45" t="e">
        <f>#REF!-#REF!</f>
        <v>#REF!</v>
      </c>
      <c r="I17" s="16"/>
      <c r="J17" s="17">
        <v>0</v>
      </c>
      <c r="K17" s="17">
        <v>0</v>
      </c>
      <c r="L17" s="17">
        <v>0</v>
      </c>
      <c r="M17" s="16"/>
      <c r="N17" s="80">
        <v>12</v>
      </c>
      <c r="O17" s="11">
        <f t="shared" si="0"/>
        <v>34</v>
      </c>
      <c r="P17" s="11" t="e">
        <f>#REF!-#REF!</f>
        <v>#REF!</v>
      </c>
      <c r="Q17" s="11" t="e">
        <f>#REF!-#REF!</f>
        <v>#REF!</v>
      </c>
      <c r="R17" s="11" t="e">
        <f>#REF!-#REF!</f>
        <v>#REF!</v>
      </c>
      <c r="S17" s="11" t="e">
        <f>#REF!-#REF!</f>
        <v>#REF!</v>
      </c>
      <c r="T17" s="11" t="e">
        <f>#REF!-#REF!</f>
        <v>#REF!</v>
      </c>
      <c r="U17" s="34"/>
      <c r="V17" s="11">
        <f t="shared" si="1"/>
        <v>10</v>
      </c>
      <c r="W17" s="11">
        <f t="shared" si="2"/>
        <v>0</v>
      </c>
      <c r="X17" s="11" t="e">
        <f>#REF!-#REF!</f>
        <v>#REF!</v>
      </c>
      <c r="Y17" s="11" t="e">
        <f>#REF!-#REF!</f>
        <v>#REF!</v>
      </c>
      <c r="Z17" s="34"/>
      <c r="AA17" s="11">
        <f t="shared" si="3"/>
        <v>39</v>
      </c>
      <c r="AB17" s="11" t="e">
        <f>#REF!-#REF!</f>
        <v>#REF!</v>
      </c>
      <c r="AC17" s="11" t="e">
        <f>#REF!-#REF!</f>
        <v>#REF!</v>
      </c>
      <c r="AD17" s="11" t="e">
        <f>#REF!-#REF!</f>
        <v>#REF!</v>
      </c>
      <c r="AE17" s="35"/>
    </row>
    <row r="18" spans="1:31" x14ac:dyDescent="0.2">
      <c r="A18" s="80">
        <v>13</v>
      </c>
      <c r="B18" s="40">
        <v>5492</v>
      </c>
      <c r="C18" s="15"/>
      <c r="D18" s="40">
        <v>25901</v>
      </c>
      <c r="E18" s="42">
        <v>2830</v>
      </c>
      <c r="F18" s="15"/>
      <c r="G18" s="41">
        <v>238717</v>
      </c>
      <c r="H18" s="45" t="e">
        <f>#REF!-#REF!</f>
        <v>#REF!</v>
      </c>
      <c r="I18" s="16"/>
      <c r="J18" s="17">
        <v>0</v>
      </c>
      <c r="K18" s="17">
        <v>0</v>
      </c>
      <c r="L18" s="17">
        <v>0</v>
      </c>
      <c r="M18" s="16"/>
      <c r="N18" s="80">
        <v>13</v>
      </c>
      <c r="O18" s="11">
        <f t="shared" si="0"/>
        <v>34</v>
      </c>
      <c r="P18" s="11" t="e">
        <f>#REF!-#REF!</f>
        <v>#REF!</v>
      </c>
      <c r="Q18" s="11" t="e">
        <f>#REF!-#REF!</f>
        <v>#REF!</v>
      </c>
      <c r="R18" s="11" t="e">
        <f>#REF!-#REF!</f>
        <v>#REF!</v>
      </c>
      <c r="S18" s="11" t="e">
        <f>#REF!-#REF!</f>
        <v>#REF!</v>
      </c>
      <c r="T18" s="11" t="e">
        <f>#REF!-#REF!</f>
        <v>#REF!</v>
      </c>
      <c r="U18" s="34"/>
      <c r="V18" s="11">
        <f t="shared" si="1"/>
        <v>11</v>
      </c>
      <c r="W18" s="11">
        <f t="shared" si="2"/>
        <v>0</v>
      </c>
      <c r="X18" s="11" t="e">
        <f>#REF!-#REF!</f>
        <v>#REF!</v>
      </c>
      <c r="Y18" s="11" t="e">
        <f>#REF!-#REF!</f>
        <v>#REF!</v>
      </c>
      <c r="Z18" s="34"/>
      <c r="AA18" s="11">
        <f t="shared" si="3"/>
        <v>40</v>
      </c>
      <c r="AB18" s="11" t="e">
        <f>#REF!-#REF!</f>
        <v>#REF!</v>
      </c>
      <c r="AC18" s="11" t="e">
        <f>#REF!-#REF!</f>
        <v>#REF!</v>
      </c>
      <c r="AD18" s="11" t="e">
        <f>#REF!-#REF!</f>
        <v>#REF!</v>
      </c>
      <c r="AE18" s="35"/>
    </row>
    <row r="19" spans="1:31" x14ac:dyDescent="0.2">
      <c r="A19" s="80">
        <v>14</v>
      </c>
      <c r="B19" s="40">
        <v>5525</v>
      </c>
      <c r="C19" s="15"/>
      <c r="D19" s="40">
        <v>25910</v>
      </c>
      <c r="E19" s="42">
        <v>2830</v>
      </c>
      <c r="F19" s="15"/>
      <c r="G19" s="41">
        <v>238757</v>
      </c>
      <c r="H19" s="45" t="e">
        <f>#REF!-#REF!</f>
        <v>#REF!</v>
      </c>
      <c r="I19" s="16"/>
      <c r="J19" s="17">
        <v>0</v>
      </c>
      <c r="K19" s="17">
        <v>0</v>
      </c>
      <c r="L19" s="17">
        <v>0</v>
      </c>
      <c r="M19" s="16"/>
      <c r="N19" s="80">
        <v>14</v>
      </c>
      <c r="O19" s="11">
        <f t="shared" si="0"/>
        <v>33</v>
      </c>
      <c r="P19" s="11" t="e">
        <f>#REF!-#REF!</f>
        <v>#REF!</v>
      </c>
      <c r="Q19" s="11" t="e">
        <f>#REF!-#REF!</f>
        <v>#REF!</v>
      </c>
      <c r="R19" s="11" t="e">
        <f>#REF!-#REF!</f>
        <v>#REF!</v>
      </c>
      <c r="S19" s="11" t="e">
        <f>#REF!-#REF!</f>
        <v>#REF!</v>
      </c>
      <c r="T19" s="11" t="e">
        <f>#REF!-#REF!</f>
        <v>#REF!</v>
      </c>
      <c r="U19" s="34"/>
      <c r="V19" s="11">
        <f t="shared" si="1"/>
        <v>9</v>
      </c>
      <c r="W19" s="11">
        <f t="shared" si="2"/>
        <v>0</v>
      </c>
      <c r="X19" s="11" t="e">
        <f>#REF!-#REF!</f>
        <v>#REF!</v>
      </c>
      <c r="Y19" s="11" t="e">
        <f>#REF!-#REF!</f>
        <v>#REF!</v>
      </c>
      <c r="Z19" s="34"/>
      <c r="AA19" s="11">
        <f t="shared" si="3"/>
        <v>48</v>
      </c>
      <c r="AB19" s="11" t="e">
        <f>#REF!-#REF!</f>
        <v>#REF!</v>
      </c>
      <c r="AC19" s="11" t="e">
        <f>#REF!-#REF!</f>
        <v>#REF!</v>
      </c>
      <c r="AD19" s="11" t="e">
        <f>#REF!-#REF!</f>
        <v>#REF!</v>
      </c>
      <c r="AE19" s="35"/>
    </row>
    <row r="20" spans="1:31" x14ac:dyDescent="0.2">
      <c r="A20" s="80">
        <v>15</v>
      </c>
      <c r="B20" s="40">
        <v>5562</v>
      </c>
      <c r="C20" s="15"/>
      <c r="D20" s="40">
        <v>25922</v>
      </c>
      <c r="E20" s="42">
        <v>2831</v>
      </c>
      <c r="F20" s="15"/>
      <c r="G20" s="41">
        <v>238805</v>
      </c>
      <c r="H20" s="45" t="e">
        <f>#REF!-#REF!</f>
        <v>#REF!</v>
      </c>
      <c r="I20" s="16"/>
      <c r="J20" s="17">
        <v>0</v>
      </c>
      <c r="K20" s="17">
        <v>0</v>
      </c>
      <c r="L20" s="17">
        <v>0</v>
      </c>
      <c r="M20" s="16"/>
      <c r="N20" s="80">
        <v>15</v>
      </c>
      <c r="O20" s="11">
        <f t="shared" si="0"/>
        <v>37</v>
      </c>
      <c r="P20" s="11" t="e">
        <f>#REF!-#REF!</f>
        <v>#REF!</v>
      </c>
      <c r="Q20" s="11" t="e">
        <f>#REF!-#REF!</f>
        <v>#REF!</v>
      </c>
      <c r="R20" s="11" t="e">
        <f>#REF!-#REF!</f>
        <v>#REF!</v>
      </c>
      <c r="S20" s="11" t="e">
        <f>#REF!-#REF!</f>
        <v>#REF!</v>
      </c>
      <c r="T20" s="11" t="e">
        <f>#REF!-#REF!</f>
        <v>#REF!</v>
      </c>
      <c r="U20" s="34"/>
      <c r="V20" s="11">
        <f t="shared" si="1"/>
        <v>12</v>
      </c>
      <c r="W20" s="11">
        <f t="shared" si="2"/>
        <v>1</v>
      </c>
      <c r="X20" s="11" t="e">
        <f>#REF!-#REF!</f>
        <v>#REF!</v>
      </c>
      <c r="Y20" s="11" t="e">
        <f>#REF!-#REF!</f>
        <v>#REF!</v>
      </c>
      <c r="Z20" s="34"/>
      <c r="AA20" s="11">
        <f t="shared" si="3"/>
        <v>38</v>
      </c>
      <c r="AB20" s="11" t="e">
        <f>#REF!-#REF!</f>
        <v>#REF!</v>
      </c>
      <c r="AC20" s="11" t="e">
        <f>#REF!-#REF!</f>
        <v>#REF!</v>
      </c>
      <c r="AD20" s="11" t="e">
        <f>#REF!-#REF!</f>
        <v>#REF!</v>
      </c>
      <c r="AE20" s="35"/>
    </row>
    <row r="21" spans="1:31" x14ac:dyDescent="0.2">
      <c r="A21" s="80">
        <v>16</v>
      </c>
      <c r="B21" s="40">
        <v>5596</v>
      </c>
      <c r="C21" s="15"/>
      <c r="D21" s="40">
        <v>25934</v>
      </c>
      <c r="E21" s="42">
        <v>2834</v>
      </c>
      <c r="F21" s="15"/>
      <c r="G21" s="41">
        <v>238843</v>
      </c>
      <c r="H21" s="45" t="e">
        <f>#REF!-#REF!</f>
        <v>#REF!</v>
      </c>
      <c r="I21" s="16"/>
      <c r="J21" s="17">
        <v>0</v>
      </c>
      <c r="K21" s="17">
        <v>0</v>
      </c>
      <c r="L21" s="17">
        <v>0</v>
      </c>
      <c r="M21" s="16"/>
      <c r="N21" s="80">
        <v>16</v>
      </c>
      <c r="O21" s="11">
        <f t="shared" si="0"/>
        <v>34</v>
      </c>
      <c r="P21" s="11" t="e">
        <f>#REF!-#REF!</f>
        <v>#REF!</v>
      </c>
      <c r="Q21" s="11" t="e">
        <f>#REF!-#REF!</f>
        <v>#REF!</v>
      </c>
      <c r="R21" s="11" t="e">
        <f>#REF!-#REF!</f>
        <v>#REF!</v>
      </c>
      <c r="S21" s="11" t="e">
        <f>#REF!-#REF!</f>
        <v>#REF!</v>
      </c>
      <c r="T21" s="11" t="e">
        <f>#REF!-#REF!</f>
        <v>#REF!</v>
      </c>
      <c r="U21" s="34"/>
      <c r="V21" s="11">
        <f t="shared" si="1"/>
        <v>12</v>
      </c>
      <c r="W21" s="11">
        <f t="shared" si="2"/>
        <v>3</v>
      </c>
      <c r="X21" s="11" t="e">
        <f>#REF!-#REF!</f>
        <v>#REF!</v>
      </c>
      <c r="Y21" s="11" t="e">
        <f>#REF!-#REF!</f>
        <v>#REF!</v>
      </c>
      <c r="Z21" s="34"/>
      <c r="AA21" s="11">
        <f t="shared" si="3"/>
        <v>35</v>
      </c>
      <c r="AB21" s="11" t="e">
        <f>#REF!-#REF!</f>
        <v>#REF!</v>
      </c>
      <c r="AC21" s="11" t="e">
        <f>#REF!-#REF!</f>
        <v>#REF!</v>
      </c>
      <c r="AD21" s="11" t="e">
        <f>#REF!-#REF!</f>
        <v>#REF!</v>
      </c>
      <c r="AE21" s="35"/>
    </row>
    <row r="22" spans="1:31" x14ac:dyDescent="0.2">
      <c r="A22" s="80">
        <v>17</v>
      </c>
      <c r="B22" s="40">
        <v>5627</v>
      </c>
      <c r="C22" s="15"/>
      <c r="D22" s="40">
        <v>25948</v>
      </c>
      <c r="E22" s="42">
        <v>2837</v>
      </c>
      <c r="F22" s="15"/>
      <c r="G22" s="41">
        <v>238878</v>
      </c>
      <c r="H22" s="45" t="e">
        <f>#REF!-#REF!</f>
        <v>#REF!</v>
      </c>
      <c r="I22" s="16"/>
      <c r="J22" s="17">
        <v>0</v>
      </c>
      <c r="K22" s="17">
        <v>0</v>
      </c>
      <c r="L22" s="17">
        <v>0</v>
      </c>
      <c r="M22" s="16"/>
      <c r="N22" s="80">
        <v>17</v>
      </c>
      <c r="O22" s="11">
        <f t="shared" si="0"/>
        <v>31</v>
      </c>
      <c r="P22" s="11" t="e">
        <f>#REF!-#REF!</f>
        <v>#REF!</v>
      </c>
      <c r="Q22" s="11" t="e">
        <f>#REF!-#REF!</f>
        <v>#REF!</v>
      </c>
      <c r="R22" s="11" t="e">
        <f>#REF!-#REF!</f>
        <v>#REF!</v>
      </c>
      <c r="S22" s="11" t="e">
        <f>#REF!-#REF!</f>
        <v>#REF!</v>
      </c>
      <c r="T22" s="11" t="e">
        <f>#REF!-#REF!</f>
        <v>#REF!</v>
      </c>
      <c r="U22" s="34"/>
      <c r="V22" s="11">
        <f t="shared" si="1"/>
        <v>14</v>
      </c>
      <c r="W22" s="11">
        <f t="shared" si="2"/>
        <v>3</v>
      </c>
      <c r="X22" s="11" t="e">
        <f>#REF!-#REF!</f>
        <v>#REF!</v>
      </c>
      <c r="Y22" s="11" t="e">
        <f>#REF!-#REF!</f>
        <v>#REF!</v>
      </c>
      <c r="Z22" s="34"/>
      <c r="AA22" s="11">
        <f t="shared" si="3"/>
        <v>30</v>
      </c>
      <c r="AB22" s="11" t="e">
        <f>#REF!-#REF!</f>
        <v>#REF!</v>
      </c>
      <c r="AC22" s="11" t="e">
        <f>#REF!-#REF!</f>
        <v>#REF!</v>
      </c>
      <c r="AD22" s="11" t="e">
        <f>#REF!-#REF!</f>
        <v>#REF!</v>
      </c>
      <c r="AE22" s="35"/>
    </row>
    <row r="23" spans="1:31" x14ac:dyDescent="0.2">
      <c r="A23" s="80">
        <v>18</v>
      </c>
      <c r="B23" s="40">
        <v>5655</v>
      </c>
      <c r="C23" s="15"/>
      <c r="D23" s="40">
        <v>25952</v>
      </c>
      <c r="E23" s="42">
        <v>2838</v>
      </c>
      <c r="F23" s="15"/>
      <c r="G23" s="41">
        <v>238908</v>
      </c>
      <c r="H23" s="45" t="e">
        <f>#REF!-#REF!</f>
        <v>#REF!</v>
      </c>
      <c r="I23" s="16"/>
      <c r="J23" s="17">
        <v>0</v>
      </c>
      <c r="K23" s="17">
        <v>0</v>
      </c>
      <c r="L23" s="17">
        <v>0</v>
      </c>
      <c r="M23" s="16"/>
      <c r="N23" s="80">
        <v>18</v>
      </c>
      <c r="O23" s="11">
        <f t="shared" si="0"/>
        <v>28</v>
      </c>
      <c r="P23" s="11" t="e">
        <f>#REF!-#REF!</f>
        <v>#REF!</v>
      </c>
      <c r="Q23" s="11" t="e">
        <f>#REF!-#REF!</f>
        <v>#REF!</v>
      </c>
      <c r="R23" s="11" t="e">
        <f>#REF!-#REF!</f>
        <v>#REF!</v>
      </c>
      <c r="S23" s="11" t="e">
        <f>#REF!-#REF!</f>
        <v>#REF!</v>
      </c>
      <c r="T23" s="11" t="e">
        <f>#REF!-#REF!</f>
        <v>#REF!</v>
      </c>
      <c r="U23" s="34"/>
      <c r="V23" s="11">
        <f t="shared" si="1"/>
        <v>4</v>
      </c>
      <c r="W23" s="11">
        <f t="shared" si="2"/>
        <v>1</v>
      </c>
      <c r="X23" s="11" t="e">
        <f>#REF!-#REF!</f>
        <v>#REF!</v>
      </c>
      <c r="Y23" s="11" t="e">
        <f>#REF!-#REF!</f>
        <v>#REF!</v>
      </c>
      <c r="Z23" s="34"/>
      <c r="AA23" s="11">
        <f t="shared" si="3"/>
        <v>59</v>
      </c>
      <c r="AB23" s="11" t="e">
        <f>#REF!-#REF!</f>
        <v>#REF!</v>
      </c>
      <c r="AC23" s="11" t="e">
        <f>#REF!-#REF!</f>
        <v>#REF!</v>
      </c>
      <c r="AD23" s="11" t="e">
        <f>#REF!-#REF!</f>
        <v>#REF!</v>
      </c>
      <c r="AE23" s="35"/>
    </row>
    <row r="24" spans="1:31" x14ac:dyDescent="0.2">
      <c r="A24" s="80">
        <v>19</v>
      </c>
      <c r="B24" s="40">
        <v>5682</v>
      </c>
      <c r="C24" s="15"/>
      <c r="D24" s="40">
        <v>25968</v>
      </c>
      <c r="E24" s="42">
        <v>2839</v>
      </c>
      <c r="F24" s="15"/>
      <c r="G24" s="41">
        <v>238967</v>
      </c>
      <c r="H24" s="45" t="e">
        <f>#REF!-#REF!</f>
        <v>#REF!</v>
      </c>
      <c r="I24" s="16"/>
      <c r="J24" s="17">
        <v>0</v>
      </c>
      <c r="K24" s="17">
        <v>0</v>
      </c>
      <c r="L24" s="17">
        <v>0</v>
      </c>
      <c r="M24" s="16"/>
      <c r="N24" s="80">
        <v>19</v>
      </c>
      <c r="O24" s="11">
        <f t="shared" si="0"/>
        <v>27</v>
      </c>
      <c r="P24" s="11" t="e">
        <f>#REF!-#REF!</f>
        <v>#REF!</v>
      </c>
      <c r="Q24" s="11" t="e">
        <f>#REF!-#REF!</f>
        <v>#REF!</v>
      </c>
      <c r="R24" s="11" t="e">
        <f>#REF!-#REF!</f>
        <v>#REF!</v>
      </c>
      <c r="S24" s="11" t="e">
        <f>#REF!-#REF!</f>
        <v>#REF!</v>
      </c>
      <c r="T24" s="11" t="e">
        <f>#REF!-#REF!</f>
        <v>#REF!</v>
      </c>
      <c r="U24" s="34"/>
      <c r="V24" s="11">
        <f t="shared" si="1"/>
        <v>16</v>
      </c>
      <c r="W24" s="11">
        <f t="shared" si="2"/>
        <v>1</v>
      </c>
      <c r="X24" s="11" t="e">
        <f>#REF!-#REF!</f>
        <v>#REF!</v>
      </c>
      <c r="Y24" s="11" t="e">
        <f>#REF!-#REF!</f>
        <v>#REF!</v>
      </c>
      <c r="Z24" s="34"/>
      <c r="AA24" s="11">
        <f t="shared" si="3"/>
        <v>49</v>
      </c>
      <c r="AB24" s="11" t="e">
        <f>#REF!-#REF!</f>
        <v>#REF!</v>
      </c>
      <c r="AC24" s="11" t="e">
        <f>#REF!-#REF!</f>
        <v>#REF!</v>
      </c>
      <c r="AD24" s="11" t="e">
        <f>#REF!-#REF!</f>
        <v>#REF!</v>
      </c>
      <c r="AE24" s="35"/>
    </row>
    <row r="25" spans="1:31" x14ac:dyDescent="0.2">
      <c r="A25" s="80">
        <v>20</v>
      </c>
      <c r="B25" s="40">
        <v>5715</v>
      </c>
      <c r="C25" s="15"/>
      <c r="D25" s="40">
        <v>25976</v>
      </c>
      <c r="E25" s="42">
        <v>2840</v>
      </c>
      <c r="F25" s="15"/>
      <c r="G25" s="41">
        <v>239016</v>
      </c>
      <c r="H25" s="45" t="e">
        <f>#REF!-#REF!</f>
        <v>#REF!</v>
      </c>
      <c r="I25" s="16"/>
      <c r="J25" s="17">
        <v>0</v>
      </c>
      <c r="K25" s="17">
        <v>0</v>
      </c>
      <c r="L25" s="17">
        <v>0</v>
      </c>
      <c r="M25" s="16"/>
      <c r="N25" s="80">
        <v>20</v>
      </c>
      <c r="O25" s="11">
        <f t="shared" si="0"/>
        <v>33</v>
      </c>
      <c r="P25" s="11" t="e">
        <f>#REF!-#REF!</f>
        <v>#REF!</v>
      </c>
      <c r="Q25" s="11" t="e">
        <f>#REF!-#REF!</f>
        <v>#REF!</v>
      </c>
      <c r="R25" s="11" t="e">
        <f>#REF!-#REF!</f>
        <v>#REF!</v>
      </c>
      <c r="S25" s="11" t="e">
        <f>#REF!-#REF!</f>
        <v>#REF!</v>
      </c>
      <c r="T25" s="11" t="e">
        <f>#REF!-#REF!</f>
        <v>#REF!</v>
      </c>
      <c r="U25" s="34"/>
      <c r="V25" s="11">
        <f t="shared" si="1"/>
        <v>8</v>
      </c>
      <c r="W25" s="11">
        <f t="shared" si="2"/>
        <v>1</v>
      </c>
      <c r="X25" s="11" t="e">
        <f>#REF!-#REF!</f>
        <v>#REF!</v>
      </c>
      <c r="Y25" s="11" t="e">
        <f>#REF!-#REF!</f>
        <v>#REF!</v>
      </c>
      <c r="Z25" s="34"/>
      <c r="AA25" s="11">
        <f t="shared" si="3"/>
        <v>45</v>
      </c>
      <c r="AB25" s="11" t="e">
        <f>#REF!-#REF!</f>
        <v>#REF!</v>
      </c>
      <c r="AC25" s="11" t="e">
        <f>#REF!-#REF!</f>
        <v>#REF!</v>
      </c>
      <c r="AD25" s="11" t="e">
        <f>#REF!-#REF!</f>
        <v>#REF!</v>
      </c>
      <c r="AE25" s="35"/>
    </row>
    <row r="26" spans="1:31" x14ac:dyDescent="0.2">
      <c r="A26" s="80">
        <v>21</v>
      </c>
      <c r="B26" s="40">
        <v>5740</v>
      </c>
      <c r="C26" s="15"/>
      <c r="D26" s="40">
        <v>25984</v>
      </c>
      <c r="E26" s="42">
        <v>2841</v>
      </c>
      <c r="F26" s="15"/>
      <c r="G26" s="41">
        <v>239061</v>
      </c>
      <c r="H26" s="45" t="e">
        <f>#REF!-#REF!</f>
        <v>#REF!</v>
      </c>
      <c r="I26" s="16"/>
      <c r="J26" s="17">
        <v>0</v>
      </c>
      <c r="K26" s="17">
        <v>0</v>
      </c>
      <c r="L26" s="17">
        <v>0</v>
      </c>
      <c r="M26" s="16"/>
      <c r="N26" s="80">
        <v>21</v>
      </c>
      <c r="O26" s="11">
        <f t="shared" si="0"/>
        <v>25</v>
      </c>
      <c r="P26" s="11" t="e">
        <f>#REF!-#REF!</f>
        <v>#REF!</v>
      </c>
      <c r="Q26" s="11" t="e">
        <f>#REF!-#REF!</f>
        <v>#REF!</v>
      </c>
      <c r="R26" s="11" t="e">
        <f>#REF!-#REF!</f>
        <v>#REF!</v>
      </c>
      <c r="S26" s="11" t="e">
        <f>#REF!-#REF!</f>
        <v>#REF!</v>
      </c>
      <c r="T26" s="11" t="e">
        <f>#REF!-#REF!</f>
        <v>#REF!</v>
      </c>
      <c r="U26" s="34"/>
      <c r="V26" s="11">
        <f t="shared" si="1"/>
        <v>8</v>
      </c>
      <c r="W26" s="11">
        <f t="shared" si="2"/>
        <v>1</v>
      </c>
      <c r="X26" s="11" t="e">
        <f>#REF!-#REF!</f>
        <v>#REF!</v>
      </c>
      <c r="Y26" s="11" t="e">
        <f>#REF!-#REF!</f>
        <v>#REF!</v>
      </c>
      <c r="Z26" s="34"/>
      <c r="AA26" s="11">
        <f t="shared" si="3"/>
        <v>63</v>
      </c>
      <c r="AB26" s="11" t="e">
        <f>#REF!-#REF!</f>
        <v>#REF!</v>
      </c>
      <c r="AC26" s="11" t="e">
        <f>#REF!-#REF!</f>
        <v>#REF!</v>
      </c>
      <c r="AD26" s="11" t="e">
        <f>#REF!-#REF!</f>
        <v>#REF!</v>
      </c>
      <c r="AE26" s="35"/>
    </row>
    <row r="27" spans="1:31" x14ac:dyDescent="0.2">
      <c r="A27" s="80">
        <v>22</v>
      </c>
      <c r="B27" s="40">
        <v>5774</v>
      </c>
      <c r="C27" s="15"/>
      <c r="D27" s="40">
        <v>25990</v>
      </c>
      <c r="E27" s="42">
        <v>2842</v>
      </c>
      <c r="F27" s="15"/>
      <c r="G27" s="41">
        <v>239124</v>
      </c>
      <c r="H27" s="45" t="e">
        <f>#REF!-#REF!</f>
        <v>#REF!</v>
      </c>
      <c r="I27" s="16"/>
      <c r="J27" s="17">
        <v>0</v>
      </c>
      <c r="K27" s="17">
        <v>0</v>
      </c>
      <c r="L27" s="17">
        <v>0</v>
      </c>
      <c r="M27" s="16"/>
      <c r="N27" s="80">
        <v>22</v>
      </c>
      <c r="O27" s="11">
        <f t="shared" si="0"/>
        <v>34</v>
      </c>
      <c r="P27" s="11" t="e">
        <f>#REF!-#REF!</f>
        <v>#REF!</v>
      </c>
      <c r="Q27" s="11" t="e">
        <f>#REF!-#REF!</f>
        <v>#REF!</v>
      </c>
      <c r="R27" s="11" t="e">
        <f>#REF!-#REF!</f>
        <v>#REF!</v>
      </c>
      <c r="S27" s="11" t="e">
        <f>#REF!-#REF!</f>
        <v>#REF!</v>
      </c>
      <c r="T27" s="11" t="e">
        <f>#REF!-#REF!</f>
        <v>#REF!</v>
      </c>
      <c r="U27" s="34"/>
      <c r="V27" s="11">
        <f t="shared" si="1"/>
        <v>6</v>
      </c>
      <c r="W27" s="11">
        <f t="shared" si="2"/>
        <v>1</v>
      </c>
      <c r="X27" s="11" t="e">
        <f>#REF!-#REF!</f>
        <v>#REF!</v>
      </c>
      <c r="Y27" s="11" t="e">
        <f>#REF!-#REF!</f>
        <v>#REF!</v>
      </c>
      <c r="Z27" s="34"/>
      <c r="AA27" s="11">
        <f t="shared" si="3"/>
        <v>47</v>
      </c>
      <c r="AB27" s="11" t="e">
        <f>#REF!-#REF!</f>
        <v>#REF!</v>
      </c>
      <c r="AC27" s="11" t="e">
        <f>#REF!-#REF!</f>
        <v>#REF!</v>
      </c>
      <c r="AD27" s="11" t="e">
        <f>#REF!-#REF!</f>
        <v>#REF!</v>
      </c>
      <c r="AE27" s="35"/>
    </row>
    <row r="28" spans="1:31" x14ac:dyDescent="0.2">
      <c r="A28" s="80">
        <v>23</v>
      </c>
      <c r="B28" s="40">
        <v>5810</v>
      </c>
      <c r="C28" s="15"/>
      <c r="D28" s="40">
        <v>26001</v>
      </c>
      <c r="E28" s="42">
        <v>2844</v>
      </c>
      <c r="F28" s="15"/>
      <c r="G28" s="41">
        <v>239171</v>
      </c>
      <c r="H28" s="45" t="e">
        <f>#REF!-#REF!</f>
        <v>#REF!</v>
      </c>
      <c r="I28" s="16"/>
      <c r="J28" s="17">
        <v>0</v>
      </c>
      <c r="K28" s="17">
        <v>0</v>
      </c>
      <c r="L28" s="17">
        <v>0</v>
      </c>
      <c r="M28" s="16"/>
      <c r="N28" s="80">
        <v>23</v>
      </c>
      <c r="O28" s="11">
        <f t="shared" si="0"/>
        <v>36</v>
      </c>
      <c r="P28" s="11" t="e">
        <f>#REF!-#REF!</f>
        <v>#REF!</v>
      </c>
      <c r="Q28" s="11" t="e">
        <f>#REF!-#REF!</f>
        <v>#REF!</v>
      </c>
      <c r="R28" s="11" t="e">
        <f>#REF!-#REF!</f>
        <v>#REF!</v>
      </c>
      <c r="S28" s="11" t="e">
        <f>#REF!-#REF!</f>
        <v>#REF!</v>
      </c>
      <c r="T28" s="11" t="e">
        <f>#REF!-#REF!</f>
        <v>#REF!</v>
      </c>
      <c r="U28" s="34"/>
      <c r="V28" s="11">
        <f t="shared" si="1"/>
        <v>11</v>
      </c>
      <c r="W28" s="11">
        <f t="shared" si="2"/>
        <v>2</v>
      </c>
      <c r="X28" s="11" t="e">
        <f>#REF!-#REF!</f>
        <v>#REF!</v>
      </c>
      <c r="Y28" s="11" t="e">
        <f>#REF!-#REF!</f>
        <v>#REF!</v>
      </c>
      <c r="Z28" s="34"/>
      <c r="AA28" s="11">
        <f t="shared" si="3"/>
        <v>43</v>
      </c>
      <c r="AB28" s="11" t="e">
        <f>#REF!-#REF!</f>
        <v>#REF!</v>
      </c>
      <c r="AC28" s="11" t="e">
        <f>#REF!-#REF!</f>
        <v>#REF!</v>
      </c>
      <c r="AD28" s="11" t="e">
        <f>#REF!-#REF!</f>
        <v>#REF!</v>
      </c>
      <c r="AE28" s="35"/>
    </row>
    <row r="29" spans="1:31" x14ac:dyDescent="0.2">
      <c r="A29" s="80">
        <v>24</v>
      </c>
      <c r="B29" s="40">
        <v>5852</v>
      </c>
      <c r="C29" s="15"/>
      <c r="D29" s="40">
        <v>26015</v>
      </c>
      <c r="E29" s="42">
        <v>2848</v>
      </c>
      <c r="F29" s="15"/>
      <c r="G29" s="41">
        <v>239214</v>
      </c>
      <c r="H29" s="45" t="e">
        <f>#REF!-#REF!</f>
        <v>#REF!</v>
      </c>
      <c r="I29" s="16"/>
      <c r="J29" s="17">
        <v>0</v>
      </c>
      <c r="K29" s="17">
        <v>0</v>
      </c>
      <c r="L29" s="17">
        <v>0</v>
      </c>
      <c r="M29" s="16"/>
      <c r="N29" s="80">
        <v>24</v>
      </c>
      <c r="O29" s="11">
        <f t="shared" si="0"/>
        <v>42</v>
      </c>
      <c r="P29" s="11" t="e">
        <f>#REF!-#REF!</f>
        <v>#REF!</v>
      </c>
      <c r="Q29" s="11" t="e">
        <f>#REF!-#REF!</f>
        <v>#REF!</v>
      </c>
      <c r="R29" s="11" t="e">
        <f>#REF!-#REF!</f>
        <v>#REF!</v>
      </c>
      <c r="S29" s="11" t="e">
        <f>#REF!-#REF!</f>
        <v>#REF!</v>
      </c>
      <c r="T29" s="11" t="e">
        <f>#REF!-#REF!</f>
        <v>#REF!</v>
      </c>
      <c r="U29" s="34"/>
      <c r="V29" s="11">
        <f t="shared" si="1"/>
        <v>14</v>
      </c>
      <c r="W29" s="11">
        <f t="shared" si="2"/>
        <v>4</v>
      </c>
      <c r="X29" s="11" t="e">
        <f>#REF!-#REF!</f>
        <v>#REF!</v>
      </c>
      <c r="Y29" s="11" t="e">
        <f>#REF!-#REF!</f>
        <v>#REF!</v>
      </c>
      <c r="Z29" s="34"/>
      <c r="AA29" s="11">
        <f t="shared" si="3"/>
        <v>48</v>
      </c>
      <c r="AB29" s="11" t="e">
        <f>#REF!-#REF!</f>
        <v>#REF!</v>
      </c>
      <c r="AC29" s="11" t="e">
        <f>#REF!-#REF!</f>
        <v>#REF!</v>
      </c>
      <c r="AD29" s="11" t="e">
        <f>#REF!-#REF!</f>
        <v>#REF!</v>
      </c>
      <c r="AE29" s="35"/>
    </row>
    <row r="30" spans="1:31" x14ac:dyDescent="0.2">
      <c r="A30" s="80">
        <v>25</v>
      </c>
      <c r="B30" s="40">
        <v>5892</v>
      </c>
      <c r="C30" s="15"/>
      <c r="D30" s="40">
        <v>26027</v>
      </c>
      <c r="E30" s="42">
        <v>2848</v>
      </c>
      <c r="F30" s="15"/>
      <c r="G30" s="41">
        <v>239262</v>
      </c>
      <c r="H30" s="45" t="e">
        <f>#REF!-#REF!</f>
        <v>#REF!</v>
      </c>
      <c r="I30" s="16"/>
      <c r="J30" s="17">
        <v>0</v>
      </c>
      <c r="K30" s="17">
        <v>0</v>
      </c>
      <c r="L30" s="17">
        <v>0</v>
      </c>
      <c r="M30" s="16"/>
      <c r="N30" s="80">
        <v>25</v>
      </c>
      <c r="O30" s="11">
        <f t="shared" si="0"/>
        <v>40</v>
      </c>
      <c r="P30" s="11" t="e">
        <f>#REF!-#REF!</f>
        <v>#REF!</v>
      </c>
      <c r="Q30" s="11" t="e">
        <f>#REF!-#REF!</f>
        <v>#REF!</v>
      </c>
      <c r="R30" s="11" t="e">
        <f>#REF!-#REF!</f>
        <v>#REF!</v>
      </c>
      <c r="S30" s="11" t="e">
        <f>#REF!-#REF!</f>
        <v>#REF!</v>
      </c>
      <c r="T30" s="11" t="e">
        <f>#REF!-#REF!</f>
        <v>#REF!</v>
      </c>
      <c r="U30" s="34"/>
      <c r="V30" s="11">
        <f t="shared" si="1"/>
        <v>12</v>
      </c>
      <c r="W30" s="11">
        <f t="shared" si="2"/>
        <v>0</v>
      </c>
      <c r="X30" s="11" t="e">
        <f>#REF!-#REF!</f>
        <v>#REF!</v>
      </c>
      <c r="Y30" s="11" t="e">
        <f>#REF!-#REF!</f>
        <v>#REF!</v>
      </c>
      <c r="Z30" s="34"/>
      <c r="AA30" s="11">
        <f t="shared" si="3"/>
        <v>39</v>
      </c>
      <c r="AB30" s="11" t="e">
        <f>#REF!-#REF!</f>
        <v>#REF!</v>
      </c>
      <c r="AC30" s="11" t="e">
        <f>#REF!-#REF!</f>
        <v>#REF!</v>
      </c>
      <c r="AD30" s="11" t="e">
        <f>#REF!-#REF!</f>
        <v>#REF!</v>
      </c>
      <c r="AE30" s="35"/>
    </row>
    <row r="31" spans="1:31" x14ac:dyDescent="0.2">
      <c r="A31" s="80">
        <v>26</v>
      </c>
      <c r="B31" s="40">
        <v>5932</v>
      </c>
      <c r="C31" s="15"/>
      <c r="D31" s="40">
        <v>26039</v>
      </c>
      <c r="E31" s="42">
        <v>2848</v>
      </c>
      <c r="F31" s="15"/>
      <c r="G31" s="41">
        <v>239301</v>
      </c>
      <c r="H31" s="45" t="e">
        <f>#REF!-#REF!</f>
        <v>#REF!</v>
      </c>
      <c r="I31" s="16"/>
      <c r="J31" s="17">
        <v>0</v>
      </c>
      <c r="K31" s="17">
        <v>0</v>
      </c>
      <c r="L31" s="17">
        <v>0</v>
      </c>
      <c r="M31" s="16"/>
      <c r="N31" s="80">
        <v>26</v>
      </c>
      <c r="O31" s="11">
        <f t="shared" si="0"/>
        <v>40</v>
      </c>
      <c r="P31" s="11" t="e">
        <f>#REF!-#REF!</f>
        <v>#REF!</v>
      </c>
      <c r="Q31" s="11" t="e">
        <f>#REF!-#REF!</f>
        <v>#REF!</v>
      </c>
      <c r="R31" s="11" t="e">
        <f>#REF!-#REF!</f>
        <v>#REF!</v>
      </c>
      <c r="S31" s="11" t="e">
        <f>#REF!-#REF!</f>
        <v>#REF!</v>
      </c>
      <c r="T31" s="11" t="e">
        <f>#REF!-#REF!</f>
        <v>#REF!</v>
      </c>
      <c r="U31" s="34"/>
      <c r="V31" s="11">
        <f t="shared" si="1"/>
        <v>12</v>
      </c>
      <c r="W31" s="11">
        <f t="shared" si="2"/>
        <v>0</v>
      </c>
      <c r="X31" s="11" t="e">
        <f>#REF!-#REF!</f>
        <v>#REF!</v>
      </c>
      <c r="Y31" s="11" t="e">
        <f>#REF!-#REF!</f>
        <v>#REF!</v>
      </c>
      <c r="Z31" s="34"/>
      <c r="AA31" s="11">
        <f t="shared" si="3"/>
        <v>40</v>
      </c>
      <c r="AB31" s="11" t="e">
        <f>#REF!-#REF!</f>
        <v>#REF!</v>
      </c>
      <c r="AC31" s="11" t="e">
        <f>#REF!-#REF!</f>
        <v>#REF!</v>
      </c>
      <c r="AD31" s="11" t="e">
        <f>#REF!-#REF!</f>
        <v>#REF!</v>
      </c>
      <c r="AE31" s="35"/>
    </row>
    <row r="32" spans="1:31" x14ac:dyDescent="0.2">
      <c r="A32" s="80">
        <v>27</v>
      </c>
      <c r="B32" s="40">
        <v>5968</v>
      </c>
      <c r="C32" s="15"/>
      <c r="D32" s="40">
        <v>26048</v>
      </c>
      <c r="E32" s="42">
        <v>2854</v>
      </c>
      <c r="F32" s="15"/>
      <c r="G32" s="41">
        <v>239341</v>
      </c>
      <c r="H32" s="45" t="e">
        <f>#REF!-#REF!</f>
        <v>#REF!</v>
      </c>
      <c r="I32" s="16"/>
      <c r="J32" s="17">
        <v>0</v>
      </c>
      <c r="K32" s="17">
        <v>0</v>
      </c>
      <c r="L32" s="17">
        <v>0</v>
      </c>
      <c r="M32" s="16"/>
      <c r="N32" s="80">
        <v>27</v>
      </c>
      <c r="O32" s="11">
        <f t="shared" si="0"/>
        <v>36</v>
      </c>
      <c r="P32" s="11" t="e">
        <f>#REF!-#REF!</f>
        <v>#REF!</v>
      </c>
      <c r="Q32" s="11" t="e">
        <f>#REF!-#REF!</f>
        <v>#REF!</v>
      </c>
      <c r="R32" s="11" t="e">
        <f>#REF!-#REF!</f>
        <v>#REF!</v>
      </c>
      <c r="S32" s="11" t="e">
        <f>#REF!-#REF!</f>
        <v>#REF!</v>
      </c>
      <c r="T32" s="11" t="e">
        <f>#REF!-#REF!</f>
        <v>#REF!</v>
      </c>
      <c r="U32" s="34"/>
      <c r="V32" s="11">
        <f t="shared" si="1"/>
        <v>9</v>
      </c>
      <c r="W32" s="11">
        <f t="shared" si="2"/>
        <v>6</v>
      </c>
      <c r="X32" s="11" t="e">
        <f>#REF!-#REF!</f>
        <v>#REF!</v>
      </c>
      <c r="Y32" s="11" t="e">
        <f>#REF!-#REF!</f>
        <v>#REF!</v>
      </c>
      <c r="Z32" s="34"/>
      <c r="AA32" s="11">
        <f t="shared" si="3"/>
        <v>37</v>
      </c>
      <c r="AB32" s="11" t="e">
        <f>#REF!-#REF!</f>
        <v>#REF!</v>
      </c>
      <c r="AC32" s="11" t="e">
        <f>#REF!-#REF!</f>
        <v>#REF!</v>
      </c>
      <c r="AD32" s="11" t="e">
        <f>#REF!-#REF!</f>
        <v>#REF!</v>
      </c>
      <c r="AE32" s="35"/>
    </row>
    <row r="33" spans="1:31" x14ac:dyDescent="0.2">
      <c r="A33" s="80">
        <v>28</v>
      </c>
      <c r="B33" s="40">
        <v>6006</v>
      </c>
      <c r="C33" s="15"/>
      <c r="D33" s="40">
        <v>26069</v>
      </c>
      <c r="E33" s="42">
        <v>2858</v>
      </c>
      <c r="F33" s="15"/>
      <c r="G33" s="41">
        <v>239378</v>
      </c>
      <c r="H33" s="45" t="e">
        <f>#REF!-#REF!</f>
        <v>#REF!</v>
      </c>
      <c r="I33" s="16"/>
      <c r="J33" s="17">
        <v>0</v>
      </c>
      <c r="K33" s="17">
        <v>0</v>
      </c>
      <c r="L33" s="17">
        <v>0</v>
      </c>
      <c r="M33" s="16"/>
      <c r="N33" s="80">
        <v>28</v>
      </c>
      <c r="O33" s="11">
        <f t="shared" si="0"/>
        <v>38</v>
      </c>
      <c r="P33" s="11" t="e">
        <f>#REF!-#REF!</f>
        <v>#REF!</v>
      </c>
      <c r="Q33" s="11" t="e">
        <f>#REF!-#REF!</f>
        <v>#REF!</v>
      </c>
      <c r="R33" s="11" t="e">
        <f>#REF!-#REF!</f>
        <v>#REF!</v>
      </c>
      <c r="S33" s="11" t="e">
        <f>#REF!-#REF!</f>
        <v>#REF!</v>
      </c>
      <c r="T33" s="11" t="e">
        <f>#REF!-#REF!</f>
        <v>#REF!</v>
      </c>
      <c r="U33" s="34"/>
      <c r="V33" s="11">
        <f t="shared" si="1"/>
        <v>21</v>
      </c>
      <c r="W33" s="11">
        <f t="shared" si="2"/>
        <v>4</v>
      </c>
      <c r="X33" s="11" t="e">
        <f>#REF!-#REF!</f>
        <v>#REF!</v>
      </c>
      <c r="Y33" s="11" t="e">
        <f>#REF!-#REF!</f>
        <v>#REF!</v>
      </c>
      <c r="Z33" s="34"/>
      <c r="AA33" s="11" t="e">
        <f>#REF!-G33</f>
        <v>#REF!</v>
      </c>
      <c r="AB33" s="11" t="e">
        <f>#REF!-#REF!</f>
        <v>#REF!</v>
      </c>
      <c r="AC33" s="11" t="e">
        <f>#REF!-#REF!</f>
        <v>#REF!</v>
      </c>
      <c r="AD33" s="11" t="e">
        <f>#REF!-#REF!</f>
        <v>#REF!</v>
      </c>
      <c r="AE33" s="35"/>
    </row>
    <row r="34" spans="1:31" x14ac:dyDescent="0.2">
      <c r="A34" s="75">
        <v>29</v>
      </c>
      <c r="B34" s="40">
        <v>6030</v>
      </c>
      <c r="C34" s="15"/>
      <c r="D34" s="40">
        <v>26076</v>
      </c>
      <c r="E34" s="42">
        <v>2858</v>
      </c>
      <c r="F34" s="15"/>
      <c r="G34" s="41">
        <v>239423</v>
      </c>
      <c r="H34" s="15"/>
      <c r="I34" s="16"/>
      <c r="J34" s="16"/>
      <c r="K34" s="16"/>
      <c r="L34" s="16"/>
      <c r="M34" s="16"/>
      <c r="N34" s="75"/>
      <c r="O34" s="8"/>
      <c r="P34" s="8"/>
      <c r="Q34" s="8"/>
      <c r="R34" s="8"/>
      <c r="S34" s="8"/>
      <c r="T34" s="8"/>
      <c r="V34" s="8"/>
      <c r="W34" s="8"/>
      <c r="X34" s="8"/>
      <c r="Y34" s="8"/>
      <c r="AA34" s="8"/>
      <c r="AB34" s="8"/>
      <c r="AC34" s="8"/>
      <c r="AD34" s="8"/>
    </row>
    <row r="35" spans="1:31" x14ac:dyDescent="0.2">
      <c r="A35" s="75">
        <v>30</v>
      </c>
      <c r="B35" s="40">
        <v>6059</v>
      </c>
      <c r="C35" s="15"/>
      <c r="D35" s="40">
        <v>26086</v>
      </c>
      <c r="E35" s="42">
        <v>2858</v>
      </c>
      <c r="F35" s="15"/>
      <c r="G35" s="41">
        <v>239469</v>
      </c>
      <c r="H35" s="15"/>
      <c r="I35" s="16"/>
      <c r="J35" s="16"/>
      <c r="K35" s="16"/>
      <c r="L35" s="16"/>
      <c r="M35" s="16"/>
      <c r="N35" s="75"/>
      <c r="O35" s="8"/>
      <c r="P35" s="8"/>
      <c r="Q35" s="8"/>
      <c r="R35" s="8"/>
      <c r="S35" s="8"/>
      <c r="T35" s="8"/>
      <c r="V35" s="8"/>
      <c r="W35" s="8"/>
      <c r="X35" s="8"/>
      <c r="Y35" s="8"/>
      <c r="AA35" s="8"/>
      <c r="AB35" s="8"/>
      <c r="AC35" s="8"/>
      <c r="AD35" s="8"/>
    </row>
    <row r="36" spans="1:31" x14ac:dyDescent="0.2">
      <c r="A36" s="75">
        <v>31</v>
      </c>
      <c r="B36" s="40">
        <v>6132</v>
      </c>
      <c r="C36" s="15"/>
      <c r="D36" s="40">
        <v>26114</v>
      </c>
      <c r="E36" s="42">
        <v>2865</v>
      </c>
      <c r="F36" s="15"/>
      <c r="G36" s="41">
        <v>239568</v>
      </c>
      <c r="H36" s="15"/>
      <c r="I36" s="16"/>
      <c r="J36" s="16"/>
      <c r="K36" s="16"/>
      <c r="L36" s="16"/>
      <c r="M36" s="16"/>
      <c r="N36" s="75"/>
      <c r="O36" s="8"/>
      <c r="P36" s="8"/>
      <c r="Q36" s="8"/>
      <c r="R36" s="8"/>
      <c r="S36" s="8"/>
      <c r="T36" s="8"/>
      <c r="V36" s="8"/>
      <c r="W36" s="8"/>
      <c r="X36" s="8"/>
      <c r="Y36" s="8"/>
      <c r="AA36" s="8"/>
      <c r="AB36" s="8"/>
      <c r="AC36" s="8"/>
      <c r="AD36" s="8"/>
    </row>
    <row r="37" spans="1:31" x14ac:dyDescent="0.2">
      <c r="A37" s="12"/>
      <c r="B37" s="19" t="s">
        <v>32</v>
      </c>
      <c r="D37" s="19" t="s">
        <v>32</v>
      </c>
      <c r="E37" s="21" t="s">
        <v>33</v>
      </c>
      <c r="G37" s="20" t="s">
        <v>31</v>
      </c>
      <c r="N37" s="12"/>
    </row>
    <row r="38" spans="1:31" x14ac:dyDescent="0.2">
      <c r="A38" s="12"/>
      <c r="N38" s="12"/>
    </row>
    <row r="39" spans="1:31" x14ac:dyDescent="0.2">
      <c r="A39" s="80" t="s">
        <v>34</v>
      </c>
      <c r="B39" s="10">
        <f>LARGE(B5:B33, 1)</f>
        <v>6006</v>
      </c>
      <c r="C39" s="23"/>
      <c r="D39" s="10">
        <f>LARGE(D5:D33, 1)</f>
        <v>26069</v>
      </c>
      <c r="E39" s="24">
        <f>LARGE(E5:E33, 1)</f>
        <v>2858</v>
      </c>
      <c r="F39" s="8"/>
      <c r="G39" s="22">
        <f>LARGE(G5:G33, 1)</f>
        <v>239378</v>
      </c>
      <c r="H39" s="19"/>
      <c r="I39" s="9"/>
      <c r="J39" s="11">
        <f>LARGE(J5:J33, 1)</f>
        <v>0</v>
      </c>
      <c r="K39" s="11">
        <f>LARGE(K5:K33, 1)</f>
        <v>0</v>
      </c>
      <c r="L39" s="11">
        <f>LARGE(L5:L33, 1)</f>
        <v>0</v>
      </c>
      <c r="N39" s="80" t="s">
        <v>35</v>
      </c>
      <c r="O39" s="55">
        <f t="shared" ref="O39:T39" si="4">AVERAGEIF($M$6:$M$33, "x",O6:O33)</f>
        <v>1762</v>
      </c>
      <c r="P39" s="55" t="e">
        <f t="shared" si="4"/>
        <v>#REF!</v>
      </c>
      <c r="Q39" s="55" t="e">
        <f t="shared" si="4"/>
        <v>#REF!</v>
      </c>
      <c r="R39" s="55" t="e">
        <f t="shared" si="4"/>
        <v>#REF!</v>
      </c>
      <c r="S39" s="55" t="e">
        <f t="shared" si="4"/>
        <v>#REF!</v>
      </c>
      <c r="T39" s="55" t="e">
        <f t="shared" si="4"/>
        <v>#REF!</v>
      </c>
      <c r="U39" s="56"/>
      <c r="V39" s="55">
        <f>AVERAGEIF($M$6:$M$33, "x",V6:V33)</f>
        <v>397</v>
      </c>
      <c r="W39" s="55">
        <f>AVERAGEIF($M$6:$M$33, "x",W6:W33)</f>
        <v>74</v>
      </c>
      <c r="X39" s="55" t="e">
        <f>AVERAGEIF($M$6:$M$33, "x",X6:X33)</f>
        <v>#REF!</v>
      </c>
      <c r="Y39" s="55" t="e">
        <f>AVERAGEIF($M$6:$M$33, "x",Y6:Y33)</f>
        <v>#REF!</v>
      </c>
      <c r="Z39" s="56"/>
      <c r="AA39" s="55">
        <f>AVERAGEIF($M$6:$M$33, "x",AA6:AA33)</f>
        <v>4503</v>
      </c>
      <c r="AB39" s="55" t="e">
        <f>AVERAGEIF($M$6:$M$33, "x",AB6:AB33)</f>
        <v>#REF!</v>
      </c>
      <c r="AC39" s="55" t="e">
        <f>AVERAGEIF($M$6:$M$33, "x",AC6:AC33)</f>
        <v>#REF!</v>
      </c>
      <c r="AD39" s="55" t="e">
        <f>AVERAGEIF($M$6:$M$33, "x",AD6:AD33)</f>
        <v>#REF!</v>
      </c>
    </row>
    <row r="40" spans="1:31" x14ac:dyDescent="0.2">
      <c r="A40" s="12"/>
      <c r="N40" s="12"/>
      <c r="O40" s="56"/>
      <c r="P40" s="56"/>
      <c r="Q40" s="56"/>
      <c r="R40" s="56"/>
      <c r="S40" s="56"/>
      <c r="T40" s="56"/>
      <c r="U40" s="56"/>
      <c r="V40" s="56"/>
      <c r="W40" s="56"/>
      <c r="X40" s="56"/>
      <c r="Y40" s="56"/>
      <c r="Z40" s="56"/>
      <c r="AA40" s="56"/>
      <c r="AB40" s="56"/>
      <c r="AC40" s="56"/>
      <c r="AD40" s="56"/>
    </row>
    <row r="41" spans="1:31" x14ac:dyDescent="0.2">
      <c r="A41" s="12"/>
      <c r="B41" s="25" t="s">
        <v>36</v>
      </c>
      <c r="N41" s="95" t="s">
        <v>37</v>
      </c>
      <c r="O41" s="56"/>
      <c r="P41" s="56"/>
      <c r="Q41" s="56"/>
      <c r="R41" s="56"/>
      <c r="S41" s="56"/>
      <c r="T41" s="56"/>
      <c r="U41" s="56"/>
      <c r="V41" s="56"/>
      <c r="W41" s="56"/>
      <c r="X41" s="56"/>
      <c r="Y41" s="56"/>
      <c r="Z41" s="56"/>
      <c r="AA41" s="56"/>
      <c r="AB41" s="56"/>
      <c r="AC41" s="56"/>
      <c r="AD41" s="56"/>
    </row>
    <row r="42" spans="1:31" x14ac:dyDescent="0.2">
      <c r="A42" s="12"/>
      <c r="B42" s="26">
        <f>B39-B5</f>
        <v>2648</v>
      </c>
      <c r="D42" s="26">
        <f>D39-D5</f>
        <v>692</v>
      </c>
      <c r="E42" s="26">
        <f>E39-E5</f>
        <v>88</v>
      </c>
      <c r="G42" s="26">
        <f>G39-G6</f>
        <v>1247</v>
      </c>
      <c r="H42" s="26"/>
      <c r="J42" s="26">
        <f>J39-J5</f>
        <v>0</v>
      </c>
      <c r="K42" s="26">
        <f>K39-K5</f>
        <v>0</v>
      </c>
      <c r="L42" s="26">
        <f>L39-L5</f>
        <v>0</v>
      </c>
      <c r="N42" s="96"/>
      <c r="O42" s="53">
        <v>0</v>
      </c>
      <c r="P42" s="53">
        <v>0</v>
      </c>
      <c r="Q42" s="53">
        <v>0</v>
      </c>
      <c r="R42" s="53">
        <v>119.875</v>
      </c>
      <c r="S42" s="53">
        <v>3.5</v>
      </c>
      <c r="T42" s="53">
        <v>21.8125</v>
      </c>
      <c r="U42" s="57"/>
      <c r="V42" s="53">
        <v>43.625</v>
      </c>
      <c r="W42" s="53">
        <v>0</v>
      </c>
      <c r="X42" s="53">
        <v>8.375</v>
      </c>
      <c r="Y42" s="53">
        <v>1.1875</v>
      </c>
      <c r="Z42" s="57"/>
      <c r="AA42" s="53">
        <v>53.125</v>
      </c>
      <c r="AB42" s="53">
        <v>69.1875</v>
      </c>
      <c r="AC42" s="53">
        <v>9.3125</v>
      </c>
      <c r="AD42" s="53">
        <v>0</v>
      </c>
    </row>
    <row r="43" spans="1:31" x14ac:dyDescent="0.2">
      <c r="A43" s="12"/>
      <c r="N43" s="80">
        <v>1.5</v>
      </c>
      <c r="O43" s="54">
        <f>O42*$N$43</f>
        <v>0</v>
      </c>
      <c r="P43" s="54">
        <f t="shared" ref="P43:T43" si="5">P42*$N$43</f>
        <v>0</v>
      </c>
      <c r="Q43" s="54">
        <f t="shared" si="5"/>
        <v>0</v>
      </c>
      <c r="R43" s="54">
        <f t="shared" si="5"/>
        <v>179.8125</v>
      </c>
      <c r="S43" s="54">
        <f t="shared" si="5"/>
        <v>5.25</v>
      </c>
      <c r="T43" s="54">
        <f t="shared" si="5"/>
        <v>32.71875</v>
      </c>
      <c r="U43" s="56"/>
      <c r="V43" s="54">
        <f t="shared" ref="V43:Y43" si="6">V42*$N$43</f>
        <v>65.4375</v>
      </c>
      <c r="W43" s="54">
        <f t="shared" si="6"/>
        <v>0</v>
      </c>
      <c r="X43" s="54">
        <f t="shared" si="6"/>
        <v>12.5625</v>
      </c>
      <c r="Y43" s="54">
        <f t="shared" si="6"/>
        <v>1.78125</v>
      </c>
      <c r="Z43" s="56"/>
      <c r="AA43" s="54">
        <f t="shared" ref="AA43:AD43" si="7">AA42*$N$43</f>
        <v>79.6875</v>
      </c>
      <c r="AB43" s="54">
        <f t="shared" si="7"/>
        <v>103.78125</v>
      </c>
      <c r="AC43" s="54">
        <f t="shared" si="7"/>
        <v>13.96875</v>
      </c>
      <c r="AD43" s="54">
        <f t="shared" si="7"/>
        <v>0</v>
      </c>
    </row>
    <row r="44" spans="1:31" x14ac:dyDescent="0.2">
      <c r="A44" s="12"/>
      <c r="H44" s="31" t="s">
        <v>35</v>
      </c>
      <c r="N44" s="80">
        <v>0.5</v>
      </c>
      <c r="O44" s="54">
        <f>O42*$N$44</f>
        <v>0</v>
      </c>
      <c r="P44" s="54">
        <f t="shared" ref="P44:T44" si="8">P42*$N$44</f>
        <v>0</v>
      </c>
      <c r="Q44" s="54">
        <f t="shared" si="8"/>
        <v>0</v>
      </c>
      <c r="R44" s="54">
        <f t="shared" si="8"/>
        <v>59.9375</v>
      </c>
      <c r="S44" s="54">
        <f t="shared" si="8"/>
        <v>1.75</v>
      </c>
      <c r="T44" s="54">
        <f t="shared" si="8"/>
        <v>10.90625</v>
      </c>
      <c r="U44" s="56"/>
      <c r="V44" s="54">
        <f t="shared" ref="V44:Y44" si="9">V42*$N$44</f>
        <v>21.8125</v>
      </c>
      <c r="W44" s="54">
        <f t="shared" si="9"/>
        <v>0</v>
      </c>
      <c r="X44" s="54">
        <f t="shared" si="9"/>
        <v>4.1875</v>
      </c>
      <c r="Y44" s="54">
        <f t="shared" si="9"/>
        <v>0.59375</v>
      </c>
      <c r="Z44" s="56"/>
      <c r="AA44" s="54">
        <f t="shared" ref="AA44:AB44" si="10">AA42*$N$44</f>
        <v>26.5625</v>
      </c>
      <c r="AB44" s="54">
        <f t="shared" si="10"/>
        <v>34.59375</v>
      </c>
      <c r="AC44" s="54">
        <v>0</v>
      </c>
      <c r="AD44" s="54">
        <v>0</v>
      </c>
    </row>
    <row r="45" spans="1:31" x14ac:dyDescent="0.2">
      <c r="A45" s="12"/>
      <c r="H45" s="11" t="e">
        <f>AVERAGE(H6:H33)</f>
        <v>#REF!</v>
      </c>
      <c r="N45" s="12"/>
    </row>
    <row r="46" spans="1:31" x14ac:dyDescent="0.2">
      <c r="A46" s="12"/>
      <c r="N46" s="12"/>
      <c r="O46" s="58" t="s">
        <v>38</v>
      </c>
      <c r="P46" s="82" t="s">
        <v>39</v>
      </c>
      <c r="Q46" s="82"/>
      <c r="R46" s="82"/>
      <c r="S46" s="82"/>
      <c r="T46" s="82"/>
      <c r="U46" s="82"/>
      <c r="V46" s="82"/>
      <c r="W46" s="82"/>
      <c r="X46" s="82"/>
      <c r="Y46" s="82"/>
      <c r="Z46" s="82"/>
      <c r="AA46" s="82"/>
      <c r="AB46" s="82"/>
      <c r="AC46" s="82"/>
      <c r="AD46" s="82"/>
    </row>
    <row r="47" spans="1:31" ht="15" x14ac:dyDescent="0.2">
      <c r="A47" s="12"/>
      <c r="N47" s="12"/>
      <c r="O47" s="59" t="s">
        <v>40</v>
      </c>
      <c r="P47" s="82" t="s">
        <v>41</v>
      </c>
      <c r="Q47" s="82"/>
      <c r="R47" s="82"/>
      <c r="S47" s="82"/>
      <c r="T47" s="82"/>
      <c r="U47" s="82"/>
      <c r="V47" s="82"/>
      <c r="W47" s="82"/>
      <c r="X47" s="82"/>
      <c r="Y47" s="82"/>
      <c r="Z47" s="82"/>
      <c r="AA47" s="82"/>
      <c r="AB47" s="82"/>
      <c r="AC47" s="82"/>
      <c r="AD47" s="82"/>
    </row>
    <row r="48" spans="1:31" ht="27" x14ac:dyDescent="0.2">
      <c r="A48" s="12"/>
      <c r="N48" s="63" t="s">
        <v>42</v>
      </c>
      <c r="O48" s="60" t="s">
        <v>43</v>
      </c>
      <c r="P48" s="82" t="s">
        <v>44</v>
      </c>
      <c r="Q48" s="82"/>
      <c r="R48" s="82"/>
      <c r="S48" s="82"/>
      <c r="T48" s="82"/>
      <c r="U48" s="82"/>
      <c r="V48" s="82"/>
      <c r="W48" s="82"/>
      <c r="X48" s="82"/>
      <c r="Y48" s="82"/>
      <c r="Z48" s="82"/>
      <c r="AA48" s="82"/>
      <c r="AB48" s="82"/>
      <c r="AC48" s="82"/>
      <c r="AD48" s="82"/>
    </row>
    <row r="49" spans="1:30" x14ac:dyDescent="0.2">
      <c r="A49" s="12"/>
      <c r="N49" s="12"/>
      <c r="O49" s="61" t="s">
        <v>45</v>
      </c>
      <c r="P49" s="83" t="s">
        <v>46</v>
      </c>
      <c r="Q49" s="83"/>
      <c r="R49" s="83"/>
      <c r="S49" s="83"/>
      <c r="T49" s="83"/>
      <c r="U49" s="83"/>
      <c r="V49" s="83"/>
      <c r="W49" s="83"/>
      <c r="X49" s="83"/>
      <c r="Y49" s="83"/>
      <c r="Z49" s="83"/>
      <c r="AA49" s="83"/>
      <c r="AB49" s="83"/>
      <c r="AC49" s="83"/>
      <c r="AD49" s="83"/>
    </row>
    <row r="50" spans="1:30" ht="27" x14ac:dyDescent="0.2">
      <c r="A50" s="12"/>
      <c r="N50" s="63" t="s">
        <v>42</v>
      </c>
      <c r="O50" s="62" t="s">
        <v>47</v>
      </c>
      <c r="P50" s="82" t="s">
        <v>48</v>
      </c>
      <c r="Q50" s="83"/>
      <c r="R50" s="83"/>
      <c r="S50" s="83"/>
      <c r="T50" s="83"/>
      <c r="U50" s="83"/>
      <c r="V50" s="83"/>
      <c r="W50" s="83"/>
      <c r="X50" s="83"/>
      <c r="Y50" s="83"/>
      <c r="Z50" s="83"/>
      <c r="AA50" s="83"/>
      <c r="AB50" s="83"/>
      <c r="AC50" s="83"/>
      <c r="AD50" s="83"/>
    </row>
  </sheetData>
  <mergeCells count="21">
    <mergeCell ref="P46:AD46"/>
    <mergeCell ref="P47:AD47"/>
    <mergeCell ref="P48:AD48"/>
    <mergeCell ref="P49:AD49"/>
    <mergeCell ref="P50:AD50"/>
    <mergeCell ref="N41:N42"/>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s>
  <conditionalFormatting sqref="O42:T42 V42:Y42 AA42:AD42">
    <cfRule type="cellIs" dxfId="269" priority="43" operator="lessThan">
      <formula>0</formula>
    </cfRule>
  </conditionalFormatting>
  <conditionalFormatting sqref="O43:T44 V43:Y44 AA43:AD43 AA44:AB44">
    <cfRule type="cellIs" dxfId="268" priority="42" operator="lessThan">
      <formula>0</formula>
    </cfRule>
  </conditionalFormatting>
  <conditionalFormatting sqref="AC44:AD44">
    <cfRule type="cellIs" dxfId="267" priority="41" operator="lessThan">
      <formula>0</formula>
    </cfRule>
  </conditionalFormatting>
  <conditionalFormatting sqref="O39:AD39">
    <cfRule type="cellIs" dxfId="266" priority="40" operator="lessThan">
      <formula>0</formula>
    </cfRule>
  </conditionalFormatting>
  <conditionalFormatting sqref="O39">
    <cfRule type="cellIs" dxfId="265" priority="38" operator="lessThan">
      <formula>$O$44</formula>
    </cfRule>
    <cfRule type="cellIs" dxfId="264" priority="39" operator="greaterThan">
      <formula>$O$43</formula>
    </cfRule>
  </conditionalFormatting>
  <conditionalFormatting sqref="R39">
    <cfRule type="cellIs" dxfId="263" priority="36" operator="lessThan">
      <formula>$R$44</formula>
    </cfRule>
    <cfRule type="cellIs" dxfId="262" priority="37" operator="greaterThan">
      <formula>$R$43</formula>
    </cfRule>
  </conditionalFormatting>
  <conditionalFormatting sqref="S39">
    <cfRule type="cellIs" dxfId="261" priority="34" operator="lessThan">
      <formula>$S$44</formula>
    </cfRule>
    <cfRule type="cellIs" dxfId="260" priority="35" operator="greaterThan">
      <formula>$S$43</formula>
    </cfRule>
  </conditionalFormatting>
  <conditionalFormatting sqref="T39">
    <cfRule type="cellIs" dxfId="259" priority="32" operator="lessThan">
      <formula>$T$44</formula>
    </cfRule>
    <cfRule type="cellIs" dxfId="258" priority="33" operator="greaterThan">
      <formula>$T$43</formula>
    </cfRule>
  </conditionalFormatting>
  <conditionalFormatting sqref="V39">
    <cfRule type="cellIs" dxfId="257" priority="30" operator="lessThan">
      <formula>$V$44</formula>
    </cfRule>
    <cfRule type="cellIs" dxfId="256" priority="31" operator="greaterThan">
      <formula>$V$43</formula>
    </cfRule>
  </conditionalFormatting>
  <conditionalFormatting sqref="W39">
    <cfRule type="cellIs" dxfId="255" priority="28" operator="lessThan">
      <formula>$W$44</formula>
    </cfRule>
    <cfRule type="cellIs" dxfId="254" priority="29" operator="greaterThan">
      <formula>$W$43</formula>
    </cfRule>
  </conditionalFormatting>
  <conditionalFormatting sqref="X39">
    <cfRule type="cellIs" dxfId="253" priority="26" operator="lessThan">
      <formula>$X$44</formula>
    </cfRule>
    <cfRule type="cellIs" dxfId="252" priority="27" operator="greaterThan">
      <formula>$X$43</formula>
    </cfRule>
  </conditionalFormatting>
  <conditionalFormatting sqref="Y39">
    <cfRule type="cellIs" dxfId="251" priority="24" operator="lessThan">
      <formula>$Y$44</formula>
    </cfRule>
    <cfRule type="cellIs" dxfId="250" priority="25" operator="greaterThan">
      <formula>$Y$43</formula>
    </cfRule>
  </conditionalFormatting>
  <conditionalFormatting sqref="AA39">
    <cfRule type="cellIs" dxfId="249" priority="22" operator="lessThan">
      <formula>$AA$44</formula>
    </cfRule>
    <cfRule type="cellIs" dxfId="248" priority="23" operator="greaterThan">
      <formula>$AA$43</formula>
    </cfRule>
  </conditionalFormatting>
  <conditionalFormatting sqref="AB39">
    <cfRule type="cellIs" dxfId="247" priority="20" operator="lessThan">
      <formula>$AB$44</formula>
    </cfRule>
    <cfRule type="cellIs" dxfId="246" priority="21" operator="greaterThan">
      <formula>$AB$43</formula>
    </cfRule>
  </conditionalFormatting>
  <conditionalFormatting sqref="AC39">
    <cfRule type="cellIs" dxfId="245" priority="18" operator="lessThan">
      <formula>$AC$44</formula>
    </cfRule>
    <cfRule type="cellIs" dxfId="244" priority="19" operator="greaterThan">
      <formula>$AC$43</formula>
    </cfRule>
  </conditionalFormatting>
  <conditionalFormatting sqref="AD39">
    <cfRule type="cellIs" dxfId="243" priority="16" operator="lessThan">
      <formula>$AD$44</formula>
    </cfRule>
    <cfRule type="cellIs" dxfId="242" priority="17" operator="greaterThan">
      <formula>$AD$43</formula>
    </cfRule>
  </conditionalFormatting>
  <conditionalFormatting sqref="R6:R36">
    <cfRule type="cellIs" dxfId="241" priority="15" operator="notBetween">
      <formula>$R$44</formula>
      <formula>$R$43</formula>
    </cfRule>
  </conditionalFormatting>
  <conditionalFormatting sqref="S6:S36">
    <cfRule type="cellIs" dxfId="240" priority="4" operator="notBetween">
      <formula>$S$43</formula>
      <formula>$S$44</formula>
    </cfRule>
  </conditionalFormatting>
  <conditionalFormatting sqref="O6:AD36">
    <cfRule type="cellIs" dxfId="239" priority="2" stopIfTrue="1" operator="equal">
      <formula>0</formula>
    </cfRule>
    <cfRule type="cellIs" dxfId="238" priority="3" stopIfTrue="1" operator="lessThan">
      <formula>0</formula>
    </cfRule>
  </conditionalFormatting>
  <conditionalFormatting sqref="O6:O36">
    <cfRule type="cellIs" dxfId="237" priority="13" operator="notBetween">
      <formula>$O$44</formula>
      <formula>$O$43</formula>
    </cfRule>
  </conditionalFormatting>
  <conditionalFormatting sqref="T6:T36">
    <cfRule type="cellIs" dxfId="236" priority="5" operator="notBetween">
      <formula>$T$44</formula>
      <formula>$T$43</formula>
    </cfRule>
  </conditionalFormatting>
  <conditionalFormatting sqref="V6:V36">
    <cfRule type="cellIs" dxfId="235" priority="6" operator="notBetween">
      <formula>$V$44</formula>
      <formula>$V$43</formula>
    </cfRule>
  </conditionalFormatting>
  <conditionalFormatting sqref="W6:W36">
    <cfRule type="cellIs" dxfId="234" priority="7" operator="notBetween">
      <formula>$W$44</formula>
      <formula>$W$43</formula>
    </cfRule>
  </conditionalFormatting>
  <conditionalFormatting sqref="X6:X36">
    <cfRule type="cellIs" dxfId="233" priority="8" operator="notBetween">
      <formula>$X$44</formula>
      <formula>$X$43</formula>
    </cfRule>
  </conditionalFormatting>
  <conditionalFormatting sqref="Y6:Y36">
    <cfRule type="cellIs" dxfId="232" priority="9" operator="notBetween">
      <formula>$Y$44</formula>
      <formula>$Y$43</formula>
    </cfRule>
  </conditionalFormatting>
  <conditionalFormatting sqref="AA6:AA36">
    <cfRule type="cellIs" dxfId="231" priority="10" operator="notBetween">
      <formula>$AA$44</formula>
      <formula>$AA$43</formula>
    </cfRule>
  </conditionalFormatting>
  <conditionalFormatting sqref="AB6:AB36">
    <cfRule type="cellIs" dxfId="230" priority="11" operator="notBetween">
      <formula>$AB$44</formula>
      <formula>$AB$43</formula>
    </cfRule>
  </conditionalFormatting>
  <conditionalFormatting sqref="AC6:AC36">
    <cfRule type="cellIs" dxfId="229" priority="14" operator="notBetween">
      <formula>$AC$44</formula>
      <formula>$AC$43</formula>
    </cfRule>
  </conditionalFormatting>
  <conditionalFormatting sqref="AD6:AD36">
    <cfRule type="cellIs" dxfId="228" priority="12" operator="notBetween">
      <formula>$AD$44</formula>
      <formula>$AD$43</formula>
    </cfRule>
  </conditionalFormatting>
  <conditionalFormatting sqref="O37:AD38">
    <cfRule type="cellIs" priority="1" stopIfTrue="1" operator="equal">
      <formula>""</formula>
    </cfRule>
  </conditionalFormatting>
  <conditionalFormatting sqref="W6:W39">
    <cfRule type="cellIs" dxfId="227" priority="44" stopIfTrue="1" operator="greaterThan">
      <formula>$W$43*2</formula>
    </cfRule>
  </conditionalFormatting>
  <conditionalFormatting sqref="O6:O39">
    <cfRule type="cellIs" dxfId="226" priority="45" stopIfTrue="1" operator="greaterThan">
      <formula>$O$43*2</formula>
    </cfRule>
  </conditionalFormatting>
  <conditionalFormatting sqref="R6:R39">
    <cfRule type="cellIs" dxfId="225" priority="46" stopIfTrue="1" operator="greaterThan">
      <formula>$R$43*2</formula>
    </cfRule>
  </conditionalFormatting>
  <conditionalFormatting sqref="S6:S39">
    <cfRule type="cellIs" dxfId="224" priority="47" stopIfTrue="1" operator="greaterThan">
      <formula>$S$43*2</formula>
    </cfRule>
  </conditionalFormatting>
  <conditionalFormatting sqref="T6:T39">
    <cfRule type="cellIs" dxfId="223" priority="48" stopIfTrue="1" operator="greaterThan">
      <formula>$T$43*2</formula>
    </cfRule>
  </conditionalFormatting>
  <conditionalFormatting sqref="V6:V39">
    <cfRule type="cellIs" dxfId="222" priority="49" stopIfTrue="1" operator="greaterThan">
      <formula>$V$43*2</formula>
    </cfRule>
  </conditionalFormatting>
  <conditionalFormatting sqref="X6:X39">
    <cfRule type="cellIs" dxfId="221" priority="50" stopIfTrue="1" operator="greaterThan">
      <formula>$X$43*2</formula>
    </cfRule>
  </conditionalFormatting>
  <conditionalFormatting sqref="Y6:Y39">
    <cfRule type="cellIs" dxfId="220" priority="51" stopIfTrue="1" operator="greaterThan">
      <formula>$Y$43*2</formula>
    </cfRule>
  </conditionalFormatting>
  <conditionalFormatting sqref="AA6:AA39">
    <cfRule type="cellIs" dxfId="219" priority="52" stopIfTrue="1" operator="greaterThan">
      <formula>$AA$43*2</formula>
    </cfRule>
  </conditionalFormatting>
  <conditionalFormatting sqref="AB6:AB39">
    <cfRule type="cellIs" dxfId="218" priority="53" stopIfTrue="1" operator="greaterThan">
      <formula>$AB$43*2</formula>
    </cfRule>
  </conditionalFormatting>
  <conditionalFormatting sqref="AC6:AC39">
    <cfRule type="cellIs" dxfId="217" priority="54" stopIfTrue="1" operator="greaterThan">
      <formula>$AC$43*2</formula>
    </cfRule>
  </conditionalFormatting>
  <conditionalFormatting sqref="AD6:AD39">
    <cfRule type="cellIs" dxfId="216" priority="55" stopIfTrue="1" operator="greaterThan">
      <formula>$AD$43*2</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90B5-7A24-4A1D-BD5D-039961E097CD}">
  <dimension ref="A1:AN50"/>
  <sheetViews>
    <sheetView topLeftCell="AT9" workbookViewId="0">
      <selection activeCell="AT9" sqref="AT7:AT9"/>
    </sheetView>
  </sheetViews>
  <sheetFormatPr defaultRowHeight="12.75" x14ac:dyDescent="0.2"/>
  <cols>
    <col min="2" max="2" width="12.5703125" bestFit="1" customWidth="1"/>
    <col min="3" max="7" width="0" hidden="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0"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85"/>
      <c r="B4" s="85"/>
      <c r="C4" s="85"/>
      <c r="D4" s="85"/>
      <c r="E4" s="85"/>
      <c r="F4" s="85"/>
      <c r="G4" s="85"/>
      <c r="H4" s="85"/>
      <c r="I4" s="85"/>
      <c r="J4" s="85"/>
      <c r="K4" s="85"/>
      <c r="L4" s="85"/>
      <c r="M4" s="85"/>
      <c r="N4" s="85"/>
      <c r="O4" s="85"/>
      <c r="P4" s="85"/>
      <c r="Q4" s="85"/>
      <c r="R4" s="85"/>
      <c r="S4" s="85"/>
      <c r="T4" s="85"/>
      <c r="U4" s="85"/>
      <c r="V4" s="85"/>
    </row>
    <row r="5" spans="1:40" x14ac:dyDescent="0.2">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row>
    <row r="6" spans="1:40" x14ac:dyDescent="0.2">
      <c r="A6" s="7">
        <v>1</v>
      </c>
      <c r="B6" s="40">
        <v>6165</v>
      </c>
      <c r="C6" s="14"/>
      <c r="D6" s="14"/>
      <c r="E6" s="41"/>
      <c r="F6" s="13"/>
      <c r="G6" s="13"/>
      <c r="H6" s="15"/>
      <c r="I6" s="40">
        <v>26121</v>
      </c>
      <c r="J6" s="42">
        <v>2865</v>
      </c>
      <c r="K6" s="42"/>
      <c r="L6" s="18"/>
      <c r="M6" s="15"/>
      <c r="N6" s="41">
        <v>239609</v>
      </c>
      <c r="O6" s="41"/>
      <c r="P6" s="41"/>
      <c r="Q6" s="18"/>
      <c r="R6" s="45" t="e">
        <f>Q6-Q5</f>
        <v>#REF!</v>
      </c>
      <c r="S6" s="16"/>
      <c r="T6" s="17">
        <v>0</v>
      </c>
      <c r="U6" s="17">
        <v>0</v>
      </c>
      <c r="V6" s="17">
        <v>0</v>
      </c>
      <c r="W6" s="43" t="s">
        <v>30</v>
      </c>
      <c r="X6" s="80">
        <v>1</v>
      </c>
      <c r="Y6" s="11">
        <f>B6-B5</f>
        <v>2807</v>
      </c>
      <c r="Z6" s="11" t="e">
        <f t="shared" ref="Z6:AD21" si="0">C6-C5</f>
        <v>#REF!</v>
      </c>
      <c r="AA6" s="11" t="e">
        <f t="shared" si="0"/>
        <v>#REF!</v>
      </c>
      <c r="AB6" s="11" t="e">
        <f t="shared" si="0"/>
        <v>#REF!</v>
      </c>
      <c r="AC6" s="11" t="e">
        <f t="shared" si="0"/>
        <v>#REF!</v>
      </c>
      <c r="AD6" s="11" t="e">
        <f t="shared" si="0"/>
        <v>#REF!</v>
      </c>
      <c r="AE6" s="34"/>
      <c r="AF6" s="11">
        <f t="shared" ref="AF6:AI21" si="1">I6-I5</f>
        <v>744</v>
      </c>
      <c r="AG6" s="11">
        <f t="shared" si="1"/>
        <v>95</v>
      </c>
      <c r="AH6" s="11" t="e">
        <f t="shared" si="1"/>
        <v>#REF!</v>
      </c>
      <c r="AI6" s="11" t="e">
        <f t="shared" si="1"/>
        <v>#REF!</v>
      </c>
      <c r="AJ6" s="34"/>
      <c r="AK6" s="11">
        <f t="shared" ref="AK6:AN21" si="2">N6-N5</f>
        <v>5981</v>
      </c>
      <c r="AL6" s="11" t="e">
        <f t="shared" si="2"/>
        <v>#REF!</v>
      </c>
      <c r="AM6" s="11" t="e">
        <f t="shared" si="2"/>
        <v>#REF!</v>
      </c>
      <c r="AN6" s="11" t="e">
        <f t="shared" si="2"/>
        <v>#REF!</v>
      </c>
    </row>
    <row r="7" spans="1:40" x14ac:dyDescent="0.2">
      <c r="A7" s="80">
        <v>2</v>
      </c>
      <c r="B7" s="40">
        <v>6200</v>
      </c>
      <c r="C7" s="14"/>
      <c r="D7" s="14"/>
      <c r="E7" s="41"/>
      <c r="F7" s="18"/>
      <c r="G7" s="18"/>
      <c r="H7" s="15"/>
      <c r="I7" s="40">
        <v>26121</v>
      </c>
      <c r="J7" s="42">
        <v>2865</v>
      </c>
      <c r="K7" s="42"/>
      <c r="L7" s="18"/>
      <c r="M7" s="15"/>
      <c r="N7" s="41">
        <v>239663</v>
      </c>
      <c r="O7" s="41"/>
      <c r="P7" s="41"/>
      <c r="Q7" s="18"/>
      <c r="R7" s="45">
        <f t="shared" ref="R7:R32" si="3">Q7-Q6</f>
        <v>0</v>
      </c>
      <c r="S7" s="16"/>
      <c r="T7" s="17">
        <v>0</v>
      </c>
      <c r="U7" s="17">
        <v>0</v>
      </c>
      <c r="V7" s="17">
        <v>0</v>
      </c>
      <c r="W7" s="16"/>
      <c r="X7" s="80">
        <v>2</v>
      </c>
      <c r="Y7" s="11">
        <f t="shared" ref="Y7:AD32" si="4">B7-B6</f>
        <v>35</v>
      </c>
      <c r="Z7" s="11">
        <f t="shared" si="0"/>
        <v>0</v>
      </c>
      <c r="AA7" s="11">
        <f t="shared" si="0"/>
        <v>0</v>
      </c>
      <c r="AB7" s="11">
        <f t="shared" si="0"/>
        <v>0</v>
      </c>
      <c r="AC7" s="11">
        <f t="shared" si="0"/>
        <v>0</v>
      </c>
      <c r="AD7" s="11">
        <f t="shared" si="0"/>
        <v>0</v>
      </c>
      <c r="AE7" s="34"/>
      <c r="AF7" s="11">
        <f t="shared" si="1"/>
        <v>0</v>
      </c>
      <c r="AG7" s="11">
        <f t="shared" si="1"/>
        <v>0</v>
      </c>
      <c r="AH7" s="11">
        <f t="shared" si="1"/>
        <v>0</v>
      </c>
      <c r="AI7" s="11">
        <f t="shared" si="1"/>
        <v>0</v>
      </c>
      <c r="AJ7" s="34"/>
      <c r="AK7" s="11">
        <f t="shared" si="2"/>
        <v>54</v>
      </c>
      <c r="AL7" s="11">
        <f t="shared" si="2"/>
        <v>0</v>
      </c>
      <c r="AM7" s="11">
        <f t="shared" si="2"/>
        <v>0</v>
      </c>
      <c r="AN7" s="11">
        <f t="shared" si="2"/>
        <v>0</v>
      </c>
    </row>
    <row r="8" spans="1:40" x14ac:dyDescent="0.2">
      <c r="A8" s="80">
        <v>3</v>
      </c>
      <c r="B8" s="40">
        <v>6234</v>
      </c>
      <c r="C8" s="14"/>
      <c r="D8" s="14"/>
      <c r="E8" s="41"/>
      <c r="F8" s="18"/>
      <c r="G8" s="18"/>
      <c r="H8" s="15"/>
      <c r="I8" s="40">
        <v>26135</v>
      </c>
      <c r="J8" s="42">
        <v>2867</v>
      </c>
      <c r="K8" s="42"/>
      <c r="L8" s="18"/>
      <c r="M8" s="15"/>
      <c r="N8" s="41">
        <v>239719</v>
      </c>
      <c r="O8" s="41"/>
      <c r="P8" s="41"/>
      <c r="Q8" s="18"/>
      <c r="R8" s="45">
        <f t="shared" si="3"/>
        <v>0</v>
      </c>
      <c r="S8" s="16"/>
      <c r="T8" s="17">
        <v>0</v>
      </c>
      <c r="U8" s="17">
        <v>0</v>
      </c>
      <c r="V8" s="17">
        <v>0</v>
      </c>
      <c r="W8" s="16"/>
      <c r="X8" s="80">
        <v>3</v>
      </c>
      <c r="Y8" s="11">
        <f t="shared" si="4"/>
        <v>34</v>
      </c>
      <c r="Z8" s="11">
        <f t="shared" si="0"/>
        <v>0</v>
      </c>
      <c r="AA8" s="11">
        <f t="shared" si="0"/>
        <v>0</v>
      </c>
      <c r="AB8" s="11">
        <f t="shared" si="0"/>
        <v>0</v>
      </c>
      <c r="AC8" s="11">
        <f t="shared" si="0"/>
        <v>0</v>
      </c>
      <c r="AD8" s="11">
        <f t="shared" si="0"/>
        <v>0</v>
      </c>
      <c r="AE8" s="34"/>
      <c r="AF8" s="11">
        <f t="shared" si="1"/>
        <v>14</v>
      </c>
      <c r="AG8" s="11">
        <f t="shared" si="1"/>
        <v>2</v>
      </c>
      <c r="AH8" s="11">
        <f t="shared" si="1"/>
        <v>0</v>
      </c>
      <c r="AI8" s="11">
        <f t="shared" si="1"/>
        <v>0</v>
      </c>
      <c r="AJ8" s="34"/>
      <c r="AK8" s="11">
        <f t="shared" si="2"/>
        <v>56</v>
      </c>
      <c r="AL8" s="11">
        <f t="shared" si="2"/>
        <v>0</v>
      </c>
      <c r="AM8" s="11">
        <f t="shared" si="2"/>
        <v>0</v>
      </c>
      <c r="AN8" s="11">
        <f t="shared" si="2"/>
        <v>0</v>
      </c>
    </row>
    <row r="9" spans="1:40" x14ac:dyDescent="0.2">
      <c r="A9" s="80">
        <v>4</v>
      </c>
      <c r="B9" s="40">
        <v>6275</v>
      </c>
      <c r="C9" s="14"/>
      <c r="D9" s="14"/>
      <c r="E9" s="41"/>
      <c r="F9" s="18"/>
      <c r="G9" s="18"/>
      <c r="H9" s="15"/>
      <c r="I9" s="40">
        <v>26146</v>
      </c>
      <c r="J9" s="42">
        <v>2868</v>
      </c>
      <c r="K9" s="42"/>
      <c r="L9" s="18"/>
      <c r="M9" s="15"/>
      <c r="N9" s="41">
        <v>239767</v>
      </c>
      <c r="O9" s="41"/>
      <c r="P9" s="41"/>
      <c r="Q9" s="18"/>
      <c r="R9" s="45">
        <f>Q9-Q8</f>
        <v>0</v>
      </c>
      <c r="S9" s="16"/>
      <c r="T9" s="17">
        <v>0</v>
      </c>
      <c r="U9" s="17">
        <v>0</v>
      </c>
      <c r="V9" s="17">
        <v>0</v>
      </c>
      <c r="W9" s="16"/>
      <c r="X9" s="80">
        <v>4</v>
      </c>
      <c r="Y9" s="11">
        <f t="shared" ref="Y9:AD9" si="5">B9-B8</f>
        <v>41</v>
      </c>
      <c r="Z9" s="11">
        <f t="shared" si="5"/>
        <v>0</v>
      </c>
      <c r="AA9" s="11">
        <f t="shared" si="5"/>
        <v>0</v>
      </c>
      <c r="AB9" s="11">
        <f t="shared" si="5"/>
        <v>0</v>
      </c>
      <c r="AC9" s="11">
        <f t="shared" si="5"/>
        <v>0</v>
      </c>
      <c r="AD9" s="11">
        <f t="shared" si="5"/>
        <v>0</v>
      </c>
      <c r="AE9" s="34"/>
      <c r="AF9" s="11">
        <f>I9-I8</f>
        <v>11</v>
      </c>
      <c r="AG9" s="11">
        <f>J9-J8</f>
        <v>1</v>
      </c>
      <c r="AH9" s="11">
        <f>K9-K8</f>
        <v>0</v>
      </c>
      <c r="AI9" s="11">
        <f>L9-L8</f>
        <v>0</v>
      </c>
      <c r="AJ9" s="34"/>
      <c r="AK9" s="11">
        <f>N9-N8</f>
        <v>48</v>
      </c>
      <c r="AL9" s="11">
        <f>O9-O8</f>
        <v>0</v>
      </c>
      <c r="AM9" s="11">
        <f>P9-P8</f>
        <v>0</v>
      </c>
      <c r="AN9" s="11">
        <f>Q9-Q8</f>
        <v>0</v>
      </c>
    </row>
    <row r="10" spans="1:40" x14ac:dyDescent="0.2">
      <c r="A10" s="80">
        <v>5</v>
      </c>
      <c r="B10" s="40">
        <v>6326</v>
      </c>
      <c r="C10" s="14"/>
      <c r="D10" s="14"/>
      <c r="E10" s="41"/>
      <c r="F10" s="18"/>
      <c r="G10" s="18"/>
      <c r="H10" s="15"/>
      <c r="I10" s="40">
        <v>26160</v>
      </c>
      <c r="J10" s="42">
        <v>2868</v>
      </c>
      <c r="K10" s="42"/>
      <c r="L10" s="18"/>
      <c r="M10" s="15"/>
      <c r="N10" s="41">
        <v>239818</v>
      </c>
      <c r="O10" s="41"/>
      <c r="P10" s="41"/>
      <c r="Q10" s="18"/>
      <c r="R10" s="45">
        <f t="shared" si="3"/>
        <v>0</v>
      </c>
      <c r="S10" s="16"/>
      <c r="T10" s="17">
        <v>0</v>
      </c>
      <c r="U10" s="17">
        <v>0</v>
      </c>
      <c r="V10" s="17">
        <v>0</v>
      </c>
      <c r="W10" s="16"/>
      <c r="X10" s="80">
        <v>5</v>
      </c>
      <c r="Y10" s="11">
        <f t="shared" si="4"/>
        <v>51</v>
      </c>
      <c r="Z10" s="11">
        <f t="shared" si="0"/>
        <v>0</v>
      </c>
      <c r="AA10" s="11">
        <f t="shared" si="0"/>
        <v>0</v>
      </c>
      <c r="AB10" s="11">
        <f t="shared" si="0"/>
        <v>0</v>
      </c>
      <c r="AC10" s="11">
        <f t="shared" si="0"/>
        <v>0</v>
      </c>
      <c r="AD10" s="11">
        <f t="shared" si="0"/>
        <v>0</v>
      </c>
      <c r="AE10" s="34"/>
      <c r="AF10" s="11">
        <f t="shared" si="1"/>
        <v>14</v>
      </c>
      <c r="AG10" s="11">
        <f t="shared" si="1"/>
        <v>0</v>
      </c>
      <c r="AH10" s="11">
        <f t="shared" si="1"/>
        <v>0</v>
      </c>
      <c r="AI10" s="11">
        <f t="shared" si="1"/>
        <v>0</v>
      </c>
      <c r="AJ10" s="34"/>
      <c r="AK10" s="11">
        <f>N10-N9</f>
        <v>51</v>
      </c>
      <c r="AL10" s="11">
        <f t="shared" si="2"/>
        <v>0</v>
      </c>
      <c r="AM10" s="11">
        <f t="shared" si="2"/>
        <v>0</v>
      </c>
      <c r="AN10" s="11">
        <f t="shared" si="2"/>
        <v>0</v>
      </c>
    </row>
    <row r="11" spans="1:40" x14ac:dyDescent="0.2">
      <c r="A11" s="80">
        <v>6</v>
      </c>
      <c r="B11" s="40">
        <v>6371</v>
      </c>
      <c r="C11" s="14"/>
      <c r="D11" s="14"/>
      <c r="E11" s="41"/>
      <c r="F11" s="18"/>
      <c r="G11" s="18"/>
      <c r="H11" s="15"/>
      <c r="I11" s="40">
        <v>26175</v>
      </c>
      <c r="J11" s="42">
        <v>2876</v>
      </c>
      <c r="K11" s="42"/>
      <c r="L11" s="18"/>
      <c r="M11" s="15"/>
      <c r="N11" s="41">
        <v>239862</v>
      </c>
      <c r="O11" s="41"/>
      <c r="P11" s="41"/>
      <c r="Q11" s="18"/>
      <c r="R11" s="45">
        <f t="shared" si="3"/>
        <v>0</v>
      </c>
      <c r="S11" s="16"/>
      <c r="T11" s="17">
        <v>0</v>
      </c>
      <c r="U11" s="17">
        <v>0</v>
      </c>
      <c r="V11" s="17">
        <v>0</v>
      </c>
      <c r="W11" s="16"/>
      <c r="X11" s="80">
        <v>6</v>
      </c>
      <c r="Y11" s="11">
        <f t="shared" si="4"/>
        <v>45</v>
      </c>
      <c r="Z11" s="11">
        <f t="shared" si="0"/>
        <v>0</v>
      </c>
      <c r="AA11" s="11">
        <f t="shared" si="0"/>
        <v>0</v>
      </c>
      <c r="AB11" s="11">
        <f t="shared" si="0"/>
        <v>0</v>
      </c>
      <c r="AC11" s="11">
        <f t="shared" si="0"/>
        <v>0</v>
      </c>
      <c r="AD11" s="11">
        <f t="shared" si="0"/>
        <v>0</v>
      </c>
      <c r="AE11" s="34"/>
      <c r="AF11" s="11">
        <f t="shared" si="1"/>
        <v>15</v>
      </c>
      <c r="AG11" s="11">
        <f t="shared" si="1"/>
        <v>8</v>
      </c>
      <c r="AH11" s="11">
        <f t="shared" si="1"/>
        <v>0</v>
      </c>
      <c r="AI11" s="11">
        <f t="shared" si="1"/>
        <v>0</v>
      </c>
      <c r="AJ11" s="34"/>
      <c r="AK11" s="11">
        <f>N12-N10</f>
        <v>95</v>
      </c>
      <c r="AL11" s="11">
        <f t="shared" si="2"/>
        <v>0</v>
      </c>
      <c r="AM11" s="11">
        <f t="shared" si="2"/>
        <v>0</v>
      </c>
      <c r="AN11" s="11">
        <f t="shared" si="2"/>
        <v>0</v>
      </c>
    </row>
    <row r="12" spans="1:40" x14ac:dyDescent="0.2">
      <c r="A12" s="80">
        <v>7</v>
      </c>
      <c r="B12" s="40">
        <v>6426</v>
      </c>
      <c r="C12" s="14"/>
      <c r="D12" s="14"/>
      <c r="E12" s="41"/>
      <c r="F12" s="18"/>
      <c r="G12" s="18"/>
      <c r="H12" s="15"/>
      <c r="I12" s="40">
        <v>26192</v>
      </c>
      <c r="J12" s="42">
        <v>2880</v>
      </c>
      <c r="K12" s="42"/>
      <c r="L12" s="18"/>
      <c r="M12" s="15"/>
      <c r="N12" s="41">
        <v>239913</v>
      </c>
      <c r="O12" s="41"/>
      <c r="P12" s="41"/>
      <c r="Q12" s="18"/>
      <c r="R12" s="45">
        <f t="shared" si="3"/>
        <v>0</v>
      </c>
      <c r="S12" s="16"/>
      <c r="T12" s="17">
        <v>0</v>
      </c>
      <c r="U12" s="17">
        <v>0</v>
      </c>
      <c r="V12" s="17">
        <v>0</v>
      </c>
      <c r="W12" s="16"/>
      <c r="X12" s="80">
        <v>7</v>
      </c>
      <c r="Y12" s="11">
        <f t="shared" si="4"/>
        <v>55</v>
      </c>
      <c r="Z12" s="11">
        <f t="shared" si="0"/>
        <v>0</v>
      </c>
      <c r="AA12" s="11">
        <f t="shared" si="0"/>
        <v>0</v>
      </c>
      <c r="AB12" s="11">
        <f t="shared" si="0"/>
        <v>0</v>
      </c>
      <c r="AC12" s="11">
        <f t="shared" si="0"/>
        <v>0</v>
      </c>
      <c r="AD12" s="11">
        <f t="shared" si="0"/>
        <v>0</v>
      </c>
      <c r="AE12" s="34"/>
      <c r="AF12" s="11">
        <f t="shared" si="1"/>
        <v>17</v>
      </c>
      <c r="AG12" s="11">
        <f t="shared" si="1"/>
        <v>4</v>
      </c>
      <c r="AH12" s="11">
        <f t="shared" si="1"/>
        <v>0</v>
      </c>
      <c r="AI12" s="11">
        <f t="shared" si="1"/>
        <v>0</v>
      </c>
      <c r="AJ12" s="34"/>
      <c r="AK12" s="11">
        <f t="shared" ref="AK12:AK32" si="6">N13-N12</f>
        <v>46</v>
      </c>
      <c r="AL12" s="11">
        <f t="shared" si="2"/>
        <v>0</v>
      </c>
      <c r="AM12" s="11">
        <f t="shared" si="2"/>
        <v>0</v>
      </c>
      <c r="AN12" s="11">
        <f t="shared" si="2"/>
        <v>0</v>
      </c>
    </row>
    <row r="13" spans="1:40" x14ac:dyDescent="0.2">
      <c r="A13" s="80">
        <v>8</v>
      </c>
      <c r="B13" s="40">
        <v>6480</v>
      </c>
      <c r="C13" s="14"/>
      <c r="D13" s="14"/>
      <c r="E13" s="41"/>
      <c r="F13" s="18"/>
      <c r="G13" s="18"/>
      <c r="H13" s="15"/>
      <c r="I13" s="40">
        <v>26211</v>
      </c>
      <c r="J13" s="42">
        <v>2883</v>
      </c>
      <c r="K13" s="42"/>
      <c r="L13" s="18"/>
      <c r="M13" s="15"/>
      <c r="N13" s="41">
        <v>239959</v>
      </c>
      <c r="O13" s="41"/>
      <c r="P13" s="41"/>
      <c r="Q13" s="18"/>
      <c r="R13" s="45">
        <f t="shared" si="3"/>
        <v>0</v>
      </c>
      <c r="S13" s="16"/>
      <c r="T13" s="17">
        <v>0</v>
      </c>
      <c r="U13" s="17">
        <v>0</v>
      </c>
      <c r="V13" s="17">
        <v>0</v>
      </c>
      <c r="W13" s="16"/>
      <c r="X13" s="80">
        <v>8</v>
      </c>
      <c r="Y13" s="11">
        <f t="shared" si="4"/>
        <v>54</v>
      </c>
      <c r="Z13" s="11">
        <f t="shared" si="0"/>
        <v>0</v>
      </c>
      <c r="AA13" s="11">
        <f t="shared" si="0"/>
        <v>0</v>
      </c>
      <c r="AB13" s="11">
        <f t="shared" si="0"/>
        <v>0</v>
      </c>
      <c r="AC13" s="11">
        <f t="shared" si="0"/>
        <v>0</v>
      </c>
      <c r="AD13" s="11">
        <f t="shared" si="0"/>
        <v>0</v>
      </c>
      <c r="AE13" s="34"/>
      <c r="AF13" s="11">
        <f t="shared" si="1"/>
        <v>19</v>
      </c>
      <c r="AG13" s="11">
        <f t="shared" si="1"/>
        <v>3</v>
      </c>
      <c r="AH13" s="11">
        <f t="shared" si="1"/>
        <v>0</v>
      </c>
      <c r="AI13" s="11">
        <f t="shared" si="1"/>
        <v>0</v>
      </c>
      <c r="AJ13" s="34"/>
      <c r="AK13" s="11">
        <f t="shared" si="6"/>
        <v>50</v>
      </c>
      <c r="AL13" s="11">
        <f t="shared" si="2"/>
        <v>0</v>
      </c>
      <c r="AM13" s="11">
        <f t="shared" si="2"/>
        <v>0</v>
      </c>
      <c r="AN13" s="11">
        <f t="shared" si="2"/>
        <v>0</v>
      </c>
    </row>
    <row r="14" spans="1:40" x14ac:dyDescent="0.2">
      <c r="A14" s="80">
        <v>9</v>
      </c>
      <c r="B14" s="40">
        <v>6538</v>
      </c>
      <c r="C14" s="14"/>
      <c r="D14" s="14"/>
      <c r="E14" s="41"/>
      <c r="F14" s="18"/>
      <c r="G14" s="18"/>
      <c r="H14" s="15"/>
      <c r="I14" s="40">
        <v>26231</v>
      </c>
      <c r="J14" s="42">
        <v>2888</v>
      </c>
      <c r="K14" s="42"/>
      <c r="L14" s="18"/>
      <c r="M14" s="15"/>
      <c r="N14" s="41">
        <v>240009</v>
      </c>
      <c r="O14" s="41"/>
      <c r="P14" s="41"/>
      <c r="Q14" s="18"/>
      <c r="R14" s="45">
        <f t="shared" si="3"/>
        <v>0</v>
      </c>
      <c r="S14" s="16"/>
      <c r="T14" s="17">
        <v>0</v>
      </c>
      <c r="U14" s="17">
        <v>0</v>
      </c>
      <c r="V14" s="17">
        <v>0</v>
      </c>
      <c r="W14" s="16"/>
      <c r="X14" s="80">
        <v>9</v>
      </c>
      <c r="Y14" s="11">
        <f t="shared" si="4"/>
        <v>58</v>
      </c>
      <c r="Z14" s="11">
        <f t="shared" si="0"/>
        <v>0</v>
      </c>
      <c r="AA14" s="11">
        <f t="shared" si="0"/>
        <v>0</v>
      </c>
      <c r="AB14" s="11">
        <f t="shared" si="0"/>
        <v>0</v>
      </c>
      <c r="AC14" s="11">
        <f t="shared" si="0"/>
        <v>0</v>
      </c>
      <c r="AD14" s="11">
        <f t="shared" si="0"/>
        <v>0</v>
      </c>
      <c r="AE14" s="34"/>
      <c r="AF14" s="11">
        <f t="shared" si="1"/>
        <v>20</v>
      </c>
      <c r="AG14" s="11">
        <f t="shared" si="1"/>
        <v>5</v>
      </c>
      <c r="AH14" s="11">
        <f t="shared" si="1"/>
        <v>0</v>
      </c>
      <c r="AI14" s="11">
        <f t="shared" si="1"/>
        <v>0</v>
      </c>
      <c r="AJ14" s="34"/>
      <c r="AK14" s="11">
        <f t="shared" si="6"/>
        <v>45</v>
      </c>
      <c r="AL14" s="11">
        <f t="shared" si="2"/>
        <v>0</v>
      </c>
      <c r="AM14" s="11">
        <f t="shared" si="2"/>
        <v>0</v>
      </c>
      <c r="AN14" s="11">
        <f t="shared" si="2"/>
        <v>0</v>
      </c>
    </row>
    <row r="15" spans="1:40" x14ac:dyDescent="0.2">
      <c r="A15" s="80">
        <v>10</v>
      </c>
      <c r="B15" s="40">
        <v>6588</v>
      </c>
      <c r="C15" s="14"/>
      <c r="D15" s="14"/>
      <c r="E15" s="41"/>
      <c r="F15" s="18"/>
      <c r="G15" s="18"/>
      <c r="H15" s="15"/>
      <c r="I15" s="40">
        <v>26246</v>
      </c>
      <c r="J15" s="42">
        <v>2830</v>
      </c>
      <c r="K15" s="42"/>
      <c r="L15" s="18"/>
      <c r="M15" s="15"/>
      <c r="N15" s="41">
        <v>240054</v>
      </c>
      <c r="O15" s="41"/>
      <c r="P15" s="41"/>
      <c r="Q15" s="18"/>
      <c r="R15" s="45">
        <f t="shared" si="3"/>
        <v>0</v>
      </c>
      <c r="S15" s="16"/>
      <c r="T15" s="17">
        <v>0</v>
      </c>
      <c r="U15" s="17">
        <v>0</v>
      </c>
      <c r="V15" s="17">
        <v>0</v>
      </c>
      <c r="W15" s="16"/>
      <c r="X15" s="80">
        <v>10</v>
      </c>
      <c r="Y15" s="11">
        <f t="shared" si="4"/>
        <v>50</v>
      </c>
      <c r="Z15" s="11">
        <f t="shared" si="0"/>
        <v>0</v>
      </c>
      <c r="AA15" s="11">
        <f t="shared" si="0"/>
        <v>0</v>
      </c>
      <c r="AB15" s="11">
        <f t="shared" si="0"/>
        <v>0</v>
      </c>
      <c r="AC15" s="11">
        <f t="shared" si="0"/>
        <v>0</v>
      </c>
      <c r="AD15" s="11">
        <f t="shared" si="0"/>
        <v>0</v>
      </c>
      <c r="AE15" s="34"/>
      <c r="AF15" s="11">
        <f t="shared" si="1"/>
        <v>15</v>
      </c>
      <c r="AG15" s="11">
        <f t="shared" si="1"/>
        <v>-58</v>
      </c>
      <c r="AH15" s="11">
        <f t="shared" si="1"/>
        <v>0</v>
      </c>
      <c r="AI15" s="11">
        <f t="shared" si="1"/>
        <v>0</v>
      </c>
      <c r="AJ15" s="34"/>
      <c r="AK15" s="11">
        <f t="shared" si="6"/>
        <v>51</v>
      </c>
      <c r="AL15" s="11">
        <f t="shared" si="2"/>
        <v>0</v>
      </c>
      <c r="AM15" s="11">
        <f t="shared" si="2"/>
        <v>0</v>
      </c>
      <c r="AN15" s="11">
        <f t="shared" si="2"/>
        <v>0</v>
      </c>
    </row>
    <row r="16" spans="1:40" x14ac:dyDescent="0.2">
      <c r="A16" s="80">
        <v>11</v>
      </c>
      <c r="B16" s="40">
        <v>6629</v>
      </c>
      <c r="C16" s="14"/>
      <c r="D16" s="14"/>
      <c r="E16" s="41"/>
      <c r="F16" s="18"/>
      <c r="G16" s="18"/>
      <c r="H16" s="15"/>
      <c r="I16" s="40">
        <v>26264</v>
      </c>
      <c r="J16" s="42">
        <v>2892</v>
      </c>
      <c r="K16" s="42"/>
      <c r="L16" s="18"/>
      <c r="M16" s="15"/>
      <c r="N16" s="41">
        <v>240105</v>
      </c>
      <c r="O16" s="41"/>
      <c r="P16" s="41"/>
      <c r="Q16" s="18"/>
      <c r="R16" s="45">
        <f t="shared" si="3"/>
        <v>0</v>
      </c>
      <c r="S16" s="16"/>
      <c r="T16" s="17">
        <v>0</v>
      </c>
      <c r="U16" s="17">
        <v>0</v>
      </c>
      <c r="V16" s="17">
        <v>0</v>
      </c>
      <c r="W16" s="16"/>
      <c r="X16" s="80">
        <v>11</v>
      </c>
      <c r="Y16" s="11">
        <f t="shared" si="4"/>
        <v>41</v>
      </c>
      <c r="Z16" s="11">
        <f t="shared" si="0"/>
        <v>0</v>
      </c>
      <c r="AA16" s="11">
        <f t="shared" si="0"/>
        <v>0</v>
      </c>
      <c r="AB16" s="11">
        <f t="shared" si="0"/>
        <v>0</v>
      </c>
      <c r="AC16" s="11">
        <f t="shared" si="0"/>
        <v>0</v>
      </c>
      <c r="AD16" s="11">
        <f t="shared" si="0"/>
        <v>0</v>
      </c>
      <c r="AE16" s="34"/>
      <c r="AF16" s="11">
        <f t="shared" si="1"/>
        <v>18</v>
      </c>
      <c r="AG16" s="11">
        <f t="shared" si="1"/>
        <v>62</v>
      </c>
      <c r="AH16" s="11">
        <f t="shared" si="1"/>
        <v>0</v>
      </c>
      <c r="AI16" s="11">
        <f t="shared" si="1"/>
        <v>0</v>
      </c>
      <c r="AJ16" s="34"/>
      <c r="AK16" s="11">
        <f t="shared" si="6"/>
        <v>0</v>
      </c>
      <c r="AL16" s="11">
        <f t="shared" si="2"/>
        <v>0</v>
      </c>
      <c r="AM16" s="11">
        <f t="shared" si="2"/>
        <v>0</v>
      </c>
      <c r="AN16" s="11">
        <f t="shared" si="2"/>
        <v>0</v>
      </c>
    </row>
    <row r="17" spans="1:40" x14ac:dyDescent="0.2">
      <c r="A17" s="80">
        <v>12</v>
      </c>
      <c r="B17" s="40">
        <v>6700</v>
      </c>
      <c r="C17" s="14"/>
      <c r="D17" s="14"/>
      <c r="E17" s="41"/>
      <c r="F17" s="18"/>
      <c r="G17" s="18"/>
      <c r="H17" s="15"/>
      <c r="I17" s="40">
        <v>26299</v>
      </c>
      <c r="J17" s="42">
        <v>2904</v>
      </c>
      <c r="K17" s="42"/>
      <c r="L17" s="18"/>
      <c r="M17" s="15"/>
      <c r="N17" s="41">
        <v>240105</v>
      </c>
      <c r="O17" s="41"/>
      <c r="P17" s="41"/>
      <c r="Q17" s="18"/>
      <c r="R17" s="45">
        <f t="shared" si="3"/>
        <v>0</v>
      </c>
      <c r="S17" s="16"/>
      <c r="T17" s="17">
        <v>0</v>
      </c>
      <c r="U17" s="17">
        <v>0</v>
      </c>
      <c r="V17" s="17">
        <v>0</v>
      </c>
      <c r="W17" s="16"/>
      <c r="X17" s="80">
        <v>12</v>
      </c>
      <c r="Y17" s="11">
        <f t="shared" si="4"/>
        <v>71</v>
      </c>
      <c r="Z17" s="11">
        <f t="shared" si="0"/>
        <v>0</v>
      </c>
      <c r="AA17" s="11">
        <f t="shared" si="0"/>
        <v>0</v>
      </c>
      <c r="AB17" s="11">
        <f t="shared" si="0"/>
        <v>0</v>
      </c>
      <c r="AC17" s="11">
        <f t="shared" si="0"/>
        <v>0</v>
      </c>
      <c r="AD17" s="11">
        <f t="shared" si="0"/>
        <v>0</v>
      </c>
      <c r="AE17" s="34"/>
      <c r="AF17" s="11">
        <f t="shared" si="1"/>
        <v>35</v>
      </c>
      <c r="AG17" s="11">
        <f t="shared" si="1"/>
        <v>12</v>
      </c>
      <c r="AH17" s="11">
        <f t="shared" si="1"/>
        <v>0</v>
      </c>
      <c r="AI17" s="11">
        <f t="shared" si="1"/>
        <v>0</v>
      </c>
      <c r="AJ17" s="34"/>
      <c r="AK17" s="11">
        <f t="shared" si="6"/>
        <v>90</v>
      </c>
      <c r="AL17" s="11">
        <f t="shared" si="2"/>
        <v>0</v>
      </c>
      <c r="AM17" s="11">
        <f t="shared" si="2"/>
        <v>0</v>
      </c>
      <c r="AN17" s="11">
        <f t="shared" si="2"/>
        <v>0</v>
      </c>
    </row>
    <row r="18" spans="1:40" x14ac:dyDescent="0.2">
      <c r="A18" s="80">
        <v>13</v>
      </c>
      <c r="B18" s="40">
        <v>6769</v>
      </c>
      <c r="C18" s="14"/>
      <c r="D18" s="14"/>
      <c r="E18" s="41"/>
      <c r="F18" s="18"/>
      <c r="G18" s="18"/>
      <c r="H18" s="15"/>
      <c r="I18" s="40">
        <v>26344</v>
      </c>
      <c r="J18" s="42">
        <v>2934</v>
      </c>
      <c r="K18" s="42"/>
      <c r="L18" s="18"/>
      <c r="M18" s="15"/>
      <c r="N18" s="41">
        <v>240195</v>
      </c>
      <c r="O18" s="41"/>
      <c r="P18" s="41"/>
      <c r="Q18" s="18"/>
      <c r="R18" s="45">
        <f t="shared" si="3"/>
        <v>0</v>
      </c>
      <c r="S18" s="16"/>
      <c r="T18" s="17">
        <v>0</v>
      </c>
      <c r="U18" s="17">
        <v>0</v>
      </c>
      <c r="V18" s="17">
        <v>0</v>
      </c>
      <c r="W18" s="16"/>
      <c r="X18" s="80">
        <v>13</v>
      </c>
      <c r="Y18" s="11">
        <f t="shared" si="4"/>
        <v>69</v>
      </c>
      <c r="Z18" s="11">
        <f t="shared" si="0"/>
        <v>0</v>
      </c>
      <c r="AA18" s="11">
        <f t="shared" si="0"/>
        <v>0</v>
      </c>
      <c r="AB18" s="11">
        <f t="shared" si="0"/>
        <v>0</v>
      </c>
      <c r="AC18" s="11">
        <f t="shared" si="0"/>
        <v>0</v>
      </c>
      <c r="AD18" s="11">
        <f t="shared" si="0"/>
        <v>0</v>
      </c>
      <c r="AE18" s="34"/>
      <c r="AF18" s="11">
        <f t="shared" si="1"/>
        <v>45</v>
      </c>
      <c r="AG18" s="11">
        <f t="shared" si="1"/>
        <v>30</v>
      </c>
      <c r="AH18" s="11">
        <f t="shared" si="1"/>
        <v>0</v>
      </c>
      <c r="AI18" s="11">
        <f t="shared" si="1"/>
        <v>0</v>
      </c>
      <c r="AJ18" s="34"/>
      <c r="AK18" s="11">
        <f t="shared" si="6"/>
        <v>40</v>
      </c>
      <c r="AL18" s="11">
        <f t="shared" si="2"/>
        <v>0</v>
      </c>
      <c r="AM18" s="11">
        <f t="shared" si="2"/>
        <v>0</v>
      </c>
      <c r="AN18" s="11">
        <f t="shared" si="2"/>
        <v>0</v>
      </c>
    </row>
    <row r="19" spans="1:40" x14ac:dyDescent="0.2">
      <c r="A19" s="80">
        <v>14</v>
      </c>
      <c r="B19" s="40">
        <v>6843</v>
      </c>
      <c r="C19" s="14"/>
      <c r="D19" s="14"/>
      <c r="E19" s="41"/>
      <c r="F19" s="18"/>
      <c r="G19" s="18"/>
      <c r="H19" s="15"/>
      <c r="I19" s="40">
        <v>26384</v>
      </c>
      <c r="J19" s="42">
        <v>2959</v>
      </c>
      <c r="K19" s="42"/>
      <c r="L19" s="18"/>
      <c r="M19" s="15"/>
      <c r="N19" s="41">
        <v>240235</v>
      </c>
      <c r="O19" s="41"/>
      <c r="P19" s="41"/>
      <c r="Q19" s="18"/>
      <c r="R19" s="45">
        <f t="shared" si="3"/>
        <v>0</v>
      </c>
      <c r="S19" s="16"/>
      <c r="T19" s="17">
        <v>0</v>
      </c>
      <c r="U19" s="17">
        <v>0</v>
      </c>
      <c r="V19" s="17">
        <v>0</v>
      </c>
      <c r="W19" s="16"/>
      <c r="X19" s="80">
        <v>14</v>
      </c>
      <c r="Y19" s="11">
        <f t="shared" si="4"/>
        <v>74</v>
      </c>
      <c r="Z19" s="11">
        <f t="shared" si="0"/>
        <v>0</v>
      </c>
      <c r="AA19" s="11">
        <f t="shared" si="0"/>
        <v>0</v>
      </c>
      <c r="AB19" s="11">
        <f t="shared" si="0"/>
        <v>0</v>
      </c>
      <c r="AC19" s="11">
        <f t="shared" si="0"/>
        <v>0</v>
      </c>
      <c r="AD19" s="11">
        <f t="shared" si="0"/>
        <v>0</v>
      </c>
      <c r="AE19" s="34"/>
      <c r="AF19" s="11">
        <f t="shared" si="1"/>
        <v>40</v>
      </c>
      <c r="AG19" s="11">
        <f t="shared" si="1"/>
        <v>25</v>
      </c>
      <c r="AH19" s="11">
        <f t="shared" si="1"/>
        <v>0</v>
      </c>
      <c r="AI19" s="11">
        <f t="shared" si="1"/>
        <v>0</v>
      </c>
      <c r="AJ19" s="34"/>
      <c r="AK19" s="11">
        <f t="shared" si="6"/>
        <v>41</v>
      </c>
      <c r="AL19" s="11">
        <f t="shared" si="2"/>
        <v>0</v>
      </c>
      <c r="AM19" s="11">
        <f t="shared" si="2"/>
        <v>0</v>
      </c>
      <c r="AN19" s="11">
        <f t="shared" si="2"/>
        <v>0</v>
      </c>
    </row>
    <row r="20" spans="1:40" x14ac:dyDescent="0.2">
      <c r="A20" s="80">
        <v>15</v>
      </c>
      <c r="B20" s="40">
        <v>6910</v>
      </c>
      <c r="C20" s="14"/>
      <c r="D20" s="14"/>
      <c r="E20" s="41"/>
      <c r="F20" s="18"/>
      <c r="G20" s="18"/>
      <c r="H20" s="15"/>
      <c r="I20" s="40">
        <v>26425</v>
      </c>
      <c r="J20" s="42">
        <v>2988</v>
      </c>
      <c r="K20" s="42"/>
      <c r="L20" s="18"/>
      <c r="M20" s="15"/>
      <c r="N20" s="41">
        <v>240276</v>
      </c>
      <c r="O20" s="41"/>
      <c r="P20" s="41"/>
      <c r="Q20" s="18"/>
      <c r="R20" s="45">
        <f t="shared" si="3"/>
        <v>0</v>
      </c>
      <c r="S20" s="16"/>
      <c r="T20" s="17">
        <v>0</v>
      </c>
      <c r="U20" s="17">
        <v>0</v>
      </c>
      <c r="V20" s="17">
        <v>0</v>
      </c>
      <c r="W20" s="16"/>
      <c r="X20" s="80">
        <v>15</v>
      </c>
      <c r="Y20" s="11">
        <f t="shared" si="4"/>
        <v>67</v>
      </c>
      <c r="Z20" s="11">
        <f t="shared" si="0"/>
        <v>0</v>
      </c>
      <c r="AA20" s="11">
        <f t="shared" si="0"/>
        <v>0</v>
      </c>
      <c r="AB20" s="11">
        <f t="shared" si="0"/>
        <v>0</v>
      </c>
      <c r="AC20" s="11">
        <f t="shared" si="0"/>
        <v>0</v>
      </c>
      <c r="AD20" s="11">
        <f t="shared" si="0"/>
        <v>0</v>
      </c>
      <c r="AE20" s="34"/>
      <c r="AF20" s="11">
        <f t="shared" si="1"/>
        <v>41</v>
      </c>
      <c r="AG20" s="11">
        <f t="shared" si="1"/>
        <v>29</v>
      </c>
      <c r="AH20" s="11">
        <f t="shared" si="1"/>
        <v>0</v>
      </c>
      <c r="AI20" s="11">
        <f t="shared" si="1"/>
        <v>0</v>
      </c>
      <c r="AJ20" s="34"/>
      <c r="AK20" s="11">
        <f t="shared" si="6"/>
        <v>444</v>
      </c>
      <c r="AL20" s="11">
        <f t="shared" si="2"/>
        <v>0</v>
      </c>
      <c r="AM20" s="11">
        <f t="shared" si="2"/>
        <v>0</v>
      </c>
      <c r="AN20" s="11">
        <f t="shared" si="2"/>
        <v>0</v>
      </c>
    </row>
    <row r="21" spans="1:40" x14ac:dyDescent="0.2">
      <c r="A21" s="80">
        <v>16</v>
      </c>
      <c r="B21" s="40">
        <v>6985</v>
      </c>
      <c r="C21" s="14"/>
      <c r="D21" s="14"/>
      <c r="E21" s="41"/>
      <c r="F21" s="18"/>
      <c r="G21" s="18"/>
      <c r="H21" s="15"/>
      <c r="I21" s="40">
        <v>26465</v>
      </c>
      <c r="J21" s="42">
        <v>3017</v>
      </c>
      <c r="K21" s="42"/>
      <c r="L21" s="18"/>
      <c r="M21" s="15"/>
      <c r="N21" s="41">
        <v>240720</v>
      </c>
      <c r="O21" s="41"/>
      <c r="P21" s="41"/>
      <c r="Q21" s="18"/>
      <c r="R21" s="45">
        <f t="shared" si="3"/>
        <v>0</v>
      </c>
      <c r="S21" s="16"/>
      <c r="T21" s="17">
        <v>0</v>
      </c>
      <c r="U21" s="17">
        <v>0</v>
      </c>
      <c r="V21" s="17">
        <v>0</v>
      </c>
      <c r="W21" s="16"/>
      <c r="X21" s="80">
        <v>16</v>
      </c>
      <c r="Y21" s="11">
        <f t="shared" si="4"/>
        <v>75</v>
      </c>
      <c r="Z21" s="11">
        <f t="shared" si="0"/>
        <v>0</v>
      </c>
      <c r="AA21" s="11">
        <f t="shared" si="0"/>
        <v>0</v>
      </c>
      <c r="AB21" s="11">
        <f t="shared" si="0"/>
        <v>0</v>
      </c>
      <c r="AC21" s="11">
        <f t="shared" si="0"/>
        <v>0</v>
      </c>
      <c r="AD21" s="11">
        <f t="shared" si="0"/>
        <v>0</v>
      </c>
      <c r="AE21" s="34"/>
      <c r="AF21" s="11">
        <f t="shared" si="1"/>
        <v>40</v>
      </c>
      <c r="AG21" s="11">
        <f t="shared" si="1"/>
        <v>29</v>
      </c>
      <c r="AH21" s="11">
        <f t="shared" si="1"/>
        <v>0</v>
      </c>
      <c r="AI21" s="11">
        <f t="shared" si="1"/>
        <v>0</v>
      </c>
      <c r="AJ21" s="34"/>
      <c r="AK21" s="11">
        <f t="shared" si="6"/>
        <v>-360</v>
      </c>
      <c r="AL21" s="11">
        <f t="shared" si="2"/>
        <v>0</v>
      </c>
      <c r="AM21" s="11">
        <f t="shared" si="2"/>
        <v>0</v>
      </c>
      <c r="AN21" s="11">
        <f t="shared" si="2"/>
        <v>0</v>
      </c>
    </row>
    <row r="22" spans="1:40" x14ac:dyDescent="0.2">
      <c r="A22" s="80">
        <v>17</v>
      </c>
      <c r="B22" s="40">
        <v>7055</v>
      </c>
      <c r="C22" s="14"/>
      <c r="D22" s="14"/>
      <c r="E22" s="41"/>
      <c r="F22" s="18"/>
      <c r="G22" s="18"/>
      <c r="H22" s="15"/>
      <c r="I22" s="40">
        <v>26495</v>
      </c>
      <c r="J22" s="42">
        <v>3044</v>
      </c>
      <c r="K22" s="42"/>
      <c r="L22" s="18"/>
      <c r="M22" s="15"/>
      <c r="N22" s="41">
        <v>240360</v>
      </c>
      <c r="O22" s="41"/>
      <c r="P22" s="41"/>
      <c r="Q22" s="18"/>
      <c r="R22" s="45">
        <f t="shared" si="3"/>
        <v>0</v>
      </c>
      <c r="S22" s="16"/>
      <c r="T22" s="17">
        <v>0</v>
      </c>
      <c r="U22" s="17">
        <v>0</v>
      </c>
      <c r="V22" s="17">
        <v>0</v>
      </c>
      <c r="W22" s="16"/>
      <c r="X22" s="80">
        <v>17</v>
      </c>
      <c r="Y22" s="11">
        <f t="shared" si="4"/>
        <v>70</v>
      </c>
      <c r="Z22" s="11">
        <f t="shared" si="4"/>
        <v>0</v>
      </c>
      <c r="AA22" s="11">
        <f t="shared" si="4"/>
        <v>0</v>
      </c>
      <c r="AB22" s="11">
        <f t="shared" si="4"/>
        <v>0</v>
      </c>
      <c r="AC22" s="11">
        <f t="shared" si="4"/>
        <v>0</v>
      </c>
      <c r="AD22" s="11">
        <f t="shared" si="4"/>
        <v>0</v>
      </c>
      <c r="AE22" s="34"/>
      <c r="AF22" s="11">
        <f t="shared" ref="AF22:AI32" si="7">I22-I21</f>
        <v>30</v>
      </c>
      <c r="AG22" s="11">
        <f t="shared" si="7"/>
        <v>27</v>
      </c>
      <c r="AH22" s="11">
        <f t="shared" si="7"/>
        <v>0</v>
      </c>
      <c r="AI22" s="11">
        <f t="shared" si="7"/>
        <v>0</v>
      </c>
      <c r="AJ22" s="34"/>
      <c r="AK22" s="11">
        <f t="shared" si="6"/>
        <v>62</v>
      </c>
      <c r="AL22" s="11">
        <f t="shared" ref="AL22:AN32" si="8">O22-O21</f>
        <v>0</v>
      </c>
      <c r="AM22" s="11">
        <f t="shared" si="8"/>
        <v>0</v>
      </c>
      <c r="AN22" s="11">
        <f t="shared" si="8"/>
        <v>0</v>
      </c>
    </row>
    <row r="23" spans="1:40" x14ac:dyDescent="0.2">
      <c r="A23" s="80">
        <v>18</v>
      </c>
      <c r="B23" s="40">
        <v>7108</v>
      </c>
      <c r="C23" s="14"/>
      <c r="D23" s="14"/>
      <c r="E23" s="41"/>
      <c r="F23" s="18"/>
      <c r="G23" s="18"/>
      <c r="H23" s="15"/>
      <c r="I23" s="40">
        <v>26529</v>
      </c>
      <c r="J23" s="42">
        <v>3065</v>
      </c>
      <c r="K23" s="42"/>
      <c r="L23" s="18"/>
      <c r="M23" s="15"/>
      <c r="N23" s="41">
        <v>240422</v>
      </c>
      <c r="O23" s="41"/>
      <c r="P23" s="41"/>
      <c r="Q23" s="18"/>
      <c r="R23" s="45">
        <f t="shared" si="3"/>
        <v>0</v>
      </c>
      <c r="S23" s="16"/>
      <c r="T23" s="17">
        <v>0</v>
      </c>
      <c r="U23" s="17">
        <v>0</v>
      </c>
      <c r="V23" s="17">
        <v>0</v>
      </c>
      <c r="W23" s="16"/>
      <c r="X23" s="80">
        <v>18</v>
      </c>
      <c r="Y23" s="11">
        <f t="shared" si="4"/>
        <v>53</v>
      </c>
      <c r="Z23" s="11">
        <f t="shared" si="4"/>
        <v>0</v>
      </c>
      <c r="AA23" s="11">
        <f t="shared" si="4"/>
        <v>0</v>
      </c>
      <c r="AB23" s="11">
        <f t="shared" si="4"/>
        <v>0</v>
      </c>
      <c r="AC23" s="11">
        <f t="shared" si="4"/>
        <v>0</v>
      </c>
      <c r="AD23" s="11">
        <f t="shared" si="4"/>
        <v>0</v>
      </c>
      <c r="AE23" s="34"/>
      <c r="AF23" s="11">
        <f t="shared" si="7"/>
        <v>34</v>
      </c>
      <c r="AG23" s="11">
        <f t="shared" si="7"/>
        <v>21</v>
      </c>
      <c r="AH23" s="11">
        <f t="shared" si="7"/>
        <v>0</v>
      </c>
      <c r="AI23" s="11">
        <f t="shared" si="7"/>
        <v>0</v>
      </c>
      <c r="AJ23" s="34"/>
      <c r="AK23" s="11">
        <f t="shared" si="6"/>
        <v>43</v>
      </c>
      <c r="AL23" s="11">
        <f t="shared" si="8"/>
        <v>0</v>
      </c>
      <c r="AM23" s="11">
        <f t="shared" si="8"/>
        <v>0</v>
      </c>
      <c r="AN23" s="11">
        <f t="shared" si="8"/>
        <v>0</v>
      </c>
    </row>
    <row r="24" spans="1:40" x14ac:dyDescent="0.2">
      <c r="A24" s="80">
        <v>19</v>
      </c>
      <c r="B24" s="40">
        <v>7160</v>
      </c>
      <c r="C24" s="14"/>
      <c r="D24" s="14"/>
      <c r="E24" s="41"/>
      <c r="F24" s="18"/>
      <c r="G24" s="18"/>
      <c r="H24" s="15"/>
      <c r="I24" s="40">
        <v>26560</v>
      </c>
      <c r="J24" s="42">
        <v>3086</v>
      </c>
      <c r="K24" s="42"/>
      <c r="L24" s="18"/>
      <c r="M24" s="15"/>
      <c r="N24" s="41">
        <v>240465</v>
      </c>
      <c r="O24" s="41"/>
      <c r="P24" s="41"/>
      <c r="Q24" s="18"/>
      <c r="R24" s="45">
        <f t="shared" si="3"/>
        <v>0</v>
      </c>
      <c r="S24" s="16"/>
      <c r="T24" s="17">
        <v>0</v>
      </c>
      <c r="U24" s="17">
        <v>0</v>
      </c>
      <c r="V24" s="17">
        <v>0</v>
      </c>
      <c r="W24" s="16"/>
      <c r="X24" s="80">
        <v>19</v>
      </c>
      <c r="Y24" s="11">
        <f t="shared" si="4"/>
        <v>52</v>
      </c>
      <c r="Z24" s="11">
        <f t="shared" si="4"/>
        <v>0</v>
      </c>
      <c r="AA24" s="11">
        <f t="shared" si="4"/>
        <v>0</v>
      </c>
      <c r="AB24" s="11">
        <f t="shared" si="4"/>
        <v>0</v>
      </c>
      <c r="AC24" s="11">
        <f t="shared" si="4"/>
        <v>0</v>
      </c>
      <c r="AD24" s="11">
        <f t="shared" si="4"/>
        <v>0</v>
      </c>
      <c r="AE24" s="34"/>
      <c r="AF24" s="11">
        <f t="shared" si="7"/>
        <v>31</v>
      </c>
      <c r="AG24" s="11">
        <f t="shared" si="7"/>
        <v>21</v>
      </c>
      <c r="AH24" s="11">
        <f t="shared" si="7"/>
        <v>0</v>
      </c>
      <c r="AI24" s="11">
        <f t="shared" si="7"/>
        <v>0</v>
      </c>
      <c r="AJ24" s="34"/>
      <c r="AK24" s="11">
        <f t="shared" si="6"/>
        <v>34</v>
      </c>
      <c r="AL24" s="11">
        <f t="shared" si="8"/>
        <v>0</v>
      </c>
      <c r="AM24" s="11">
        <f t="shared" si="8"/>
        <v>0</v>
      </c>
      <c r="AN24" s="11">
        <f t="shared" si="8"/>
        <v>0</v>
      </c>
    </row>
    <row r="25" spans="1:40" x14ac:dyDescent="0.2">
      <c r="A25" s="80">
        <v>20</v>
      </c>
      <c r="B25" s="40">
        <v>7211</v>
      </c>
      <c r="C25" s="14"/>
      <c r="D25" s="14"/>
      <c r="E25" s="41"/>
      <c r="F25" s="18"/>
      <c r="G25" s="18"/>
      <c r="H25" s="15"/>
      <c r="I25" s="40">
        <v>26592</v>
      </c>
      <c r="J25" s="42">
        <v>3107</v>
      </c>
      <c r="K25" s="42"/>
      <c r="L25" s="18"/>
      <c r="M25" s="15"/>
      <c r="N25" s="41">
        <v>240499</v>
      </c>
      <c r="O25" s="41"/>
      <c r="P25" s="41"/>
      <c r="Q25" s="18"/>
      <c r="R25" s="45">
        <f t="shared" si="3"/>
        <v>0</v>
      </c>
      <c r="S25" s="16"/>
      <c r="T25" s="17">
        <v>0</v>
      </c>
      <c r="U25" s="17">
        <v>0</v>
      </c>
      <c r="V25" s="17">
        <v>0</v>
      </c>
      <c r="W25" s="16"/>
      <c r="X25" s="80">
        <v>20</v>
      </c>
      <c r="Y25" s="11">
        <f t="shared" si="4"/>
        <v>51</v>
      </c>
      <c r="Z25" s="11">
        <f t="shared" si="4"/>
        <v>0</v>
      </c>
      <c r="AA25" s="11">
        <f t="shared" si="4"/>
        <v>0</v>
      </c>
      <c r="AB25" s="11">
        <f t="shared" si="4"/>
        <v>0</v>
      </c>
      <c r="AC25" s="11">
        <f t="shared" si="4"/>
        <v>0</v>
      </c>
      <c r="AD25" s="11">
        <f t="shared" si="4"/>
        <v>0</v>
      </c>
      <c r="AE25" s="34"/>
      <c r="AF25" s="11">
        <f t="shared" si="7"/>
        <v>32</v>
      </c>
      <c r="AG25" s="11">
        <f t="shared" si="7"/>
        <v>21</v>
      </c>
      <c r="AH25" s="11">
        <f t="shared" si="7"/>
        <v>0</v>
      </c>
      <c r="AI25" s="11">
        <f t="shared" si="7"/>
        <v>0</v>
      </c>
      <c r="AJ25" s="34"/>
      <c r="AK25" s="11">
        <f t="shared" si="6"/>
        <v>45</v>
      </c>
      <c r="AL25" s="11">
        <f t="shared" si="8"/>
        <v>0</v>
      </c>
      <c r="AM25" s="11">
        <f t="shared" si="8"/>
        <v>0</v>
      </c>
      <c r="AN25" s="11">
        <f t="shared" si="8"/>
        <v>0</v>
      </c>
    </row>
    <row r="26" spans="1:40" x14ac:dyDescent="0.2">
      <c r="A26" s="80">
        <v>21</v>
      </c>
      <c r="B26" s="40">
        <v>7267</v>
      </c>
      <c r="C26" s="14"/>
      <c r="D26" s="14"/>
      <c r="E26" s="41"/>
      <c r="F26" s="18"/>
      <c r="G26" s="18"/>
      <c r="H26" s="15"/>
      <c r="I26" s="40">
        <v>26617</v>
      </c>
      <c r="J26" s="42">
        <v>3128</v>
      </c>
      <c r="K26" s="42"/>
      <c r="L26" s="18"/>
      <c r="M26" s="15"/>
      <c r="N26" s="41">
        <v>240544</v>
      </c>
      <c r="O26" s="41"/>
      <c r="P26" s="41"/>
      <c r="Q26" s="18"/>
      <c r="R26" s="45">
        <f t="shared" si="3"/>
        <v>0</v>
      </c>
      <c r="S26" s="16"/>
      <c r="T26" s="17">
        <v>0</v>
      </c>
      <c r="U26" s="17">
        <v>0</v>
      </c>
      <c r="V26" s="17">
        <v>0</v>
      </c>
      <c r="W26" s="16"/>
      <c r="X26" s="80">
        <v>21</v>
      </c>
      <c r="Y26" s="11">
        <f t="shared" si="4"/>
        <v>56</v>
      </c>
      <c r="Z26" s="11">
        <f t="shared" si="4"/>
        <v>0</v>
      </c>
      <c r="AA26" s="11">
        <f t="shared" si="4"/>
        <v>0</v>
      </c>
      <c r="AB26" s="11">
        <f t="shared" si="4"/>
        <v>0</v>
      </c>
      <c r="AC26" s="11">
        <f t="shared" si="4"/>
        <v>0</v>
      </c>
      <c r="AD26" s="11">
        <f t="shared" si="4"/>
        <v>0</v>
      </c>
      <c r="AE26" s="34"/>
      <c r="AF26" s="11">
        <f t="shared" si="7"/>
        <v>25</v>
      </c>
      <c r="AG26" s="11">
        <f t="shared" si="7"/>
        <v>21</v>
      </c>
      <c r="AH26" s="11">
        <f t="shared" si="7"/>
        <v>0</v>
      </c>
      <c r="AI26" s="11">
        <f t="shared" si="7"/>
        <v>0</v>
      </c>
      <c r="AJ26" s="34"/>
      <c r="AK26" s="11">
        <f t="shared" si="6"/>
        <v>45</v>
      </c>
      <c r="AL26" s="11">
        <f t="shared" si="8"/>
        <v>0</v>
      </c>
      <c r="AM26" s="11">
        <f t="shared" si="8"/>
        <v>0</v>
      </c>
      <c r="AN26" s="11">
        <f t="shared" si="8"/>
        <v>0</v>
      </c>
    </row>
    <row r="27" spans="1:40" x14ac:dyDescent="0.2">
      <c r="A27" s="80">
        <v>22</v>
      </c>
      <c r="B27" s="40">
        <v>7308</v>
      </c>
      <c r="C27" s="14"/>
      <c r="D27" s="14"/>
      <c r="E27" s="41"/>
      <c r="F27" s="18"/>
      <c r="G27" s="18"/>
      <c r="H27" s="15"/>
      <c r="I27" s="40">
        <v>26625</v>
      </c>
      <c r="J27" s="42">
        <v>3129</v>
      </c>
      <c r="K27" s="42"/>
      <c r="L27" s="18"/>
      <c r="M27" s="15"/>
      <c r="N27" s="41">
        <v>240589</v>
      </c>
      <c r="O27" s="41"/>
      <c r="P27" s="41"/>
      <c r="Q27" s="18"/>
      <c r="R27" s="45">
        <f t="shared" si="3"/>
        <v>0</v>
      </c>
      <c r="S27" s="16"/>
      <c r="T27" s="17">
        <v>0</v>
      </c>
      <c r="U27" s="17">
        <v>0</v>
      </c>
      <c r="V27" s="17">
        <v>0</v>
      </c>
      <c r="W27" s="16"/>
      <c r="X27" s="80">
        <v>22</v>
      </c>
      <c r="Y27" s="11">
        <f t="shared" si="4"/>
        <v>41</v>
      </c>
      <c r="Z27" s="11">
        <f t="shared" si="4"/>
        <v>0</v>
      </c>
      <c r="AA27" s="11">
        <f t="shared" si="4"/>
        <v>0</v>
      </c>
      <c r="AB27" s="11">
        <f t="shared" si="4"/>
        <v>0</v>
      </c>
      <c r="AC27" s="11">
        <f t="shared" si="4"/>
        <v>0</v>
      </c>
      <c r="AD27" s="11">
        <f t="shared" si="4"/>
        <v>0</v>
      </c>
      <c r="AE27" s="34"/>
      <c r="AF27" s="11">
        <f t="shared" si="7"/>
        <v>8</v>
      </c>
      <c r="AG27" s="11">
        <f t="shared" si="7"/>
        <v>1</v>
      </c>
      <c r="AH27" s="11">
        <f t="shared" si="7"/>
        <v>0</v>
      </c>
      <c r="AI27" s="11">
        <f t="shared" si="7"/>
        <v>0</v>
      </c>
      <c r="AJ27" s="34"/>
      <c r="AK27" s="11">
        <f t="shared" si="6"/>
        <v>37</v>
      </c>
      <c r="AL27" s="11">
        <f t="shared" si="8"/>
        <v>0</v>
      </c>
      <c r="AM27" s="11">
        <f t="shared" si="8"/>
        <v>0</v>
      </c>
      <c r="AN27" s="11">
        <f t="shared" si="8"/>
        <v>0</v>
      </c>
    </row>
    <row r="28" spans="1:40" x14ac:dyDescent="0.2">
      <c r="A28" s="80">
        <v>23</v>
      </c>
      <c r="B28" s="40">
        <v>7344</v>
      </c>
      <c r="C28" s="14"/>
      <c r="D28" s="14"/>
      <c r="E28" s="41"/>
      <c r="F28" s="18"/>
      <c r="G28" s="18"/>
      <c r="H28" s="15"/>
      <c r="I28" s="40">
        <v>26633</v>
      </c>
      <c r="J28" s="42">
        <v>3129</v>
      </c>
      <c r="K28" s="42"/>
      <c r="L28" s="18"/>
      <c r="M28" s="15"/>
      <c r="N28" s="41">
        <v>240626</v>
      </c>
      <c r="O28" s="41"/>
      <c r="P28" s="41"/>
      <c r="Q28" s="18"/>
      <c r="R28" s="45">
        <f t="shared" si="3"/>
        <v>0</v>
      </c>
      <c r="S28" s="16"/>
      <c r="T28" s="17">
        <v>0</v>
      </c>
      <c r="U28" s="17">
        <v>0</v>
      </c>
      <c r="V28" s="17">
        <v>0</v>
      </c>
      <c r="W28" s="16"/>
      <c r="X28" s="80">
        <v>23</v>
      </c>
      <c r="Y28" s="11">
        <f t="shared" si="4"/>
        <v>36</v>
      </c>
      <c r="Z28" s="11">
        <f t="shared" si="4"/>
        <v>0</v>
      </c>
      <c r="AA28" s="11">
        <f t="shared" si="4"/>
        <v>0</v>
      </c>
      <c r="AB28" s="11">
        <f t="shared" si="4"/>
        <v>0</v>
      </c>
      <c r="AC28" s="11">
        <f t="shared" si="4"/>
        <v>0</v>
      </c>
      <c r="AD28" s="11">
        <f t="shared" si="4"/>
        <v>0</v>
      </c>
      <c r="AE28" s="34"/>
      <c r="AF28" s="11">
        <f t="shared" si="7"/>
        <v>8</v>
      </c>
      <c r="AG28" s="11">
        <f t="shared" si="7"/>
        <v>0</v>
      </c>
      <c r="AH28" s="11">
        <f t="shared" si="7"/>
        <v>0</v>
      </c>
      <c r="AI28" s="11">
        <f t="shared" si="7"/>
        <v>0</v>
      </c>
      <c r="AJ28" s="34"/>
      <c r="AK28" s="11">
        <f t="shared" si="6"/>
        <v>27</v>
      </c>
      <c r="AL28" s="11">
        <f t="shared" si="8"/>
        <v>0</v>
      </c>
      <c r="AM28" s="11">
        <f t="shared" si="8"/>
        <v>0</v>
      </c>
      <c r="AN28" s="11">
        <f t="shared" si="8"/>
        <v>0</v>
      </c>
    </row>
    <row r="29" spans="1:40" x14ac:dyDescent="0.2">
      <c r="A29" s="80">
        <v>24</v>
      </c>
      <c r="B29" s="40">
        <v>7425</v>
      </c>
      <c r="C29" s="14"/>
      <c r="D29" s="14"/>
      <c r="E29" s="41"/>
      <c r="F29" s="18"/>
      <c r="G29" s="18"/>
      <c r="H29" s="15"/>
      <c r="I29" s="40">
        <v>26672</v>
      </c>
      <c r="J29" s="42">
        <v>3153</v>
      </c>
      <c r="K29" s="42"/>
      <c r="L29" s="18"/>
      <c r="M29" s="15"/>
      <c r="N29" s="41">
        <v>240653</v>
      </c>
      <c r="O29" s="41"/>
      <c r="P29" s="41"/>
      <c r="Q29" s="18"/>
      <c r="R29" s="45">
        <f t="shared" si="3"/>
        <v>0</v>
      </c>
      <c r="S29" s="16"/>
      <c r="T29" s="17">
        <v>0</v>
      </c>
      <c r="U29" s="17">
        <v>0</v>
      </c>
      <c r="V29" s="17">
        <v>0</v>
      </c>
      <c r="W29" s="16"/>
      <c r="X29" s="80">
        <v>24</v>
      </c>
      <c r="Y29" s="11">
        <f t="shared" si="4"/>
        <v>81</v>
      </c>
      <c r="Z29" s="11">
        <f t="shared" si="4"/>
        <v>0</v>
      </c>
      <c r="AA29" s="11">
        <f t="shared" si="4"/>
        <v>0</v>
      </c>
      <c r="AB29" s="11">
        <f t="shared" si="4"/>
        <v>0</v>
      </c>
      <c r="AC29" s="11">
        <f t="shared" si="4"/>
        <v>0</v>
      </c>
      <c r="AD29" s="11">
        <f t="shared" si="4"/>
        <v>0</v>
      </c>
      <c r="AE29" s="34"/>
      <c r="AF29" s="11">
        <f t="shared" si="7"/>
        <v>39</v>
      </c>
      <c r="AG29" s="11">
        <f t="shared" si="7"/>
        <v>24</v>
      </c>
      <c r="AH29" s="11">
        <f t="shared" si="7"/>
        <v>0</v>
      </c>
      <c r="AI29" s="11">
        <f t="shared" si="7"/>
        <v>0</v>
      </c>
      <c r="AJ29" s="34"/>
      <c r="AK29" s="11">
        <f t="shared" si="6"/>
        <v>28</v>
      </c>
      <c r="AL29" s="11">
        <f t="shared" si="8"/>
        <v>0</v>
      </c>
      <c r="AM29" s="11">
        <f t="shared" si="8"/>
        <v>0</v>
      </c>
      <c r="AN29" s="11">
        <f t="shared" si="8"/>
        <v>0</v>
      </c>
    </row>
    <row r="30" spans="1:40" x14ac:dyDescent="0.2">
      <c r="A30" s="80">
        <v>25</v>
      </c>
      <c r="B30" s="40">
        <v>7486</v>
      </c>
      <c r="C30" s="14"/>
      <c r="D30" s="14"/>
      <c r="E30" s="41"/>
      <c r="F30" s="18"/>
      <c r="G30" s="18"/>
      <c r="H30" s="15"/>
      <c r="I30" s="40">
        <v>26701</v>
      </c>
      <c r="J30" s="42">
        <v>3163</v>
      </c>
      <c r="K30" s="42"/>
      <c r="L30" s="18"/>
      <c r="M30" s="15"/>
      <c r="N30" s="41">
        <v>240681</v>
      </c>
      <c r="O30" s="41"/>
      <c r="P30" s="41"/>
      <c r="Q30" s="18"/>
      <c r="R30" s="45">
        <f t="shared" si="3"/>
        <v>0</v>
      </c>
      <c r="S30" s="16"/>
      <c r="T30" s="17">
        <v>0</v>
      </c>
      <c r="U30" s="17">
        <v>0</v>
      </c>
      <c r="V30" s="17">
        <v>0</v>
      </c>
      <c r="W30" s="16"/>
      <c r="X30" s="80">
        <v>25</v>
      </c>
      <c r="Y30" s="11">
        <f t="shared" si="4"/>
        <v>61</v>
      </c>
      <c r="Z30" s="11">
        <f t="shared" si="4"/>
        <v>0</v>
      </c>
      <c r="AA30" s="11">
        <f t="shared" si="4"/>
        <v>0</v>
      </c>
      <c r="AB30" s="11">
        <f t="shared" si="4"/>
        <v>0</v>
      </c>
      <c r="AC30" s="11">
        <f t="shared" si="4"/>
        <v>0</v>
      </c>
      <c r="AD30" s="11">
        <f t="shared" si="4"/>
        <v>0</v>
      </c>
      <c r="AE30" s="34"/>
      <c r="AF30" s="11">
        <f t="shared" si="7"/>
        <v>29</v>
      </c>
      <c r="AG30" s="11">
        <f t="shared" si="7"/>
        <v>10</v>
      </c>
      <c r="AH30" s="11">
        <f t="shared" si="7"/>
        <v>0</v>
      </c>
      <c r="AI30" s="11">
        <f t="shared" si="7"/>
        <v>0</v>
      </c>
      <c r="AJ30" s="34"/>
      <c r="AK30" s="11">
        <f t="shared" si="6"/>
        <v>26</v>
      </c>
      <c r="AL30" s="11">
        <f t="shared" si="8"/>
        <v>0</v>
      </c>
      <c r="AM30" s="11">
        <f t="shared" si="8"/>
        <v>0</v>
      </c>
      <c r="AN30" s="11">
        <f t="shared" si="8"/>
        <v>0</v>
      </c>
    </row>
    <row r="31" spans="1:40" x14ac:dyDescent="0.2">
      <c r="A31" s="80">
        <v>26</v>
      </c>
      <c r="B31" s="40">
        <v>7549</v>
      </c>
      <c r="C31" s="14"/>
      <c r="D31" s="14"/>
      <c r="E31" s="41"/>
      <c r="F31" s="18"/>
      <c r="G31" s="18"/>
      <c r="H31" s="15"/>
      <c r="I31" s="40">
        <v>26724</v>
      </c>
      <c r="J31" s="42">
        <v>3175</v>
      </c>
      <c r="K31" s="42"/>
      <c r="L31" s="18"/>
      <c r="M31" s="15"/>
      <c r="N31" s="41">
        <v>240707</v>
      </c>
      <c r="O31" s="41"/>
      <c r="P31" s="41"/>
      <c r="Q31" s="18"/>
      <c r="R31" s="45">
        <f t="shared" si="3"/>
        <v>0</v>
      </c>
      <c r="S31" s="16"/>
      <c r="T31" s="17">
        <v>0</v>
      </c>
      <c r="U31" s="17">
        <v>0</v>
      </c>
      <c r="V31" s="17">
        <v>0</v>
      </c>
      <c r="W31" s="16"/>
      <c r="X31" s="80">
        <v>26</v>
      </c>
      <c r="Y31" s="11">
        <f t="shared" si="4"/>
        <v>63</v>
      </c>
      <c r="Z31" s="11">
        <f t="shared" si="4"/>
        <v>0</v>
      </c>
      <c r="AA31" s="11">
        <f t="shared" si="4"/>
        <v>0</v>
      </c>
      <c r="AB31" s="11">
        <f t="shared" si="4"/>
        <v>0</v>
      </c>
      <c r="AC31" s="11">
        <f t="shared" si="4"/>
        <v>0</v>
      </c>
      <c r="AD31" s="11">
        <f t="shared" si="4"/>
        <v>0</v>
      </c>
      <c r="AE31" s="34"/>
      <c r="AF31" s="11">
        <f t="shared" si="7"/>
        <v>23</v>
      </c>
      <c r="AG31" s="11">
        <f t="shared" si="7"/>
        <v>12</v>
      </c>
      <c r="AH31" s="11">
        <f t="shared" si="7"/>
        <v>0</v>
      </c>
      <c r="AI31" s="11">
        <f t="shared" si="7"/>
        <v>0</v>
      </c>
      <c r="AJ31" s="34"/>
      <c r="AK31" s="11">
        <f t="shared" si="6"/>
        <v>40</v>
      </c>
      <c r="AL31" s="11">
        <f t="shared" si="8"/>
        <v>0</v>
      </c>
      <c r="AM31" s="11">
        <f t="shared" si="8"/>
        <v>0</v>
      </c>
      <c r="AN31" s="11">
        <f t="shared" si="8"/>
        <v>0</v>
      </c>
    </row>
    <row r="32" spans="1:40" x14ac:dyDescent="0.2">
      <c r="A32" s="80">
        <v>27</v>
      </c>
      <c r="B32" s="40">
        <v>7613</v>
      </c>
      <c r="C32" s="14"/>
      <c r="D32" s="14"/>
      <c r="E32" s="41"/>
      <c r="F32" s="18"/>
      <c r="G32" s="18"/>
      <c r="H32" s="15"/>
      <c r="I32" s="40">
        <v>26750</v>
      </c>
      <c r="J32" s="42">
        <v>3188</v>
      </c>
      <c r="K32" s="42"/>
      <c r="L32" s="18"/>
      <c r="M32" s="15"/>
      <c r="N32" s="41">
        <v>240747</v>
      </c>
      <c r="O32" s="41"/>
      <c r="P32" s="41"/>
      <c r="Q32" s="18"/>
      <c r="R32" s="45">
        <f t="shared" si="3"/>
        <v>0</v>
      </c>
      <c r="S32" s="16"/>
      <c r="T32" s="17">
        <v>0</v>
      </c>
      <c r="U32" s="17">
        <v>0</v>
      </c>
      <c r="V32" s="17">
        <v>0</v>
      </c>
      <c r="W32" s="16"/>
      <c r="X32" s="80">
        <v>27</v>
      </c>
      <c r="Y32" s="11">
        <f t="shared" si="4"/>
        <v>64</v>
      </c>
      <c r="Z32" s="11">
        <f t="shared" si="4"/>
        <v>0</v>
      </c>
      <c r="AA32" s="11">
        <f t="shared" si="4"/>
        <v>0</v>
      </c>
      <c r="AB32" s="11">
        <f t="shared" si="4"/>
        <v>0</v>
      </c>
      <c r="AC32" s="11">
        <f t="shared" si="4"/>
        <v>0</v>
      </c>
      <c r="AD32" s="11">
        <f t="shared" si="4"/>
        <v>0</v>
      </c>
      <c r="AE32" s="34"/>
      <c r="AF32" s="11">
        <f t="shared" si="7"/>
        <v>26</v>
      </c>
      <c r="AG32" s="11">
        <f t="shared" si="7"/>
        <v>13</v>
      </c>
      <c r="AH32" s="11">
        <f t="shared" si="7"/>
        <v>0</v>
      </c>
      <c r="AI32" s="11">
        <f t="shared" si="7"/>
        <v>0</v>
      </c>
      <c r="AJ32" s="34"/>
      <c r="AK32" s="11">
        <f t="shared" si="6"/>
        <v>55</v>
      </c>
      <c r="AL32" s="11">
        <f t="shared" si="8"/>
        <v>0</v>
      </c>
      <c r="AM32" s="11">
        <f t="shared" si="8"/>
        <v>0</v>
      </c>
      <c r="AN32" s="11">
        <f t="shared" si="8"/>
        <v>0</v>
      </c>
    </row>
    <row r="33" spans="1:40" x14ac:dyDescent="0.2">
      <c r="A33" s="80">
        <v>28</v>
      </c>
      <c r="B33" s="40">
        <v>7663</v>
      </c>
      <c r="C33" s="14"/>
      <c r="D33" s="14"/>
      <c r="E33" s="41"/>
      <c r="F33" s="18"/>
      <c r="G33" s="18"/>
      <c r="H33" s="15"/>
      <c r="I33" s="40">
        <v>26780</v>
      </c>
      <c r="J33" s="42">
        <v>3191</v>
      </c>
      <c r="K33" s="42"/>
      <c r="L33" s="18"/>
      <c r="M33" s="15"/>
      <c r="N33" s="41">
        <v>240802</v>
      </c>
      <c r="O33" s="41"/>
      <c r="P33" s="41"/>
      <c r="Q33" s="18"/>
      <c r="R33" s="45">
        <f>Q33-Q32</f>
        <v>0</v>
      </c>
      <c r="S33" s="16"/>
      <c r="T33" s="17">
        <v>0</v>
      </c>
      <c r="U33" s="17">
        <v>0</v>
      </c>
      <c r="V33" s="17">
        <v>0</v>
      </c>
      <c r="W33" s="16"/>
      <c r="X33" s="80">
        <v>28</v>
      </c>
      <c r="Y33" s="11">
        <f t="shared" ref="Y33:AD33" si="9">B33-B32</f>
        <v>50</v>
      </c>
      <c r="Z33" s="11">
        <f t="shared" si="9"/>
        <v>0</v>
      </c>
      <c r="AA33" s="11">
        <f t="shared" si="9"/>
        <v>0</v>
      </c>
      <c r="AB33" s="11">
        <f t="shared" si="9"/>
        <v>0</v>
      </c>
      <c r="AC33" s="11">
        <f t="shared" si="9"/>
        <v>0</v>
      </c>
      <c r="AD33" s="11">
        <f t="shared" si="9"/>
        <v>0</v>
      </c>
      <c r="AE33" s="34"/>
      <c r="AF33" s="11">
        <f>I33-I32</f>
        <v>30</v>
      </c>
      <c r="AG33" s="11">
        <f>J33-J32</f>
        <v>3</v>
      </c>
      <c r="AH33" s="11">
        <f>K33-K32</f>
        <v>0</v>
      </c>
      <c r="AI33" s="11">
        <f>L33-L32</f>
        <v>0</v>
      </c>
      <c r="AJ33" s="34"/>
      <c r="AK33" s="11" t="e">
        <f>#REF!-N33</f>
        <v>#REF!</v>
      </c>
      <c r="AL33" s="11">
        <f>O33-O32</f>
        <v>0</v>
      </c>
      <c r="AM33" s="11">
        <f>P33-P32</f>
        <v>0</v>
      </c>
      <c r="AN33" s="11">
        <f>Q33-Q32</f>
        <v>0</v>
      </c>
    </row>
    <row r="34" spans="1:40" x14ac:dyDescent="0.2">
      <c r="A34" s="75">
        <v>29</v>
      </c>
      <c r="B34" s="40">
        <v>7723</v>
      </c>
      <c r="C34" s="14"/>
      <c r="D34" s="14"/>
      <c r="E34" s="41"/>
      <c r="F34" s="18"/>
      <c r="G34" s="18"/>
      <c r="H34" s="15"/>
      <c r="I34" s="40">
        <v>26810</v>
      </c>
      <c r="J34" s="42">
        <v>3210</v>
      </c>
      <c r="K34" s="42"/>
      <c r="L34" s="18"/>
      <c r="M34" s="15"/>
      <c r="N34" s="41">
        <v>240842</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7814</v>
      </c>
      <c r="C35" s="14"/>
      <c r="D35" s="14"/>
      <c r="E35" s="41"/>
      <c r="F35" s="18"/>
      <c r="G35" s="18"/>
      <c r="H35" s="15"/>
      <c r="I35" s="40">
        <v>26841</v>
      </c>
      <c r="J35" s="42">
        <v>3231</v>
      </c>
      <c r="K35" s="42"/>
      <c r="L35" s="18"/>
      <c r="M35" s="15"/>
      <c r="N35" s="41">
        <v>240863</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c r="C36" s="14"/>
      <c r="D36" s="14"/>
      <c r="E36" s="41"/>
      <c r="F36" s="18"/>
      <c r="G36" s="18"/>
      <c r="H36" s="15"/>
      <c r="I36" s="40"/>
      <c r="J36" s="42"/>
      <c r="K36" s="42"/>
      <c r="L36" s="18"/>
      <c r="M36" s="15"/>
      <c r="N36" s="41"/>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80" t="s">
        <v>34</v>
      </c>
      <c r="B39" s="10">
        <f>LARGE(B5:B35, 1)</f>
        <v>7814</v>
      </c>
      <c r="C39" s="11" t="e">
        <f>LARGE(C5:C33, 1)</f>
        <v>#REF!</v>
      </c>
      <c r="D39" s="11" t="e">
        <f>LARGE(D5:D33, 1)</f>
        <v>#REF!</v>
      </c>
      <c r="E39" s="22" t="e">
        <f>LARGE(E5:E33, 1)</f>
        <v>#REF!</v>
      </c>
      <c r="F39" s="10" t="e">
        <f>LARGE(F5:F33, 1)</f>
        <v>#REF!</v>
      </c>
      <c r="G39" s="10" t="e">
        <f>LARGE(G5:G33, 1)</f>
        <v>#REF!</v>
      </c>
      <c r="H39" s="23"/>
      <c r="I39" s="10">
        <f>LARGE(I5:I33, 1)</f>
        <v>26780</v>
      </c>
      <c r="J39" s="24">
        <f>LARGE(J5:J33, 1)</f>
        <v>3191</v>
      </c>
      <c r="K39" s="24" t="e">
        <f>LARGE(K5:K33, 1)</f>
        <v>#REF!</v>
      </c>
      <c r="L39" s="10" t="e">
        <f>LARGE(L5:L33, 1)</f>
        <v>#REF!</v>
      </c>
      <c r="M39" s="8"/>
      <c r="N39" s="22">
        <f>LARGE(N5:N35, 1)</f>
        <v>240863</v>
      </c>
      <c r="O39" s="22" t="e">
        <f>LARGE(O5:O33, 1)</f>
        <v>#REF!</v>
      </c>
      <c r="P39" s="22" t="e">
        <f>LARGE(P5:P33, 1)</f>
        <v>#REF!</v>
      </c>
      <c r="Q39" s="10" t="e">
        <f>LARGE(Q5:Q33, 1)</f>
        <v>#REF!</v>
      </c>
      <c r="R39" s="19"/>
      <c r="S39" s="9"/>
      <c r="T39" s="11">
        <f>LARGE(T5:T33, 1)</f>
        <v>0</v>
      </c>
      <c r="U39" s="11">
        <f>LARGE(U5:U33, 1)</f>
        <v>0</v>
      </c>
      <c r="V39" s="11">
        <f>LARGE(V5:V33, 1)</f>
        <v>0</v>
      </c>
      <c r="X39" s="80" t="s">
        <v>35</v>
      </c>
      <c r="Y39" s="55">
        <f t="shared" ref="Y39:AD39" si="10">AVERAGEIF($W$6:$W$33, "x",Y6:Y33)</f>
        <v>2807</v>
      </c>
      <c r="Z39" s="55" t="e">
        <f t="shared" si="10"/>
        <v>#REF!</v>
      </c>
      <c r="AA39" s="55" t="e">
        <f t="shared" si="10"/>
        <v>#REF!</v>
      </c>
      <c r="AB39" s="55" t="e">
        <f t="shared" si="10"/>
        <v>#REF!</v>
      </c>
      <c r="AC39" s="55" t="e">
        <f t="shared" si="10"/>
        <v>#REF!</v>
      </c>
      <c r="AD39" s="55" t="e">
        <f t="shared" si="10"/>
        <v>#REF!</v>
      </c>
      <c r="AE39" s="56"/>
      <c r="AF39" s="55">
        <f>AVERAGEIF($W$6:$W$33, "x",AF6:AF33)</f>
        <v>744</v>
      </c>
      <c r="AG39" s="55">
        <f>AVERAGEIF($W$6:$W$33, "x",AG6:AG33)</f>
        <v>95</v>
      </c>
      <c r="AH39" s="55" t="e">
        <f>AVERAGEIF($W$6:$W$33, "x",AH6:AH33)</f>
        <v>#REF!</v>
      </c>
      <c r="AI39" s="55" t="e">
        <f>AVERAGEIF($W$6:$W$33, "x",AI6:AI33)</f>
        <v>#REF!</v>
      </c>
      <c r="AJ39" s="56"/>
      <c r="AK39" s="55">
        <f>AVERAGEIF($W$6:$W$33, "x",AK6:AK33)</f>
        <v>5981</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95"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4456</v>
      </c>
      <c r="C42" s="26" t="e">
        <f t="shared" si="11"/>
        <v>#REF!</v>
      </c>
      <c r="D42" s="26" t="e">
        <f t="shared" si="11"/>
        <v>#REF!</v>
      </c>
      <c r="E42" s="26" t="e">
        <f t="shared" si="11"/>
        <v>#REF!</v>
      </c>
      <c r="F42" s="26" t="e">
        <f t="shared" si="11"/>
        <v>#REF!</v>
      </c>
      <c r="G42" s="26" t="e">
        <f t="shared" si="11"/>
        <v>#REF!</v>
      </c>
      <c r="I42" s="26">
        <f>I39-I5</f>
        <v>1403</v>
      </c>
      <c r="J42" s="26">
        <f>J39-J5</f>
        <v>421</v>
      </c>
      <c r="K42" s="26" t="e">
        <f>K39-K5</f>
        <v>#REF!</v>
      </c>
      <c r="L42" s="26" t="e">
        <f>L39-L5</f>
        <v>#REF!</v>
      </c>
      <c r="N42" s="26">
        <f>N39-N6</f>
        <v>1254</v>
      </c>
      <c r="O42" s="26" t="e">
        <f>O39-O5</f>
        <v>#REF!</v>
      </c>
      <c r="P42" s="26" t="e">
        <f>P39-P5</f>
        <v>#REF!</v>
      </c>
      <c r="Q42" s="26" t="e">
        <f>Q39-Q5</f>
        <v>#REF!</v>
      </c>
      <c r="R42" s="26"/>
      <c r="T42" s="26">
        <f>T39-T5</f>
        <v>0</v>
      </c>
      <c r="U42" s="26">
        <f>U39-U5</f>
        <v>0</v>
      </c>
      <c r="V42" s="26">
        <f>V39-V5</f>
        <v>0</v>
      </c>
      <c r="X42" s="96"/>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80">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80">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82" t="s">
        <v>39</v>
      </c>
      <c r="AA46" s="82"/>
      <c r="AB46" s="82"/>
      <c r="AC46" s="82"/>
      <c r="AD46" s="82"/>
      <c r="AE46" s="82"/>
      <c r="AF46" s="82"/>
      <c r="AG46" s="82"/>
      <c r="AH46" s="82"/>
      <c r="AI46" s="82"/>
      <c r="AJ46" s="82"/>
      <c r="AK46" s="82"/>
      <c r="AL46" s="82"/>
      <c r="AM46" s="82"/>
      <c r="AN46" s="82"/>
    </row>
    <row r="47" spans="1:40" ht="15" x14ac:dyDescent="0.2">
      <c r="A47" s="12"/>
      <c r="X47" s="12"/>
      <c r="Y47" s="59" t="s">
        <v>40</v>
      </c>
      <c r="Z47" s="82" t="s">
        <v>41</v>
      </c>
      <c r="AA47" s="82"/>
      <c r="AB47" s="82"/>
      <c r="AC47" s="82"/>
      <c r="AD47" s="82"/>
      <c r="AE47" s="82"/>
      <c r="AF47" s="82"/>
      <c r="AG47" s="82"/>
      <c r="AH47" s="82"/>
      <c r="AI47" s="82"/>
      <c r="AJ47" s="82"/>
      <c r="AK47" s="82"/>
      <c r="AL47" s="82"/>
      <c r="AM47" s="82"/>
      <c r="AN47" s="82"/>
    </row>
    <row r="48" spans="1:40" ht="27" x14ac:dyDescent="0.2">
      <c r="A48" s="12"/>
      <c r="X48" s="63" t="s">
        <v>42</v>
      </c>
      <c r="Y48" s="60" t="s">
        <v>43</v>
      </c>
      <c r="Z48" s="82" t="s">
        <v>44</v>
      </c>
      <c r="AA48" s="82"/>
      <c r="AB48" s="82"/>
      <c r="AC48" s="82"/>
      <c r="AD48" s="82"/>
      <c r="AE48" s="82"/>
      <c r="AF48" s="82"/>
      <c r="AG48" s="82"/>
      <c r="AH48" s="82"/>
      <c r="AI48" s="82"/>
      <c r="AJ48" s="82"/>
      <c r="AK48" s="82"/>
      <c r="AL48" s="82"/>
      <c r="AM48" s="82"/>
      <c r="AN48" s="82"/>
    </row>
    <row r="49" spans="1:40" x14ac:dyDescent="0.2">
      <c r="A49" s="12"/>
      <c r="X49" s="12"/>
      <c r="Y49" s="61" t="s">
        <v>45</v>
      </c>
      <c r="Z49" s="83" t="s">
        <v>46</v>
      </c>
      <c r="AA49" s="83"/>
      <c r="AB49" s="83"/>
      <c r="AC49" s="83"/>
      <c r="AD49" s="83"/>
      <c r="AE49" s="83"/>
      <c r="AF49" s="83"/>
      <c r="AG49" s="83"/>
      <c r="AH49" s="83"/>
      <c r="AI49" s="83"/>
      <c r="AJ49" s="83"/>
      <c r="AK49" s="83"/>
      <c r="AL49" s="83"/>
      <c r="AM49" s="83"/>
      <c r="AN49" s="83"/>
    </row>
    <row r="50" spans="1:40" ht="27" x14ac:dyDescent="0.2">
      <c r="A50" s="12"/>
      <c r="X50" s="63" t="s">
        <v>42</v>
      </c>
      <c r="Y50" s="62" t="s">
        <v>47</v>
      </c>
      <c r="Z50" s="82" t="s">
        <v>48</v>
      </c>
      <c r="AA50" s="83"/>
      <c r="AB50" s="83"/>
      <c r="AC50" s="83"/>
      <c r="AD50" s="83"/>
      <c r="AE50" s="83"/>
      <c r="AF50" s="83"/>
      <c r="AG50" s="83"/>
      <c r="AH50" s="83"/>
      <c r="AI50" s="83"/>
      <c r="AJ50" s="83"/>
      <c r="AK50" s="83"/>
      <c r="AL50" s="83"/>
      <c r="AM50" s="83"/>
      <c r="AN50" s="83"/>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215" priority="43" operator="lessThan">
      <formula>0</formula>
    </cfRule>
  </conditionalFormatting>
  <conditionalFormatting sqref="Y43:AD44 AF43:AI44 AK43:AN43 AK44:AL44">
    <cfRule type="cellIs" dxfId="214" priority="42" operator="lessThan">
      <formula>0</formula>
    </cfRule>
  </conditionalFormatting>
  <conditionalFormatting sqref="AM44:AN44">
    <cfRule type="cellIs" dxfId="213" priority="41" operator="lessThan">
      <formula>0</formula>
    </cfRule>
  </conditionalFormatting>
  <conditionalFormatting sqref="Y39:AN39">
    <cfRule type="cellIs" dxfId="212" priority="40" operator="lessThan">
      <formula>0</formula>
    </cfRule>
  </conditionalFormatting>
  <conditionalFormatting sqref="Y39">
    <cfRule type="cellIs" dxfId="211" priority="38" operator="lessThan">
      <formula>$Y$44</formula>
    </cfRule>
    <cfRule type="cellIs" dxfId="210" priority="39" operator="greaterThan">
      <formula>$Y$43</formula>
    </cfRule>
  </conditionalFormatting>
  <conditionalFormatting sqref="AB39">
    <cfRule type="cellIs" dxfId="209" priority="36" operator="lessThan">
      <formula>$AB$44</formula>
    </cfRule>
    <cfRule type="cellIs" dxfId="208" priority="37" operator="greaterThan">
      <formula>$AB$43</formula>
    </cfRule>
  </conditionalFormatting>
  <conditionalFormatting sqref="AC39">
    <cfRule type="cellIs" dxfId="207" priority="34" operator="lessThan">
      <formula>$AC$44</formula>
    </cfRule>
    <cfRule type="cellIs" dxfId="206" priority="35" operator="greaterThan">
      <formula>$AC$43</formula>
    </cfRule>
  </conditionalFormatting>
  <conditionalFormatting sqref="AD39">
    <cfRule type="cellIs" dxfId="205" priority="32" operator="lessThan">
      <formula>$AD$44</formula>
    </cfRule>
    <cfRule type="cellIs" dxfId="204" priority="33" operator="greaterThan">
      <formula>$AD$43</formula>
    </cfRule>
  </conditionalFormatting>
  <conditionalFormatting sqref="AF39">
    <cfRule type="cellIs" dxfId="203" priority="30" operator="lessThan">
      <formula>$AF$44</formula>
    </cfRule>
    <cfRule type="cellIs" dxfId="202" priority="31" operator="greaterThan">
      <formula>$AF$43</formula>
    </cfRule>
  </conditionalFormatting>
  <conditionalFormatting sqref="AG39">
    <cfRule type="cellIs" dxfId="201" priority="28" operator="lessThan">
      <formula>$AG$44</formula>
    </cfRule>
    <cfRule type="cellIs" dxfId="200" priority="29" operator="greaterThan">
      <formula>$AG$43</formula>
    </cfRule>
  </conditionalFormatting>
  <conditionalFormatting sqref="AH39">
    <cfRule type="cellIs" dxfId="199" priority="26" operator="lessThan">
      <formula>$AH$44</formula>
    </cfRule>
    <cfRule type="cellIs" dxfId="198" priority="27" operator="greaterThan">
      <formula>$AH$43</formula>
    </cfRule>
  </conditionalFormatting>
  <conditionalFormatting sqref="AI39">
    <cfRule type="cellIs" dxfId="197" priority="24" operator="lessThan">
      <formula>$AI$44</formula>
    </cfRule>
    <cfRule type="cellIs" dxfId="196" priority="25" operator="greaterThan">
      <formula>$AI$43</formula>
    </cfRule>
  </conditionalFormatting>
  <conditionalFormatting sqref="AK39">
    <cfRule type="cellIs" dxfId="195" priority="22" operator="lessThan">
      <formula>$AK$44</formula>
    </cfRule>
    <cfRule type="cellIs" dxfId="194" priority="23" operator="greaterThan">
      <formula>$AK$43</formula>
    </cfRule>
  </conditionalFormatting>
  <conditionalFormatting sqref="AL39">
    <cfRule type="cellIs" dxfId="193" priority="20" operator="lessThan">
      <formula>$AL$44</formula>
    </cfRule>
    <cfRule type="cellIs" dxfId="192" priority="21" operator="greaterThan">
      <formula>$AL$43</formula>
    </cfRule>
  </conditionalFormatting>
  <conditionalFormatting sqref="AM39">
    <cfRule type="cellIs" dxfId="191" priority="18" operator="lessThan">
      <formula>$AM$44</formula>
    </cfRule>
    <cfRule type="cellIs" dxfId="190" priority="19" operator="greaterThan">
      <formula>$AM$43</formula>
    </cfRule>
  </conditionalFormatting>
  <conditionalFormatting sqref="AN39">
    <cfRule type="cellIs" dxfId="189" priority="16" operator="lessThan">
      <formula>$AN$44</formula>
    </cfRule>
    <cfRule type="cellIs" dxfId="188" priority="17" operator="greaterThan">
      <formula>$AN$43</formula>
    </cfRule>
  </conditionalFormatting>
  <conditionalFormatting sqref="AB6:AB36">
    <cfRule type="cellIs" dxfId="187" priority="15" operator="notBetween">
      <formula>$AB$44</formula>
      <formula>$AB$43</formula>
    </cfRule>
  </conditionalFormatting>
  <conditionalFormatting sqref="AC6:AC36">
    <cfRule type="cellIs" dxfId="186" priority="4" operator="notBetween">
      <formula>$AC$43</formula>
      <formula>$AC$44</formula>
    </cfRule>
  </conditionalFormatting>
  <conditionalFormatting sqref="Y6:AN36">
    <cfRule type="cellIs" dxfId="185" priority="2" stopIfTrue="1" operator="equal">
      <formula>0</formula>
    </cfRule>
    <cfRule type="cellIs" dxfId="184" priority="3" stopIfTrue="1" operator="lessThan">
      <formula>0</formula>
    </cfRule>
  </conditionalFormatting>
  <conditionalFormatting sqref="Y6:Y36">
    <cfRule type="cellIs" dxfId="183" priority="13" operator="notBetween">
      <formula>$Y$44</formula>
      <formula>$Y$43</formula>
    </cfRule>
  </conditionalFormatting>
  <conditionalFormatting sqref="AD6:AD36">
    <cfRule type="cellIs" dxfId="182" priority="5" operator="notBetween">
      <formula>$AD$44</formula>
      <formula>$AD$43</formula>
    </cfRule>
  </conditionalFormatting>
  <conditionalFormatting sqref="AF6:AF36">
    <cfRule type="cellIs" dxfId="181" priority="6" operator="notBetween">
      <formula>$AF$44</formula>
      <formula>$AF$43</formula>
    </cfRule>
  </conditionalFormatting>
  <conditionalFormatting sqref="AG6:AG36">
    <cfRule type="cellIs" dxfId="180" priority="7" operator="notBetween">
      <formula>$AG$44</formula>
      <formula>$AG$43</formula>
    </cfRule>
  </conditionalFormatting>
  <conditionalFormatting sqref="AH6:AH36">
    <cfRule type="cellIs" dxfId="179" priority="8" operator="notBetween">
      <formula>$AH$44</formula>
      <formula>$AH$43</formula>
    </cfRule>
  </conditionalFormatting>
  <conditionalFormatting sqref="AI6:AI36">
    <cfRule type="cellIs" dxfId="178" priority="9" operator="notBetween">
      <formula>$AI$44</formula>
      <formula>$AI$43</formula>
    </cfRule>
  </conditionalFormatting>
  <conditionalFormatting sqref="AK6:AK36">
    <cfRule type="cellIs" dxfId="177" priority="10" operator="notBetween">
      <formula>$AK$44</formula>
      <formula>$AK$43</formula>
    </cfRule>
  </conditionalFormatting>
  <conditionalFormatting sqref="AL6:AL36">
    <cfRule type="cellIs" dxfId="176" priority="11" operator="notBetween">
      <formula>$AL$44</formula>
      <formula>$AL$43</formula>
    </cfRule>
  </conditionalFormatting>
  <conditionalFormatting sqref="AM6:AM36">
    <cfRule type="cellIs" dxfId="175" priority="14" operator="notBetween">
      <formula>$AM$44</formula>
      <formula>$AM$43</formula>
    </cfRule>
  </conditionalFormatting>
  <conditionalFormatting sqref="AN6:AN36">
    <cfRule type="cellIs" dxfId="174"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73" priority="44" stopIfTrue="1" operator="greaterThan">
      <formula>$AG$43*2</formula>
    </cfRule>
  </conditionalFormatting>
  <conditionalFormatting sqref="Y6:Y39">
    <cfRule type="cellIs" dxfId="172" priority="45" stopIfTrue="1" operator="greaterThan">
      <formula>$Y$43*2</formula>
    </cfRule>
  </conditionalFormatting>
  <conditionalFormatting sqref="AB6:AB39">
    <cfRule type="cellIs" dxfId="171" priority="46" stopIfTrue="1" operator="greaterThan">
      <formula>$AB$43*2</formula>
    </cfRule>
  </conditionalFormatting>
  <conditionalFormatting sqref="AC6:AC39">
    <cfRule type="cellIs" dxfId="170" priority="47" stopIfTrue="1" operator="greaterThan">
      <formula>$AC$43*2</formula>
    </cfRule>
  </conditionalFormatting>
  <conditionalFormatting sqref="AD6:AD39">
    <cfRule type="cellIs" dxfId="169" priority="48" stopIfTrue="1" operator="greaterThan">
      <formula>$AD$43*2</formula>
    </cfRule>
  </conditionalFormatting>
  <conditionalFormatting sqref="AF6:AF39">
    <cfRule type="cellIs" dxfId="168" priority="49" stopIfTrue="1" operator="greaterThan">
      <formula>$AF$43*2</formula>
    </cfRule>
  </conditionalFormatting>
  <conditionalFormatting sqref="AH6:AH39">
    <cfRule type="cellIs" dxfId="167" priority="50" stopIfTrue="1" operator="greaterThan">
      <formula>$AH$43*2</formula>
    </cfRule>
  </conditionalFormatting>
  <conditionalFormatting sqref="AI6:AI39">
    <cfRule type="cellIs" dxfId="166" priority="51" stopIfTrue="1" operator="greaterThan">
      <formula>$AI$43*2</formula>
    </cfRule>
  </conditionalFormatting>
  <conditionalFormatting sqref="AK6:AK39">
    <cfRule type="cellIs" dxfId="165" priority="52" stopIfTrue="1" operator="greaterThan">
      <formula>$AK$43*2</formula>
    </cfRule>
  </conditionalFormatting>
  <conditionalFormatting sqref="AL6:AL39">
    <cfRule type="cellIs" dxfId="164" priority="53" stopIfTrue="1" operator="greaterThan">
      <formula>$AL$43*2</formula>
    </cfRule>
  </conditionalFormatting>
  <conditionalFormatting sqref="AM6:AM39">
    <cfRule type="cellIs" dxfId="163" priority="54" stopIfTrue="1" operator="greaterThan">
      <formula>$AM$43*2</formula>
    </cfRule>
  </conditionalFormatting>
  <conditionalFormatting sqref="AN6:AN39">
    <cfRule type="cellIs" dxfId="162" priority="55" stopIfTrue="1" operator="greaterThan">
      <formula>$AN$43*2</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5A7F-BF34-4C49-95E9-B50058BBC188}">
  <dimension ref="A1:AN50"/>
  <sheetViews>
    <sheetView topLeftCell="A20" workbookViewId="0">
      <selection sqref="A1:AP1048576"/>
    </sheetView>
  </sheetViews>
  <sheetFormatPr defaultRowHeight="12.75" x14ac:dyDescent="0.2"/>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0"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85"/>
      <c r="B4" s="85"/>
      <c r="C4" s="85"/>
      <c r="D4" s="85"/>
      <c r="E4" s="85"/>
      <c r="F4" s="85"/>
      <c r="G4" s="85"/>
      <c r="H4" s="85"/>
      <c r="I4" s="85"/>
      <c r="J4" s="85"/>
      <c r="K4" s="85"/>
      <c r="L4" s="85"/>
      <c r="M4" s="85"/>
      <c r="N4" s="85"/>
      <c r="O4" s="85"/>
      <c r="P4" s="85"/>
      <c r="Q4" s="85"/>
      <c r="R4" s="85"/>
      <c r="S4" s="85"/>
      <c r="T4" s="85"/>
      <c r="U4" s="85"/>
      <c r="V4" s="85"/>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7814</v>
      </c>
      <c r="C6" s="14"/>
      <c r="D6" s="14"/>
      <c r="E6" s="41"/>
      <c r="F6" s="13"/>
      <c r="G6" s="13"/>
      <c r="H6" s="15"/>
      <c r="I6" s="40">
        <v>26841</v>
      </c>
      <c r="J6" s="42">
        <v>3231</v>
      </c>
      <c r="K6" s="42"/>
      <c r="L6" s="18"/>
      <c r="M6" s="15"/>
      <c r="N6" s="41">
        <v>240863</v>
      </c>
      <c r="O6" s="41"/>
      <c r="P6" s="41"/>
      <c r="Q6" s="18"/>
      <c r="R6" s="45" t="e">
        <f>Q6-Q5</f>
        <v>#REF!</v>
      </c>
      <c r="S6" s="16"/>
      <c r="T6" s="17">
        <v>0</v>
      </c>
      <c r="U6" s="17">
        <v>0</v>
      </c>
      <c r="V6" s="17">
        <v>0</v>
      </c>
      <c r="W6" s="43" t="s">
        <v>30</v>
      </c>
      <c r="X6" s="80">
        <v>1</v>
      </c>
      <c r="Y6" s="11">
        <f>B6-B5</f>
        <v>0</v>
      </c>
      <c r="Z6" s="11" t="e">
        <f t="shared" ref="Z6:AD21" si="0">C6-C5</f>
        <v>#REF!</v>
      </c>
      <c r="AA6" s="11" t="e">
        <f t="shared" si="0"/>
        <v>#REF!</v>
      </c>
      <c r="AB6" s="11" t="e">
        <f t="shared" si="0"/>
        <v>#REF!</v>
      </c>
      <c r="AC6" s="11" t="e">
        <f t="shared" si="0"/>
        <v>#REF!</v>
      </c>
      <c r="AD6" s="11" t="e">
        <f t="shared" si="0"/>
        <v>#REF!</v>
      </c>
      <c r="AE6" s="34"/>
      <c r="AF6" s="11">
        <f t="shared" ref="AF6:AI21" si="1">I6-I5</f>
        <v>61</v>
      </c>
      <c r="AG6" s="11">
        <f t="shared" si="1"/>
        <v>40</v>
      </c>
      <c r="AH6" s="11" t="e">
        <f t="shared" si="1"/>
        <v>#REF!</v>
      </c>
      <c r="AI6" s="11" t="e">
        <f t="shared" si="1"/>
        <v>#REF!</v>
      </c>
      <c r="AJ6" s="34"/>
      <c r="AK6" s="11">
        <f t="shared" ref="AK6:AN21" si="2">N6-N5</f>
        <v>0</v>
      </c>
      <c r="AL6" s="11" t="e">
        <f t="shared" si="2"/>
        <v>#REF!</v>
      </c>
      <c r="AM6" s="11" t="e">
        <f t="shared" si="2"/>
        <v>#REF!</v>
      </c>
      <c r="AN6" s="11" t="e">
        <f t="shared" si="2"/>
        <v>#REF!</v>
      </c>
    </row>
    <row r="7" spans="1:40" x14ac:dyDescent="0.2">
      <c r="A7" s="80">
        <v>2</v>
      </c>
      <c r="B7" s="40">
        <v>7890</v>
      </c>
      <c r="C7" s="14"/>
      <c r="D7" s="14"/>
      <c r="E7" s="41"/>
      <c r="F7" s="18"/>
      <c r="G7" s="18"/>
      <c r="H7" s="15"/>
      <c r="I7" s="40">
        <v>26876</v>
      </c>
      <c r="J7" s="42">
        <v>3254</v>
      </c>
      <c r="K7" s="42"/>
      <c r="L7" s="18"/>
      <c r="M7" s="15"/>
      <c r="N7" s="41">
        <v>240909</v>
      </c>
      <c r="O7" s="41"/>
      <c r="P7" s="41"/>
      <c r="Q7" s="18"/>
      <c r="R7" s="45">
        <f t="shared" ref="R7:R32" si="3">Q7-Q6</f>
        <v>0</v>
      </c>
      <c r="S7" s="16"/>
      <c r="T7" s="17">
        <v>0</v>
      </c>
      <c r="U7" s="17">
        <v>0</v>
      </c>
      <c r="V7" s="17">
        <v>0</v>
      </c>
      <c r="W7" s="16"/>
      <c r="X7" s="80">
        <v>2</v>
      </c>
      <c r="Y7" s="11">
        <f t="shared" ref="Y7:AD32" si="4">B7-B6</f>
        <v>76</v>
      </c>
      <c r="Z7" s="11">
        <f t="shared" si="0"/>
        <v>0</v>
      </c>
      <c r="AA7" s="11">
        <f t="shared" si="0"/>
        <v>0</v>
      </c>
      <c r="AB7" s="11">
        <f t="shared" si="0"/>
        <v>0</v>
      </c>
      <c r="AC7" s="11">
        <f t="shared" si="0"/>
        <v>0</v>
      </c>
      <c r="AD7" s="11">
        <f t="shared" si="0"/>
        <v>0</v>
      </c>
      <c r="AE7" s="34"/>
      <c r="AF7" s="11">
        <f t="shared" si="1"/>
        <v>35</v>
      </c>
      <c r="AG7" s="11">
        <f t="shared" si="1"/>
        <v>23</v>
      </c>
      <c r="AH7" s="11">
        <f t="shared" si="1"/>
        <v>0</v>
      </c>
      <c r="AI7" s="11">
        <f t="shared" si="1"/>
        <v>0</v>
      </c>
      <c r="AJ7" s="34"/>
      <c r="AK7" s="11">
        <f t="shared" si="2"/>
        <v>46</v>
      </c>
      <c r="AL7" s="11">
        <f t="shared" si="2"/>
        <v>0</v>
      </c>
      <c r="AM7" s="11">
        <f t="shared" si="2"/>
        <v>0</v>
      </c>
      <c r="AN7" s="11">
        <f t="shared" si="2"/>
        <v>0</v>
      </c>
    </row>
    <row r="8" spans="1:40" x14ac:dyDescent="0.2">
      <c r="A8" s="80">
        <v>3</v>
      </c>
      <c r="B8" s="40">
        <v>7961</v>
      </c>
      <c r="C8" s="14"/>
      <c r="D8" s="14"/>
      <c r="E8" s="41"/>
      <c r="F8" s="18"/>
      <c r="G8" s="18"/>
      <c r="H8" s="15"/>
      <c r="I8" s="40">
        <v>26914</v>
      </c>
      <c r="J8" s="42">
        <v>3273</v>
      </c>
      <c r="K8" s="42"/>
      <c r="L8" s="18"/>
      <c r="M8" s="15"/>
      <c r="N8" s="41">
        <v>240948</v>
      </c>
      <c r="O8" s="41"/>
      <c r="P8" s="41"/>
      <c r="Q8" s="18"/>
      <c r="R8" s="45">
        <f t="shared" si="3"/>
        <v>0</v>
      </c>
      <c r="S8" s="16"/>
      <c r="T8" s="17">
        <v>0</v>
      </c>
      <c r="U8" s="17">
        <v>0</v>
      </c>
      <c r="V8" s="17">
        <v>0</v>
      </c>
      <c r="W8" s="16"/>
      <c r="X8" s="80">
        <v>3</v>
      </c>
      <c r="Y8" s="11">
        <f t="shared" si="4"/>
        <v>71</v>
      </c>
      <c r="Z8" s="11">
        <f t="shared" si="0"/>
        <v>0</v>
      </c>
      <c r="AA8" s="11">
        <f t="shared" si="0"/>
        <v>0</v>
      </c>
      <c r="AB8" s="11">
        <f t="shared" si="0"/>
        <v>0</v>
      </c>
      <c r="AC8" s="11">
        <f t="shared" si="0"/>
        <v>0</v>
      </c>
      <c r="AD8" s="11">
        <f t="shared" si="0"/>
        <v>0</v>
      </c>
      <c r="AE8" s="34"/>
      <c r="AF8" s="11">
        <f t="shared" si="1"/>
        <v>38</v>
      </c>
      <c r="AG8" s="11">
        <f t="shared" si="1"/>
        <v>19</v>
      </c>
      <c r="AH8" s="11">
        <f t="shared" si="1"/>
        <v>0</v>
      </c>
      <c r="AI8" s="11">
        <f t="shared" si="1"/>
        <v>0</v>
      </c>
      <c r="AJ8" s="34"/>
      <c r="AK8" s="11">
        <f t="shared" si="2"/>
        <v>39</v>
      </c>
      <c r="AL8" s="11">
        <f t="shared" si="2"/>
        <v>0</v>
      </c>
      <c r="AM8" s="11">
        <f t="shared" si="2"/>
        <v>0</v>
      </c>
      <c r="AN8" s="11">
        <f t="shared" si="2"/>
        <v>0</v>
      </c>
    </row>
    <row r="9" spans="1:40" x14ac:dyDescent="0.2">
      <c r="A9" s="80">
        <v>4</v>
      </c>
      <c r="B9" s="40">
        <v>8029</v>
      </c>
      <c r="C9" s="14"/>
      <c r="D9" s="14"/>
      <c r="E9" s="41"/>
      <c r="F9" s="18"/>
      <c r="G9" s="18"/>
      <c r="H9" s="15"/>
      <c r="I9" s="40">
        <v>26953</v>
      </c>
      <c r="J9" s="42">
        <v>3294</v>
      </c>
      <c r="K9" s="42"/>
      <c r="L9" s="18"/>
      <c r="M9" s="15"/>
      <c r="N9" s="41">
        <v>240979</v>
      </c>
      <c r="O9" s="41"/>
      <c r="P9" s="41"/>
      <c r="Q9" s="18"/>
      <c r="R9" s="45">
        <f>Q9-Q8</f>
        <v>0</v>
      </c>
      <c r="S9" s="16"/>
      <c r="T9" s="17">
        <v>0</v>
      </c>
      <c r="U9" s="17">
        <v>0</v>
      </c>
      <c r="V9" s="17">
        <v>0</v>
      </c>
      <c r="W9" s="16"/>
      <c r="X9" s="80">
        <v>4</v>
      </c>
      <c r="Y9" s="11">
        <f t="shared" ref="Y9:AD9" si="5">B9-B8</f>
        <v>68</v>
      </c>
      <c r="Z9" s="11">
        <f t="shared" si="5"/>
        <v>0</v>
      </c>
      <c r="AA9" s="11">
        <f t="shared" si="5"/>
        <v>0</v>
      </c>
      <c r="AB9" s="11">
        <f t="shared" si="5"/>
        <v>0</v>
      </c>
      <c r="AC9" s="11">
        <f t="shared" si="5"/>
        <v>0</v>
      </c>
      <c r="AD9" s="11">
        <f t="shared" si="5"/>
        <v>0</v>
      </c>
      <c r="AE9" s="34"/>
      <c r="AF9" s="11">
        <f>I9-I8</f>
        <v>39</v>
      </c>
      <c r="AG9" s="11">
        <f>J9-J8</f>
        <v>21</v>
      </c>
      <c r="AH9" s="11">
        <f>K9-K8</f>
        <v>0</v>
      </c>
      <c r="AI9" s="11">
        <f>L9-L8</f>
        <v>0</v>
      </c>
      <c r="AJ9" s="34"/>
      <c r="AK9" s="11">
        <f>N9-N8</f>
        <v>31</v>
      </c>
      <c r="AL9" s="11">
        <f>O9-O8</f>
        <v>0</v>
      </c>
      <c r="AM9" s="11">
        <f>P9-P8</f>
        <v>0</v>
      </c>
      <c r="AN9" s="11">
        <f>Q9-Q8</f>
        <v>0</v>
      </c>
    </row>
    <row r="10" spans="1:40" x14ac:dyDescent="0.2">
      <c r="A10" s="80">
        <v>5</v>
      </c>
      <c r="B10" s="40">
        <v>8101</v>
      </c>
      <c r="C10" s="14"/>
      <c r="D10" s="14"/>
      <c r="E10" s="41"/>
      <c r="F10" s="18"/>
      <c r="G10" s="18"/>
      <c r="H10" s="15"/>
      <c r="I10" s="40">
        <v>26993</v>
      </c>
      <c r="J10" s="42">
        <v>3316</v>
      </c>
      <c r="K10" s="42"/>
      <c r="L10" s="18"/>
      <c r="M10" s="15"/>
      <c r="N10" s="41">
        <v>241019</v>
      </c>
      <c r="O10" s="41"/>
      <c r="P10" s="41"/>
      <c r="Q10" s="18"/>
      <c r="R10" s="45">
        <f t="shared" si="3"/>
        <v>0</v>
      </c>
      <c r="S10" s="16"/>
      <c r="T10" s="17">
        <v>0</v>
      </c>
      <c r="U10" s="17">
        <v>0</v>
      </c>
      <c r="V10" s="17">
        <v>0</v>
      </c>
      <c r="W10" s="16"/>
      <c r="X10" s="80">
        <v>5</v>
      </c>
      <c r="Y10" s="11">
        <f t="shared" si="4"/>
        <v>72</v>
      </c>
      <c r="Z10" s="11">
        <f t="shared" si="0"/>
        <v>0</v>
      </c>
      <c r="AA10" s="11">
        <f t="shared" si="0"/>
        <v>0</v>
      </c>
      <c r="AB10" s="11">
        <f t="shared" si="0"/>
        <v>0</v>
      </c>
      <c r="AC10" s="11">
        <f t="shared" si="0"/>
        <v>0</v>
      </c>
      <c r="AD10" s="11">
        <f t="shared" si="0"/>
        <v>0</v>
      </c>
      <c r="AE10" s="34"/>
      <c r="AF10" s="11">
        <f t="shared" si="1"/>
        <v>40</v>
      </c>
      <c r="AG10" s="11">
        <f t="shared" si="1"/>
        <v>22</v>
      </c>
      <c r="AH10" s="11">
        <f t="shared" si="1"/>
        <v>0</v>
      </c>
      <c r="AI10" s="11">
        <f t="shared" si="1"/>
        <v>0</v>
      </c>
      <c r="AJ10" s="34"/>
      <c r="AK10" s="11">
        <f>N10-N9</f>
        <v>40</v>
      </c>
      <c r="AL10" s="11">
        <f t="shared" si="2"/>
        <v>0</v>
      </c>
      <c r="AM10" s="11">
        <f t="shared" si="2"/>
        <v>0</v>
      </c>
      <c r="AN10" s="11">
        <f t="shared" si="2"/>
        <v>0</v>
      </c>
    </row>
    <row r="11" spans="1:40" x14ac:dyDescent="0.2">
      <c r="A11" s="80">
        <v>6</v>
      </c>
      <c r="B11" s="40">
        <v>8171</v>
      </c>
      <c r="C11" s="14"/>
      <c r="D11" s="14"/>
      <c r="E11" s="41"/>
      <c r="F11" s="18"/>
      <c r="G11" s="18"/>
      <c r="H11" s="15"/>
      <c r="I11" s="40">
        <v>27029</v>
      </c>
      <c r="J11" s="42">
        <v>3338</v>
      </c>
      <c r="K11" s="42"/>
      <c r="L11" s="18"/>
      <c r="M11" s="15"/>
      <c r="N11" s="41">
        <v>241058</v>
      </c>
      <c r="O11" s="41"/>
      <c r="P11" s="41"/>
      <c r="Q11" s="18"/>
      <c r="R11" s="45">
        <f t="shared" si="3"/>
        <v>0</v>
      </c>
      <c r="S11" s="16"/>
      <c r="T11" s="17">
        <v>0</v>
      </c>
      <c r="U11" s="17">
        <v>0</v>
      </c>
      <c r="V11" s="17">
        <v>0</v>
      </c>
      <c r="W11" s="16"/>
      <c r="X11" s="80">
        <v>6</v>
      </c>
      <c r="Y11" s="11">
        <f t="shared" si="4"/>
        <v>70</v>
      </c>
      <c r="Z11" s="11">
        <f t="shared" si="0"/>
        <v>0</v>
      </c>
      <c r="AA11" s="11">
        <f t="shared" si="0"/>
        <v>0</v>
      </c>
      <c r="AB11" s="11">
        <f t="shared" si="0"/>
        <v>0</v>
      </c>
      <c r="AC11" s="11">
        <f t="shared" si="0"/>
        <v>0</v>
      </c>
      <c r="AD11" s="11">
        <f t="shared" si="0"/>
        <v>0</v>
      </c>
      <c r="AE11" s="34"/>
      <c r="AF11" s="11">
        <f t="shared" si="1"/>
        <v>36</v>
      </c>
      <c r="AG11" s="11">
        <f t="shared" si="1"/>
        <v>22</v>
      </c>
      <c r="AH11" s="11">
        <f t="shared" si="1"/>
        <v>0</v>
      </c>
      <c r="AI11" s="11">
        <f t="shared" si="1"/>
        <v>0</v>
      </c>
      <c r="AJ11" s="34"/>
      <c r="AK11" s="11">
        <f>N12-N10</f>
        <v>74</v>
      </c>
      <c r="AL11" s="11">
        <f t="shared" si="2"/>
        <v>0</v>
      </c>
      <c r="AM11" s="11">
        <f t="shared" si="2"/>
        <v>0</v>
      </c>
      <c r="AN11" s="11">
        <f t="shared" si="2"/>
        <v>0</v>
      </c>
    </row>
    <row r="12" spans="1:40" x14ac:dyDescent="0.2">
      <c r="A12" s="80">
        <v>7</v>
      </c>
      <c r="B12" s="40">
        <v>8225</v>
      </c>
      <c r="C12" s="14"/>
      <c r="D12" s="14"/>
      <c r="E12" s="41"/>
      <c r="F12" s="18"/>
      <c r="G12" s="18"/>
      <c r="H12" s="15"/>
      <c r="I12" s="40">
        <v>27053</v>
      </c>
      <c r="J12" s="42">
        <v>3347</v>
      </c>
      <c r="K12" s="42"/>
      <c r="L12" s="18"/>
      <c r="M12" s="15"/>
      <c r="N12" s="41">
        <v>241093</v>
      </c>
      <c r="O12" s="41"/>
      <c r="P12" s="41"/>
      <c r="Q12" s="18"/>
      <c r="R12" s="45">
        <f t="shared" si="3"/>
        <v>0</v>
      </c>
      <c r="S12" s="16"/>
      <c r="T12" s="17">
        <v>0</v>
      </c>
      <c r="U12" s="17">
        <v>0</v>
      </c>
      <c r="V12" s="17">
        <v>0</v>
      </c>
      <c r="W12" s="16"/>
      <c r="X12" s="80">
        <v>7</v>
      </c>
      <c r="Y12" s="11">
        <f t="shared" si="4"/>
        <v>54</v>
      </c>
      <c r="Z12" s="11">
        <f t="shared" si="0"/>
        <v>0</v>
      </c>
      <c r="AA12" s="11">
        <f t="shared" si="0"/>
        <v>0</v>
      </c>
      <c r="AB12" s="11">
        <f t="shared" si="0"/>
        <v>0</v>
      </c>
      <c r="AC12" s="11">
        <f t="shared" si="0"/>
        <v>0</v>
      </c>
      <c r="AD12" s="11">
        <f t="shared" si="0"/>
        <v>0</v>
      </c>
      <c r="AE12" s="34"/>
      <c r="AF12" s="11">
        <f t="shared" si="1"/>
        <v>24</v>
      </c>
      <c r="AG12" s="11">
        <f t="shared" si="1"/>
        <v>9</v>
      </c>
      <c r="AH12" s="11">
        <f t="shared" si="1"/>
        <v>0</v>
      </c>
      <c r="AI12" s="11">
        <f t="shared" si="1"/>
        <v>0</v>
      </c>
      <c r="AJ12" s="34"/>
      <c r="AK12" s="11">
        <f t="shared" ref="AK12:AK32" si="6">N13-N12</f>
        <v>35</v>
      </c>
      <c r="AL12" s="11">
        <f t="shared" si="2"/>
        <v>0</v>
      </c>
      <c r="AM12" s="11">
        <f t="shared" si="2"/>
        <v>0</v>
      </c>
      <c r="AN12" s="11">
        <f t="shared" si="2"/>
        <v>0</v>
      </c>
    </row>
    <row r="13" spans="1:40" x14ac:dyDescent="0.2">
      <c r="A13" s="80">
        <v>8</v>
      </c>
      <c r="B13" s="40">
        <v>8272</v>
      </c>
      <c r="C13" s="14"/>
      <c r="D13" s="14"/>
      <c r="E13" s="41"/>
      <c r="F13" s="18"/>
      <c r="G13" s="18"/>
      <c r="H13" s="15"/>
      <c r="I13" s="40">
        <v>27068</v>
      </c>
      <c r="J13" s="42">
        <v>3347</v>
      </c>
      <c r="K13" s="42"/>
      <c r="L13" s="18"/>
      <c r="M13" s="15"/>
      <c r="N13" s="41">
        <v>241128</v>
      </c>
      <c r="O13" s="41"/>
      <c r="P13" s="41"/>
      <c r="Q13" s="18"/>
      <c r="R13" s="45">
        <f t="shared" si="3"/>
        <v>0</v>
      </c>
      <c r="S13" s="16"/>
      <c r="T13" s="17">
        <v>0</v>
      </c>
      <c r="U13" s="17">
        <v>0</v>
      </c>
      <c r="V13" s="17">
        <v>0</v>
      </c>
      <c r="W13" s="16"/>
      <c r="X13" s="80">
        <v>8</v>
      </c>
      <c r="Y13" s="11">
        <f t="shared" si="4"/>
        <v>47</v>
      </c>
      <c r="Z13" s="11">
        <f t="shared" si="0"/>
        <v>0</v>
      </c>
      <c r="AA13" s="11">
        <f t="shared" si="0"/>
        <v>0</v>
      </c>
      <c r="AB13" s="11">
        <f t="shared" si="0"/>
        <v>0</v>
      </c>
      <c r="AC13" s="11">
        <f t="shared" si="0"/>
        <v>0</v>
      </c>
      <c r="AD13" s="11">
        <f t="shared" si="0"/>
        <v>0</v>
      </c>
      <c r="AE13" s="34"/>
      <c r="AF13" s="11">
        <f t="shared" si="1"/>
        <v>15</v>
      </c>
      <c r="AG13" s="11">
        <f t="shared" si="1"/>
        <v>0</v>
      </c>
      <c r="AH13" s="11">
        <f t="shared" si="1"/>
        <v>0</v>
      </c>
      <c r="AI13" s="11">
        <f t="shared" si="1"/>
        <v>0</v>
      </c>
      <c r="AJ13" s="34"/>
      <c r="AK13" s="11">
        <f t="shared" si="6"/>
        <v>37</v>
      </c>
      <c r="AL13" s="11">
        <f t="shared" si="2"/>
        <v>0</v>
      </c>
      <c r="AM13" s="11">
        <f t="shared" si="2"/>
        <v>0</v>
      </c>
      <c r="AN13" s="11">
        <f t="shared" si="2"/>
        <v>0</v>
      </c>
    </row>
    <row r="14" spans="1:40" x14ac:dyDescent="0.2">
      <c r="A14" s="80">
        <v>9</v>
      </c>
      <c r="B14" s="40">
        <v>8322</v>
      </c>
      <c r="C14" s="14"/>
      <c r="D14" s="14"/>
      <c r="E14" s="41"/>
      <c r="F14" s="18"/>
      <c r="G14" s="18"/>
      <c r="H14" s="15"/>
      <c r="I14" s="40">
        <v>27084</v>
      </c>
      <c r="J14" s="42">
        <v>3347</v>
      </c>
      <c r="K14" s="42"/>
      <c r="L14" s="18"/>
      <c r="M14" s="15"/>
      <c r="N14" s="41">
        <v>241165</v>
      </c>
      <c r="O14" s="41"/>
      <c r="P14" s="41"/>
      <c r="Q14" s="18"/>
      <c r="R14" s="45">
        <f t="shared" si="3"/>
        <v>0</v>
      </c>
      <c r="S14" s="16"/>
      <c r="T14" s="17">
        <v>0</v>
      </c>
      <c r="U14" s="17">
        <v>0</v>
      </c>
      <c r="V14" s="17">
        <v>0</v>
      </c>
      <c r="W14" s="16"/>
      <c r="X14" s="80">
        <v>9</v>
      </c>
      <c r="Y14" s="11">
        <f t="shared" si="4"/>
        <v>50</v>
      </c>
      <c r="Z14" s="11">
        <f t="shared" si="0"/>
        <v>0</v>
      </c>
      <c r="AA14" s="11">
        <f t="shared" si="0"/>
        <v>0</v>
      </c>
      <c r="AB14" s="11">
        <f t="shared" si="0"/>
        <v>0</v>
      </c>
      <c r="AC14" s="11">
        <f t="shared" si="0"/>
        <v>0</v>
      </c>
      <c r="AD14" s="11">
        <f t="shared" si="0"/>
        <v>0</v>
      </c>
      <c r="AE14" s="34"/>
      <c r="AF14" s="11">
        <f t="shared" si="1"/>
        <v>16</v>
      </c>
      <c r="AG14" s="11">
        <f t="shared" si="1"/>
        <v>0</v>
      </c>
      <c r="AH14" s="11">
        <f t="shared" si="1"/>
        <v>0</v>
      </c>
      <c r="AI14" s="11">
        <f t="shared" si="1"/>
        <v>0</v>
      </c>
      <c r="AJ14" s="34"/>
      <c r="AK14" s="11">
        <f t="shared" si="6"/>
        <v>37</v>
      </c>
      <c r="AL14" s="11">
        <f t="shared" si="2"/>
        <v>0</v>
      </c>
      <c r="AM14" s="11">
        <f t="shared" si="2"/>
        <v>0</v>
      </c>
      <c r="AN14" s="11">
        <f t="shared" si="2"/>
        <v>0</v>
      </c>
    </row>
    <row r="15" spans="1:40" x14ac:dyDescent="0.2">
      <c r="A15" s="80">
        <v>10</v>
      </c>
      <c r="B15" s="40">
        <v>8372</v>
      </c>
      <c r="C15" s="14"/>
      <c r="D15" s="14"/>
      <c r="E15" s="41"/>
      <c r="F15" s="18"/>
      <c r="G15" s="18"/>
      <c r="H15" s="15"/>
      <c r="I15" s="40">
        <v>27103</v>
      </c>
      <c r="J15" s="42">
        <v>3347</v>
      </c>
      <c r="K15" s="42"/>
      <c r="L15" s="18"/>
      <c r="M15" s="15"/>
      <c r="N15" s="41">
        <v>241202</v>
      </c>
      <c r="O15" s="41"/>
      <c r="P15" s="41"/>
      <c r="Q15" s="18"/>
      <c r="R15" s="45">
        <f t="shared" si="3"/>
        <v>0</v>
      </c>
      <c r="S15" s="16"/>
      <c r="T15" s="17">
        <v>0</v>
      </c>
      <c r="U15" s="17">
        <v>0</v>
      </c>
      <c r="V15" s="17">
        <v>0</v>
      </c>
      <c r="W15" s="16"/>
      <c r="X15" s="80">
        <v>10</v>
      </c>
      <c r="Y15" s="11">
        <f t="shared" si="4"/>
        <v>50</v>
      </c>
      <c r="Z15" s="11">
        <f t="shared" si="0"/>
        <v>0</v>
      </c>
      <c r="AA15" s="11">
        <f t="shared" si="0"/>
        <v>0</v>
      </c>
      <c r="AB15" s="11">
        <f t="shared" si="0"/>
        <v>0</v>
      </c>
      <c r="AC15" s="11">
        <f t="shared" si="0"/>
        <v>0</v>
      </c>
      <c r="AD15" s="11">
        <f t="shared" si="0"/>
        <v>0</v>
      </c>
      <c r="AE15" s="34"/>
      <c r="AF15" s="11">
        <f t="shared" si="1"/>
        <v>19</v>
      </c>
      <c r="AG15" s="11">
        <f t="shared" si="1"/>
        <v>0</v>
      </c>
      <c r="AH15" s="11">
        <f t="shared" si="1"/>
        <v>0</v>
      </c>
      <c r="AI15" s="11">
        <f t="shared" si="1"/>
        <v>0</v>
      </c>
      <c r="AJ15" s="34"/>
      <c r="AK15" s="11">
        <f t="shared" si="6"/>
        <v>31</v>
      </c>
      <c r="AL15" s="11">
        <f t="shared" si="2"/>
        <v>0</v>
      </c>
      <c r="AM15" s="11">
        <f t="shared" si="2"/>
        <v>0</v>
      </c>
      <c r="AN15" s="11">
        <f t="shared" si="2"/>
        <v>0</v>
      </c>
    </row>
    <row r="16" spans="1:40" x14ac:dyDescent="0.2">
      <c r="A16" s="80">
        <v>11</v>
      </c>
      <c r="B16" s="40">
        <v>8422</v>
      </c>
      <c r="C16" s="14"/>
      <c r="D16" s="14"/>
      <c r="E16" s="41"/>
      <c r="F16" s="18"/>
      <c r="G16" s="18"/>
      <c r="H16" s="15"/>
      <c r="I16" s="40">
        <v>27122</v>
      </c>
      <c r="J16" s="42">
        <v>3347</v>
      </c>
      <c r="K16" s="42"/>
      <c r="L16" s="18"/>
      <c r="M16" s="15"/>
      <c r="N16" s="41">
        <v>241233</v>
      </c>
      <c r="O16" s="41"/>
      <c r="P16" s="41"/>
      <c r="Q16" s="18"/>
      <c r="R16" s="45">
        <f t="shared" si="3"/>
        <v>0</v>
      </c>
      <c r="S16" s="16"/>
      <c r="T16" s="17">
        <v>0</v>
      </c>
      <c r="U16" s="17">
        <v>0</v>
      </c>
      <c r="V16" s="17">
        <v>0</v>
      </c>
      <c r="W16" s="16"/>
      <c r="X16" s="80">
        <v>11</v>
      </c>
      <c r="Y16" s="11">
        <f t="shared" si="4"/>
        <v>50</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 t="shared" si="6"/>
        <v>35</v>
      </c>
      <c r="AL16" s="11">
        <f t="shared" si="2"/>
        <v>0</v>
      </c>
      <c r="AM16" s="11">
        <f t="shared" si="2"/>
        <v>0</v>
      </c>
      <c r="AN16" s="11">
        <f t="shared" si="2"/>
        <v>0</v>
      </c>
    </row>
    <row r="17" spans="1:40" x14ac:dyDescent="0.2">
      <c r="A17" s="80">
        <v>12</v>
      </c>
      <c r="B17" s="40">
        <v>8472</v>
      </c>
      <c r="C17" s="14"/>
      <c r="D17" s="14"/>
      <c r="E17" s="41"/>
      <c r="F17" s="18"/>
      <c r="G17" s="18"/>
      <c r="H17" s="15"/>
      <c r="I17" s="40">
        <v>27142</v>
      </c>
      <c r="J17" s="42">
        <v>3347</v>
      </c>
      <c r="K17" s="42"/>
      <c r="L17" s="18"/>
      <c r="M17" s="15"/>
      <c r="N17" s="41">
        <v>241268</v>
      </c>
      <c r="O17" s="41"/>
      <c r="P17" s="41"/>
      <c r="Q17" s="18"/>
      <c r="R17" s="45">
        <f t="shared" si="3"/>
        <v>0</v>
      </c>
      <c r="S17" s="16"/>
      <c r="T17" s="17">
        <v>0</v>
      </c>
      <c r="U17" s="17">
        <v>0</v>
      </c>
      <c r="V17" s="17">
        <v>0</v>
      </c>
      <c r="W17" s="16"/>
      <c r="X17" s="80">
        <v>12</v>
      </c>
      <c r="Y17" s="11">
        <f t="shared" si="4"/>
        <v>50</v>
      </c>
      <c r="Z17" s="11">
        <f t="shared" si="0"/>
        <v>0</v>
      </c>
      <c r="AA17" s="11">
        <f t="shared" si="0"/>
        <v>0</v>
      </c>
      <c r="AB17" s="11">
        <f t="shared" si="0"/>
        <v>0</v>
      </c>
      <c r="AC17" s="11">
        <f t="shared" si="0"/>
        <v>0</v>
      </c>
      <c r="AD17" s="11">
        <f t="shared" si="0"/>
        <v>0</v>
      </c>
      <c r="AE17" s="34"/>
      <c r="AF17" s="11">
        <f t="shared" si="1"/>
        <v>20</v>
      </c>
      <c r="AG17" s="11">
        <f t="shared" si="1"/>
        <v>0</v>
      </c>
      <c r="AH17" s="11">
        <f t="shared" si="1"/>
        <v>0</v>
      </c>
      <c r="AI17" s="11">
        <f t="shared" si="1"/>
        <v>0</v>
      </c>
      <c r="AJ17" s="34"/>
      <c r="AK17" s="11">
        <f t="shared" si="6"/>
        <v>39</v>
      </c>
      <c r="AL17" s="11">
        <f t="shared" si="2"/>
        <v>0</v>
      </c>
      <c r="AM17" s="11">
        <f t="shared" si="2"/>
        <v>0</v>
      </c>
      <c r="AN17" s="11">
        <f t="shared" si="2"/>
        <v>0</v>
      </c>
    </row>
    <row r="18" spans="1:40" x14ac:dyDescent="0.2">
      <c r="A18" s="80">
        <v>13</v>
      </c>
      <c r="B18" s="40">
        <v>8520</v>
      </c>
      <c r="C18" s="14"/>
      <c r="D18" s="14"/>
      <c r="E18" s="41"/>
      <c r="F18" s="18"/>
      <c r="G18" s="18"/>
      <c r="H18" s="15"/>
      <c r="I18" s="40">
        <v>27155</v>
      </c>
      <c r="J18" s="42">
        <v>3347</v>
      </c>
      <c r="K18" s="42"/>
      <c r="L18" s="18"/>
      <c r="M18" s="15"/>
      <c r="N18" s="41">
        <v>241307</v>
      </c>
      <c r="O18" s="41"/>
      <c r="P18" s="41"/>
      <c r="Q18" s="18"/>
      <c r="R18" s="45">
        <f t="shared" si="3"/>
        <v>0</v>
      </c>
      <c r="S18" s="16"/>
      <c r="T18" s="17">
        <v>0</v>
      </c>
      <c r="U18" s="17">
        <v>0</v>
      </c>
      <c r="V18" s="17">
        <v>0</v>
      </c>
      <c r="W18" s="16"/>
      <c r="X18" s="80">
        <v>13</v>
      </c>
      <c r="Y18" s="11">
        <f t="shared" si="4"/>
        <v>48</v>
      </c>
      <c r="Z18" s="11">
        <f t="shared" si="0"/>
        <v>0</v>
      </c>
      <c r="AA18" s="11">
        <f t="shared" si="0"/>
        <v>0</v>
      </c>
      <c r="AB18" s="11">
        <f t="shared" si="0"/>
        <v>0</v>
      </c>
      <c r="AC18" s="11">
        <f t="shared" si="0"/>
        <v>0</v>
      </c>
      <c r="AD18" s="11">
        <f t="shared" si="0"/>
        <v>0</v>
      </c>
      <c r="AE18" s="34"/>
      <c r="AF18" s="11">
        <f t="shared" si="1"/>
        <v>13</v>
      </c>
      <c r="AG18" s="11">
        <f t="shared" si="1"/>
        <v>0</v>
      </c>
      <c r="AH18" s="11">
        <f t="shared" si="1"/>
        <v>0</v>
      </c>
      <c r="AI18" s="11">
        <f t="shared" si="1"/>
        <v>0</v>
      </c>
      <c r="AJ18" s="34"/>
      <c r="AK18" s="11">
        <f t="shared" si="6"/>
        <v>39</v>
      </c>
      <c r="AL18" s="11">
        <f t="shared" si="2"/>
        <v>0</v>
      </c>
      <c r="AM18" s="11">
        <f t="shared" si="2"/>
        <v>0</v>
      </c>
      <c r="AN18" s="11">
        <f t="shared" si="2"/>
        <v>0</v>
      </c>
    </row>
    <row r="19" spans="1:40" x14ac:dyDescent="0.2">
      <c r="A19" s="80">
        <v>14</v>
      </c>
      <c r="B19" s="40">
        <v>8563</v>
      </c>
      <c r="C19" s="14"/>
      <c r="D19" s="14"/>
      <c r="E19" s="41"/>
      <c r="F19" s="18"/>
      <c r="G19" s="18"/>
      <c r="H19" s="15"/>
      <c r="I19" s="40">
        <v>27168</v>
      </c>
      <c r="J19" s="42">
        <v>3347</v>
      </c>
      <c r="K19" s="42"/>
      <c r="L19" s="18"/>
      <c r="M19" s="15"/>
      <c r="N19" s="41">
        <v>241346</v>
      </c>
      <c r="O19" s="41"/>
      <c r="P19" s="41"/>
      <c r="Q19" s="18"/>
      <c r="R19" s="45">
        <f t="shared" si="3"/>
        <v>0</v>
      </c>
      <c r="S19" s="16"/>
      <c r="T19" s="17">
        <v>0</v>
      </c>
      <c r="U19" s="17">
        <v>0</v>
      </c>
      <c r="V19" s="17">
        <v>0</v>
      </c>
      <c r="W19" s="16"/>
      <c r="X19" s="80">
        <v>14</v>
      </c>
      <c r="Y19" s="11">
        <f t="shared" si="4"/>
        <v>43</v>
      </c>
      <c r="Z19" s="11">
        <f t="shared" si="0"/>
        <v>0</v>
      </c>
      <c r="AA19" s="11">
        <f t="shared" si="0"/>
        <v>0</v>
      </c>
      <c r="AB19" s="11">
        <f t="shared" si="0"/>
        <v>0</v>
      </c>
      <c r="AC19" s="11">
        <f t="shared" si="0"/>
        <v>0</v>
      </c>
      <c r="AD19" s="11">
        <f t="shared" si="0"/>
        <v>0</v>
      </c>
      <c r="AE19" s="34"/>
      <c r="AF19" s="11">
        <f t="shared" si="1"/>
        <v>13</v>
      </c>
      <c r="AG19" s="11">
        <f t="shared" si="1"/>
        <v>0</v>
      </c>
      <c r="AH19" s="11">
        <f t="shared" si="1"/>
        <v>0</v>
      </c>
      <c r="AI19" s="11">
        <f t="shared" si="1"/>
        <v>0</v>
      </c>
      <c r="AJ19" s="34"/>
      <c r="AK19" s="11">
        <f t="shared" si="6"/>
        <v>41</v>
      </c>
      <c r="AL19" s="11">
        <f t="shared" si="2"/>
        <v>0</v>
      </c>
      <c r="AM19" s="11">
        <f t="shared" si="2"/>
        <v>0</v>
      </c>
      <c r="AN19" s="11">
        <f t="shared" si="2"/>
        <v>0</v>
      </c>
    </row>
    <row r="20" spans="1:40" x14ac:dyDescent="0.2">
      <c r="A20" s="80">
        <v>15</v>
      </c>
      <c r="B20" s="40">
        <v>8614</v>
      </c>
      <c r="C20" s="14"/>
      <c r="D20" s="14"/>
      <c r="E20" s="41"/>
      <c r="F20" s="18"/>
      <c r="G20" s="18"/>
      <c r="H20" s="15"/>
      <c r="I20" s="40">
        <v>27182</v>
      </c>
      <c r="J20" s="42">
        <v>3347</v>
      </c>
      <c r="K20" s="42"/>
      <c r="L20" s="18"/>
      <c r="M20" s="15"/>
      <c r="N20" s="41">
        <v>241387</v>
      </c>
      <c r="O20" s="41"/>
      <c r="P20" s="41"/>
      <c r="Q20" s="18"/>
      <c r="R20" s="45">
        <f t="shared" si="3"/>
        <v>0</v>
      </c>
      <c r="S20" s="16"/>
      <c r="T20" s="17">
        <v>0</v>
      </c>
      <c r="U20" s="17">
        <v>0</v>
      </c>
      <c r="V20" s="17">
        <v>0</v>
      </c>
      <c r="W20" s="16"/>
      <c r="X20" s="80">
        <v>15</v>
      </c>
      <c r="Y20" s="11">
        <f t="shared" si="4"/>
        <v>51</v>
      </c>
      <c r="Z20" s="11">
        <f t="shared" si="0"/>
        <v>0</v>
      </c>
      <c r="AA20" s="11">
        <f t="shared" si="0"/>
        <v>0</v>
      </c>
      <c r="AB20" s="11">
        <f t="shared" si="0"/>
        <v>0</v>
      </c>
      <c r="AC20" s="11">
        <f t="shared" si="0"/>
        <v>0</v>
      </c>
      <c r="AD20" s="11">
        <f t="shared" si="0"/>
        <v>0</v>
      </c>
      <c r="AE20" s="34"/>
      <c r="AF20" s="11">
        <f t="shared" si="1"/>
        <v>14</v>
      </c>
      <c r="AG20" s="11">
        <f t="shared" si="1"/>
        <v>0</v>
      </c>
      <c r="AH20" s="11">
        <f t="shared" si="1"/>
        <v>0</v>
      </c>
      <c r="AI20" s="11">
        <f t="shared" si="1"/>
        <v>0</v>
      </c>
      <c r="AJ20" s="34"/>
      <c r="AK20" s="11">
        <f t="shared" si="6"/>
        <v>41</v>
      </c>
      <c r="AL20" s="11">
        <f t="shared" si="2"/>
        <v>0</v>
      </c>
      <c r="AM20" s="11">
        <f t="shared" si="2"/>
        <v>0</v>
      </c>
      <c r="AN20" s="11">
        <f t="shared" si="2"/>
        <v>0</v>
      </c>
    </row>
    <row r="21" spans="1:40" x14ac:dyDescent="0.2">
      <c r="A21" s="80">
        <v>16</v>
      </c>
      <c r="B21" s="40">
        <v>8665</v>
      </c>
      <c r="C21" s="14"/>
      <c r="D21" s="14"/>
      <c r="E21" s="41"/>
      <c r="F21" s="18"/>
      <c r="G21" s="18"/>
      <c r="H21" s="15"/>
      <c r="I21" s="40">
        <v>27198</v>
      </c>
      <c r="J21" s="42">
        <v>3347</v>
      </c>
      <c r="K21" s="42"/>
      <c r="L21" s="18"/>
      <c r="M21" s="15"/>
      <c r="N21" s="41">
        <v>241428</v>
      </c>
      <c r="O21" s="41"/>
      <c r="P21" s="41"/>
      <c r="Q21" s="18"/>
      <c r="R21" s="45">
        <f t="shared" si="3"/>
        <v>0</v>
      </c>
      <c r="S21" s="16"/>
      <c r="T21" s="17">
        <v>0</v>
      </c>
      <c r="U21" s="17">
        <v>0</v>
      </c>
      <c r="V21" s="17">
        <v>0</v>
      </c>
      <c r="W21" s="16"/>
      <c r="X21" s="80">
        <v>16</v>
      </c>
      <c r="Y21" s="11">
        <f t="shared" si="4"/>
        <v>51</v>
      </c>
      <c r="Z21" s="11">
        <f t="shared" si="0"/>
        <v>0</v>
      </c>
      <c r="AA21" s="11">
        <f t="shared" si="0"/>
        <v>0</v>
      </c>
      <c r="AB21" s="11">
        <f t="shared" si="0"/>
        <v>0</v>
      </c>
      <c r="AC21" s="11">
        <f t="shared" si="0"/>
        <v>0</v>
      </c>
      <c r="AD21" s="11">
        <f t="shared" si="0"/>
        <v>0</v>
      </c>
      <c r="AE21" s="34"/>
      <c r="AF21" s="11">
        <f t="shared" si="1"/>
        <v>16</v>
      </c>
      <c r="AG21" s="11">
        <f t="shared" si="1"/>
        <v>0</v>
      </c>
      <c r="AH21" s="11">
        <f t="shared" si="1"/>
        <v>0</v>
      </c>
      <c r="AI21" s="11">
        <f t="shared" si="1"/>
        <v>0</v>
      </c>
      <c r="AJ21" s="34"/>
      <c r="AK21" s="11">
        <f t="shared" si="6"/>
        <v>46</v>
      </c>
      <c r="AL21" s="11">
        <f t="shared" si="2"/>
        <v>0</v>
      </c>
      <c r="AM21" s="11">
        <f t="shared" si="2"/>
        <v>0</v>
      </c>
      <c r="AN21" s="11">
        <f t="shared" si="2"/>
        <v>0</v>
      </c>
    </row>
    <row r="22" spans="1:40" x14ac:dyDescent="0.2">
      <c r="A22" s="80">
        <v>17</v>
      </c>
      <c r="B22" s="40">
        <v>8715</v>
      </c>
      <c r="C22" s="14"/>
      <c r="D22" s="14"/>
      <c r="E22" s="41"/>
      <c r="F22" s="18"/>
      <c r="G22" s="18"/>
      <c r="H22" s="15"/>
      <c r="I22" s="40">
        <v>27212</v>
      </c>
      <c r="J22" s="42">
        <v>3347</v>
      </c>
      <c r="K22" s="42"/>
      <c r="L22" s="18"/>
      <c r="M22" s="15"/>
      <c r="N22" s="41">
        <v>241474</v>
      </c>
      <c r="O22" s="41"/>
      <c r="P22" s="41"/>
      <c r="Q22" s="18"/>
      <c r="R22" s="45">
        <f t="shared" si="3"/>
        <v>0</v>
      </c>
      <c r="S22" s="16"/>
      <c r="T22" s="17">
        <v>0</v>
      </c>
      <c r="U22" s="17">
        <v>0</v>
      </c>
      <c r="V22" s="17">
        <v>0</v>
      </c>
      <c r="W22" s="16"/>
      <c r="X22" s="80">
        <v>17</v>
      </c>
      <c r="Y22" s="11">
        <f t="shared" si="4"/>
        <v>50</v>
      </c>
      <c r="Z22" s="11">
        <f t="shared" si="4"/>
        <v>0</v>
      </c>
      <c r="AA22" s="11">
        <f t="shared" si="4"/>
        <v>0</v>
      </c>
      <c r="AB22" s="11">
        <f t="shared" si="4"/>
        <v>0</v>
      </c>
      <c r="AC22" s="11">
        <f t="shared" si="4"/>
        <v>0</v>
      </c>
      <c r="AD22" s="11">
        <f t="shared" si="4"/>
        <v>0</v>
      </c>
      <c r="AE22" s="34"/>
      <c r="AF22" s="11">
        <f t="shared" ref="AF22:AI32" si="7">I22-I21</f>
        <v>14</v>
      </c>
      <c r="AG22" s="11">
        <f t="shared" si="7"/>
        <v>0</v>
      </c>
      <c r="AH22" s="11">
        <f t="shared" si="7"/>
        <v>0</v>
      </c>
      <c r="AI22" s="11">
        <f t="shared" si="7"/>
        <v>0</v>
      </c>
      <c r="AJ22" s="34"/>
      <c r="AK22" s="11">
        <f t="shared" si="6"/>
        <v>35</v>
      </c>
      <c r="AL22" s="11">
        <f t="shared" ref="AL22:AN32" si="8">O22-O21</f>
        <v>0</v>
      </c>
      <c r="AM22" s="11">
        <f t="shared" si="8"/>
        <v>0</v>
      </c>
      <c r="AN22" s="11">
        <f t="shared" si="8"/>
        <v>0</v>
      </c>
    </row>
    <row r="23" spans="1:40" x14ac:dyDescent="0.2">
      <c r="A23" s="80">
        <v>18</v>
      </c>
      <c r="B23" s="40">
        <v>8786</v>
      </c>
      <c r="C23" s="14"/>
      <c r="D23" s="14"/>
      <c r="E23" s="41"/>
      <c r="F23" s="18"/>
      <c r="G23" s="18"/>
      <c r="H23" s="15"/>
      <c r="I23" s="40">
        <v>27251</v>
      </c>
      <c r="J23" s="42">
        <v>3360</v>
      </c>
      <c r="K23" s="42"/>
      <c r="L23" s="18"/>
      <c r="M23" s="15"/>
      <c r="N23" s="41">
        <v>241509</v>
      </c>
      <c r="O23" s="41"/>
      <c r="P23" s="41"/>
      <c r="Q23" s="18"/>
      <c r="R23" s="45">
        <f t="shared" si="3"/>
        <v>0</v>
      </c>
      <c r="S23" s="16"/>
      <c r="T23" s="17">
        <v>0</v>
      </c>
      <c r="U23" s="17">
        <v>0</v>
      </c>
      <c r="V23" s="17">
        <v>0</v>
      </c>
      <c r="W23" s="16"/>
      <c r="X23" s="80">
        <v>18</v>
      </c>
      <c r="Y23" s="11">
        <f t="shared" si="4"/>
        <v>71</v>
      </c>
      <c r="Z23" s="11">
        <f t="shared" si="4"/>
        <v>0</v>
      </c>
      <c r="AA23" s="11">
        <f t="shared" si="4"/>
        <v>0</v>
      </c>
      <c r="AB23" s="11">
        <f t="shared" si="4"/>
        <v>0</v>
      </c>
      <c r="AC23" s="11">
        <f t="shared" si="4"/>
        <v>0</v>
      </c>
      <c r="AD23" s="11">
        <f t="shared" si="4"/>
        <v>0</v>
      </c>
      <c r="AE23" s="34"/>
      <c r="AF23" s="11">
        <f t="shared" si="7"/>
        <v>39</v>
      </c>
      <c r="AG23" s="11">
        <f t="shared" si="7"/>
        <v>13</v>
      </c>
      <c r="AH23" s="11">
        <f t="shared" si="7"/>
        <v>0</v>
      </c>
      <c r="AI23" s="11">
        <f t="shared" si="7"/>
        <v>0</v>
      </c>
      <c r="AJ23" s="34"/>
      <c r="AK23" s="11">
        <f t="shared" si="6"/>
        <v>34</v>
      </c>
      <c r="AL23" s="11">
        <f t="shared" si="8"/>
        <v>0</v>
      </c>
      <c r="AM23" s="11">
        <f t="shared" si="8"/>
        <v>0</v>
      </c>
      <c r="AN23" s="11">
        <f t="shared" si="8"/>
        <v>0</v>
      </c>
    </row>
    <row r="24" spans="1:40" x14ac:dyDescent="0.2">
      <c r="A24" s="80">
        <v>19</v>
      </c>
      <c r="B24" s="40">
        <v>8836</v>
      </c>
      <c r="C24" s="14"/>
      <c r="D24" s="14"/>
      <c r="E24" s="41"/>
      <c r="F24" s="18"/>
      <c r="G24" s="18"/>
      <c r="H24" s="15"/>
      <c r="I24" s="40">
        <v>27279</v>
      </c>
      <c r="J24" s="42">
        <v>3375</v>
      </c>
      <c r="K24" s="42"/>
      <c r="L24" s="18"/>
      <c r="M24" s="15"/>
      <c r="N24" s="41">
        <v>241543</v>
      </c>
      <c r="O24" s="41"/>
      <c r="P24" s="41"/>
      <c r="Q24" s="18"/>
      <c r="R24" s="45">
        <f t="shared" si="3"/>
        <v>0</v>
      </c>
      <c r="S24" s="16"/>
      <c r="T24" s="17">
        <v>0</v>
      </c>
      <c r="U24" s="17">
        <v>0</v>
      </c>
      <c r="V24" s="17">
        <v>0</v>
      </c>
      <c r="W24" s="16"/>
      <c r="X24" s="80">
        <v>19</v>
      </c>
      <c r="Y24" s="11">
        <f t="shared" si="4"/>
        <v>50</v>
      </c>
      <c r="Z24" s="11">
        <f t="shared" si="4"/>
        <v>0</v>
      </c>
      <c r="AA24" s="11">
        <f t="shared" si="4"/>
        <v>0</v>
      </c>
      <c r="AB24" s="11">
        <f t="shared" si="4"/>
        <v>0</v>
      </c>
      <c r="AC24" s="11">
        <f t="shared" si="4"/>
        <v>0</v>
      </c>
      <c r="AD24" s="11">
        <f t="shared" si="4"/>
        <v>0</v>
      </c>
      <c r="AE24" s="34"/>
      <c r="AF24" s="11">
        <f t="shared" si="7"/>
        <v>28</v>
      </c>
      <c r="AG24" s="11">
        <f t="shared" si="7"/>
        <v>15</v>
      </c>
      <c r="AH24" s="11">
        <f t="shared" si="7"/>
        <v>0</v>
      </c>
      <c r="AI24" s="11">
        <f t="shared" si="7"/>
        <v>0</v>
      </c>
      <c r="AJ24" s="34"/>
      <c r="AK24" s="11">
        <f t="shared" si="6"/>
        <v>43</v>
      </c>
      <c r="AL24" s="11">
        <f t="shared" si="8"/>
        <v>0</v>
      </c>
      <c r="AM24" s="11">
        <f t="shared" si="8"/>
        <v>0</v>
      </c>
      <c r="AN24" s="11">
        <f t="shared" si="8"/>
        <v>0</v>
      </c>
    </row>
    <row r="25" spans="1:40" x14ac:dyDescent="0.2">
      <c r="A25" s="80">
        <v>20</v>
      </c>
      <c r="B25" s="40">
        <v>8881</v>
      </c>
      <c r="C25" s="14"/>
      <c r="D25" s="14"/>
      <c r="E25" s="41"/>
      <c r="F25" s="18"/>
      <c r="G25" s="18"/>
      <c r="H25" s="15"/>
      <c r="I25" s="40">
        <v>27207</v>
      </c>
      <c r="J25" s="42">
        <v>3380</v>
      </c>
      <c r="K25" s="42"/>
      <c r="L25" s="18"/>
      <c r="M25" s="15"/>
      <c r="N25" s="41">
        <v>241586</v>
      </c>
      <c r="O25" s="41"/>
      <c r="P25" s="41"/>
      <c r="Q25" s="18"/>
      <c r="R25" s="45">
        <f t="shared" si="3"/>
        <v>0</v>
      </c>
      <c r="S25" s="16"/>
      <c r="T25" s="17">
        <v>0</v>
      </c>
      <c r="U25" s="17">
        <v>0</v>
      </c>
      <c r="V25" s="17">
        <v>0</v>
      </c>
      <c r="W25" s="16"/>
      <c r="X25" s="80">
        <v>20</v>
      </c>
      <c r="Y25" s="11">
        <f t="shared" si="4"/>
        <v>45</v>
      </c>
      <c r="Z25" s="11">
        <f t="shared" si="4"/>
        <v>0</v>
      </c>
      <c r="AA25" s="11">
        <f t="shared" si="4"/>
        <v>0</v>
      </c>
      <c r="AB25" s="11">
        <f t="shared" si="4"/>
        <v>0</v>
      </c>
      <c r="AC25" s="11">
        <f t="shared" si="4"/>
        <v>0</v>
      </c>
      <c r="AD25" s="11">
        <f t="shared" si="4"/>
        <v>0</v>
      </c>
      <c r="AE25" s="34"/>
      <c r="AF25" s="11">
        <f t="shared" si="7"/>
        <v>-72</v>
      </c>
      <c r="AG25" s="11">
        <f t="shared" si="7"/>
        <v>5</v>
      </c>
      <c r="AH25" s="11">
        <f t="shared" si="7"/>
        <v>0</v>
      </c>
      <c r="AI25" s="11">
        <f t="shared" si="7"/>
        <v>0</v>
      </c>
      <c r="AJ25" s="34"/>
      <c r="AK25" s="11">
        <f t="shared" si="6"/>
        <v>37</v>
      </c>
      <c r="AL25" s="11">
        <f t="shared" si="8"/>
        <v>0</v>
      </c>
      <c r="AM25" s="11">
        <f t="shared" si="8"/>
        <v>0</v>
      </c>
      <c r="AN25" s="11">
        <f t="shared" si="8"/>
        <v>0</v>
      </c>
    </row>
    <row r="26" spans="1:40" x14ac:dyDescent="0.2">
      <c r="A26" s="80">
        <v>21</v>
      </c>
      <c r="B26" s="40">
        <v>8933</v>
      </c>
      <c r="C26" s="14"/>
      <c r="D26" s="14"/>
      <c r="E26" s="41"/>
      <c r="F26" s="18"/>
      <c r="G26" s="18"/>
      <c r="H26" s="15"/>
      <c r="I26" s="40">
        <v>27329</v>
      </c>
      <c r="J26" s="42">
        <v>3384</v>
      </c>
      <c r="K26" s="42"/>
      <c r="L26" s="18"/>
      <c r="M26" s="15"/>
      <c r="N26" s="41">
        <v>241623</v>
      </c>
      <c r="O26" s="41"/>
      <c r="P26" s="41"/>
      <c r="Q26" s="18"/>
      <c r="R26" s="45">
        <f t="shared" si="3"/>
        <v>0</v>
      </c>
      <c r="S26" s="16"/>
      <c r="T26" s="17">
        <v>0</v>
      </c>
      <c r="U26" s="17">
        <v>0</v>
      </c>
      <c r="V26" s="17">
        <v>0</v>
      </c>
      <c r="W26" s="16"/>
      <c r="X26" s="80">
        <v>21</v>
      </c>
      <c r="Y26" s="11">
        <f t="shared" si="4"/>
        <v>52</v>
      </c>
      <c r="Z26" s="11">
        <f t="shared" si="4"/>
        <v>0</v>
      </c>
      <c r="AA26" s="11">
        <f t="shared" si="4"/>
        <v>0</v>
      </c>
      <c r="AB26" s="11">
        <f t="shared" si="4"/>
        <v>0</v>
      </c>
      <c r="AC26" s="11">
        <f t="shared" si="4"/>
        <v>0</v>
      </c>
      <c r="AD26" s="11">
        <f t="shared" si="4"/>
        <v>0</v>
      </c>
      <c r="AE26" s="34"/>
      <c r="AF26" s="11">
        <f t="shared" si="7"/>
        <v>122</v>
      </c>
      <c r="AG26" s="11">
        <f t="shared" si="7"/>
        <v>4</v>
      </c>
      <c r="AH26" s="11">
        <f t="shared" si="7"/>
        <v>0</v>
      </c>
      <c r="AI26" s="11">
        <f t="shared" si="7"/>
        <v>0</v>
      </c>
      <c r="AJ26" s="34"/>
      <c r="AK26" s="11">
        <f t="shared" si="6"/>
        <v>45</v>
      </c>
      <c r="AL26" s="11">
        <f t="shared" si="8"/>
        <v>0</v>
      </c>
      <c r="AM26" s="11">
        <f t="shared" si="8"/>
        <v>0</v>
      </c>
      <c r="AN26" s="11">
        <f t="shared" si="8"/>
        <v>0</v>
      </c>
    </row>
    <row r="27" spans="1:40" x14ac:dyDescent="0.2">
      <c r="A27" s="80">
        <v>22</v>
      </c>
      <c r="B27" s="40">
        <v>8989</v>
      </c>
      <c r="C27" s="14"/>
      <c r="D27" s="14"/>
      <c r="E27" s="41"/>
      <c r="F27" s="18"/>
      <c r="G27" s="18"/>
      <c r="H27" s="15"/>
      <c r="I27" s="40">
        <v>27347</v>
      </c>
      <c r="J27" s="42">
        <v>3390</v>
      </c>
      <c r="K27" s="42"/>
      <c r="L27" s="18"/>
      <c r="M27" s="15"/>
      <c r="N27" s="41">
        <v>241668</v>
      </c>
      <c r="O27" s="41"/>
      <c r="P27" s="41"/>
      <c r="Q27" s="18"/>
      <c r="R27" s="45">
        <f t="shared" si="3"/>
        <v>0</v>
      </c>
      <c r="S27" s="16"/>
      <c r="T27" s="17">
        <v>0</v>
      </c>
      <c r="U27" s="17">
        <v>0</v>
      </c>
      <c r="V27" s="17">
        <v>0</v>
      </c>
      <c r="W27" s="16"/>
      <c r="X27" s="80">
        <v>22</v>
      </c>
      <c r="Y27" s="11">
        <f t="shared" si="4"/>
        <v>56</v>
      </c>
      <c r="Z27" s="11">
        <f t="shared" si="4"/>
        <v>0</v>
      </c>
      <c r="AA27" s="11">
        <f t="shared" si="4"/>
        <v>0</v>
      </c>
      <c r="AB27" s="11">
        <f t="shared" si="4"/>
        <v>0</v>
      </c>
      <c r="AC27" s="11">
        <f t="shared" si="4"/>
        <v>0</v>
      </c>
      <c r="AD27" s="11">
        <f t="shared" si="4"/>
        <v>0</v>
      </c>
      <c r="AE27" s="34"/>
      <c r="AF27" s="11">
        <f t="shared" si="7"/>
        <v>18</v>
      </c>
      <c r="AG27" s="11">
        <f t="shared" si="7"/>
        <v>6</v>
      </c>
      <c r="AH27" s="11">
        <f t="shared" si="7"/>
        <v>0</v>
      </c>
      <c r="AI27" s="11">
        <f t="shared" si="7"/>
        <v>0</v>
      </c>
      <c r="AJ27" s="34"/>
      <c r="AK27" s="11">
        <f t="shared" si="6"/>
        <v>44</v>
      </c>
      <c r="AL27" s="11">
        <f t="shared" si="8"/>
        <v>0</v>
      </c>
      <c r="AM27" s="11">
        <f t="shared" si="8"/>
        <v>0</v>
      </c>
      <c r="AN27" s="11">
        <f t="shared" si="8"/>
        <v>0</v>
      </c>
    </row>
    <row r="28" spans="1:40" x14ac:dyDescent="0.2">
      <c r="A28" s="80">
        <v>23</v>
      </c>
      <c r="B28" s="40">
        <v>9041</v>
      </c>
      <c r="C28" s="14"/>
      <c r="D28" s="14"/>
      <c r="E28" s="41"/>
      <c r="F28" s="18"/>
      <c r="G28" s="18"/>
      <c r="H28" s="15"/>
      <c r="I28" s="40">
        <v>27372</v>
      </c>
      <c r="J28" s="42">
        <v>3395</v>
      </c>
      <c r="K28" s="42"/>
      <c r="L28" s="18"/>
      <c r="M28" s="15"/>
      <c r="N28" s="41">
        <v>241712</v>
      </c>
      <c r="O28" s="41"/>
      <c r="P28" s="41"/>
      <c r="Q28" s="18"/>
      <c r="R28" s="45">
        <f t="shared" si="3"/>
        <v>0</v>
      </c>
      <c r="S28" s="16"/>
      <c r="T28" s="17">
        <v>0</v>
      </c>
      <c r="U28" s="17">
        <v>0</v>
      </c>
      <c r="V28" s="17">
        <v>0</v>
      </c>
      <c r="W28" s="16"/>
      <c r="X28" s="80">
        <v>23</v>
      </c>
      <c r="Y28" s="11">
        <f t="shared" si="4"/>
        <v>52</v>
      </c>
      <c r="Z28" s="11">
        <f t="shared" si="4"/>
        <v>0</v>
      </c>
      <c r="AA28" s="11">
        <f t="shared" si="4"/>
        <v>0</v>
      </c>
      <c r="AB28" s="11">
        <f t="shared" si="4"/>
        <v>0</v>
      </c>
      <c r="AC28" s="11">
        <f t="shared" si="4"/>
        <v>0</v>
      </c>
      <c r="AD28" s="11">
        <f t="shared" si="4"/>
        <v>0</v>
      </c>
      <c r="AE28" s="34"/>
      <c r="AF28" s="11">
        <f t="shared" si="7"/>
        <v>25</v>
      </c>
      <c r="AG28" s="11">
        <f t="shared" si="7"/>
        <v>5</v>
      </c>
      <c r="AH28" s="11">
        <f t="shared" si="7"/>
        <v>0</v>
      </c>
      <c r="AI28" s="11">
        <f t="shared" si="7"/>
        <v>0</v>
      </c>
      <c r="AJ28" s="34"/>
      <c r="AK28" s="11">
        <f t="shared" si="6"/>
        <v>39</v>
      </c>
      <c r="AL28" s="11">
        <f t="shared" si="8"/>
        <v>0</v>
      </c>
      <c r="AM28" s="11">
        <f t="shared" si="8"/>
        <v>0</v>
      </c>
      <c r="AN28" s="11">
        <f t="shared" si="8"/>
        <v>0</v>
      </c>
    </row>
    <row r="29" spans="1:40" x14ac:dyDescent="0.2">
      <c r="A29" s="80">
        <v>24</v>
      </c>
      <c r="B29" s="40">
        <v>9086</v>
      </c>
      <c r="C29" s="14"/>
      <c r="D29" s="14"/>
      <c r="E29" s="41"/>
      <c r="F29" s="18"/>
      <c r="G29" s="18"/>
      <c r="H29" s="15"/>
      <c r="I29" s="40">
        <v>27392</v>
      </c>
      <c r="J29" s="42">
        <v>3399</v>
      </c>
      <c r="K29" s="42"/>
      <c r="L29" s="18"/>
      <c r="M29" s="15"/>
      <c r="N29" s="41">
        <v>241751</v>
      </c>
      <c r="O29" s="41"/>
      <c r="P29" s="41"/>
      <c r="Q29" s="18"/>
      <c r="R29" s="45">
        <f t="shared" si="3"/>
        <v>0</v>
      </c>
      <c r="S29" s="16"/>
      <c r="T29" s="17">
        <v>0</v>
      </c>
      <c r="U29" s="17">
        <v>0</v>
      </c>
      <c r="V29" s="17">
        <v>0</v>
      </c>
      <c r="W29" s="16"/>
      <c r="X29" s="80">
        <v>24</v>
      </c>
      <c r="Y29" s="11">
        <f t="shared" si="4"/>
        <v>45</v>
      </c>
      <c r="Z29" s="11">
        <f t="shared" si="4"/>
        <v>0</v>
      </c>
      <c r="AA29" s="11">
        <f t="shared" si="4"/>
        <v>0</v>
      </c>
      <c r="AB29" s="11">
        <f t="shared" si="4"/>
        <v>0</v>
      </c>
      <c r="AC29" s="11">
        <f t="shared" si="4"/>
        <v>0</v>
      </c>
      <c r="AD29" s="11">
        <f t="shared" si="4"/>
        <v>0</v>
      </c>
      <c r="AE29" s="34"/>
      <c r="AF29" s="11">
        <f t="shared" si="7"/>
        <v>20</v>
      </c>
      <c r="AG29" s="11">
        <f t="shared" si="7"/>
        <v>4</v>
      </c>
      <c r="AH29" s="11">
        <f t="shared" si="7"/>
        <v>0</v>
      </c>
      <c r="AI29" s="11">
        <f t="shared" si="7"/>
        <v>0</v>
      </c>
      <c r="AJ29" s="34"/>
      <c r="AK29" s="11">
        <f t="shared" si="6"/>
        <v>39</v>
      </c>
      <c r="AL29" s="11">
        <f t="shared" si="8"/>
        <v>0</v>
      </c>
      <c r="AM29" s="11">
        <f t="shared" si="8"/>
        <v>0</v>
      </c>
      <c r="AN29" s="11">
        <f t="shared" si="8"/>
        <v>0</v>
      </c>
    </row>
    <row r="30" spans="1:40" x14ac:dyDescent="0.2">
      <c r="A30" s="80">
        <v>25</v>
      </c>
      <c r="B30" s="40">
        <v>9135</v>
      </c>
      <c r="C30" s="14"/>
      <c r="D30" s="14"/>
      <c r="E30" s="41"/>
      <c r="F30" s="18"/>
      <c r="G30" s="18"/>
      <c r="H30" s="15"/>
      <c r="I30" s="40">
        <v>27413</v>
      </c>
      <c r="J30" s="42">
        <v>3405</v>
      </c>
      <c r="K30" s="42"/>
      <c r="L30" s="18"/>
      <c r="M30" s="15"/>
      <c r="N30" s="41">
        <v>241790</v>
      </c>
      <c r="O30" s="41"/>
      <c r="P30" s="41"/>
      <c r="Q30" s="18"/>
      <c r="R30" s="45">
        <f t="shared" si="3"/>
        <v>0</v>
      </c>
      <c r="S30" s="16"/>
      <c r="T30" s="17">
        <v>0</v>
      </c>
      <c r="U30" s="17">
        <v>0</v>
      </c>
      <c r="V30" s="17">
        <v>0</v>
      </c>
      <c r="W30" s="16"/>
      <c r="X30" s="80">
        <v>25</v>
      </c>
      <c r="Y30" s="11">
        <f t="shared" si="4"/>
        <v>49</v>
      </c>
      <c r="Z30" s="11">
        <f t="shared" si="4"/>
        <v>0</v>
      </c>
      <c r="AA30" s="11">
        <f t="shared" si="4"/>
        <v>0</v>
      </c>
      <c r="AB30" s="11">
        <f t="shared" si="4"/>
        <v>0</v>
      </c>
      <c r="AC30" s="11">
        <f t="shared" si="4"/>
        <v>0</v>
      </c>
      <c r="AD30" s="11">
        <f t="shared" si="4"/>
        <v>0</v>
      </c>
      <c r="AE30" s="34"/>
      <c r="AF30" s="11">
        <f t="shared" si="7"/>
        <v>21</v>
      </c>
      <c r="AG30" s="11">
        <f t="shared" si="7"/>
        <v>6</v>
      </c>
      <c r="AH30" s="11">
        <f t="shared" si="7"/>
        <v>0</v>
      </c>
      <c r="AI30" s="11">
        <f t="shared" si="7"/>
        <v>0</v>
      </c>
      <c r="AJ30" s="34"/>
      <c r="AK30" s="11">
        <f t="shared" si="6"/>
        <v>35</v>
      </c>
      <c r="AL30" s="11">
        <f t="shared" si="8"/>
        <v>0</v>
      </c>
      <c r="AM30" s="11">
        <f t="shared" si="8"/>
        <v>0</v>
      </c>
      <c r="AN30" s="11">
        <f t="shared" si="8"/>
        <v>0</v>
      </c>
    </row>
    <row r="31" spans="1:40" x14ac:dyDescent="0.2">
      <c r="A31" s="80">
        <v>26</v>
      </c>
      <c r="B31" s="40">
        <v>9184</v>
      </c>
      <c r="C31" s="14"/>
      <c r="D31" s="14"/>
      <c r="E31" s="41"/>
      <c r="F31" s="18"/>
      <c r="G31" s="18"/>
      <c r="H31" s="15"/>
      <c r="I31" s="40">
        <v>27426</v>
      </c>
      <c r="J31" s="42">
        <v>3405</v>
      </c>
      <c r="K31" s="42"/>
      <c r="L31" s="18"/>
      <c r="M31" s="15"/>
      <c r="N31" s="41">
        <v>241825</v>
      </c>
      <c r="O31" s="41"/>
      <c r="P31" s="41"/>
      <c r="Q31" s="18"/>
      <c r="R31" s="45">
        <f t="shared" si="3"/>
        <v>0</v>
      </c>
      <c r="S31" s="16"/>
      <c r="T31" s="17">
        <v>0</v>
      </c>
      <c r="U31" s="17">
        <v>0</v>
      </c>
      <c r="V31" s="17">
        <v>0</v>
      </c>
      <c r="W31" s="16"/>
      <c r="X31" s="80">
        <v>26</v>
      </c>
      <c r="Y31" s="11">
        <f t="shared" si="4"/>
        <v>49</v>
      </c>
      <c r="Z31" s="11">
        <f t="shared" si="4"/>
        <v>0</v>
      </c>
      <c r="AA31" s="11">
        <f t="shared" si="4"/>
        <v>0</v>
      </c>
      <c r="AB31" s="11">
        <f t="shared" si="4"/>
        <v>0</v>
      </c>
      <c r="AC31" s="11">
        <f t="shared" si="4"/>
        <v>0</v>
      </c>
      <c r="AD31" s="11">
        <f t="shared" si="4"/>
        <v>0</v>
      </c>
      <c r="AE31" s="34"/>
      <c r="AF31" s="11">
        <f t="shared" si="7"/>
        <v>13</v>
      </c>
      <c r="AG31" s="11">
        <f t="shared" si="7"/>
        <v>0</v>
      </c>
      <c r="AH31" s="11">
        <f t="shared" si="7"/>
        <v>0</v>
      </c>
      <c r="AI31" s="11">
        <f t="shared" si="7"/>
        <v>0</v>
      </c>
      <c r="AJ31" s="34"/>
      <c r="AK31" s="11">
        <f t="shared" si="6"/>
        <v>28</v>
      </c>
      <c r="AL31" s="11">
        <f t="shared" si="8"/>
        <v>0</v>
      </c>
      <c r="AM31" s="11">
        <f t="shared" si="8"/>
        <v>0</v>
      </c>
      <c r="AN31" s="11">
        <f t="shared" si="8"/>
        <v>0</v>
      </c>
    </row>
    <row r="32" spans="1:40" x14ac:dyDescent="0.2">
      <c r="A32" s="80">
        <v>27</v>
      </c>
      <c r="B32" s="40">
        <v>9231</v>
      </c>
      <c r="C32" s="14"/>
      <c r="D32" s="14"/>
      <c r="E32" s="41"/>
      <c r="F32" s="18"/>
      <c r="G32" s="18"/>
      <c r="H32" s="15"/>
      <c r="I32" s="40">
        <v>27439</v>
      </c>
      <c r="J32" s="42">
        <v>3411</v>
      </c>
      <c r="K32" s="42"/>
      <c r="L32" s="18"/>
      <c r="M32" s="15"/>
      <c r="N32" s="41">
        <v>241853</v>
      </c>
      <c r="O32" s="41"/>
      <c r="P32" s="41"/>
      <c r="Q32" s="18"/>
      <c r="R32" s="45">
        <f t="shared" si="3"/>
        <v>0</v>
      </c>
      <c r="S32" s="16"/>
      <c r="T32" s="17">
        <v>0</v>
      </c>
      <c r="U32" s="17">
        <v>0</v>
      </c>
      <c r="V32" s="17">
        <v>0</v>
      </c>
      <c r="W32" s="16"/>
      <c r="X32" s="80">
        <v>27</v>
      </c>
      <c r="Y32" s="11">
        <f t="shared" si="4"/>
        <v>47</v>
      </c>
      <c r="Z32" s="11">
        <f t="shared" si="4"/>
        <v>0</v>
      </c>
      <c r="AA32" s="11">
        <f t="shared" si="4"/>
        <v>0</v>
      </c>
      <c r="AB32" s="11">
        <f t="shared" si="4"/>
        <v>0</v>
      </c>
      <c r="AC32" s="11">
        <f t="shared" si="4"/>
        <v>0</v>
      </c>
      <c r="AD32" s="11">
        <f t="shared" si="4"/>
        <v>0</v>
      </c>
      <c r="AE32" s="34"/>
      <c r="AF32" s="11">
        <f t="shared" si="7"/>
        <v>13</v>
      </c>
      <c r="AG32" s="11">
        <f t="shared" si="7"/>
        <v>6</v>
      </c>
      <c r="AH32" s="11">
        <f t="shared" si="7"/>
        <v>0</v>
      </c>
      <c r="AI32" s="11">
        <f t="shared" si="7"/>
        <v>0</v>
      </c>
      <c r="AJ32" s="34"/>
      <c r="AK32" s="11">
        <f t="shared" si="6"/>
        <v>33</v>
      </c>
      <c r="AL32" s="11">
        <f t="shared" si="8"/>
        <v>0</v>
      </c>
      <c r="AM32" s="11">
        <f t="shared" si="8"/>
        <v>0</v>
      </c>
      <c r="AN32" s="11">
        <f t="shared" si="8"/>
        <v>0</v>
      </c>
    </row>
    <row r="33" spans="1:40" x14ac:dyDescent="0.2">
      <c r="A33" s="80">
        <v>28</v>
      </c>
      <c r="B33" s="40">
        <v>9289</v>
      </c>
      <c r="C33" s="14"/>
      <c r="D33" s="14"/>
      <c r="E33" s="41"/>
      <c r="F33" s="18"/>
      <c r="G33" s="18"/>
      <c r="H33" s="15"/>
      <c r="I33" s="40">
        <v>27453</v>
      </c>
      <c r="J33" s="42">
        <v>3419</v>
      </c>
      <c r="K33" s="42"/>
      <c r="L33" s="18"/>
      <c r="M33" s="15"/>
      <c r="N33" s="41">
        <v>241886</v>
      </c>
      <c r="O33" s="41"/>
      <c r="P33" s="41"/>
      <c r="Q33" s="18"/>
      <c r="R33" s="45">
        <f>Q33-Q32</f>
        <v>0</v>
      </c>
      <c r="S33" s="16"/>
      <c r="T33" s="17">
        <v>0</v>
      </c>
      <c r="U33" s="17">
        <v>0</v>
      </c>
      <c r="V33" s="17">
        <v>0</v>
      </c>
      <c r="W33" s="16"/>
      <c r="X33" s="80">
        <v>28</v>
      </c>
      <c r="Y33" s="11">
        <f t="shared" ref="Y33:AD33" si="9">B33-B32</f>
        <v>58</v>
      </c>
      <c r="Z33" s="11">
        <f t="shared" si="9"/>
        <v>0</v>
      </c>
      <c r="AA33" s="11">
        <f t="shared" si="9"/>
        <v>0</v>
      </c>
      <c r="AB33" s="11">
        <f t="shared" si="9"/>
        <v>0</v>
      </c>
      <c r="AC33" s="11">
        <f t="shared" si="9"/>
        <v>0</v>
      </c>
      <c r="AD33" s="11">
        <f t="shared" si="9"/>
        <v>0</v>
      </c>
      <c r="AE33" s="34"/>
      <c r="AF33" s="11">
        <f>I33-I32</f>
        <v>14</v>
      </c>
      <c r="AG33" s="11">
        <f>J33-J32</f>
        <v>8</v>
      </c>
      <c r="AH33" s="11">
        <f>K33-K32</f>
        <v>0</v>
      </c>
      <c r="AI33" s="11">
        <f>L33-L32</f>
        <v>0</v>
      </c>
      <c r="AJ33" s="34"/>
      <c r="AK33" s="11" t="e">
        <f>#REF!-N33</f>
        <v>#REF!</v>
      </c>
      <c r="AL33" s="11">
        <f>O33-O32</f>
        <v>0</v>
      </c>
      <c r="AM33" s="11">
        <f>P33-P32</f>
        <v>0</v>
      </c>
      <c r="AN33" s="11">
        <f>Q33-Q32</f>
        <v>0</v>
      </c>
    </row>
    <row r="34" spans="1:40" x14ac:dyDescent="0.2">
      <c r="A34" s="75">
        <v>29</v>
      </c>
      <c r="B34" s="40">
        <v>9361</v>
      </c>
      <c r="C34" s="14"/>
      <c r="D34" s="14"/>
      <c r="E34" s="41"/>
      <c r="F34" s="18"/>
      <c r="G34" s="18"/>
      <c r="H34" s="15"/>
      <c r="I34" s="40">
        <v>27488</v>
      </c>
      <c r="J34" s="42">
        <v>3426</v>
      </c>
      <c r="K34" s="42"/>
      <c r="L34" s="18"/>
      <c r="M34" s="15"/>
      <c r="N34" s="41">
        <v>241931</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9422</v>
      </c>
      <c r="C35" s="14"/>
      <c r="D35" s="14"/>
      <c r="E35" s="41"/>
      <c r="F35" s="18"/>
      <c r="G35" s="18"/>
      <c r="H35" s="15"/>
      <c r="I35" s="40">
        <v>27512</v>
      </c>
      <c r="J35" s="42">
        <v>3430</v>
      </c>
      <c r="K35" s="42"/>
      <c r="L35" s="18"/>
      <c r="M35" s="15"/>
      <c r="N35" s="41">
        <v>241965</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v>9473</v>
      </c>
      <c r="C36" s="14"/>
      <c r="D36" s="14"/>
      <c r="E36" s="41"/>
      <c r="F36" s="18"/>
      <c r="G36" s="18"/>
      <c r="H36" s="15"/>
      <c r="I36" s="40">
        <v>27535</v>
      </c>
      <c r="J36" s="42">
        <v>3435</v>
      </c>
      <c r="K36" s="42"/>
      <c r="L36" s="18"/>
      <c r="M36" s="15"/>
      <c r="N36" s="41">
        <v>242002</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80" t="s">
        <v>34</v>
      </c>
      <c r="B39" s="10">
        <f>LARGE(B5:B35, 1)</f>
        <v>9422</v>
      </c>
      <c r="C39" s="11" t="e">
        <f>LARGE(C5:C33, 1)</f>
        <v>#REF!</v>
      </c>
      <c r="D39" s="11" t="e">
        <f>LARGE(D5:D33, 1)</f>
        <v>#REF!</v>
      </c>
      <c r="E39" s="22" t="e">
        <f>LARGE(E5:E33, 1)</f>
        <v>#REF!</v>
      </c>
      <c r="F39" s="10" t="e">
        <f>LARGE(F5:F33, 1)</f>
        <v>#REF!</v>
      </c>
      <c r="G39" s="10" t="e">
        <f>LARGE(G5:G33, 1)</f>
        <v>#REF!</v>
      </c>
      <c r="H39" s="23"/>
      <c r="I39" s="10">
        <f>LARGE(I5:I33, 1)</f>
        <v>27453</v>
      </c>
      <c r="J39" s="24">
        <f>LARGE(J5:J33, 1)</f>
        <v>3419</v>
      </c>
      <c r="K39" s="24" t="e">
        <f>LARGE(K5:K33, 1)</f>
        <v>#REF!</v>
      </c>
      <c r="L39" s="10" t="e">
        <f>LARGE(L5:L33, 1)</f>
        <v>#REF!</v>
      </c>
      <c r="M39" s="8"/>
      <c r="N39" s="22">
        <f>LARGE(N5:N35, 1)</f>
        <v>241965</v>
      </c>
      <c r="O39" s="22" t="e">
        <f>LARGE(O5:O33, 1)</f>
        <v>#REF!</v>
      </c>
      <c r="P39" s="22" t="e">
        <f>LARGE(P5:P33, 1)</f>
        <v>#REF!</v>
      </c>
      <c r="Q39" s="10" t="e">
        <f>LARGE(Q5:Q33, 1)</f>
        <v>#REF!</v>
      </c>
      <c r="R39" s="19"/>
      <c r="S39" s="9"/>
      <c r="T39" s="11">
        <f>LARGE(T5:T33, 1)</f>
        <v>0</v>
      </c>
      <c r="U39" s="11">
        <f>LARGE(U5:U33, 1)</f>
        <v>0</v>
      </c>
      <c r="V39" s="11">
        <f>LARGE(V5:V33, 1)</f>
        <v>0</v>
      </c>
      <c r="X39" s="80" t="s">
        <v>35</v>
      </c>
      <c r="Y39" s="55">
        <f t="shared" ref="Y39:AD39" si="10">AVERAGEIF($W$6:$W$33, "x",Y6:Y33)</f>
        <v>0</v>
      </c>
      <c r="Z39" s="55" t="e">
        <f t="shared" si="10"/>
        <v>#REF!</v>
      </c>
      <c r="AA39" s="55" t="e">
        <f t="shared" si="10"/>
        <v>#REF!</v>
      </c>
      <c r="AB39" s="55" t="e">
        <f t="shared" si="10"/>
        <v>#REF!</v>
      </c>
      <c r="AC39" s="55" t="e">
        <f t="shared" si="10"/>
        <v>#REF!</v>
      </c>
      <c r="AD39" s="55" t="e">
        <f t="shared" si="10"/>
        <v>#REF!</v>
      </c>
      <c r="AE39" s="56"/>
      <c r="AF39" s="55">
        <f>AVERAGEIF($W$6:$W$33, "x",AF6:AF33)</f>
        <v>61</v>
      </c>
      <c r="AG39" s="55">
        <f>AVERAGEIF($W$6:$W$33, "x",AG6:AG33)</f>
        <v>40</v>
      </c>
      <c r="AH39" s="55" t="e">
        <f>AVERAGEIF($W$6:$W$33, "x",AH6:AH33)</f>
        <v>#REF!</v>
      </c>
      <c r="AI39" s="55" t="e">
        <f>AVERAGEIF($W$6:$W$33, "x",AI6:AI33)</f>
        <v>#REF!</v>
      </c>
      <c r="AJ39" s="56"/>
      <c r="AK39" s="55">
        <f>AVERAGEIF($W$6:$W$33, "x",AK6:AK33)</f>
        <v>0</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95"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1608</v>
      </c>
      <c r="C42" s="26" t="e">
        <f t="shared" si="11"/>
        <v>#REF!</v>
      </c>
      <c r="D42" s="26" t="e">
        <f t="shared" si="11"/>
        <v>#REF!</v>
      </c>
      <c r="E42" s="26" t="e">
        <f t="shared" si="11"/>
        <v>#REF!</v>
      </c>
      <c r="F42" s="26" t="e">
        <f t="shared" si="11"/>
        <v>#REF!</v>
      </c>
      <c r="G42" s="26" t="e">
        <f t="shared" si="11"/>
        <v>#REF!</v>
      </c>
      <c r="I42" s="26">
        <f>I39-I5</f>
        <v>673</v>
      </c>
      <c r="J42" s="26">
        <f>J39-J5</f>
        <v>228</v>
      </c>
      <c r="K42" s="26" t="e">
        <f>K39-K5</f>
        <v>#REF!</v>
      </c>
      <c r="L42" s="26" t="e">
        <f>L39-L5</f>
        <v>#REF!</v>
      </c>
      <c r="N42" s="26">
        <f>N39-N6</f>
        <v>1102</v>
      </c>
      <c r="O42" s="26" t="e">
        <f>O39-O5</f>
        <v>#REF!</v>
      </c>
      <c r="P42" s="26" t="e">
        <f>P39-P5</f>
        <v>#REF!</v>
      </c>
      <c r="Q42" s="26" t="e">
        <f>Q39-Q5</f>
        <v>#REF!</v>
      </c>
      <c r="R42" s="26"/>
      <c r="T42" s="26">
        <f>T39-T5</f>
        <v>0</v>
      </c>
      <c r="U42" s="26">
        <f>U39-U5</f>
        <v>0</v>
      </c>
      <c r="V42" s="26">
        <f>V39-V5</f>
        <v>0</v>
      </c>
      <c r="X42" s="96"/>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80">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80">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82" t="s">
        <v>39</v>
      </c>
      <c r="AA46" s="82"/>
      <c r="AB46" s="82"/>
      <c r="AC46" s="82"/>
      <c r="AD46" s="82"/>
      <c r="AE46" s="82"/>
      <c r="AF46" s="82"/>
      <c r="AG46" s="82"/>
      <c r="AH46" s="82"/>
      <c r="AI46" s="82"/>
      <c r="AJ46" s="82"/>
      <c r="AK46" s="82"/>
      <c r="AL46" s="82"/>
      <c r="AM46" s="82"/>
      <c r="AN46" s="82"/>
    </row>
    <row r="47" spans="1:40" ht="15" x14ac:dyDescent="0.2">
      <c r="A47" s="12"/>
      <c r="X47" s="12"/>
      <c r="Y47" s="59" t="s">
        <v>40</v>
      </c>
      <c r="Z47" s="82" t="s">
        <v>41</v>
      </c>
      <c r="AA47" s="82"/>
      <c r="AB47" s="82"/>
      <c r="AC47" s="82"/>
      <c r="AD47" s="82"/>
      <c r="AE47" s="82"/>
      <c r="AF47" s="82"/>
      <c r="AG47" s="82"/>
      <c r="AH47" s="82"/>
      <c r="AI47" s="82"/>
      <c r="AJ47" s="82"/>
      <c r="AK47" s="82"/>
      <c r="AL47" s="82"/>
      <c r="AM47" s="82"/>
      <c r="AN47" s="82"/>
    </row>
    <row r="48" spans="1:40" ht="27" x14ac:dyDescent="0.2">
      <c r="A48" s="12"/>
      <c r="X48" s="63" t="s">
        <v>42</v>
      </c>
      <c r="Y48" s="60" t="s">
        <v>43</v>
      </c>
      <c r="Z48" s="82" t="s">
        <v>44</v>
      </c>
      <c r="AA48" s="82"/>
      <c r="AB48" s="82"/>
      <c r="AC48" s="82"/>
      <c r="AD48" s="82"/>
      <c r="AE48" s="82"/>
      <c r="AF48" s="82"/>
      <c r="AG48" s="82"/>
      <c r="AH48" s="82"/>
      <c r="AI48" s="82"/>
      <c r="AJ48" s="82"/>
      <c r="AK48" s="82"/>
      <c r="AL48" s="82"/>
      <c r="AM48" s="82"/>
      <c r="AN48" s="82"/>
    </row>
    <row r="49" spans="1:40" x14ac:dyDescent="0.2">
      <c r="A49" s="12"/>
      <c r="X49" s="12"/>
      <c r="Y49" s="61" t="s">
        <v>45</v>
      </c>
      <c r="Z49" s="83" t="s">
        <v>46</v>
      </c>
      <c r="AA49" s="83"/>
      <c r="AB49" s="83"/>
      <c r="AC49" s="83"/>
      <c r="AD49" s="83"/>
      <c r="AE49" s="83"/>
      <c r="AF49" s="83"/>
      <c r="AG49" s="83"/>
      <c r="AH49" s="83"/>
      <c r="AI49" s="83"/>
      <c r="AJ49" s="83"/>
      <c r="AK49" s="83"/>
      <c r="AL49" s="83"/>
      <c r="AM49" s="83"/>
      <c r="AN49" s="83"/>
    </row>
    <row r="50" spans="1:40" ht="27" x14ac:dyDescent="0.2">
      <c r="A50" s="12"/>
      <c r="X50" s="63" t="s">
        <v>42</v>
      </c>
      <c r="Y50" s="62" t="s">
        <v>47</v>
      </c>
      <c r="Z50" s="82" t="s">
        <v>48</v>
      </c>
      <c r="AA50" s="83"/>
      <c r="AB50" s="83"/>
      <c r="AC50" s="83"/>
      <c r="AD50" s="83"/>
      <c r="AE50" s="83"/>
      <c r="AF50" s="83"/>
      <c r="AG50" s="83"/>
      <c r="AH50" s="83"/>
      <c r="AI50" s="83"/>
      <c r="AJ50" s="83"/>
      <c r="AK50" s="83"/>
      <c r="AL50" s="83"/>
      <c r="AM50" s="83"/>
      <c r="AN50" s="83"/>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161" priority="43" operator="lessThan">
      <formula>0</formula>
    </cfRule>
  </conditionalFormatting>
  <conditionalFormatting sqref="Y43:AD44 AF43:AI44 AK43:AN43 AK44:AL44">
    <cfRule type="cellIs" dxfId="160" priority="42" operator="lessThan">
      <formula>0</formula>
    </cfRule>
  </conditionalFormatting>
  <conditionalFormatting sqref="AM44:AN44">
    <cfRule type="cellIs" dxfId="159" priority="41" operator="lessThan">
      <formula>0</formula>
    </cfRule>
  </conditionalFormatting>
  <conditionalFormatting sqref="Y39:AN39">
    <cfRule type="cellIs" dxfId="158" priority="40" operator="lessThan">
      <formula>0</formula>
    </cfRule>
  </conditionalFormatting>
  <conditionalFormatting sqref="Y39">
    <cfRule type="cellIs" dxfId="157" priority="38" operator="lessThan">
      <formula>$Y$44</formula>
    </cfRule>
    <cfRule type="cellIs" dxfId="156" priority="39" operator="greaterThan">
      <formula>$Y$43</formula>
    </cfRule>
  </conditionalFormatting>
  <conditionalFormatting sqref="AB39">
    <cfRule type="cellIs" dxfId="155" priority="36" operator="lessThan">
      <formula>$AB$44</formula>
    </cfRule>
    <cfRule type="cellIs" dxfId="154" priority="37" operator="greaterThan">
      <formula>$AB$43</formula>
    </cfRule>
  </conditionalFormatting>
  <conditionalFormatting sqref="AC39">
    <cfRule type="cellIs" dxfId="153" priority="34" operator="lessThan">
      <formula>$AC$44</formula>
    </cfRule>
    <cfRule type="cellIs" dxfId="152" priority="35" operator="greaterThan">
      <formula>$AC$43</formula>
    </cfRule>
  </conditionalFormatting>
  <conditionalFormatting sqref="AD39">
    <cfRule type="cellIs" dxfId="151" priority="32" operator="lessThan">
      <formula>$AD$44</formula>
    </cfRule>
    <cfRule type="cellIs" dxfId="150" priority="33" operator="greaterThan">
      <formula>$AD$43</formula>
    </cfRule>
  </conditionalFormatting>
  <conditionalFormatting sqref="AF39">
    <cfRule type="cellIs" dxfId="149" priority="30" operator="lessThan">
      <formula>$AF$44</formula>
    </cfRule>
    <cfRule type="cellIs" dxfId="148" priority="31" operator="greaterThan">
      <formula>$AF$43</formula>
    </cfRule>
  </conditionalFormatting>
  <conditionalFormatting sqref="AG39">
    <cfRule type="cellIs" dxfId="147" priority="28" operator="lessThan">
      <formula>$AG$44</formula>
    </cfRule>
    <cfRule type="cellIs" dxfId="146" priority="29" operator="greaterThan">
      <formula>$AG$43</formula>
    </cfRule>
  </conditionalFormatting>
  <conditionalFormatting sqref="AH39">
    <cfRule type="cellIs" dxfId="145" priority="26" operator="lessThan">
      <formula>$AH$44</formula>
    </cfRule>
    <cfRule type="cellIs" dxfId="144" priority="27" operator="greaterThan">
      <formula>$AH$43</formula>
    </cfRule>
  </conditionalFormatting>
  <conditionalFormatting sqref="AI39">
    <cfRule type="cellIs" dxfId="143" priority="24" operator="lessThan">
      <formula>$AI$44</formula>
    </cfRule>
    <cfRule type="cellIs" dxfId="142" priority="25" operator="greaterThan">
      <formula>$AI$43</formula>
    </cfRule>
  </conditionalFormatting>
  <conditionalFormatting sqref="AK39">
    <cfRule type="cellIs" dxfId="141" priority="22" operator="lessThan">
      <formula>$AK$44</formula>
    </cfRule>
    <cfRule type="cellIs" dxfId="140" priority="23" operator="greaterThan">
      <formula>$AK$43</formula>
    </cfRule>
  </conditionalFormatting>
  <conditionalFormatting sqref="AL39">
    <cfRule type="cellIs" dxfId="139" priority="20" operator="lessThan">
      <formula>$AL$44</formula>
    </cfRule>
    <cfRule type="cellIs" dxfId="138" priority="21" operator="greaterThan">
      <formula>$AL$43</formula>
    </cfRule>
  </conditionalFormatting>
  <conditionalFormatting sqref="AM39">
    <cfRule type="cellIs" dxfId="137" priority="18" operator="lessThan">
      <formula>$AM$44</formula>
    </cfRule>
    <cfRule type="cellIs" dxfId="136" priority="19" operator="greaterThan">
      <formula>$AM$43</formula>
    </cfRule>
  </conditionalFormatting>
  <conditionalFormatting sqref="AN39">
    <cfRule type="cellIs" dxfId="135" priority="16" operator="lessThan">
      <formula>$AN$44</formula>
    </cfRule>
    <cfRule type="cellIs" dxfId="134" priority="17" operator="greaterThan">
      <formula>$AN$43</formula>
    </cfRule>
  </conditionalFormatting>
  <conditionalFormatting sqref="AB6:AB36">
    <cfRule type="cellIs" dxfId="133" priority="15" operator="notBetween">
      <formula>$AB$44</formula>
      <formula>$AB$43</formula>
    </cfRule>
  </conditionalFormatting>
  <conditionalFormatting sqref="AC6:AC36">
    <cfRule type="cellIs" dxfId="132" priority="4" operator="notBetween">
      <formula>$AC$43</formula>
      <formula>$AC$44</formula>
    </cfRule>
  </conditionalFormatting>
  <conditionalFormatting sqref="Y6:AN36">
    <cfRule type="cellIs" dxfId="131" priority="2" stopIfTrue="1" operator="equal">
      <formula>0</formula>
    </cfRule>
    <cfRule type="cellIs" dxfId="130" priority="3" stopIfTrue="1" operator="lessThan">
      <formula>0</formula>
    </cfRule>
  </conditionalFormatting>
  <conditionalFormatting sqref="Y6:Y36">
    <cfRule type="cellIs" dxfId="129" priority="13" operator="notBetween">
      <formula>$Y$44</formula>
      <formula>$Y$43</formula>
    </cfRule>
  </conditionalFormatting>
  <conditionalFormatting sqref="AD6:AD36">
    <cfRule type="cellIs" dxfId="128" priority="5" operator="notBetween">
      <formula>$AD$44</formula>
      <formula>$AD$43</formula>
    </cfRule>
  </conditionalFormatting>
  <conditionalFormatting sqref="AF6:AF36">
    <cfRule type="cellIs" dxfId="127" priority="6" operator="notBetween">
      <formula>$AF$44</formula>
      <formula>$AF$43</formula>
    </cfRule>
  </conditionalFormatting>
  <conditionalFormatting sqref="AG6:AG36">
    <cfRule type="cellIs" dxfId="126" priority="7" operator="notBetween">
      <formula>$AG$44</formula>
      <formula>$AG$43</formula>
    </cfRule>
  </conditionalFormatting>
  <conditionalFormatting sqref="AH6:AH36">
    <cfRule type="cellIs" dxfId="125" priority="8" operator="notBetween">
      <formula>$AH$44</formula>
      <formula>$AH$43</formula>
    </cfRule>
  </conditionalFormatting>
  <conditionalFormatting sqref="AI6:AI36">
    <cfRule type="cellIs" dxfId="124" priority="9" operator="notBetween">
      <formula>$AI$44</formula>
      <formula>$AI$43</formula>
    </cfRule>
  </conditionalFormatting>
  <conditionalFormatting sqref="AK6:AK36">
    <cfRule type="cellIs" dxfId="123" priority="10" operator="notBetween">
      <formula>$AK$44</formula>
      <formula>$AK$43</formula>
    </cfRule>
  </conditionalFormatting>
  <conditionalFormatting sqref="AL6:AL36">
    <cfRule type="cellIs" dxfId="122" priority="11" operator="notBetween">
      <formula>$AL$44</formula>
      <formula>$AL$43</formula>
    </cfRule>
  </conditionalFormatting>
  <conditionalFormatting sqref="AM6:AM36">
    <cfRule type="cellIs" dxfId="121" priority="14" operator="notBetween">
      <formula>$AM$44</formula>
      <formula>$AM$43</formula>
    </cfRule>
  </conditionalFormatting>
  <conditionalFormatting sqref="AN6:AN36">
    <cfRule type="cellIs" dxfId="120"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19" priority="44" stopIfTrue="1" operator="greaterThan">
      <formula>$AG$43*2</formula>
    </cfRule>
  </conditionalFormatting>
  <conditionalFormatting sqref="Y6:Y39">
    <cfRule type="cellIs" dxfId="118" priority="45" stopIfTrue="1" operator="greaterThan">
      <formula>$Y$43*2</formula>
    </cfRule>
  </conditionalFormatting>
  <conditionalFormatting sqref="AB6:AB39">
    <cfRule type="cellIs" dxfId="117" priority="46" stopIfTrue="1" operator="greaterThan">
      <formula>$AB$43*2</formula>
    </cfRule>
  </conditionalFormatting>
  <conditionalFormatting sqref="AC6:AC39">
    <cfRule type="cellIs" dxfId="116" priority="47" stopIfTrue="1" operator="greaterThan">
      <formula>$AC$43*2</formula>
    </cfRule>
  </conditionalFormatting>
  <conditionalFormatting sqref="AD6:AD39">
    <cfRule type="cellIs" dxfId="115" priority="48" stopIfTrue="1" operator="greaterThan">
      <formula>$AD$43*2</formula>
    </cfRule>
  </conditionalFormatting>
  <conditionalFormatting sqref="AF6:AF39">
    <cfRule type="cellIs" dxfId="114" priority="49" stopIfTrue="1" operator="greaterThan">
      <formula>$AF$43*2</formula>
    </cfRule>
  </conditionalFormatting>
  <conditionalFormatting sqref="AH6:AH39">
    <cfRule type="cellIs" dxfId="113" priority="50" stopIfTrue="1" operator="greaterThan">
      <formula>$AH$43*2</formula>
    </cfRule>
  </conditionalFormatting>
  <conditionalFormatting sqref="AI6:AI39">
    <cfRule type="cellIs" dxfId="112" priority="51" stopIfTrue="1" operator="greaterThan">
      <formula>$AI$43*2</formula>
    </cfRule>
  </conditionalFormatting>
  <conditionalFormatting sqref="AK6:AK39">
    <cfRule type="cellIs" dxfId="111" priority="52" stopIfTrue="1" operator="greaterThan">
      <formula>$AK$43*2</formula>
    </cfRule>
  </conditionalFormatting>
  <conditionalFormatting sqref="AL6:AL39">
    <cfRule type="cellIs" dxfId="110" priority="53" stopIfTrue="1" operator="greaterThan">
      <formula>$AL$43*2</formula>
    </cfRule>
  </conditionalFormatting>
  <conditionalFormatting sqref="AM6:AM39">
    <cfRule type="cellIs" dxfId="109" priority="54" stopIfTrue="1" operator="greaterThan">
      <formula>$AM$43*2</formula>
    </cfRule>
  </conditionalFormatting>
  <conditionalFormatting sqref="AN6:AN39">
    <cfRule type="cellIs" dxfId="108" priority="55" stopIfTrue="1" operator="greaterThan">
      <formula>$AN$43*2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DDA9-2DC5-4773-B142-6A4FBA6EB9CD}">
  <dimension ref="A1:AN49"/>
  <sheetViews>
    <sheetView workbookViewId="0">
      <selection activeCell="R1" sqref="R1:V1048576"/>
    </sheetView>
  </sheetViews>
  <sheetFormatPr defaultRowHeight="12.75" x14ac:dyDescent="0.2"/>
  <cols>
    <col min="3" max="7" width="0" hidden="1" customWidth="1"/>
    <col min="11" max="12" width="0" hidden="1" customWidth="1"/>
    <col min="15" max="22" width="0" hidden="1" customWidth="1"/>
    <col min="26" max="30" width="0" hidden="1" customWidth="1"/>
    <col min="34" max="35" width="0" hidden="1" customWidth="1"/>
    <col min="38" max="40" width="0" hidden="1" customWidth="1"/>
  </cols>
  <sheetData>
    <row r="1" spans="1:40"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0"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85"/>
      <c r="B4" s="85"/>
      <c r="C4" s="85"/>
      <c r="D4" s="85"/>
      <c r="E4" s="85"/>
      <c r="F4" s="85"/>
      <c r="G4" s="85"/>
      <c r="H4" s="85"/>
      <c r="I4" s="85"/>
      <c r="J4" s="85"/>
      <c r="K4" s="85"/>
      <c r="L4" s="85"/>
      <c r="M4" s="85"/>
      <c r="N4" s="85"/>
      <c r="O4" s="85"/>
      <c r="P4" s="85"/>
      <c r="Q4" s="85"/>
      <c r="R4" s="85"/>
      <c r="S4" s="85"/>
      <c r="T4" s="85"/>
      <c r="U4" s="85"/>
      <c r="V4" s="85"/>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9525</v>
      </c>
      <c r="C6" s="14"/>
      <c r="D6" s="14"/>
      <c r="E6" s="41"/>
      <c r="F6" s="13"/>
      <c r="G6" s="13"/>
      <c r="H6" s="15"/>
      <c r="I6" s="40">
        <v>27560</v>
      </c>
      <c r="J6" s="42">
        <v>3441</v>
      </c>
      <c r="K6" s="42"/>
      <c r="L6" s="18"/>
      <c r="M6" s="15"/>
      <c r="N6" s="41">
        <v>242035</v>
      </c>
      <c r="O6" s="41"/>
      <c r="P6" s="41"/>
      <c r="Q6" s="18"/>
      <c r="R6" s="45" t="e">
        <f>Q6-Q5</f>
        <v>#REF!</v>
      </c>
      <c r="S6" s="16"/>
      <c r="T6" s="17">
        <v>0</v>
      </c>
      <c r="U6" s="17">
        <v>0</v>
      </c>
      <c r="V6" s="17">
        <v>0</v>
      </c>
      <c r="W6" s="43" t="s">
        <v>30</v>
      </c>
      <c r="X6" s="80">
        <v>1</v>
      </c>
      <c r="Y6" s="11">
        <f>B6-B5</f>
        <v>1711</v>
      </c>
      <c r="Z6" s="11" t="e">
        <f t="shared" ref="Z6:AD21" si="0">C6-C5</f>
        <v>#REF!</v>
      </c>
      <c r="AA6" s="11" t="e">
        <f t="shared" si="0"/>
        <v>#REF!</v>
      </c>
      <c r="AB6" s="11" t="e">
        <f t="shared" si="0"/>
        <v>#REF!</v>
      </c>
      <c r="AC6" s="11" t="e">
        <f t="shared" si="0"/>
        <v>#REF!</v>
      </c>
      <c r="AD6" s="11" t="e">
        <f t="shared" si="0"/>
        <v>#REF!</v>
      </c>
      <c r="AE6" s="34"/>
      <c r="AF6" s="11">
        <f t="shared" ref="AF6:AI21" si="1">I6-I5</f>
        <v>780</v>
      </c>
      <c r="AG6" s="11">
        <f t="shared" si="1"/>
        <v>250</v>
      </c>
      <c r="AH6" s="11" t="e">
        <f t="shared" si="1"/>
        <v>#REF!</v>
      </c>
      <c r="AI6" s="11" t="e">
        <f t="shared" si="1"/>
        <v>#REF!</v>
      </c>
      <c r="AJ6" s="34"/>
      <c r="AK6" s="11">
        <f t="shared" ref="AK6:AN21" si="2">N6-N5</f>
        <v>1172</v>
      </c>
      <c r="AL6" s="11" t="e">
        <f t="shared" si="2"/>
        <v>#REF!</v>
      </c>
      <c r="AM6" s="11" t="e">
        <f t="shared" si="2"/>
        <v>#REF!</v>
      </c>
      <c r="AN6" s="11" t="e">
        <f t="shared" si="2"/>
        <v>#REF!</v>
      </c>
    </row>
    <row r="7" spans="1:40" x14ac:dyDescent="0.2">
      <c r="A7" s="80">
        <v>2</v>
      </c>
      <c r="B7" s="40">
        <v>9582</v>
      </c>
      <c r="C7" s="14"/>
      <c r="D7" s="14"/>
      <c r="E7" s="41"/>
      <c r="F7" s="18"/>
      <c r="G7" s="18"/>
      <c r="H7" s="15"/>
      <c r="I7" s="40">
        <v>27585</v>
      </c>
      <c r="J7" s="42">
        <v>3446</v>
      </c>
      <c r="K7" s="42"/>
      <c r="L7" s="18"/>
      <c r="M7" s="15"/>
      <c r="N7" s="41">
        <v>242071</v>
      </c>
      <c r="O7" s="41"/>
      <c r="P7" s="41"/>
      <c r="Q7" s="18"/>
      <c r="R7" s="45">
        <f t="shared" ref="R7:R32" si="3">Q7-Q6</f>
        <v>0</v>
      </c>
      <c r="S7" s="16"/>
      <c r="T7" s="17">
        <v>0</v>
      </c>
      <c r="U7" s="17">
        <v>0</v>
      </c>
      <c r="V7" s="17">
        <v>0</v>
      </c>
      <c r="W7" s="16"/>
      <c r="X7" s="80">
        <v>2</v>
      </c>
      <c r="Y7" s="11">
        <f t="shared" ref="Y7:AD32" si="4">B7-B6</f>
        <v>57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36</v>
      </c>
      <c r="AL7" s="11">
        <f t="shared" si="2"/>
        <v>0</v>
      </c>
      <c r="AM7" s="11">
        <f t="shared" si="2"/>
        <v>0</v>
      </c>
      <c r="AN7" s="11">
        <f t="shared" si="2"/>
        <v>0</v>
      </c>
    </row>
    <row r="8" spans="1:40" x14ac:dyDescent="0.2">
      <c r="A8" s="80">
        <v>3</v>
      </c>
      <c r="B8" s="40">
        <v>9639</v>
      </c>
      <c r="C8" s="14"/>
      <c r="D8" s="14"/>
      <c r="E8" s="41"/>
      <c r="F8" s="18"/>
      <c r="G8" s="18"/>
      <c r="H8" s="15"/>
      <c r="I8" s="40">
        <v>27610</v>
      </c>
      <c r="J8" s="42">
        <v>3452</v>
      </c>
      <c r="K8" s="42"/>
      <c r="L8" s="18"/>
      <c r="M8" s="15"/>
      <c r="N8" s="41">
        <v>242108</v>
      </c>
      <c r="O8" s="41"/>
      <c r="P8" s="41"/>
      <c r="Q8" s="18"/>
      <c r="R8" s="45">
        <f t="shared" si="3"/>
        <v>0</v>
      </c>
      <c r="S8" s="16"/>
      <c r="T8" s="17">
        <v>0</v>
      </c>
      <c r="U8" s="17">
        <v>0</v>
      </c>
      <c r="V8" s="17">
        <v>0</v>
      </c>
      <c r="W8" s="16"/>
      <c r="X8" s="80">
        <v>3</v>
      </c>
      <c r="Y8" s="11">
        <f t="shared" si="4"/>
        <v>57</v>
      </c>
      <c r="Z8" s="11">
        <f t="shared" si="0"/>
        <v>0</v>
      </c>
      <c r="AA8" s="11">
        <f t="shared" si="0"/>
        <v>0</v>
      </c>
      <c r="AB8" s="11">
        <f t="shared" si="0"/>
        <v>0</v>
      </c>
      <c r="AC8" s="11">
        <f t="shared" si="0"/>
        <v>0</v>
      </c>
      <c r="AD8" s="11">
        <f t="shared" si="0"/>
        <v>0</v>
      </c>
      <c r="AE8" s="34"/>
      <c r="AF8" s="11">
        <f t="shared" si="1"/>
        <v>25</v>
      </c>
      <c r="AG8" s="11">
        <f t="shared" si="1"/>
        <v>6</v>
      </c>
      <c r="AH8" s="11">
        <f t="shared" si="1"/>
        <v>0</v>
      </c>
      <c r="AI8" s="11">
        <f t="shared" si="1"/>
        <v>0</v>
      </c>
      <c r="AJ8" s="34"/>
      <c r="AK8" s="11">
        <f t="shared" si="2"/>
        <v>37</v>
      </c>
      <c r="AL8" s="11">
        <f t="shared" si="2"/>
        <v>0</v>
      </c>
      <c r="AM8" s="11">
        <f t="shared" si="2"/>
        <v>0</v>
      </c>
      <c r="AN8" s="11">
        <f t="shared" si="2"/>
        <v>0</v>
      </c>
    </row>
    <row r="9" spans="1:40" x14ac:dyDescent="0.2">
      <c r="A9" s="80">
        <v>4</v>
      </c>
      <c r="B9" s="40">
        <v>9717</v>
      </c>
      <c r="C9" s="14"/>
      <c r="D9" s="14"/>
      <c r="E9" s="41"/>
      <c r="F9" s="18"/>
      <c r="G9" s="18"/>
      <c r="H9" s="15"/>
      <c r="I9" s="40">
        <v>27657</v>
      </c>
      <c r="J9" s="42">
        <v>3454</v>
      </c>
      <c r="K9" s="42"/>
      <c r="L9" s="18"/>
      <c r="M9" s="15"/>
      <c r="N9" s="41">
        <v>242144</v>
      </c>
      <c r="O9" s="41"/>
      <c r="P9" s="41"/>
      <c r="Q9" s="18"/>
      <c r="R9" s="45">
        <f>Q9-Q8</f>
        <v>0</v>
      </c>
      <c r="S9" s="16"/>
      <c r="T9" s="17">
        <v>0</v>
      </c>
      <c r="U9" s="17">
        <v>0</v>
      </c>
      <c r="V9" s="17">
        <v>0</v>
      </c>
      <c r="W9" s="16"/>
      <c r="X9" s="80">
        <v>4</v>
      </c>
      <c r="Y9" s="11">
        <f t="shared" ref="Y9:AD9" si="5">B9-B8</f>
        <v>78</v>
      </c>
      <c r="Z9" s="11">
        <f t="shared" si="5"/>
        <v>0</v>
      </c>
      <c r="AA9" s="11">
        <f t="shared" si="5"/>
        <v>0</v>
      </c>
      <c r="AB9" s="11">
        <f t="shared" si="5"/>
        <v>0</v>
      </c>
      <c r="AC9" s="11">
        <f t="shared" si="5"/>
        <v>0</v>
      </c>
      <c r="AD9" s="11">
        <f t="shared" si="5"/>
        <v>0</v>
      </c>
      <c r="AE9" s="34"/>
      <c r="AF9" s="11">
        <f>I9-I8</f>
        <v>47</v>
      </c>
      <c r="AG9" s="11">
        <f>J9-J8</f>
        <v>2</v>
      </c>
      <c r="AH9" s="11">
        <f>K9-K8</f>
        <v>0</v>
      </c>
      <c r="AI9" s="11">
        <f>L9-L8</f>
        <v>0</v>
      </c>
      <c r="AJ9" s="34"/>
      <c r="AK9" s="11">
        <f>N9-N8</f>
        <v>36</v>
      </c>
      <c r="AL9" s="11">
        <f>O9-O8</f>
        <v>0</v>
      </c>
      <c r="AM9" s="11">
        <f>P9-P8</f>
        <v>0</v>
      </c>
      <c r="AN9" s="11">
        <f>Q9-Q8</f>
        <v>0</v>
      </c>
    </row>
    <row r="10" spans="1:40" x14ac:dyDescent="0.2">
      <c r="A10" s="80">
        <v>5</v>
      </c>
      <c r="B10" s="40">
        <v>9816</v>
      </c>
      <c r="C10" s="14"/>
      <c r="D10" s="14"/>
      <c r="E10" s="41"/>
      <c r="F10" s="18"/>
      <c r="G10" s="18"/>
      <c r="H10" s="15"/>
      <c r="I10" s="40">
        <v>27715</v>
      </c>
      <c r="J10" s="42">
        <v>3454</v>
      </c>
      <c r="K10" s="42"/>
      <c r="L10" s="18"/>
      <c r="M10" s="15"/>
      <c r="N10" s="41">
        <v>242182</v>
      </c>
      <c r="O10" s="41"/>
      <c r="P10" s="41"/>
      <c r="Q10" s="18"/>
      <c r="R10" s="45">
        <f t="shared" si="3"/>
        <v>0</v>
      </c>
      <c r="S10" s="16"/>
      <c r="T10" s="17">
        <v>0</v>
      </c>
      <c r="U10" s="17">
        <v>0</v>
      </c>
      <c r="V10" s="17">
        <v>0</v>
      </c>
      <c r="W10" s="16"/>
      <c r="X10" s="80">
        <v>5</v>
      </c>
      <c r="Y10" s="11">
        <f t="shared" si="4"/>
        <v>99</v>
      </c>
      <c r="Z10" s="11">
        <f t="shared" si="0"/>
        <v>0</v>
      </c>
      <c r="AA10" s="11">
        <f t="shared" si="0"/>
        <v>0</v>
      </c>
      <c r="AB10" s="11">
        <f t="shared" si="0"/>
        <v>0</v>
      </c>
      <c r="AC10" s="11">
        <f t="shared" si="0"/>
        <v>0</v>
      </c>
      <c r="AD10" s="11">
        <f t="shared" si="0"/>
        <v>0</v>
      </c>
      <c r="AE10" s="34"/>
      <c r="AF10" s="11">
        <f t="shared" si="1"/>
        <v>58</v>
      </c>
      <c r="AG10" s="11">
        <f t="shared" si="1"/>
        <v>0</v>
      </c>
      <c r="AH10" s="11">
        <f t="shared" si="1"/>
        <v>0</v>
      </c>
      <c r="AI10" s="11">
        <f t="shared" si="1"/>
        <v>0</v>
      </c>
      <c r="AJ10" s="34"/>
      <c r="AK10" s="11">
        <f>N10-N9</f>
        <v>38</v>
      </c>
      <c r="AL10" s="11">
        <f t="shared" si="2"/>
        <v>0</v>
      </c>
      <c r="AM10" s="11">
        <f t="shared" si="2"/>
        <v>0</v>
      </c>
      <c r="AN10" s="11">
        <f t="shared" si="2"/>
        <v>0</v>
      </c>
    </row>
    <row r="11" spans="1:40" x14ac:dyDescent="0.2">
      <c r="A11" s="80">
        <v>6</v>
      </c>
      <c r="B11" s="40">
        <v>9902</v>
      </c>
      <c r="C11" s="14"/>
      <c r="D11" s="14"/>
      <c r="E11" s="41"/>
      <c r="F11" s="18"/>
      <c r="G11" s="18"/>
      <c r="H11" s="15"/>
      <c r="I11" s="40">
        <v>27772</v>
      </c>
      <c r="J11" s="42">
        <v>3454</v>
      </c>
      <c r="K11" s="42"/>
      <c r="L11" s="18"/>
      <c r="M11" s="15"/>
      <c r="N11" s="41">
        <v>242216</v>
      </c>
      <c r="O11" s="41"/>
      <c r="P11" s="41"/>
      <c r="Q11" s="18"/>
      <c r="R11" s="45">
        <f t="shared" si="3"/>
        <v>0</v>
      </c>
      <c r="S11" s="16"/>
      <c r="T11" s="17">
        <v>0</v>
      </c>
      <c r="U11" s="17">
        <v>0</v>
      </c>
      <c r="V11" s="17">
        <v>0</v>
      </c>
      <c r="W11" s="16"/>
      <c r="X11" s="80">
        <v>6</v>
      </c>
      <c r="Y11" s="11">
        <f t="shared" si="4"/>
        <v>86</v>
      </c>
      <c r="Z11" s="11">
        <f t="shared" si="0"/>
        <v>0</v>
      </c>
      <c r="AA11" s="11">
        <f t="shared" si="0"/>
        <v>0</v>
      </c>
      <c r="AB11" s="11">
        <f t="shared" si="0"/>
        <v>0</v>
      </c>
      <c r="AC11" s="11">
        <f t="shared" si="0"/>
        <v>0</v>
      </c>
      <c r="AD11" s="11">
        <f t="shared" si="0"/>
        <v>0</v>
      </c>
      <c r="AE11" s="34"/>
      <c r="AF11" s="11">
        <f t="shared" si="1"/>
        <v>57</v>
      </c>
      <c r="AG11" s="11">
        <f t="shared" si="1"/>
        <v>0</v>
      </c>
      <c r="AH11" s="11">
        <f t="shared" si="1"/>
        <v>0</v>
      </c>
      <c r="AI11" s="11">
        <f t="shared" si="1"/>
        <v>0</v>
      </c>
      <c r="AJ11" s="34"/>
      <c r="AK11" s="11">
        <f>N12-N10</f>
        <v>64</v>
      </c>
      <c r="AL11" s="11">
        <f t="shared" si="2"/>
        <v>0</v>
      </c>
      <c r="AM11" s="11">
        <f t="shared" si="2"/>
        <v>0</v>
      </c>
      <c r="AN11" s="11">
        <f t="shared" si="2"/>
        <v>0</v>
      </c>
    </row>
    <row r="12" spans="1:40" x14ac:dyDescent="0.2">
      <c r="A12" s="80">
        <v>7</v>
      </c>
      <c r="B12" s="40">
        <v>9969</v>
      </c>
      <c r="C12" s="14"/>
      <c r="D12" s="14"/>
      <c r="E12" s="41"/>
      <c r="F12" s="18"/>
      <c r="G12" s="18"/>
      <c r="H12" s="15"/>
      <c r="I12" s="40">
        <v>27814</v>
      </c>
      <c r="J12" s="42">
        <v>3454</v>
      </c>
      <c r="K12" s="42"/>
      <c r="L12" s="18"/>
      <c r="M12" s="15"/>
      <c r="N12" s="41">
        <v>242246</v>
      </c>
      <c r="O12" s="41"/>
      <c r="P12" s="41"/>
      <c r="Q12" s="18"/>
      <c r="R12" s="45">
        <f t="shared" si="3"/>
        <v>0</v>
      </c>
      <c r="S12" s="16"/>
      <c r="T12" s="17">
        <v>0</v>
      </c>
      <c r="U12" s="17">
        <v>0</v>
      </c>
      <c r="V12" s="17">
        <v>0</v>
      </c>
      <c r="W12" s="16"/>
      <c r="X12" s="80">
        <v>7</v>
      </c>
      <c r="Y12" s="11">
        <f t="shared" si="4"/>
        <v>67</v>
      </c>
      <c r="Z12" s="11">
        <f t="shared" si="0"/>
        <v>0</v>
      </c>
      <c r="AA12" s="11">
        <f t="shared" si="0"/>
        <v>0</v>
      </c>
      <c r="AB12" s="11">
        <f t="shared" si="0"/>
        <v>0</v>
      </c>
      <c r="AC12" s="11">
        <f t="shared" si="0"/>
        <v>0</v>
      </c>
      <c r="AD12" s="11">
        <f t="shared" si="0"/>
        <v>0</v>
      </c>
      <c r="AE12" s="34"/>
      <c r="AF12" s="11">
        <f t="shared" si="1"/>
        <v>42</v>
      </c>
      <c r="AG12" s="11">
        <f t="shared" si="1"/>
        <v>0</v>
      </c>
      <c r="AH12" s="11">
        <f t="shared" si="1"/>
        <v>0</v>
      </c>
      <c r="AI12" s="11">
        <f t="shared" si="1"/>
        <v>0</v>
      </c>
      <c r="AJ12" s="34"/>
      <c r="AK12" s="11">
        <f t="shared" ref="AK12:AK32" si="6">N13-N12</f>
        <v>26</v>
      </c>
      <c r="AL12" s="11">
        <f t="shared" si="2"/>
        <v>0</v>
      </c>
      <c r="AM12" s="11">
        <f t="shared" si="2"/>
        <v>0</v>
      </c>
      <c r="AN12" s="11">
        <f t="shared" si="2"/>
        <v>0</v>
      </c>
    </row>
    <row r="13" spans="1:40" x14ac:dyDescent="0.2">
      <c r="A13" s="80">
        <v>8</v>
      </c>
      <c r="B13" s="40">
        <v>10033</v>
      </c>
      <c r="C13" s="14"/>
      <c r="D13" s="14"/>
      <c r="E13" s="41"/>
      <c r="F13" s="18"/>
      <c r="G13" s="18"/>
      <c r="H13" s="15"/>
      <c r="I13" s="40">
        <v>27849</v>
      </c>
      <c r="J13" s="42">
        <v>3454</v>
      </c>
      <c r="K13" s="42"/>
      <c r="L13" s="18"/>
      <c r="M13" s="15"/>
      <c r="N13" s="41">
        <v>242272</v>
      </c>
      <c r="O13" s="41"/>
      <c r="P13" s="41"/>
      <c r="Q13" s="18"/>
      <c r="R13" s="45">
        <f t="shared" si="3"/>
        <v>0</v>
      </c>
      <c r="S13" s="16"/>
      <c r="T13" s="17">
        <v>0</v>
      </c>
      <c r="U13" s="17">
        <v>0</v>
      </c>
      <c r="V13" s="17">
        <v>0</v>
      </c>
      <c r="W13" s="16"/>
      <c r="X13" s="80">
        <v>8</v>
      </c>
      <c r="Y13" s="11">
        <f t="shared" si="4"/>
        <v>64</v>
      </c>
      <c r="Z13" s="11">
        <f t="shared" si="0"/>
        <v>0</v>
      </c>
      <c r="AA13" s="11">
        <f t="shared" si="0"/>
        <v>0</v>
      </c>
      <c r="AB13" s="11">
        <f t="shared" si="0"/>
        <v>0</v>
      </c>
      <c r="AC13" s="11">
        <f t="shared" si="0"/>
        <v>0</v>
      </c>
      <c r="AD13" s="11">
        <f t="shared" si="0"/>
        <v>0</v>
      </c>
      <c r="AE13" s="34"/>
      <c r="AF13" s="11">
        <f t="shared" si="1"/>
        <v>35</v>
      </c>
      <c r="AG13" s="11">
        <f t="shared" si="1"/>
        <v>0</v>
      </c>
      <c r="AH13" s="11">
        <f t="shared" si="1"/>
        <v>0</v>
      </c>
      <c r="AI13" s="11">
        <f t="shared" si="1"/>
        <v>0</v>
      </c>
      <c r="AJ13" s="34"/>
      <c r="AK13" s="11">
        <f t="shared" si="6"/>
        <v>25</v>
      </c>
      <c r="AL13" s="11">
        <f t="shared" si="2"/>
        <v>0</v>
      </c>
      <c r="AM13" s="11">
        <f t="shared" si="2"/>
        <v>0</v>
      </c>
      <c r="AN13" s="11">
        <f t="shared" si="2"/>
        <v>0</v>
      </c>
    </row>
    <row r="14" spans="1:40" x14ac:dyDescent="0.2">
      <c r="A14" s="80">
        <v>9</v>
      </c>
      <c r="B14" s="40">
        <v>10081</v>
      </c>
      <c r="C14" s="14"/>
      <c r="D14" s="14"/>
      <c r="E14" s="41"/>
      <c r="F14" s="18"/>
      <c r="G14" s="18"/>
      <c r="H14" s="15"/>
      <c r="I14" s="40">
        <v>27872</v>
      </c>
      <c r="J14" s="42">
        <v>3454</v>
      </c>
      <c r="K14" s="42"/>
      <c r="L14" s="18"/>
      <c r="M14" s="15"/>
      <c r="N14" s="41">
        <v>242297</v>
      </c>
      <c r="O14" s="41"/>
      <c r="P14" s="41"/>
      <c r="Q14" s="18"/>
      <c r="R14" s="45">
        <f t="shared" si="3"/>
        <v>0</v>
      </c>
      <c r="S14" s="16"/>
      <c r="T14" s="17">
        <v>0</v>
      </c>
      <c r="U14" s="17">
        <v>0</v>
      </c>
      <c r="V14" s="17">
        <v>0</v>
      </c>
      <c r="W14" s="16"/>
      <c r="X14" s="80">
        <v>9</v>
      </c>
      <c r="Y14" s="11">
        <f t="shared" si="4"/>
        <v>48</v>
      </c>
      <c r="Z14" s="11">
        <f t="shared" si="0"/>
        <v>0</v>
      </c>
      <c r="AA14" s="11">
        <f t="shared" si="0"/>
        <v>0</v>
      </c>
      <c r="AB14" s="11">
        <f t="shared" si="0"/>
        <v>0</v>
      </c>
      <c r="AC14" s="11">
        <f t="shared" si="0"/>
        <v>0</v>
      </c>
      <c r="AD14" s="11">
        <f t="shared" si="0"/>
        <v>0</v>
      </c>
      <c r="AE14" s="34"/>
      <c r="AF14" s="11">
        <f t="shared" si="1"/>
        <v>23</v>
      </c>
      <c r="AG14" s="11">
        <f t="shared" si="1"/>
        <v>0</v>
      </c>
      <c r="AH14" s="11">
        <f t="shared" si="1"/>
        <v>0</v>
      </c>
      <c r="AI14" s="11">
        <f t="shared" si="1"/>
        <v>0</v>
      </c>
      <c r="AJ14" s="34"/>
      <c r="AK14" s="11">
        <f t="shared" si="6"/>
        <v>23</v>
      </c>
      <c r="AL14" s="11">
        <f t="shared" si="2"/>
        <v>0</v>
      </c>
      <c r="AM14" s="11">
        <f t="shared" si="2"/>
        <v>0</v>
      </c>
      <c r="AN14" s="11">
        <f t="shared" si="2"/>
        <v>0</v>
      </c>
    </row>
    <row r="15" spans="1:40" x14ac:dyDescent="0.2">
      <c r="A15" s="80">
        <v>10</v>
      </c>
      <c r="B15" s="40">
        <v>10134</v>
      </c>
      <c r="C15" s="14"/>
      <c r="D15" s="14"/>
      <c r="E15" s="41"/>
      <c r="F15" s="18"/>
      <c r="G15" s="18"/>
      <c r="H15" s="15"/>
      <c r="I15" s="40">
        <v>27893</v>
      </c>
      <c r="J15" s="42">
        <v>3454</v>
      </c>
      <c r="K15" s="42"/>
      <c r="L15" s="18"/>
      <c r="M15" s="15"/>
      <c r="N15" s="41">
        <v>242320</v>
      </c>
      <c r="O15" s="41"/>
      <c r="P15" s="41"/>
      <c r="Q15" s="18"/>
      <c r="R15" s="45">
        <f t="shared" si="3"/>
        <v>0</v>
      </c>
      <c r="S15" s="16"/>
      <c r="T15" s="17">
        <v>0</v>
      </c>
      <c r="U15" s="17">
        <v>0</v>
      </c>
      <c r="V15" s="17">
        <v>0</v>
      </c>
      <c r="W15" s="16"/>
      <c r="X15" s="80">
        <v>10</v>
      </c>
      <c r="Y15" s="11">
        <f t="shared" si="4"/>
        <v>53</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 t="shared" si="6"/>
        <v>23</v>
      </c>
      <c r="AL15" s="11">
        <f t="shared" si="2"/>
        <v>0</v>
      </c>
      <c r="AM15" s="11">
        <f t="shared" si="2"/>
        <v>0</v>
      </c>
      <c r="AN15" s="11">
        <f t="shared" si="2"/>
        <v>0</v>
      </c>
    </row>
    <row r="16" spans="1:40" x14ac:dyDescent="0.2">
      <c r="A16" s="80">
        <v>11</v>
      </c>
      <c r="B16" s="40">
        <v>10185</v>
      </c>
      <c r="C16" s="14"/>
      <c r="D16" s="14"/>
      <c r="E16" s="41"/>
      <c r="F16" s="18"/>
      <c r="G16" s="18"/>
      <c r="H16" s="15"/>
      <c r="I16" s="40">
        <v>27913</v>
      </c>
      <c r="J16" s="42">
        <v>3454</v>
      </c>
      <c r="K16" s="42"/>
      <c r="L16" s="18"/>
      <c r="M16" s="15"/>
      <c r="N16" s="41">
        <v>242343</v>
      </c>
      <c r="O16" s="41"/>
      <c r="P16" s="41"/>
      <c r="Q16" s="18"/>
      <c r="R16" s="45">
        <f t="shared" si="3"/>
        <v>0</v>
      </c>
      <c r="S16" s="16"/>
      <c r="T16" s="17">
        <v>0</v>
      </c>
      <c r="U16" s="17">
        <v>0</v>
      </c>
      <c r="V16" s="17">
        <v>0</v>
      </c>
      <c r="W16" s="16"/>
      <c r="X16" s="80">
        <v>11</v>
      </c>
      <c r="Y16" s="11">
        <f t="shared" si="4"/>
        <v>51</v>
      </c>
      <c r="Z16" s="11">
        <f t="shared" si="0"/>
        <v>0</v>
      </c>
      <c r="AA16" s="11">
        <f t="shared" si="0"/>
        <v>0</v>
      </c>
      <c r="AB16" s="11">
        <f t="shared" si="0"/>
        <v>0</v>
      </c>
      <c r="AC16" s="11">
        <f t="shared" si="0"/>
        <v>0</v>
      </c>
      <c r="AD16" s="11">
        <f t="shared" si="0"/>
        <v>0</v>
      </c>
      <c r="AE16" s="34"/>
      <c r="AF16" s="11">
        <f t="shared" si="1"/>
        <v>20</v>
      </c>
      <c r="AG16" s="11">
        <f t="shared" si="1"/>
        <v>0</v>
      </c>
      <c r="AH16" s="11">
        <f t="shared" si="1"/>
        <v>0</v>
      </c>
      <c r="AI16" s="11">
        <f t="shared" si="1"/>
        <v>0</v>
      </c>
      <c r="AJ16" s="34"/>
      <c r="AK16" s="11">
        <f t="shared" si="6"/>
        <v>26</v>
      </c>
      <c r="AL16" s="11">
        <f t="shared" si="2"/>
        <v>0</v>
      </c>
      <c r="AM16" s="11">
        <f t="shared" si="2"/>
        <v>0</v>
      </c>
      <c r="AN16" s="11">
        <f t="shared" si="2"/>
        <v>0</v>
      </c>
    </row>
    <row r="17" spans="1:40" x14ac:dyDescent="0.2">
      <c r="A17" s="80">
        <v>12</v>
      </c>
      <c r="B17" s="40">
        <v>10241</v>
      </c>
      <c r="C17" s="14"/>
      <c r="D17" s="14"/>
      <c r="E17" s="41"/>
      <c r="F17" s="18"/>
      <c r="G17" s="18"/>
      <c r="H17" s="15"/>
      <c r="I17" s="40">
        <v>27935</v>
      </c>
      <c r="J17" s="42">
        <v>3454</v>
      </c>
      <c r="K17" s="42"/>
      <c r="L17" s="18"/>
      <c r="M17" s="15"/>
      <c r="N17" s="41">
        <v>242369</v>
      </c>
      <c r="O17" s="41"/>
      <c r="P17" s="41"/>
      <c r="Q17" s="18"/>
      <c r="R17" s="45">
        <f t="shared" si="3"/>
        <v>0</v>
      </c>
      <c r="S17" s="16"/>
      <c r="T17" s="17">
        <v>0</v>
      </c>
      <c r="U17" s="17">
        <v>0</v>
      </c>
      <c r="V17" s="17">
        <v>0</v>
      </c>
      <c r="W17" s="16"/>
      <c r="X17" s="80">
        <v>12</v>
      </c>
      <c r="Y17" s="11">
        <f t="shared" si="4"/>
        <v>56</v>
      </c>
      <c r="Z17" s="11">
        <f t="shared" si="0"/>
        <v>0</v>
      </c>
      <c r="AA17" s="11">
        <f t="shared" si="0"/>
        <v>0</v>
      </c>
      <c r="AB17" s="11">
        <f t="shared" si="0"/>
        <v>0</v>
      </c>
      <c r="AC17" s="11">
        <f t="shared" si="0"/>
        <v>0</v>
      </c>
      <c r="AD17" s="11">
        <f t="shared" si="0"/>
        <v>0</v>
      </c>
      <c r="AE17" s="34"/>
      <c r="AF17" s="11">
        <f t="shared" si="1"/>
        <v>22</v>
      </c>
      <c r="AG17" s="11">
        <f t="shared" si="1"/>
        <v>0</v>
      </c>
      <c r="AH17" s="11">
        <f t="shared" si="1"/>
        <v>0</v>
      </c>
      <c r="AI17" s="11">
        <f t="shared" si="1"/>
        <v>0</v>
      </c>
      <c r="AJ17" s="34"/>
      <c r="AK17" s="11">
        <f t="shared" si="6"/>
        <v>23</v>
      </c>
      <c r="AL17" s="11">
        <f t="shared" si="2"/>
        <v>0</v>
      </c>
      <c r="AM17" s="11">
        <f t="shared" si="2"/>
        <v>0</v>
      </c>
      <c r="AN17" s="11">
        <f t="shared" si="2"/>
        <v>0</v>
      </c>
    </row>
    <row r="18" spans="1:40" x14ac:dyDescent="0.2">
      <c r="A18" s="80">
        <v>13</v>
      </c>
      <c r="B18" s="40">
        <v>10300</v>
      </c>
      <c r="C18" s="14"/>
      <c r="D18" s="14"/>
      <c r="E18" s="41"/>
      <c r="F18" s="18"/>
      <c r="G18" s="18"/>
      <c r="H18" s="15"/>
      <c r="I18" s="40">
        <v>27956</v>
      </c>
      <c r="J18" s="42">
        <v>3454</v>
      </c>
      <c r="K18" s="42"/>
      <c r="L18" s="18"/>
      <c r="M18" s="15"/>
      <c r="N18" s="41">
        <v>242392</v>
      </c>
      <c r="O18" s="41"/>
      <c r="P18" s="41"/>
      <c r="Q18" s="18"/>
      <c r="R18" s="45">
        <f t="shared" si="3"/>
        <v>0</v>
      </c>
      <c r="S18" s="16"/>
      <c r="T18" s="17">
        <v>0</v>
      </c>
      <c r="U18" s="17">
        <v>0</v>
      </c>
      <c r="V18" s="17">
        <v>0</v>
      </c>
      <c r="W18" s="16"/>
      <c r="X18" s="80">
        <v>13</v>
      </c>
      <c r="Y18" s="11">
        <f t="shared" si="4"/>
        <v>59</v>
      </c>
      <c r="Z18" s="11">
        <f t="shared" si="0"/>
        <v>0</v>
      </c>
      <c r="AA18" s="11">
        <f t="shared" si="0"/>
        <v>0</v>
      </c>
      <c r="AB18" s="11">
        <f t="shared" si="0"/>
        <v>0</v>
      </c>
      <c r="AC18" s="11">
        <f t="shared" si="0"/>
        <v>0</v>
      </c>
      <c r="AD18" s="11">
        <f t="shared" si="0"/>
        <v>0</v>
      </c>
      <c r="AE18" s="34"/>
      <c r="AF18" s="11">
        <f t="shared" si="1"/>
        <v>21</v>
      </c>
      <c r="AG18" s="11">
        <f t="shared" si="1"/>
        <v>0</v>
      </c>
      <c r="AH18" s="11">
        <f t="shared" si="1"/>
        <v>0</v>
      </c>
      <c r="AI18" s="11">
        <f t="shared" si="1"/>
        <v>0</v>
      </c>
      <c r="AJ18" s="34"/>
      <c r="AK18" s="11">
        <f t="shared" si="6"/>
        <v>24</v>
      </c>
      <c r="AL18" s="11">
        <f t="shared" si="2"/>
        <v>0</v>
      </c>
      <c r="AM18" s="11">
        <f t="shared" si="2"/>
        <v>0</v>
      </c>
      <c r="AN18" s="11">
        <f t="shared" si="2"/>
        <v>0</v>
      </c>
    </row>
    <row r="19" spans="1:40" x14ac:dyDescent="0.2">
      <c r="A19" s="80">
        <v>14</v>
      </c>
      <c r="B19" s="40">
        <v>10354</v>
      </c>
      <c r="C19" s="14"/>
      <c r="D19" s="14"/>
      <c r="E19" s="41"/>
      <c r="F19" s="18"/>
      <c r="G19" s="18"/>
      <c r="H19" s="15"/>
      <c r="I19" s="40">
        <v>27978</v>
      </c>
      <c r="J19" s="42">
        <v>3554</v>
      </c>
      <c r="K19" s="42"/>
      <c r="L19" s="18"/>
      <c r="M19" s="15"/>
      <c r="N19" s="41">
        <v>242416</v>
      </c>
      <c r="O19" s="41"/>
      <c r="P19" s="41"/>
      <c r="Q19" s="18"/>
      <c r="R19" s="45">
        <f t="shared" si="3"/>
        <v>0</v>
      </c>
      <c r="S19" s="16"/>
      <c r="T19" s="17">
        <v>0</v>
      </c>
      <c r="U19" s="17">
        <v>0</v>
      </c>
      <c r="V19" s="17">
        <v>0</v>
      </c>
      <c r="W19" s="16"/>
      <c r="X19" s="80">
        <v>14</v>
      </c>
      <c r="Y19" s="11">
        <f t="shared" si="4"/>
        <v>54</v>
      </c>
      <c r="Z19" s="11">
        <f t="shared" si="0"/>
        <v>0</v>
      </c>
      <c r="AA19" s="11">
        <f t="shared" si="0"/>
        <v>0</v>
      </c>
      <c r="AB19" s="11">
        <f t="shared" si="0"/>
        <v>0</v>
      </c>
      <c r="AC19" s="11">
        <f t="shared" si="0"/>
        <v>0</v>
      </c>
      <c r="AD19" s="11">
        <f t="shared" si="0"/>
        <v>0</v>
      </c>
      <c r="AE19" s="34"/>
      <c r="AF19" s="11">
        <f t="shared" si="1"/>
        <v>22</v>
      </c>
      <c r="AG19" s="11">
        <f t="shared" si="1"/>
        <v>100</v>
      </c>
      <c r="AH19" s="11">
        <f t="shared" si="1"/>
        <v>0</v>
      </c>
      <c r="AI19" s="11">
        <f t="shared" si="1"/>
        <v>0</v>
      </c>
      <c r="AJ19" s="34"/>
      <c r="AK19" s="11">
        <f t="shared" si="6"/>
        <v>20</v>
      </c>
      <c r="AL19" s="11">
        <f t="shared" si="2"/>
        <v>0</v>
      </c>
      <c r="AM19" s="11">
        <f t="shared" si="2"/>
        <v>0</v>
      </c>
      <c r="AN19" s="11">
        <f t="shared" si="2"/>
        <v>0</v>
      </c>
    </row>
    <row r="20" spans="1:40" x14ac:dyDescent="0.2">
      <c r="A20" s="80">
        <v>15</v>
      </c>
      <c r="B20" s="40">
        <v>10471</v>
      </c>
      <c r="C20" s="14"/>
      <c r="D20" s="14"/>
      <c r="E20" s="41"/>
      <c r="F20" s="18"/>
      <c r="G20" s="18"/>
      <c r="H20" s="15"/>
      <c r="I20" s="40">
        <v>28064</v>
      </c>
      <c r="J20" s="42">
        <v>3554</v>
      </c>
      <c r="K20" s="42"/>
      <c r="L20" s="18"/>
      <c r="M20" s="15"/>
      <c r="N20" s="41">
        <v>242436</v>
      </c>
      <c r="O20" s="41"/>
      <c r="P20" s="41"/>
      <c r="Q20" s="18"/>
      <c r="R20" s="45">
        <f t="shared" si="3"/>
        <v>0</v>
      </c>
      <c r="S20" s="16"/>
      <c r="T20" s="17">
        <v>0</v>
      </c>
      <c r="U20" s="17">
        <v>0</v>
      </c>
      <c r="V20" s="17">
        <v>0</v>
      </c>
      <c r="W20" s="16"/>
      <c r="X20" s="80">
        <v>15</v>
      </c>
      <c r="Y20" s="11">
        <f t="shared" si="4"/>
        <v>117</v>
      </c>
      <c r="Z20" s="11">
        <f t="shared" si="0"/>
        <v>0</v>
      </c>
      <c r="AA20" s="11">
        <f t="shared" si="0"/>
        <v>0</v>
      </c>
      <c r="AB20" s="11">
        <f t="shared" si="0"/>
        <v>0</v>
      </c>
      <c r="AC20" s="11">
        <f t="shared" si="0"/>
        <v>0</v>
      </c>
      <c r="AD20" s="11">
        <f t="shared" si="0"/>
        <v>0</v>
      </c>
      <c r="AE20" s="34"/>
      <c r="AF20" s="11">
        <f t="shared" si="1"/>
        <v>86</v>
      </c>
      <c r="AG20" s="11">
        <f t="shared" si="1"/>
        <v>0</v>
      </c>
      <c r="AH20" s="11">
        <f t="shared" si="1"/>
        <v>0</v>
      </c>
      <c r="AI20" s="11">
        <f t="shared" si="1"/>
        <v>0</v>
      </c>
      <c r="AJ20" s="34"/>
      <c r="AK20" s="11">
        <f t="shared" si="6"/>
        <v>23</v>
      </c>
      <c r="AL20" s="11">
        <f t="shared" si="2"/>
        <v>0</v>
      </c>
      <c r="AM20" s="11">
        <f t="shared" si="2"/>
        <v>0</v>
      </c>
      <c r="AN20" s="11">
        <f t="shared" si="2"/>
        <v>0</v>
      </c>
    </row>
    <row r="21" spans="1:40" x14ac:dyDescent="0.2">
      <c r="A21" s="80">
        <v>16</v>
      </c>
      <c r="B21" s="40">
        <v>10646</v>
      </c>
      <c r="C21" s="14"/>
      <c r="D21" s="14"/>
      <c r="E21" s="41"/>
      <c r="F21" s="18"/>
      <c r="G21" s="18"/>
      <c r="H21" s="15"/>
      <c r="I21" s="40">
        <v>281989</v>
      </c>
      <c r="J21" s="42">
        <v>3454</v>
      </c>
      <c r="K21" s="42"/>
      <c r="L21" s="18"/>
      <c r="M21" s="15"/>
      <c r="N21" s="41">
        <v>242459</v>
      </c>
      <c r="O21" s="41"/>
      <c r="P21" s="41"/>
      <c r="Q21" s="18"/>
      <c r="R21" s="45">
        <f t="shared" si="3"/>
        <v>0</v>
      </c>
      <c r="S21" s="16"/>
      <c r="T21" s="17">
        <v>0</v>
      </c>
      <c r="U21" s="17">
        <v>0</v>
      </c>
      <c r="V21" s="17">
        <v>0</v>
      </c>
      <c r="W21" s="16"/>
      <c r="X21" s="80">
        <v>16</v>
      </c>
      <c r="Y21" s="11">
        <f t="shared" si="4"/>
        <v>175</v>
      </c>
      <c r="Z21" s="11">
        <f t="shared" si="0"/>
        <v>0</v>
      </c>
      <c r="AA21" s="11">
        <f t="shared" si="0"/>
        <v>0</v>
      </c>
      <c r="AB21" s="11">
        <f t="shared" si="0"/>
        <v>0</v>
      </c>
      <c r="AC21" s="11">
        <f t="shared" si="0"/>
        <v>0</v>
      </c>
      <c r="AD21" s="11">
        <f t="shared" si="0"/>
        <v>0</v>
      </c>
      <c r="AE21" s="34"/>
      <c r="AF21" s="11">
        <f t="shared" si="1"/>
        <v>253925</v>
      </c>
      <c r="AG21" s="11">
        <f t="shared" si="1"/>
        <v>-100</v>
      </c>
      <c r="AH21" s="11">
        <f t="shared" si="1"/>
        <v>0</v>
      </c>
      <c r="AI21" s="11">
        <f t="shared" si="1"/>
        <v>0</v>
      </c>
      <c r="AJ21" s="34"/>
      <c r="AK21" s="11">
        <f t="shared" si="6"/>
        <v>26</v>
      </c>
      <c r="AL21" s="11">
        <f t="shared" si="2"/>
        <v>0</v>
      </c>
      <c r="AM21" s="11">
        <f t="shared" si="2"/>
        <v>0</v>
      </c>
      <c r="AN21" s="11">
        <f t="shared" si="2"/>
        <v>0</v>
      </c>
    </row>
    <row r="22" spans="1:40" x14ac:dyDescent="0.2">
      <c r="A22" s="80">
        <v>17</v>
      </c>
      <c r="B22" s="40">
        <v>10818</v>
      </c>
      <c r="C22" s="14"/>
      <c r="D22" s="14"/>
      <c r="E22" s="41"/>
      <c r="F22" s="18"/>
      <c r="G22" s="18"/>
      <c r="H22" s="15"/>
      <c r="I22" s="40">
        <v>28325</v>
      </c>
      <c r="J22" s="42">
        <v>3454</v>
      </c>
      <c r="K22" s="42"/>
      <c r="L22" s="18"/>
      <c r="M22" s="15"/>
      <c r="N22" s="41">
        <v>242485</v>
      </c>
      <c r="O22" s="41"/>
      <c r="P22" s="41"/>
      <c r="Q22" s="18"/>
      <c r="R22" s="45">
        <f t="shared" si="3"/>
        <v>0</v>
      </c>
      <c r="S22" s="16"/>
      <c r="T22" s="17">
        <v>0</v>
      </c>
      <c r="U22" s="17">
        <v>0</v>
      </c>
      <c r="V22" s="17">
        <v>0</v>
      </c>
      <c r="W22" s="16"/>
      <c r="X22" s="80">
        <v>17</v>
      </c>
      <c r="Y22" s="11">
        <f t="shared" si="4"/>
        <v>172</v>
      </c>
      <c r="Z22" s="11">
        <f t="shared" si="4"/>
        <v>0</v>
      </c>
      <c r="AA22" s="11">
        <f t="shared" si="4"/>
        <v>0</v>
      </c>
      <c r="AB22" s="11">
        <f t="shared" si="4"/>
        <v>0</v>
      </c>
      <c r="AC22" s="11">
        <f t="shared" si="4"/>
        <v>0</v>
      </c>
      <c r="AD22" s="11">
        <f t="shared" si="4"/>
        <v>0</v>
      </c>
      <c r="AE22" s="34"/>
      <c r="AF22" s="11">
        <f t="shared" ref="AF22:AI32" si="7">I22-I21</f>
        <v>-253664</v>
      </c>
      <c r="AG22" s="11">
        <f t="shared" si="7"/>
        <v>0</v>
      </c>
      <c r="AH22" s="11">
        <f t="shared" si="7"/>
        <v>0</v>
      </c>
      <c r="AI22" s="11">
        <f t="shared" si="7"/>
        <v>0</v>
      </c>
      <c r="AJ22" s="34"/>
      <c r="AK22" s="11">
        <f t="shared" si="6"/>
        <v>25</v>
      </c>
      <c r="AL22" s="11">
        <f t="shared" ref="AL22:AN32" si="8">O22-O21</f>
        <v>0</v>
      </c>
      <c r="AM22" s="11">
        <f t="shared" si="8"/>
        <v>0</v>
      </c>
      <c r="AN22" s="11">
        <f t="shared" si="8"/>
        <v>0</v>
      </c>
    </row>
    <row r="23" spans="1:40" x14ac:dyDescent="0.2">
      <c r="A23" s="80">
        <v>18</v>
      </c>
      <c r="B23" s="40">
        <v>10989</v>
      </c>
      <c r="C23" s="14"/>
      <c r="D23" s="14"/>
      <c r="E23" s="41"/>
      <c r="F23" s="18"/>
      <c r="G23" s="18"/>
      <c r="H23" s="15"/>
      <c r="I23" s="40">
        <v>28454</v>
      </c>
      <c r="J23" s="42">
        <v>3454</v>
      </c>
      <c r="K23" s="42"/>
      <c r="L23" s="18"/>
      <c r="M23" s="15"/>
      <c r="N23" s="41">
        <v>242510</v>
      </c>
      <c r="O23" s="41"/>
      <c r="P23" s="41"/>
      <c r="Q23" s="18"/>
      <c r="R23" s="45">
        <f t="shared" si="3"/>
        <v>0</v>
      </c>
      <c r="S23" s="16"/>
      <c r="T23" s="17">
        <v>0</v>
      </c>
      <c r="U23" s="17">
        <v>0</v>
      </c>
      <c r="V23" s="17">
        <v>0</v>
      </c>
      <c r="W23" s="16"/>
      <c r="X23" s="80">
        <v>18</v>
      </c>
      <c r="Y23" s="11">
        <f t="shared" si="4"/>
        <v>171</v>
      </c>
      <c r="Z23" s="11">
        <f t="shared" si="4"/>
        <v>0</v>
      </c>
      <c r="AA23" s="11">
        <f t="shared" si="4"/>
        <v>0</v>
      </c>
      <c r="AB23" s="11">
        <f t="shared" si="4"/>
        <v>0</v>
      </c>
      <c r="AC23" s="11">
        <f t="shared" si="4"/>
        <v>0</v>
      </c>
      <c r="AD23" s="11">
        <f t="shared" si="4"/>
        <v>0</v>
      </c>
      <c r="AE23" s="34"/>
      <c r="AF23" s="11">
        <f t="shared" si="7"/>
        <v>129</v>
      </c>
      <c r="AG23" s="11">
        <f t="shared" si="7"/>
        <v>0</v>
      </c>
      <c r="AH23" s="11">
        <f t="shared" si="7"/>
        <v>0</v>
      </c>
      <c r="AI23" s="11">
        <f t="shared" si="7"/>
        <v>0</v>
      </c>
      <c r="AJ23" s="34"/>
      <c r="AK23" s="11">
        <f t="shared" si="6"/>
        <v>33</v>
      </c>
      <c r="AL23" s="11">
        <f t="shared" si="8"/>
        <v>0</v>
      </c>
      <c r="AM23" s="11">
        <f t="shared" si="8"/>
        <v>0</v>
      </c>
      <c r="AN23" s="11">
        <f t="shared" si="8"/>
        <v>0</v>
      </c>
    </row>
    <row r="24" spans="1:40" x14ac:dyDescent="0.2">
      <c r="A24" s="80">
        <v>19</v>
      </c>
      <c r="B24" s="40">
        <v>11186</v>
      </c>
      <c r="C24" s="14"/>
      <c r="D24" s="14"/>
      <c r="E24" s="41"/>
      <c r="F24" s="18"/>
      <c r="G24" s="18"/>
      <c r="H24" s="15"/>
      <c r="I24" s="40">
        <v>28579</v>
      </c>
      <c r="J24" s="42">
        <v>3454</v>
      </c>
      <c r="K24" s="42"/>
      <c r="L24" s="18"/>
      <c r="M24" s="15"/>
      <c r="N24" s="41">
        <v>242543</v>
      </c>
      <c r="O24" s="41"/>
      <c r="P24" s="41"/>
      <c r="Q24" s="18"/>
      <c r="R24" s="45">
        <f t="shared" si="3"/>
        <v>0</v>
      </c>
      <c r="S24" s="16"/>
      <c r="T24" s="17">
        <v>0</v>
      </c>
      <c r="U24" s="17">
        <v>0</v>
      </c>
      <c r="V24" s="17">
        <v>0</v>
      </c>
      <c r="W24" s="16"/>
      <c r="X24" s="80">
        <v>19</v>
      </c>
      <c r="Y24" s="11">
        <f t="shared" si="4"/>
        <v>197</v>
      </c>
      <c r="Z24" s="11">
        <f t="shared" si="4"/>
        <v>0</v>
      </c>
      <c r="AA24" s="11">
        <f t="shared" si="4"/>
        <v>0</v>
      </c>
      <c r="AB24" s="11">
        <f t="shared" si="4"/>
        <v>0</v>
      </c>
      <c r="AC24" s="11">
        <f t="shared" si="4"/>
        <v>0</v>
      </c>
      <c r="AD24" s="11">
        <f t="shared" si="4"/>
        <v>0</v>
      </c>
      <c r="AE24" s="34"/>
      <c r="AF24" s="11">
        <f t="shared" si="7"/>
        <v>125</v>
      </c>
      <c r="AG24" s="11">
        <f t="shared" si="7"/>
        <v>0</v>
      </c>
      <c r="AH24" s="11">
        <f t="shared" si="7"/>
        <v>0</v>
      </c>
      <c r="AI24" s="11">
        <f t="shared" si="7"/>
        <v>0</v>
      </c>
      <c r="AJ24" s="34"/>
      <c r="AK24" s="11">
        <f t="shared" si="6"/>
        <v>29</v>
      </c>
      <c r="AL24" s="11">
        <f t="shared" si="8"/>
        <v>0</v>
      </c>
      <c r="AM24" s="11">
        <f t="shared" si="8"/>
        <v>0</v>
      </c>
      <c r="AN24" s="11">
        <f t="shared" si="8"/>
        <v>0</v>
      </c>
    </row>
    <row r="25" spans="1:40" x14ac:dyDescent="0.2">
      <c r="A25" s="80">
        <v>20</v>
      </c>
      <c r="B25" s="40">
        <v>11367</v>
      </c>
      <c r="C25" s="14"/>
      <c r="D25" s="14"/>
      <c r="E25" s="41"/>
      <c r="F25" s="18"/>
      <c r="G25" s="18"/>
      <c r="H25" s="15"/>
      <c r="I25" s="40">
        <v>28710</v>
      </c>
      <c r="J25" s="42">
        <v>3455</v>
      </c>
      <c r="K25" s="42"/>
      <c r="L25" s="18"/>
      <c r="M25" s="15"/>
      <c r="N25" s="41">
        <v>242572</v>
      </c>
      <c r="O25" s="41"/>
      <c r="P25" s="41"/>
      <c r="Q25" s="18"/>
      <c r="R25" s="45">
        <f t="shared" si="3"/>
        <v>0</v>
      </c>
      <c r="S25" s="16"/>
      <c r="T25" s="17">
        <v>0</v>
      </c>
      <c r="U25" s="17">
        <v>0</v>
      </c>
      <c r="V25" s="17">
        <v>0</v>
      </c>
      <c r="W25" s="16"/>
      <c r="X25" s="80">
        <v>20</v>
      </c>
      <c r="Y25" s="11">
        <f t="shared" si="4"/>
        <v>181</v>
      </c>
      <c r="Z25" s="11">
        <f t="shared" si="4"/>
        <v>0</v>
      </c>
      <c r="AA25" s="11">
        <f t="shared" si="4"/>
        <v>0</v>
      </c>
      <c r="AB25" s="11">
        <f t="shared" si="4"/>
        <v>0</v>
      </c>
      <c r="AC25" s="11">
        <f t="shared" si="4"/>
        <v>0</v>
      </c>
      <c r="AD25" s="11">
        <f t="shared" si="4"/>
        <v>0</v>
      </c>
      <c r="AE25" s="34"/>
      <c r="AF25" s="11">
        <f t="shared" si="7"/>
        <v>131</v>
      </c>
      <c r="AG25" s="11">
        <f t="shared" si="7"/>
        <v>1</v>
      </c>
      <c r="AH25" s="11">
        <f t="shared" si="7"/>
        <v>0</v>
      </c>
      <c r="AI25" s="11">
        <f t="shared" si="7"/>
        <v>0</v>
      </c>
      <c r="AJ25" s="34"/>
      <c r="AK25" s="11">
        <f t="shared" si="6"/>
        <v>25</v>
      </c>
      <c r="AL25" s="11">
        <f t="shared" si="8"/>
        <v>0</v>
      </c>
      <c r="AM25" s="11">
        <f t="shared" si="8"/>
        <v>0</v>
      </c>
      <c r="AN25" s="11">
        <f t="shared" si="8"/>
        <v>0</v>
      </c>
    </row>
    <row r="26" spans="1:40" x14ac:dyDescent="0.2">
      <c r="A26" s="80">
        <v>21</v>
      </c>
      <c r="B26" s="40">
        <v>11534</v>
      </c>
      <c r="C26" s="14"/>
      <c r="D26" s="14"/>
      <c r="E26" s="41"/>
      <c r="F26" s="18"/>
      <c r="G26" s="18"/>
      <c r="H26" s="15"/>
      <c r="I26" s="40">
        <v>28834</v>
      </c>
      <c r="J26" s="42">
        <v>3455</v>
      </c>
      <c r="K26" s="42"/>
      <c r="L26" s="18"/>
      <c r="M26" s="15"/>
      <c r="N26" s="41">
        <v>242597</v>
      </c>
      <c r="O26" s="41"/>
      <c r="P26" s="41"/>
      <c r="Q26" s="18"/>
      <c r="R26" s="45">
        <f t="shared" si="3"/>
        <v>0</v>
      </c>
      <c r="S26" s="16"/>
      <c r="T26" s="17">
        <v>0</v>
      </c>
      <c r="U26" s="17">
        <v>0</v>
      </c>
      <c r="V26" s="17">
        <v>0</v>
      </c>
      <c r="W26" s="16"/>
      <c r="X26" s="80">
        <v>21</v>
      </c>
      <c r="Y26" s="11">
        <f t="shared" si="4"/>
        <v>167</v>
      </c>
      <c r="Z26" s="11">
        <f t="shared" si="4"/>
        <v>0</v>
      </c>
      <c r="AA26" s="11">
        <f t="shared" si="4"/>
        <v>0</v>
      </c>
      <c r="AB26" s="11">
        <f t="shared" si="4"/>
        <v>0</v>
      </c>
      <c r="AC26" s="11">
        <f t="shared" si="4"/>
        <v>0</v>
      </c>
      <c r="AD26" s="11">
        <f t="shared" si="4"/>
        <v>0</v>
      </c>
      <c r="AE26" s="34"/>
      <c r="AF26" s="11">
        <f t="shared" si="7"/>
        <v>124</v>
      </c>
      <c r="AG26" s="11">
        <f t="shared" si="7"/>
        <v>0</v>
      </c>
      <c r="AH26" s="11">
        <f t="shared" si="7"/>
        <v>0</v>
      </c>
      <c r="AI26" s="11">
        <f t="shared" si="7"/>
        <v>0</v>
      </c>
      <c r="AJ26" s="34"/>
      <c r="AK26" s="11">
        <f t="shared" si="6"/>
        <v>23</v>
      </c>
      <c r="AL26" s="11">
        <f t="shared" si="8"/>
        <v>0</v>
      </c>
      <c r="AM26" s="11">
        <f t="shared" si="8"/>
        <v>0</v>
      </c>
      <c r="AN26" s="11">
        <f t="shared" si="8"/>
        <v>0</v>
      </c>
    </row>
    <row r="27" spans="1:40" x14ac:dyDescent="0.2">
      <c r="A27" s="80">
        <v>22</v>
      </c>
      <c r="B27" s="40">
        <v>11716</v>
      </c>
      <c r="C27" s="14"/>
      <c r="D27" s="14"/>
      <c r="E27" s="41"/>
      <c r="F27" s="18"/>
      <c r="G27" s="18"/>
      <c r="H27" s="15"/>
      <c r="I27" s="40">
        <v>28984</v>
      </c>
      <c r="J27" s="42">
        <v>3455</v>
      </c>
      <c r="K27" s="42"/>
      <c r="L27" s="18"/>
      <c r="M27" s="15"/>
      <c r="N27" s="41">
        <v>242620</v>
      </c>
      <c r="O27" s="41"/>
      <c r="P27" s="41"/>
      <c r="Q27" s="18"/>
      <c r="R27" s="45">
        <f t="shared" si="3"/>
        <v>0</v>
      </c>
      <c r="S27" s="16"/>
      <c r="T27" s="17">
        <v>0</v>
      </c>
      <c r="U27" s="17">
        <v>0</v>
      </c>
      <c r="V27" s="17">
        <v>0</v>
      </c>
      <c r="W27" s="16"/>
      <c r="X27" s="80">
        <v>22</v>
      </c>
      <c r="Y27" s="11">
        <f t="shared" si="4"/>
        <v>182</v>
      </c>
      <c r="Z27" s="11">
        <f t="shared" si="4"/>
        <v>0</v>
      </c>
      <c r="AA27" s="11">
        <f t="shared" si="4"/>
        <v>0</v>
      </c>
      <c r="AB27" s="11">
        <f t="shared" si="4"/>
        <v>0</v>
      </c>
      <c r="AC27" s="11">
        <f t="shared" si="4"/>
        <v>0</v>
      </c>
      <c r="AD27" s="11">
        <f t="shared" si="4"/>
        <v>0</v>
      </c>
      <c r="AE27" s="34"/>
      <c r="AF27" s="11">
        <f t="shared" si="7"/>
        <v>150</v>
      </c>
      <c r="AG27" s="11">
        <f t="shared" si="7"/>
        <v>0</v>
      </c>
      <c r="AH27" s="11">
        <f t="shared" si="7"/>
        <v>0</v>
      </c>
      <c r="AI27" s="11">
        <f t="shared" si="7"/>
        <v>0</v>
      </c>
      <c r="AJ27" s="34"/>
      <c r="AK27" s="11">
        <f t="shared" si="6"/>
        <v>22</v>
      </c>
      <c r="AL27" s="11">
        <f t="shared" si="8"/>
        <v>0</v>
      </c>
      <c r="AM27" s="11">
        <f t="shared" si="8"/>
        <v>0</v>
      </c>
      <c r="AN27" s="11">
        <f t="shared" si="8"/>
        <v>0</v>
      </c>
    </row>
    <row r="28" spans="1:40" x14ac:dyDescent="0.2">
      <c r="A28" s="80">
        <v>23</v>
      </c>
      <c r="B28" s="40">
        <v>11906</v>
      </c>
      <c r="C28" s="14"/>
      <c r="D28" s="14"/>
      <c r="E28" s="41"/>
      <c r="F28" s="18"/>
      <c r="G28" s="18"/>
      <c r="H28" s="15"/>
      <c r="I28" s="40">
        <v>29148</v>
      </c>
      <c r="J28" s="42">
        <v>3455</v>
      </c>
      <c r="K28" s="42"/>
      <c r="L28" s="18"/>
      <c r="M28" s="15"/>
      <c r="N28" s="41">
        <v>242642</v>
      </c>
      <c r="O28" s="41"/>
      <c r="P28" s="41"/>
      <c r="Q28" s="18"/>
      <c r="R28" s="45">
        <f t="shared" si="3"/>
        <v>0</v>
      </c>
      <c r="S28" s="16"/>
      <c r="T28" s="17">
        <v>0</v>
      </c>
      <c r="U28" s="17">
        <v>0</v>
      </c>
      <c r="V28" s="17">
        <v>0</v>
      </c>
      <c r="W28" s="16"/>
      <c r="X28" s="80">
        <v>23</v>
      </c>
      <c r="Y28" s="11">
        <f t="shared" si="4"/>
        <v>190</v>
      </c>
      <c r="Z28" s="11">
        <f t="shared" si="4"/>
        <v>0</v>
      </c>
      <c r="AA28" s="11">
        <f t="shared" si="4"/>
        <v>0</v>
      </c>
      <c r="AB28" s="11">
        <f t="shared" si="4"/>
        <v>0</v>
      </c>
      <c r="AC28" s="11">
        <f t="shared" si="4"/>
        <v>0</v>
      </c>
      <c r="AD28" s="11">
        <f t="shared" si="4"/>
        <v>0</v>
      </c>
      <c r="AE28" s="34"/>
      <c r="AF28" s="11">
        <f t="shared" si="7"/>
        <v>164</v>
      </c>
      <c r="AG28" s="11">
        <f t="shared" si="7"/>
        <v>0</v>
      </c>
      <c r="AH28" s="11">
        <f t="shared" si="7"/>
        <v>0</v>
      </c>
      <c r="AI28" s="11">
        <f t="shared" si="7"/>
        <v>0</v>
      </c>
      <c r="AJ28" s="34"/>
      <c r="AK28" s="11">
        <f t="shared" si="6"/>
        <v>20</v>
      </c>
      <c r="AL28" s="11">
        <f t="shared" si="8"/>
        <v>0</v>
      </c>
      <c r="AM28" s="11">
        <f t="shared" si="8"/>
        <v>0</v>
      </c>
      <c r="AN28" s="11">
        <f t="shared" si="8"/>
        <v>0</v>
      </c>
    </row>
    <row r="29" spans="1:40" x14ac:dyDescent="0.2">
      <c r="A29" s="80">
        <v>24</v>
      </c>
      <c r="B29" s="40">
        <v>12048</v>
      </c>
      <c r="C29" s="14"/>
      <c r="D29" s="14"/>
      <c r="E29" s="41"/>
      <c r="F29" s="18"/>
      <c r="G29" s="18"/>
      <c r="H29" s="15"/>
      <c r="I29" s="40">
        <v>29255</v>
      </c>
      <c r="J29" s="42">
        <v>3455</v>
      </c>
      <c r="K29" s="42"/>
      <c r="L29" s="18"/>
      <c r="M29" s="15"/>
      <c r="N29" s="41">
        <v>242662</v>
      </c>
      <c r="O29" s="41"/>
      <c r="P29" s="41"/>
      <c r="Q29" s="18"/>
      <c r="R29" s="45">
        <f t="shared" si="3"/>
        <v>0</v>
      </c>
      <c r="S29" s="16"/>
      <c r="T29" s="17">
        <v>0</v>
      </c>
      <c r="U29" s="17">
        <v>0</v>
      </c>
      <c r="V29" s="17">
        <v>0</v>
      </c>
      <c r="W29" s="16"/>
      <c r="X29" s="80">
        <v>24</v>
      </c>
      <c r="Y29" s="11">
        <f t="shared" si="4"/>
        <v>142</v>
      </c>
      <c r="Z29" s="11">
        <f t="shared" si="4"/>
        <v>0</v>
      </c>
      <c r="AA29" s="11">
        <f t="shared" si="4"/>
        <v>0</v>
      </c>
      <c r="AB29" s="11">
        <f t="shared" si="4"/>
        <v>0</v>
      </c>
      <c r="AC29" s="11">
        <f t="shared" si="4"/>
        <v>0</v>
      </c>
      <c r="AD29" s="11">
        <f t="shared" si="4"/>
        <v>0</v>
      </c>
      <c r="AE29" s="34"/>
      <c r="AF29" s="11">
        <f t="shared" si="7"/>
        <v>107</v>
      </c>
      <c r="AG29" s="11">
        <f t="shared" si="7"/>
        <v>0</v>
      </c>
      <c r="AH29" s="11">
        <f t="shared" si="7"/>
        <v>0</v>
      </c>
      <c r="AI29" s="11">
        <f t="shared" si="7"/>
        <v>0</v>
      </c>
      <c r="AJ29" s="34"/>
      <c r="AK29" s="11">
        <f t="shared" si="6"/>
        <v>22</v>
      </c>
      <c r="AL29" s="11">
        <f t="shared" si="8"/>
        <v>0</v>
      </c>
      <c r="AM29" s="11">
        <f t="shared" si="8"/>
        <v>0</v>
      </c>
      <c r="AN29" s="11">
        <f t="shared" si="8"/>
        <v>0</v>
      </c>
    </row>
    <row r="30" spans="1:40" x14ac:dyDescent="0.2">
      <c r="A30" s="80">
        <v>25</v>
      </c>
      <c r="B30" s="40">
        <v>12187</v>
      </c>
      <c r="C30" s="14"/>
      <c r="D30" s="14"/>
      <c r="E30" s="41"/>
      <c r="F30" s="18"/>
      <c r="G30" s="18"/>
      <c r="H30" s="15"/>
      <c r="I30" s="40">
        <v>29361</v>
      </c>
      <c r="J30" s="42">
        <v>3455</v>
      </c>
      <c r="K30" s="42"/>
      <c r="L30" s="18"/>
      <c r="M30" s="15"/>
      <c r="N30" s="41">
        <v>242684</v>
      </c>
      <c r="O30" s="41"/>
      <c r="P30" s="41"/>
      <c r="Q30" s="18"/>
      <c r="R30" s="45">
        <f t="shared" si="3"/>
        <v>0</v>
      </c>
      <c r="S30" s="16"/>
      <c r="T30" s="17">
        <v>0</v>
      </c>
      <c r="U30" s="17">
        <v>0</v>
      </c>
      <c r="V30" s="17">
        <v>0</v>
      </c>
      <c r="W30" s="16"/>
      <c r="X30" s="80">
        <v>25</v>
      </c>
      <c r="Y30" s="11">
        <f t="shared" si="4"/>
        <v>139</v>
      </c>
      <c r="Z30" s="11">
        <f t="shared" si="4"/>
        <v>0</v>
      </c>
      <c r="AA30" s="11">
        <f t="shared" si="4"/>
        <v>0</v>
      </c>
      <c r="AB30" s="11">
        <f t="shared" si="4"/>
        <v>0</v>
      </c>
      <c r="AC30" s="11">
        <f t="shared" si="4"/>
        <v>0</v>
      </c>
      <c r="AD30" s="11">
        <f t="shared" si="4"/>
        <v>0</v>
      </c>
      <c r="AE30" s="34"/>
      <c r="AF30" s="11">
        <f t="shared" si="7"/>
        <v>106</v>
      </c>
      <c r="AG30" s="11">
        <f t="shared" si="7"/>
        <v>0</v>
      </c>
      <c r="AH30" s="11">
        <f t="shared" si="7"/>
        <v>0</v>
      </c>
      <c r="AI30" s="11">
        <f t="shared" si="7"/>
        <v>0</v>
      </c>
      <c r="AJ30" s="34"/>
      <c r="AK30" s="11">
        <f t="shared" si="6"/>
        <v>22</v>
      </c>
      <c r="AL30" s="11">
        <f t="shared" si="8"/>
        <v>0</v>
      </c>
      <c r="AM30" s="11">
        <f t="shared" si="8"/>
        <v>0</v>
      </c>
      <c r="AN30" s="11">
        <f t="shared" si="8"/>
        <v>0</v>
      </c>
    </row>
    <row r="31" spans="1:40" x14ac:dyDescent="0.2">
      <c r="A31" s="80">
        <v>26</v>
      </c>
      <c r="B31" s="40">
        <v>12325</v>
      </c>
      <c r="C31" s="14"/>
      <c r="D31" s="14"/>
      <c r="E31" s="41"/>
      <c r="F31" s="18"/>
      <c r="G31" s="18"/>
      <c r="H31" s="15"/>
      <c r="I31" s="40">
        <v>29468</v>
      </c>
      <c r="J31" s="42">
        <v>3455</v>
      </c>
      <c r="K31" s="42"/>
      <c r="L31" s="18"/>
      <c r="M31" s="15"/>
      <c r="N31" s="41">
        <v>242706</v>
      </c>
      <c r="O31" s="41"/>
      <c r="P31" s="41"/>
      <c r="Q31" s="18"/>
      <c r="R31" s="45">
        <f t="shared" si="3"/>
        <v>0</v>
      </c>
      <c r="S31" s="16"/>
      <c r="T31" s="17">
        <v>0</v>
      </c>
      <c r="U31" s="17">
        <v>0</v>
      </c>
      <c r="V31" s="17">
        <v>0</v>
      </c>
      <c r="W31" s="16"/>
      <c r="X31" s="80">
        <v>26</v>
      </c>
      <c r="Y31" s="11">
        <f t="shared" si="4"/>
        <v>138</v>
      </c>
      <c r="Z31" s="11">
        <f t="shared" si="4"/>
        <v>0</v>
      </c>
      <c r="AA31" s="11">
        <f t="shared" si="4"/>
        <v>0</v>
      </c>
      <c r="AB31" s="11">
        <f t="shared" si="4"/>
        <v>0</v>
      </c>
      <c r="AC31" s="11">
        <f t="shared" si="4"/>
        <v>0</v>
      </c>
      <c r="AD31" s="11">
        <f t="shared" si="4"/>
        <v>0</v>
      </c>
      <c r="AE31" s="34"/>
      <c r="AF31" s="11">
        <f t="shared" si="7"/>
        <v>107</v>
      </c>
      <c r="AG31" s="11">
        <f t="shared" si="7"/>
        <v>0</v>
      </c>
      <c r="AH31" s="11">
        <f t="shared" si="7"/>
        <v>0</v>
      </c>
      <c r="AI31" s="11">
        <f t="shared" si="7"/>
        <v>0</v>
      </c>
      <c r="AJ31" s="34"/>
      <c r="AK31" s="11">
        <f t="shared" si="6"/>
        <v>23</v>
      </c>
      <c r="AL31" s="11">
        <f t="shared" si="8"/>
        <v>0</v>
      </c>
      <c r="AM31" s="11">
        <f t="shared" si="8"/>
        <v>0</v>
      </c>
      <c r="AN31" s="11">
        <f t="shared" si="8"/>
        <v>0</v>
      </c>
    </row>
    <row r="32" spans="1:40" x14ac:dyDescent="0.2">
      <c r="A32" s="80">
        <v>27</v>
      </c>
      <c r="B32" s="40">
        <v>12467</v>
      </c>
      <c r="C32" s="14"/>
      <c r="D32" s="14"/>
      <c r="E32" s="41"/>
      <c r="F32" s="18"/>
      <c r="G32" s="18"/>
      <c r="H32" s="15"/>
      <c r="I32" s="40">
        <v>29574</v>
      </c>
      <c r="J32" s="42">
        <v>3455</v>
      </c>
      <c r="K32" s="42"/>
      <c r="L32" s="18"/>
      <c r="M32" s="15"/>
      <c r="N32" s="41">
        <v>242729</v>
      </c>
      <c r="O32" s="41"/>
      <c r="P32" s="41"/>
      <c r="Q32" s="18"/>
      <c r="R32" s="45">
        <f t="shared" si="3"/>
        <v>0</v>
      </c>
      <c r="S32" s="16"/>
      <c r="T32" s="17">
        <v>0</v>
      </c>
      <c r="U32" s="17">
        <v>0</v>
      </c>
      <c r="V32" s="17">
        <v>0</v>
      </c>
      <c r="W32" s="16"/>
      <c r="X32" s="80">
        <v>27</v>
      </c>
      <c r="Y32" s="11">
        <f t="shared" si="4"/>
        <v>142</v>
      </c>
      <c r="Z32" s="11">
        <f t="shared" si="4"/>
        <v>0</v>
      </c>
      <c r="AA32" s="11">
        <f t="shared" si="4"/>
        <v>0</v>
      </c>
      <c r="AB32" s="11">
        <f t="shared" si="4"/>
        <v>0</v>
      </c>
      <c r="AC32" s="11">
        <f t="shared" si="4"/>
        <v>0</v>
      </c>
      <c r="AD32" s="11">
        <f t="shared" si="4"/>
        <v>0</v>
      </c>
      <c r="AE32" s="34"/>
      <c r="AF32" s="11">
        <f t="shared" si="7"/>
        <v>106</v>
      </c>
      <c r="AG32" s="11">
        <f t="shared" si="7"/>
        <v>0</v>
      </c>
      <c r="AH32" s="11">
        <f t="shared" si="7"/>
        <v>0</v>
      </c>
      <c r="AI32" s="11">
        <f t="shared" si="7"/>
        <v>0</v>
      </c>
      <c r="AJ32" s="34"/>
      <c r="AK32" s="11">
        <f t="shared" si="6"/>
        <v>22</v>
      </c>
      <c r="AL32" s="11">
        <f t="shared" si="8"/>
        <v>0</v>
      </c>
      <c r="AM32" s="11">
        <f t="shared" si="8"/>
        <v>0</v>
      </c>
      <c r="AN32" s="11">
        <f t="shared" si="8"/>
        <v>0</v>
      </c>
    </row>
    <row r="33" spans="1:40" x14ac:dyDescent="0.2">
      <c r="A33" s="80">
        <v>28</v>
      </c>
      <c r="B33" s="40">
        <v>12603</v>
      </c>
      <c r="C33" s="14"/>
      <c r="D33" s="14"/>
      <c r="E33" s="41"/>
      <c r="F33" s="18"/>
      <c r="G33" s="18"/>
      <c r="H33" s="15"/>
      <c r="I33" s="40">
        <v>29678</v>
      </c>
      <c r="J33" s="42">
        <v>3455</v>
      </c>
      <c r="K33" s="42"/>
      <c r="L33" s="18"/>
      <c r="M33" s="15"/>
      <c r="N33" s="41">
        <v>242751</v>
      </c>
      <c r="O33" s="41"/>
      <c r="P33" s="41"/>
      <c r="Q33" s="18"/>
      <c r="R33" s="45">
        <f>Q33-Q32</f>
        <v>0</v>
      </c>
      <c r="S33" s="16"/>
      <c r="T33" s="17">
        <v>0</v>
      </c>
      <c r="U33" s="17">
        <v>0</v>
      </c>
      <c r="V33" s="17">
        <v>0</v>
      </c>
      <c r="W33" s="16"/>
      <c r="X33" s="80">
        <v>28</v>
      </c>
      <c r="Y33" s="11">
        <f t="shared" ref="Y33:AD33" si="9">B33-B32</f>
        <v>136</v>
      </c>
      <c r="Z33" s="11">
        <f t="shared" si="9"/>
        <v>0</v>
      </c>
      <c r="AA33" s="11">
        <f t="shared" si="9"/>
        <v>0</v>
      </c>
      <c r="AB33" s="11">
        <f t="shared" si="9"/>
        <v>0</v>
      </c>
      <c r="AC33" s="11">
        <f t="shared" si="9"/>
        <v>0</v>
      </c>
      <c r="AD33" s="11">
        <f t="shared" si="9"/>
        <v>0</v>
      </c>
      <c r="AE33" s="34"/>
      <c r="AF33" s="11">
        <f>I33-I32</f>
        <v>104</v>
      </c>
      <c r="AG33" s="11">
        <f>J33-J32</f>
        <v>0</v>
      </c>
      <c r="AH33" s="11">
        <f>K33-K32</f>
        <v>0</v>
      </c>
      <c r="AI33" s="11">
        <f>L33-L32</f>
        <v>0</v>
      </c>
      <c r="AJ33" s="34"/>
      <c r="AK33" s="11" t="e">
        <f>#REF!-N33</f>
        <v>#REF!</v>
      </c>
      <c r="AL33" s="11">
        <f>O33-O32</f>
        <v>0</v>
      </c>
      <c r="AM33" s="11">
        <f>P33-P32</f>
        <v>0</v>
      </c>
      <c r="AN33" s="11">
        <f>Q33-Q32</f>
        <v>0</v>
      </c>
    </row>
    <row r="34" spans="1:40" x14ac:dyDescent="0.2">
      <c r="A34" s="75">
        <v>29</v>
      </c>
      <c r="B34" s="40">
        <v>12663</v>
      </c>
      <c r="C34" s="14"/>
      <c r="D34" s="14"/>
      <c r="E34" s="41"/>
      <c r="F34" s="18"/>
      <c r="G34" s="18"/>
      <c r="H34" s="15"/>
      <c r="I34" s="40">
        <v>29706</v>
      </c>
      <c r="J34" s="42">
        <v>3455</v>
      </c>
      <c r="K34" s="42"/>
      <c r="L34" s="18"/>
      <c r="M34" s="15"/>
      <c r="N34" s="41">
        <v>242776</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12690</v>
      </c>
      <c r="C35" s="14"/>
      <c r="D35" s="14"/>
      <c r="E35" s="41"/>
      <c r="F35" s="18"/>
      <c r="G35" s="18"/>
      <c r="H35" s="15"/>
      <c r="I35" s="40">
        <v>29799</v>
      </c>
      <c r="J35" s="42">
        <v>3455</v>
      </c>
      <c r="K35" s="42"/>
      <c r="L35" s="18"/>
      <c r="M35" s="15"/>
      <c r="N35" s="41">
        <v>24790</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12"/>
      <c r="B36" s="19" t="s">
        <v>32</v>
      </c>
      <c r="C36" s="32"/>
      <c r="D36" s="32"/>
      <c r="E36" s="20" t="s">
        <v>31</v>
      </c>
      <c r="F36" s="19" t="s">
        <v>32</v>
      </c>
      <c r="G36" s="19" t="s">
        <v>32</v>
      </c>
      <c r="I36" s="19" t="s">
        <v>32</v>
      </c>
      <c r="J36" s="21" t="s">
        <v>33</v>
      </c>
      <c r="K36" s="21" t="s">
        <v>33</v>
      </c>
      <c r="L36" s="19" t="s">
        <v>32</v>
      </c>
      <c r="N36" s="20" t="s">
        <v>31</v>
      </c>
      <c r="O36" s="20" t="s">
        <v>31</v>
      </c>
      <c r="P36" s="20" t="s">
        <v>31</v>
      </c>
      <c r="Q36" s="19" t="s">
        <v>32</v>
      </c>
      <c r="X36" s="12"/>
    </row>
    <row r="37" spans="1:40" x14ac:dyDescent="0.2">
      <c r="A37" s="12"/>
      <c r="X37" s="12"/>
    </row>
    <row r="38" spans="1:40" x14ac:dyDescent="0.2">
      <c r="A38" s="80" t="s">
        <v>34</v>
      </c>
      <c r="B38" s="10"/>
      <c r="C38" s="11" t="e">
        <f>LARGE(C5:C33, 1)</f>
        <v>#REF!</v>
      </c>
      <c r="D38" s="11" t="e">
        <f>LARGE(D5:D33, 1)</f>
        <v>#REF!</v>
      </c>
      <c r="E38" s="22" t="e">
        <f>LARGE(E5:E33, 1)</f>
        <v>#REF!</v>
      </c>
      <c r="F38" s="10" t="e">
        <f>LARGE(F5:F33, 1)</f>
        <v>#REF!</v>
      </c>
      <c r="G38" s="10" t="e">
        <f>LARGE(G5:G33, 1)</f>
        <v>#REF!</v>
      </c>
      <c r="H38" s="23"/>
      <c r="I38" s="10">
        <f>LARGE(I5:I33, 1)</f>
        <v>281989</v>
      </c>
      <c r="J38" s="24">
        <f>LARGE(J5:J33, 1)</f>
        <v>3554</v>
      </c>
      <c r="K38" s="24" t="e">
        <f>LARGE(K5:K33, 1)</f>
        <v>#REF!</v>
      </c>
      <c r="L38" s="10" t="e">
        <f>LARGE(L5:L33, 1)</f>
        <v>#REF!</v>
      </c>
      <c r="M38" s="8"/>
      <c r="N38" s="22">
        <f>LARGE(N5:N35, 1)</f>
        <v>242776</v>
      </c>
      <c r="O38" s="22" t="e">
        <f>LARGE(O5:O33, 1)</f>
        <v>#REF!</v>
      </c>
      <c r="P38" s="22" t="e">
        <f>LARGE(P5:P33, 1)</f>
        <v>#REF!</v>
      </c>
      <c r="Q38" s="10" t="e">
        <f>LARGE(Q5:Q33, 1)</f>
        <v>#REF!</v>
      </c>
      <c r="R38" s="19"/>
      <c r="S38" s="9"/>
      <c r="T38" s="11">
        <f>LARGE(T5:T33, 1)</f>
        <v>0</v>
      </c>
      <c r="U38" s="11">
        <f>LARGE(U5:U33, 1)</f>
        <v>0</v>
      </c>
      <c r="V38" s="11">
        <f>LARGE(V5:V33, 1)</f>
        <v>0</v>
      </c>
      <c r="X38" s="80" t="s">
        <v>35</v>
      </c>
      <c r="Y38" s="55">
        <f t="shared" ref="Y38:AD38" si="10">AVERAGEIF($W$6:$W$33, "x",Y6:Y33)</f>
        <v>1711</v>
      </c>
      <c r="Z38" s="55" t="e">
        <f t="shared" si="10"/>
        <v>#REF!</v>
      </c>
      <c r="AA38" s="55" t="e">
        <f t="shared" si="10"/>
        <v>#REF!</v>
      </c>
      <c r="AB38" s="55" t="e">
        <f t="shared" si="10"/>
        <v>#REF!</v>
      </c>
      <c r="AC38" s="55" t="e">
        <f t="shared" si="10"/>
        <v>#REF!</v>
      </c>
      <c r="AD38" s="55" t="e">
        <f t="shared" si="10"/>
        <v>#REF!</v>
      </c>
      <c r="AE38" s="56"/>
      <c r="AF38" s="55">
        <f>AVERAGEIF($W$6:$W$33, "x",AF6:AF33)</f>
        <v>780</v>
      </c>
      <c r="AG38" s="55">
        <f>AVERAGEIF($W$6:$W$33, "x",AG6:AG33)</f>
        <v>250</v>
      </c>
      <c r="AH38" s="55" t="e">
        <f>AVERAGEIF($W$6:$W$33, "x",AH6:AH33)</f>
        <v>#REF!</v>
      </c>
      <c r="AI38" s="55" t="e">
        <f>AVERAGEIF($W$6:$W$33, "x",AI6:AI33)</f>
        <v>#REF!</v>
      </c>
      <c r="AJ38" s="56"/>
      <c r="AK38" s="55">
        <f>AVERAGEIF($W$6:$W$33, "x",AK6:AK33)</f>
        <v>1172</v>
      </c>
      <c r="AL38" s="55" t="e">
        <f>AVERAGEIF($W$6:$W$33, "x",AL6:AL33)</f>
        <v>#REF!</v>
      </c>
      <c r="AM38" s="55" t="e">
        <f>AVERAGEIF($W$6:$W$33, "x",AM6:AM33)</f>
        <v>#REF!</v>
      </c>
      <c r="AN38" s="55" t="e">
        <f>AVERAGEIF($W$6:$W$33, "x",AN6:AN33)</f>
        <v>#REF!</v>
      </c>
    </row>
    <row r="39" spans="1:40" x14ac:dyDescent="0.2">
      <c r="A39" s="12"/>
      <c r="X39" s="12"/>
      <c r="Y39" s="56"/>
      <c r="Z39" s="56"/>
      <c r="AA39" s="56"/>
      <c r="AB39" s="56"/>
      <c r="AC39" s="56"/>
      <c r="AD39" s="56"/>
      <c r="AE39" s="56"/>
      <c r="AF39" s="56"/>
      <c r="AG39" s="56"/>
      <c r="AH39" s="56"/>
      <c r="AI39" s="56"/>
      <c r="AJ39" s="56"/>
      <c r="AK39" s="56"/>
      <c r="AL39" s="56"/>
      <c r="AM39" s="56"/>
      <c r="AN39" s="56"/>
    </row>
    <row r="40" spans="1:40" x14ac:dyDescent="0.2">
      <c r="A40" s="12"/>
      <c r="B40" s="25" t="s">
        <v>36</v>
      </c>
      <c r="X40" s="95" t="s">
        <v>37</v>
      </c>
      <c r="Y40" s="56"/>
      <c r="Z40" s="56"/>
      <c r="AA40" s="56"/>
      <c r="AB40" s="56"/>
      <c r="AC40" s="56"/>
      <c r="AD40" s="56"/>
      <c r="AE40" s="56"/>
      <c r="AF40" s="56"/>
      <c r="AG40" s="56"/>
      <c r="AH40" s="56"/>
      <c r="AI40" s="56"/>
      <c r="AJ40" s="56"/>
      <c r="AK40" s="56"/>
      <c r="AL40" s="56"/>
      <c r="AM40" s="56"/>
      <c r="AN40" s="56"/>
    </row>
    <row r="41" spans="1:40" x14ac:dyDescent="0.2">
      <c r="A41" s="12"/>
      <c r="B41" s="26">
        <f t="shared" ref="B41:G41" si="11">B38-B5</f>
        <v>-7814</v>
      </c>
      <c r="C41" s="26" t="e">
        <f t="shared" si="11"/>
        <v>#REF!</v>
      </c>
      <c r="D41" s="26" t="e">
        <f t="shared" si="11"/>
        <v>#REF!</v>
      </c>
      <c r="E41" s="26" t="e">
        <f t="shared" si="11"/>
        <v>#REF!</v>
      </c>
      <c r="F41" s="26" t="e">
        <f t="shared" si="11"/>
        <v>#REF!</v>
      </c>
      <c r="G41" s="26" t="e">
        <f t="shared" si="11"/>
        <v>#REF!</v>
      </c>
      <c r="I41" s="26">
        <f>I38-I5</f>
        <v>255209</v>
      </c>
      <c r="J41" s="26">
        <f>J38-J5</f>
        <v>363</v>
      </c>
      <c r="K41" s="26" t="e">
        <f>K38-K5</f>
        <v>#REF!</v>
      </c>
      <c r="L41" s="26" t="e">
        <f>L38-L5</f>
        <v>#REF!</v>
      </c>
      <c r="N41" s="26">
        <f>N38-N6</f>
        <v>741</v>
      </c>
      <c r="O41" s="26" t="e">
        <f>O38-O5</f>
        <v>#REF!</v>
      </c>
      <c r="P41" s="26" t="e">
        <f>P38-P5</f>
        <v>#REF!</v>
      </c>
      <c r="Q41" s="26" t="e">
        <f>Q38-Q5</f>
        <v>#REF!</v>
      </c>
      <c r="R41" s="26"/>
      <c r="T41" s="26">
        <f>T38-T5</f>
        <v>0</v>
      </c>
      <c r="U41" s="26">
        <f>U38-U5</f>
        <v>0</v>
      </c>
      <c r="V41" s="26">
        <f>V38-V5</f>
        <v>0</v>
      </c>
      <c r="X41" s="96"/>
      <c r="Y41" s="53">
        <v>0</v>
      </c>
      <c r="Z41" s="53">
        <v>0</v>
      </c>
      <c r="AA41" s="53">
        <v>0</v>
      </c>
      <c r="AB41" s="53">
        <v>119.875</v>
      </c>
      <c r="AC41" s="53">
        <v>3.5</v>
      </c>
      <c r="AD41" s="53">
        <v>21.8125</v>
      </c>
      <c r="AE41" s="57"/>
      <c r="AF41" s="53">
        <v>43.625</v>
      </c>
      <c r="AG41" s="53">
        <v>0</v>
      </c>
      <c r="AH41" s="53">
        <v>8.375</v>
      </c>
      <c r="AI41" s="53">
        <v>1.1875</v>
      </c>
      <c r="AJ41" s="57"/>
      <c r="AK41" s="53">
        <v>53.125</v>
      </c>
      <c r="AL41" s="53">
        <v>69.1875</v>
      </c>
      <c r="AM41" s="53">
        <v>9.3125</v>
      </c>
      <c r="AN41" s="53">
        <v>0</v>
      </c>
    </row>
    <row r="42" spans="1:40" x14ac:dyDescent="0.2">
      <c r="A42" s="12"/>
      <c r="X42" s="80">
        <v>1.5</v>
      </c>
      <c r="Y42" s="54">
        <f>Y41*$X$42</f>
        <v>0</v>
      </c>
      <c r="Z42" s="54">
        <f t="shared" ref="Z42:AD42" si="12">Z41*$X$42</f>
        <v>0</v>
      </c>
      <c r="AA42" s="54">
        <f t="shared" si="12"/>
        <v>0</v>
      </c>
      <c r="AB42" s="54">
        <f t="shared" si="12"/>
        <v>179.8125</v>
      </c>
      <c r="AC42" s="54">
        <f t="shared" si="12"/>
        <v>5.25</v>
      </c>
      <c r="AD42" s="54">
        <f t="shared" si="12"/>
        <v>32.71875</v>
      </c>
      <c r="AE42" s="56"/>
      <c r="AF42" s="54">
        <f t="shared" ref="AF42:AI42" si="13">AF41*$X$42</f>
        <v>65.4375</v>
      </c>
      <c r="AG42" s="54">
        <f t="shared" si="13"/>
        <v>0</v>
      </c>
      <c r="AH42" s="54">
        <f t="shared" si="13"/>
        <v>12.5625</v>
      </c>
      <c r="AI42" s="54">
        <f t="shared" si="13"/>
        <v>1.78125</v>
      </c>
      <c r="AJ42" s="56"/>
      <c r="AK42" s="54">
        <f t="shared" ref="AK42:AN42" si="14">AK41*$X$42</f>
        <v>79.6875</v>
      </c>
      <c r="AL42" s="54">
        <f t="shared" si="14"/>
        <v>103.78125</v>
      </c>
      <c r="AM42" s="54">
        <f t="shared" si="14"/>
        <v>13.96875</v>
      </c>
      <c r="AN42" s="54">
        <f t="shared" si="14"/>
        <v>0</v>
      </c>
    </row>
    <row r="43" spans="1:40" x14ac:dyDescent="0.2">
      <c r="A43" s="12"/>
      <c r="R43" s="31" t="s">
        <v>35</v>
      </c>
      <c r="X43" s="80">
        <v>0.5</v>
      </c>
      <c r="Y43" s="54">
        <f>Y41*$X$43</f>
        <v>0</v>
      </c>
      <c r="Z43" s="54">
        <f t="shared" ref="Z43:AD43" si="15">Z41*$X$43</f>
        <v>0</v>
      </c>
      <c r="AA43" s="54">
        <f t="shared" si="15"/>
        <v>0</v>
      </c>
      <c r="AB43" s="54">
        <f t="shared" si="15"/>
        <v>59.9375</v>
      </c>
      <c r="AC43" s="54">
        <f t="shared" si="15"/>
        <v>1.75</v>
      </c>
      <c r="AD43" s="54">
        <f t="shared" si="15"/>
        <v>10.90625</v>
      </c>
      <c r="AE43" s="56"/>
      <c r="AF43" s="54">
        <f t="shared" ref="AF43:AI43" si="16">AF41*$X$43</f>
        <v>21.8125</v>
      </c>
      <c r="AG43" s="54">
        <f t="shared" si="16"/>
        <v>0</v>
      </c>
      <c r="AH43" s="54">
        <f t="shared" si="16"/>
        <v>4.1875</v>
      </c>
      <c r="AI43" s="54">
        <f t="shared" si="16"/>
        <v>0.59375</v>
      </c>
      <c r="AJ43" s="56"/>
      <c r="AK43" s="54">
        <f t="shared" ref="AK43:AL43" si="17">AK41*$X$43</f>
        <v>26.5625</v>
      </c>
      <c r="AL43" s="54">
        <f t="shared" si="17"/>
        <v>34.59375</v>
      </c>
      <c r="AM43" s="54">
        <v>0</v>
      </c>
      <c r="AN43" s="54">
        <v>0</v>
      </c>
    </row>
    <row r="44" spans="1:40" x14ac:dyDescent="0.2">
      <c r="A44" s="12"/>
      <c r="R44" s="11" t="e">
        <f>AVERAGE(R6:R33)</f>
        <v>#REF!</v>
      </c>
      <c r="X44" s="12"/>
    </row>
    <row r="45" spans="1:40" x14ac:dyDescent="0.2">
      <c r="A45" s="12"/>
      <c r="X45" s="12"/>
      <c r="Y45" s="58" t="s">
        <v>38</v>
      </c>
      <c r="Z45" s="82" t="s">
        <v>39</v>
      </c>
      <c r="AA45" s="82"/>
      <c r="AB45" s="82"/>
      <c r="AC45" s="82"/>
      <c r="AD45" s="82"/>
      <c r="AE45" s="82"/>
      <c r="AF45" s="82"/>
      <c r="AG45" s="82"/>
      <c r="AH45" s="82"/>
      <c r="AI45" s="82"/>
      <c r="AJ45" s="82"/>
      <c r="AK45" s="82"/>
      <c r="AL45" s="82"/>
      <c r="AM45" s="82"/>
      <c r="AN45" s="82"/>
    </row>
    <row r="46" spans="1:40" ht="15" x14ac:dyDescent="0.2">
      <c r="A46" s="12"/>
      <c r="X46" s="12"/>
      <c r="Y46" s="59" t="s">
        <v>40</v>
      </c>
      <c r="Z46" s="82" t="s">
        <v>41</v>
      </c>
      <c r="AA46" s="82"/>
      <c r="AB46" s="82"/>
      <c r="AC46" s="82"/>
      <c r="AD46" s="82"/>
      <c r="AE46" s="82"/>
      <c r="AF46" s="82"/>
      <c r="AG46" s="82"/>
      <c r="AH46" s="82"/>
      <c r="AI46" s="82"/>
      <c r="AJ46" s="82"/>
      <c r="AK46" s="82"/>
      <c r="AL46" s="82"/>
      <c r="AM46" s="82"/>
      <c r="AN46" s="82"/>
    </row>
    <row r="47" spans="1:40" ht="27" x14ac:dyDescent="0.2">
      <c r="A47" s="12"/>
      <c r="X47" s="63" t="s">
        <v>42</v>
      </c>
      <c r="Y47" s="60" t="s">
        <v>43</v>
      </c>
      <c r="Z47" s="82" t="s">
        <v>44</v>
      </c>
      <c r="AA47" s="82"/>
      <c r="AB47" s="82"/>
      <c r="AC47" s="82"/>
      <c r="AD47" s="82"/>
      <c r="AE47" s="82"/>
      <c r="AF47" s="82"/>
      <c r="AG47" s="82"/>
      <c r="AH47" s="82"/>
      <c r="AI47" s="82"/>
      <c r="AJ47" s="82"/>
      <c r="AK47" s="82"/>
      <c r="AL47" s="82"/>
      <c r="AM47" s="82"/>
      <c r="AN47" s="82"/>
    </row>
    <row r="48" spans="1:40" x14ac:dyDescent="0.2">
      <c r="A48" s="12"/>
      <c r="X48" s="12"/>
      <c r="Y48" s="61" t="s">
        <v>45</v>
      </c>
      <c r="Z48" s="83" t="s">
        <v>46</v>
      </c>
      <c r="AA48" s="83"/>
      <c r="AB48" s="83"/>
      <c r="AC48" s="83"/>
      <c r="AD48" s="83"/>
      <c r="AE48" s="83"/>
      <c r="AF48" s="83"/>
      <c r="AG48" s="83"/>
      <c r="AH48" s="83"/>
      <c r="AI48" s="83"/>
      <c r="AJ48" s="83"/>
      <c r="AK48" s="83"/>
      <c r="AL48" s="83"/>
      <c r="AM48" s="83"/>
      <c r="AN48" s="83"/>
    </row>
    <row r="49" spans="1:40" ht="27" x14ac:dyDescent="0.2">
      <c r="A49" s="12"/>
      <c r="X49" s="63" t="s">
        <v>42</v>
      </c>
      <c r="Y49" s="62" t="s">
        <v>47</v>
      </c>
      <c r="Z49" s="82" t="s">
        <v>48</v>
      </c>
      <c r="AA49" s="83"/>
      <c r="AB49" s="83"/>
      <c r="AC49" s="83"/>
      <c r="AD49" s="83"/>
      <c r="AE49" s="83"/>
      <c r="AF49" s="83"/>
      <c r="AG49" s="83"/>
      <c r="AH49" s="83"/>
      <c r="AI49" s="83"/>
      <c r="AJ49" s="83"/>
      <c r="AK49" s="83"/>
      <c r="AL49" s="83"/>
      <c r="AM49" s="83"/>
      <c r="AN49" s="83"/>
    </row>
  </sheetData>
  <mergeCells count="27">
    <mergeCell ref="X40:X41"/>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5:AN45"/>
    <mergeCell ref="Z46:AN46"/>
    <mergeCell ref="Z47:AN47"/>
    <mergeCell ref="Z48:AN48"/>
    <mergeCell ref="Z49:AN49"/>
  </mergeCells>
  <conditionalFormatting sqref="Y41:AD41 AF41:AI41 AK41:AN41">
    <cfRule type="cellIs" dxfId="107" priority="43" operator="lessThan">
      <formula>0</formula>
    </cfRule>
  </conditionalFormatting>
  <conditionalFormatting sqref="Y42:AD43 AF42:AI43 AK42:AN42 AK43:AL43">
    <cfRule type="cellIs" dxfId="106" priority="42" operator="lessThan">
      <formula>0</formula>
    </cfRule>
  </conditionalFormatting>
  <conditionalFormatting sqref="AM43:AN43">
    <cfRule type="cellIs" dxfId="105" priority="41" operator="lessThan">
      <formula>0</formula>
    </cfRule>
  </conditionalFormatting>
  <conditionalFormatting sqref="Y38:AN38">
    <cfRule type="cellIs" dxfId="104" priority="40" operator="lessThan">
      <formula>0</formula>
    </cfRule>
  </conditionalFormatting>
  <conditionalFormatting sqref="Y38">
    <cfRule type="cellIs" dxfId="103" priority="38" operator="lessThan">
      <formula>$Y$43</formula>
    </cfRule>
    <cfRule type="cellIs" dxfId="102" priority="39" operator="greaterThan">
      <formula>$Y$42</formula>
    </cfRule>
  </conditionalFormatting>
  <conditionalFormatting sqref="AB38">
    <cfRule type="cellIs" dxfId="101" priority="36" operator="lessThan">
      <formula>$AB$43</formula>
    </cfRule>
    <cfRule type="cellIs" dxfId="100" priority="37" operator="greaterThan">
      <formula>$AB$42</formula>
    </cfRule>
  </conditionalFormatting>
  <conditionalFormatting sqref="AC38">
    <cfRule type="cellIs" dxfId="99" priority="34" operator="lessThan">
      <formula>$AC$43</formula>
    </cfRule>
    <cfRule type="cellIs" dxfId="98" priority="35" operator="greaterThan">
      <formula>$AC$42</formula>
    </cfRule>
  </conditionalFormatting>
  <conditionalFormatting sqref="AD38">
    <cfRule type="cellIs" dxfId="97" priority="32" operator="lessThan">
      <formula>$AD$43</formula>
    </cfRule>
    <cfRule type="cellIs" dxfId="96" priority="33" operator="greaterThan">
      <formula>$AD$42</formula>
    </cfRule>
  </conditionalFormatting>
  <conditionalFormatting sqref="AF38">
    <cfRule type="cellIs" dxfId="95" priority="30" operator="lessThan">
      <formula>$AF$43</formula>
    </cfRule>
    <cfRule type="cellIs" dxfId="94" priority="31" operator="greaterThan">
      <formula>$AF$42</formula>
    </cfRule>
  </conditionalFormatting>
  <conditionalFormatting sqref="AG38">
    <cfRule type="cellIs" dxfId="93" priority="28" operator="lessThan">
      <formula>$AG$43</formula>
    </cfRule>
    <cfRule type="cellIs" dxfId="92" priority="29" operator="greaterThan">
      <formula>$AG$42</formula>
    </cfRule>
  </conditionalFormatting>
  <conditionalFormatting sqref="AH38">
    <cfRule type="cellIs" dxfId="91" priority="26" operator="lessThan">
      <formula>$AH$43</formula>
    </cfRule>
    <cfRule type="cellIs" dxfId="90" priority="27" operator="greaterThan">
      <formula>$AH$42</formula>
    </cfRule>
  </conditionalFormatting>
  <conditionalFormatting sqref="AI38">
    <cfRule type="cellIs" dxfId="89" priority="24" operator="lessThan">
      <formula>$AI$43</formula>
    </cfRule>
    <cfRule type="cellIs" dxfId="88" priority="25" operator="greaterThan">
      <formula>$AI$42</formula>
    </cfRule>
  </conditionalFormatting>
  <conditionalFormatting sqref="AK38">
    <cfRule type="cellIs" dxfId="87" priority="22" operator="lessThan">
      <formula>$AK$43</formula>
    </cfRule>
    <cfRule type="cellIs" dxfId="86" priority="23" operator="greaterThan">
      <formula>$AK$42</formula>
    </cfRule>
  </conditionalFormatting>
  <conditionalFormatting sqref="AL38">
    <cfRule type="cellIs" dxfId="85" priority="20" operator="lessThan">
      <formula>$AL$43</formula>
    </cfRule>
    <cfRule type="cellIs" dxfId="84" priority="21" operator="greaterThan">
      <formula>$AL$42</formula>
    </cfRule>
  </conditionalFormatting>
  <conditionalFormatting sqref="AM38">
    <cfRule type="cellIs" dxfId="83" priority="18" operator="lessThan">
      <formula>$AM$43</formula>
    </cfRule>
    <cfRule type="cellIs" dxfId="82" priority="19" operator="greaterThan">
      <formula>$AM$42</formula>
    </cfRule>
  </conditionalFormatting>
  <conditionalFormatting sqref="AN38">
    <cfRule type="cellIs" dxfId="81" priority="16" operator="lessThan">
      <formula>$AN$43</formula>
    </cfRule>
    <cfRule type="cellIs" dxfId="80" priority="17" operator="greaterThan">
      <formula>$AN$42</formula>
    </cfRule>
  </conditionalFormatting>
  <conditionalFormatting sqref="AB6:AB35">
    <cfRule type="cellIs" dxfId="79" priority="15" operator="notBetween">
      <formula>$AB$43</formula>
      <formula>$AB$42</formula>
    </cfRule>
  </conditionalFormatting>
  <conditionalFormatting sqref="AC6:AC35">
    <cfRule type="cellIs" dxfId="78" priority="4" operator="notBetween">
      <formula>$AC$42</formula>
      <formula>$AC$43</formula>
    </cfRule>
  </conditionalFormatting>
  <conditionalFormatting sqref="Y6:AN35">
    <cfRule type="cellIs" dxfId="77" priority="2" stopIfTrue="1" operator="equal">
      <formula>0</formula>
    </cfRule>
    <cfRule type="cellIs" dxfId="76" priority="3" stopIfTrue="1" operator="lessThan">
      <formula>0</formula>
    </cfRule>
  </conditionalFormatting>
  <conditionalFormatting sqref="Y6:Y35">
    <cfRule type="cellIs" dxfId="75" priority="13" operator="notBetween">
      <formula>$Y$43</formula>
      <formula>$Y$42</formula>
    </cfRule>
  </conditionalFormatting>
  <conditionalFormatting sqref="AD6:AD35">
    <cfRule type="cellIs" dxfId="74" priority="5" operator="notBetween">
      <formula>$AD$43</formula>
      <formula>$AD$42</formula>
    </cfRule>
  </conditionalFormatting>
  <conditionalFormatting sqref="AF6:AF35">
    <cfRule type="cellIs" dxfId="73" priority="6" operator="notBetween">
      <formula>$AF$43</formula>
      <formula>$AF$42</formula>
    </cfRule>
  </conditionalFormatting>
  <conditionalFormatting sqref="AG6:AG35">
    <cfRule type="cellIs" dxfId="72" priority="7" operator="notBetween">
      <formula>$AG$43</formula>
      <formula>$AG$42</formula>
    </cfRule>
  </conditionalFormatting>
  <conditionalFormatting sqref="AH6:AH35">
    <cfRule type="cellIs" dxfId="71" priority="8" operator="notBetween">
      <formula>$AH$43</formula>
      <formula>$AH$42</formula>
    </cfRule>
  </conditionalFormatting>
  <conditionalFormatting sqref="AI6:AI35">
    <cfRule type="cellIs" dxfId="70" priority="9" operator="notBetween">
      <formula>$AI$43</formula>
      <formula>$AI$42</formula>
    </cfRule>
  </conditionalFormatting>
  <conditionalFormatting sqref="AK6:AK35">
    <cfRule type="cellIs" dxfId="69" priority="10" operator="notBetween">
      <formula>$AK$43</formula>
      <formula>$AK$42</formula>
    </cfRule>
  </conditionalFormatting>
  <conditionalFormatting sqref="AL6:AL35">
    <cfRule type="cellIs" dxfId="68" priority="11" operator="notBetween">
      <formula>$AL$43</formula>
      <formula>$AL$42</formula>
    </cfRule>
  </conditionalFormatting>
  <conditionalFormatting sqref="AM6:AM35">
    <cfRule type="cellIs" dxfId="67" priority="14" operator="notBetween">
      <formula>$AM$43</formula>
      <formula>$AM$42</formula>
    </cfRule>
  </conditionalFormatting>
  <conditionalFormatting sqref="AN6:AN35">
    <cfRule type="cellIs" dxfId="66" priority="12" operator="notBetween">
      <formula>$AN$43</formula>
      <formula>$AN$42</formula>
    </cfRule>
  </conditionalFormatting>
  <conditionalFormatting sqref="Y36:AN37">
    <cfRule type="cellIs" priority="1" stopIfTrue="1" operator="equal">
      <formula>""</formula>
    </cfRule>
  </conditionalFormatting>
  <conditionalFormatting sqref="AG6:AG38">
    <cfRule type="cellIs" dxfId="65" priority="219" stopIfTrue="1" operator="greaterThan">
      <formula>$AG$42*2</formula>
    </cfRule>
  </conditionalFormatting>
  <conditionalFormatting sqref="Y6:Y38">
    <cfRule type="cellIs" dxfId="64" priority="221" stopIfTrue="1" operator="greaterThan">
      <formula>$Y$42*2</formula>
    </cfRule>
  </conditionalFormatting>
  <conditionalFormatting sqref="AB6:AB38">
    <cfRule type="cellIs" dxfId="63" priority="223" stopIfTrue="1" operator="greaterThan">
      <formula>$AB$42*2</formula>
    </cfRule>
  </conditionalFormatting>
  <conditionalFormatting sqref="AC6:AC38">
    <cfRule type="cellIs" dxfId="62" priority="225" stopIfTrue="1" operator="greaterThan">
      <formula>$AC$42*2</formula>
    </cfRule>
  </conditionalFormatting>
  <conditionalFormatting sqref="AD6:AD38">
    <cfRule type="cellIs" dxfId="61" priority="227" stopIfTrue="1" operator="greaterThan">
      <formula>$AD$42*2</formula>
    </cfRule>
  </conditionalFormatting>
  <conditionalFormatting sqref="AF6:AF38">
    <cfRule type="cellIs" dxfId="60" priority="229" stopIfTrue="1" operator="greaterThan">
      <formula>$AF$42*2</formula>
    </cfRule>
  </conditionalFormatting>
  <conditionalFormatting sqref="AH6:AH38">
    <cfRule type="cellIs" dxfId="59" priority="231" stopIfTrue="1" operator="greaterThan">
      <formula>$AH$42*2</formula>
    </cfRule>
  </conditionalFormatting>
  <conditionalFormatting sqref="AI6:AI38">
    <cfRule type="cellIs" dxfId="58" priority="233" stopIfTrue="1" operator="greaterThan">
      <formula>$AI$42*2</formula>
    </cfRule>
  </conditionalFormatting>
  <conditionalFormatting sqref="AK6:AK38">
    <cfRule type="cellIs" dxfId="57" priority="235" stopIfTrue="1" operator="greaterThan">
      <formula>$AK$42*2</formula>
    </cfRule>
  </conditionalFormatting>
  <conditionalFormatting sqref="AL6:AL38">
    <cfRule type="cellIs" dxfId="56" priority="237" stopIfTrue="1" operator="greaterThan">
      <formula>$AL$42*2</formula>
    </cfRule>
  </conditionalFormatting>
  <conditionalFormatting sqref="AM6:AM38">
    <cfRule type="cellIs" dxfId="55" priority="239" stopIfTrue="1" operator="greaterThan">
      <formula>$AM$42*2</formula>
    </cfRule>
  </conditionalFormatting>
  <conditionalFormatting sqref="AN6:AN38">
    <cfRule type="cellIs" dxfId="54" priority="241" stopIfTrue="1" operator="greaterThan">
      <formula>$AN$42*2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C39E-ABDA-47B9-AC1F-3E18B8488237}">
  <dimension ref="A1:AN50"/>
  <sheetViews>
    <sheetView tabSelected="1" workbookViewId="0">
      <selection activeCell="M22" sqref="M22"/>
    </sheetView>
  </sheetViews>
  <sheetFormatPr defaultRowHeight="12.75" x14ac:dyDescent="0.2"/>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93"/>
      <c r="B1" s="87" t="s">
        <v>4</v>
      </c>
      <c r="C1" s="88"/>
      <c r="D1" s="88"/>
      <c r="E1" s="88"/>
      <c r="F1" s="88"/>
      <c r="G1" s="89"/>
      <c r="H1" s="1"/>
      <c r="I1" s="86" t="s">
        <v>1</v>
      </c>
      <c r="J1" s="86"/>
      <c r="K1" s="86"/>
      <c r="L1" s="86"/>
      <c r="M1" s="1"/>
      <c r="N1" s="87" t="s">
        <v>5</v>
      </c>
      <c r="O1" s="88"/>
      <c r="P1" s="88"/>
      <c r="Q1" s="89"/>
      <c r="R1" s="78"/>
      <c r="S1" s="1"/>
      <c r="T1" s="84" t="s">
        <v>3</v>
      </c>
      <c r="U1" s="84"/>
      <c r="V1" s="84"/>
      <c r="X1" s="93"/>
      <c r="Y1" s="87" t="s">
        <v>4</v>
      </c>
      <c r="Z1" s="88"/>
      <c r="AA1" s="88"/>
      <c r="AB1" s="88"/>
      <c r="AC1" s="88"/>
      <c r="AD1" s="89"/>
      <c r="AE1" s="1"/>
      <c r="AF1" s="86" t="s">
        <v>1</v>
      </c>
      <c r="AG1" s="86"/>
      <c r="AH1" s="86"/>
      <c r="AI1" s="86"/>
      <c r="AJ1" s="1"/>
      <c r="AK1" s="87" t="s">
        <v>5</v>
      </c>
      <c r="AL1" s="88"/>
      <c r="AM1" s="88"/>
      <c r="AN1" s="89"/>
    </row>
    <row r="2" spans="1:40" x14ac:dyDescent="0.2">
      <c r="A2" s="94"/>
      <c r="B2" s="84" t="s">
        <v>11</v>
      </c>
      <c r="C2" s="84"/>
      <c r="D2" s="84"/>
      <c r="E2" s="90"/>
      <c r="F2" s="91"/>
      <c r="G2" s="92"/>
      <c r="H2" s="2"/>
      <c r="I2" s="84" t="s">
        <v>7</v>
      </c>
      <c r="J2" s="84"/>
      <c r="K2" s="84" t="s">
        <v>8</v>
      </c>
      <c r="L2" s="84"/>
      <c r="M2" s="2"/>
      <c r="N2" s="84" t="s">
        <v>12</v>
      </c>
      <c r="O2" s="84"/>
      <c r="P2" s="76"/>
      <c r="Q2" s="76" t="s">
        <v>9</v>
      </c>
      <c r="R2" s="76"/>
      <c r="S2" s="2"/>
      <c r="T2" s="84" t="s">
        <v>10</v>
      </c>
      <c r="U2" s="84"/>
      <c r="V2" s="84"/>
      <c r="X2" s="94"/>
      <c r="Y2" s="84" t="s">
        <v>11</v>
      </c>
      <c r="Z2" s="84"/>
      <c r="AA2" s="84"/>
      <c r="AB2" s="90"/>
      <c r="AC2" s="91"/>
      <c r="AD2" s="92"/>
      <c r="AE2" s="2"/>
      <c r="AF2" s="84" t="s">
        <v>7</v>
      </c>
      <c r="AG2" s="84"/>
      <c r="AH2" s="84" t="s">
        <v>8</v>
      </c>
      <c r="AI2" s="84"/>
      <c r="AJ2" s="2"/>
      <c r="AK2" s="84" t="s">
        <v>12</v>
      </c>
      <c r="AL2" s="84"/>
      <c r="AM2" s="76"/>
      <c r="AN2" s="76"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85"/>
      <c r="B4" s="85"/>
      <c r="C4" s="85"/>
      <c r="D4" s="85"/>
      <c r="E4" s="85"/>
      <c r="F4" s="85"/>
      <c r="G4" s="85"/>
      <c r="H4" s="85"/>
      <c r="I4" s="85"/>
      <c r="J4" s="85"/>
      <c r="K4" s="85"/>
      <c r="L4" s="85"/>
      <c r="M4" s="85"/>
      <c r="N4" s="85"/>
      <c r="O4" s="85"/>
      <c r="P4" s="85"/>
      <c r="Q4" s="85"/>
      <c r="R4" s="85"/>
      <c r="S4" s="85"/>
      <c r="T4" s="85"/>
      <c r="U4" s="85"/>
      <c r="V4" s="85"/>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12776</v>
      </c>
      <c r="C6" s="14"/>
      <c r="D6" s="14"/>
      <c r="E6" s="41"/>
      <c r="F6" s="13"/>
      <c r="G6" s="13"/>
      <c r="H6" s="15"/>
      <c r="I6" s="40">
        <v>29750</v>
      </c>
      <c r="J6" s="42">
        <v>3455</v>
      </c>
      <c r="K6" s="42"/>
      <c r="L6" s="18"/>
      <c r="M6" s="15"/>
      <c r="N6" s="41">
        <v>242825</v>
      </c>
      <c r="O6" s="41"/>
      <c r="P6" s="41"/>
      <c r="Q6" s="18"/>
      <c r="R6" s="45" t="e">
        <f>Q6-Q5</f>
        <v>#REF!</v>
      </c>
      <c r="S6" s="16"/>
      <c r="T6" s="17">
        <v>0</v>
      </c>
      <c r="U6" s="17">
        <v>0</v>
      </c>
      <c r="V6" s="17">
        <v>0</v>
      </c>
      <c r="W6" s="43" t="s">
        <v>30</v>
      </c>
      <c r="X6" s="80">
        <v>1</v>
      </c>
      <c r="Y6" s="11">
        <f>B6-B5</f>
        <v>4962</v>
      </c>
      <c r="Z6" s="11" t="e">
        <f t="shared" ref="Z6:AD21" si="0">C6-C5</f>
        <v>#REF!</v>
      </c>
      <c r="AA6" s="11" t="e">
        <f t="shared" si="0"/>
        <v>#REF!</v>
      </c>
      <c r="AB6" s="11" t="e">
        <f t="shared" si="0"/>
        <v>#REF!</v>
      </c>
      <c r="AC6" s="11" t="e">
        <f t="shared" si="0"/>
        <v>#REF!</v>
      </c>
      <c r="AD6" s="11" t="e">
        <f t="shared" si="0"/>
        <v>#REF!</v>
      </c>
      <c r="AE6" s="34"/>
      <c r="AF6" s="11">
        <f t="shared" ref="AF6:AI21" si="1">I6-I5</f>
        <v>2970</v>
      </c>
      <c r="AG6" s="11">
        <f t="shared" si="1"/>
        <v>264</v>
      </c>
      <c r="AH6" s="11" t="e">
        <f t="shared" si="1"/>
        <v>#REF!</v>
      </c>
      <c r="AI6" s="11" t="e">
        <f t="shared" si="1"/>
        <v>#REF!</v>
      </c>
      <c r="AJ6" s="34"/>
      <c r="AK6" s="11">
        <f t="shared" ref="AK6:AN21" si="2">N6-N5</f>
        <v>1962</v>
      </c>
      <c r="AL6" s="11" t="e">
        <f t="shared" si="2"/>
        <v>#REF!</v>
      </c>
      <c r="AM6" s="11" t="e">
        <f t="shared" si="2"/>
        <v>#REF!</v>
      </c>
      <c r="AN6" s="11" t="e">
        <f t="shared" si="2"/>
        <v>#REF!</v>
      </c>
    </row>
    <row r="7" spans="1:40" x14ac:dyDescent="0.2">
      <c r="A7" s="80">
        <v>2</v>
      </c>
      <c r="B7" s="40">
        <v>12834</v>
      </c>
      <c r="C7" s="14"/>
      <c r="D7" s="14"/>
      <c r="E7" s="41"/>
      <c r="F7" s="18"/>
      <c r="G7" s="18"/>
      <c r="H7" s="15"/>
      <c r="I7" s="40">
        <v>29774</v>
      </c>
      <c r="J7" s="42">
        <v>3455</v>
      </c>
      <c r="K7" s="42"/>
      <c r="L7" s="18"/>
      <c r="M7" s="15"/>
      <c r="N7" s="41">
        <v>242849</v>
      </c>
      <c r="O7" s="41"/>
      <c r="P7" s="41"/>
      <c r="Q7" s="18"/>
      <c r="R7" s="45">
        <f t="shared" ref="R7:R32" si="3">Q7-Q6</f>
        <v>0</v>
      </c>
      <c r="S7" s="16"/>
      <c r="T7" s="17">
        <v>0</v>
      </c>
      <c r="U7" s="17">
        <v>0</v>
      </c>
      <c r="V7" s="17">
        <v>0</v>
      </c>
      <c r="W7" s="16"/>
      <c r="X7" s="80">
        <v>2</v>
      </c>
      <c r="Y7" s="11">
        <f t="shared" ref="Y7:AD32" si="4">B7-B6</f>
        <v>58</v>
      </c>
      <c r="Z7" s="11">
        <f t="shared" si="0"/>
        <v>0</v>
      </c>
      <c r="AA7" s="11">
        <f t="shared" si="0"/>
        <v>0</v>
      </c>
      <c r="AB7" s="11">
        <f t="shared" si="0"/>
        <v>0</v>
      </c>
      <c r="AC7" s="11">
        <f t="shared" si="0"/>
        <v>0</v>
      </c>
      <c r="AD7" s="11">
        <f t="shared" si="0"/>
        <v>0</v>
      </c>
      <c r="AE7" s="34"/>
      <c r="AF7" s="11">
        <f t="shared" si="1"/>
        <v>24</v>
      </c>
      <c r="AG7" s="11">
        <f t="shared" si="1"/>
        <v>0</v>
      </c>
      <c r="AH7" s="11">
        <f t="shared" si="1"/>
        <v>0</v>
      </c>
      <c r="AI7" s="11">
        <f t="shared" si="1"/>
        <v>0</v>
      </c>
      <c r="AJ7" s="34"/>
      <c r="AK7" s="11">
        <f t="shared" si="2"/>
        <v>24</v>
      </c>
      <c r="AL7" s="11">
        <f t="shared" si="2"/>
        <v>0</v>
      </c>
      <c r="AM7" s="11">
        <f t="shared" si="2"/>
        <v>0</v>
      </c>
      <c r="AN7" s="11">
        <f t="shared" si="2"/>
        <v>0</v>
      </c>
    </row>
    <row r="8" spans="1:40" x14ac:dyDescent="0.2">
      <c r="A8" s="80">
        <v>3</v>
      </c>
      <c r="B8" s="40">
        <v>12892</v>
      </c>
      <c r="C8" s="14"/>
      <c r="D8" s="14"/>
      <c r="E8" s="41"/>
      <c r="F8" s="18"/>
      <c r="G8" s="18"/>
      <c r="H8" s="15"/>
      <c r="I8" s="40">
        <v>29798</v>
      </c>
      <c r="J8" s="42">
        <v>3455</v>
      </c>
      <c r="K8" s="42"/>
      <c r="L8" s="18"/>
      <c r="M8" s="15"/>
      <c r="N8" s="41">
        <v>242873</v>
      </c>
      <c r="O8" s="41"/>
      <c r="P8" s="41"/>
      <c r="Q8" s="18"/>
      <c r="R8" s="45">
        <f t="shared" si="3"/>
        <v>0</v>
      </c>
      <c r="S8" s="16"/>
      <c r="T8" s="17">
        <v>0</v>
      </c>
      <c r="U8" s="17">
        <v>0</v>
      </c>
      <c r="V8" s="17">
        <v>0</v>
      </c>
      <c r="W8" s="16"/>
      <c r="X8" s="80">
        <v>3</v>
      </c>
      <c r="Y8" s="11">
        <f t="shared" si="4"/>
        <v>58</v>
      </c>
      <c r="Z8" s="11">
        <f t="shared" si="0"/>
        <v>0</v>
      </c>
      <c r="AA8" s="11">
        <f t="shared" si="0"/>
        <v>0</v>
      </c>
      <c r="AB8" s="11">
        <f t="shared" si="0"/>
        <v>0</v>
      </c>
      <c r="AC8" s="11">
        <f t="shared" si="0"/>
        <v>0</v>
      </c>
      <c r="AD8" s="11">
        <f t="shared" si="0"/>
        <v>0</v>
      </c>
      <c r="AE8" s="34"/>
      <c r="AF8" s="11">
        <f t="shared" si="1"/>
        <v>24</v>
      </c>
      <c r="AG8" s="11">
        <f t="shared" si="1"/>
        <v>0</v>
      </c>
      <c r="AH8" s="11">
        <f t="shared" si="1"/>
        <v>0</v>
      </c>
      <c r="AI8" s="11">
        <f t="shared" si="1"/>
        <v>0</v>
      </c>
      <c r="AJ8" s="34"/>
      <c r="AK8" s="11">
        <f t="shared" si="2"/>
        <v>24</v>
      </c>
      <c r="AL8" s="11">
        <f t="shared" si="2"/>
        <v>0</v>
      </c>
      <c r="AM8" s="11">
        <f t="shared" si="2"/>
        <v>0</v>
      </c>
      <c r="AN8" s="11">
        <f t="shared" si="2"/>
        <v>0</v>
      </c>
    </row>
    <row r="9" spans="1:40" x14ac:dyDescent="0.2">
      <c r="A9" s="80">
        <v>4</v>
      </c>
      <c r="B9" s="40">
        <v>12949</v>
      </c>
      <c r="C9" s="14"/>
      <c r="D9" s="14"/>
      <c r="E9" s="41"/>
      <c r="F9" s="18"/>
      <c r="G9" s="18"/>
      <c r="H9" s="15"/>
      <c r="I9" s="40">
        <v>29818</v>
      </c>
      <c r="J9" s="42">
        <v>3455</v>
      </c>
      <c r="K9" s="42"/>
      <c r="L9" s="18"/>
      <c r="M9" s="15"/>
      <c r="N9" s="41">
        <v>242896</v>
      </c>
      <c r="O9" s="41"/>
      <c r="P9" s="41"/>
      <c r="Q9" s="18"/>
      <c r="R9" s="45">
        <f>Q9-Q8</f>
        <v>0</v>
      </c>
      <c r="S9" s="16"/>
      <c r="T9" s="17">
        <v>0</v>
      </c>
      <c r="U9" s="17">
        <v>0</v>
      </c>
      <c r="V9" s="17">
        <v>0</v>
      </c>
      <c r="W9" s="16"/>
      <c r="X9" s="80">
        <v>4</v>
      </c>
      <c r="Y9" s="11">
        <f t="shared" ref="Y9:AD9" si="5">B9-B8</f>
        <v>57</v>
      </c>
      <c r="Z9" s="11">
        <f t="shared" si="5"/>
        <v>0</v>
      </c>
      <c r="AA9" s="11">
        <f t="shared" si="5"/>
        <v>0</v>
      </c>
      <c r="AB9" s="11">
        <f t="shared" si="5"/>
        <v>0</v>
      </c>
      <c r="AC9" s="11">
        <f t="shared" si="5"/>
        <v>0</v>
      </c>
      <c r="AD9" s="11">
        <f t="shared" si="5"/>
        <v>0</v>
      </c>
      <c r="AE9" s="34"/>
      <c r="AF9" s="11">
        <f>I9-I8</f>
        <v>20</v>
      </c>
      <c r="AG9" s="11">
        <f>J9-J8</f>
        <v>0</v>
      </c>
      <c r="AH9" s="11">
        <f>K9-K8</f>
        <v>0</v>
      </c>
      <c r="AI9" s="11">
        <f>L9-L8</f>
        <v>0</v>
      </c>
      <c r="AJ9" s="34"/>
      <c r="AK9" s="11">
        <f>N9-N8</f>
        <v>23</v>
      </c>
      <c r="AL9" s="11">
        <f>O9-O8</f>
        <v>0</v>
      </c>
      <c r="AM9" s="11">
        <f>P9-P8</f>
        <v>0</v>
      </c>
      <c r="AN9" s="11">
        <f>Q9-Q8</f>
        <v>0</v>
      </c>
    </row>
    <row r="10" spans="1:40" x14ac:dyDescent="0.2">
      <c r="A10" s="80">
        <v>5</v>
      </c>
      <c r="B10" s="40">
        <v>13000</v>
      </c>
      <c r="C10" s="14"/>
      <c r="D10" s="14"/>
      <c r="E10" s="41"/>
      <c r="F10" s="18"/>
      <c r="G10" s="18"/>
      <c r="H10" s="15"/>
      <c r="I10" s="40">
        <v>29839</v>
      </c>
      <c r="J10" s="42">
        <v>3455</v>
      </c>
      <c r="K10" s="42"/>
      <c r="L10" s="18"/>
      <c r="M10" s="15"/>
      <c r="N10" s="41">
        <v>242925</v>
      </c>
      <c r="O10" s="41"/>
      <c r="P10" s="41"/>
      <c r="Q10" s="18"/>
      <c r="R10" s="45">
        <f t="shared" si="3"/>
        <v>0</v>
      </c>
      <c r="S10" s="16"/>
      <c r="T10" s="17">
        <v>0</v>
      </c>
      <c r="U10" s="17">
        <v>0</v>
      </c>
      <c r="V10" s="17">
        <v>0</v>
      </c>
      <c r="W10" s="16"/>
      <c r="X10" s="80">
        <v>5</v>
      </c>
      <c r="Y10" s="11">
        <f t="shared" si="4"/>
        <v>51</v>
      </c>
      <c r="Z10" s="11">
        <f t="shared" si="0"/>
        <v>0</v>
      </c>
      <c r="AA10" s="11">
        <f t="shared" si="0"/>
        <v>0</v>
      </c>
      <c r="AB10" s="11">
        <f t="shared" si="0"/>
        <v>0</v>
      </c>
      <c r="AC10" s="11">
        <f t="shared" si="0"/>
        <v>0</v>
      </c>
      <c r="AD10" s="11">
        <f t="shared" si="0"/>
        <v>0</v>
      </c>
      <c r="AE10" s="34"/>
      <c r="AF10" s="11">
        <f t="shared" si="1"/>
        <v>21</v>
      </c>
      <c r="AG10" s="11">
        <f t="shared" si="1"/>
        <v>0</v>
      </c>
      <c r="AH10" s="11">
        <f t="shared" si="1"/>
        <v>0</v>
      </c>
      <c r="AI10" s="11">
        <f t="shared" si="1"/>
        <v>0</v>
      </c>
      <c r="AJ10" s="34"/>
      <c r="AK10" s="11">
        <f>N10-N9</f>
        <v>29</v>
      </c>
      <c r="AL10" s="11">
        <f t="shared" si="2"/>
        <v>0</v>
      </c>
      <c r="AM10" s="11">
        <f t="shared" si="2"/>
        <v>0</v>
      </c>
      <c r="AN10" s="11">
        <f t="shared" si="2"/>
        <v>0</v>
      </c>
    </row>
    <row r="11" spans="1:40" x14ac:dyDescent="0.2">
      <c r="A11" s="80">
        <v>6</v>
      </c>
      <c r="B11" s="40">
        <v>13056</v>
      </c>
      <c r="C11" s="14"/>
      <c r="D11" s="14"/>
      <c r="E11" s="41"/>
      <c r="F11" s="18"/>
      <c r="G11" s="18"/>
      <c r="H11" s="15"/>
      <c r="I11" s="40">
        <v>29859</v>
      </c>
      <c r="J11" s="42">
        <v>3455</v>
      </c>
      <c r="K11" s="42"/>
      <c r="L11" s="18"/>
      <c r="M11" s="15"/>
      <c r="N11" s="41">
        <v>242950</v>
      </c>
      <c r="O11" s="41"/>
      <c r="P11" s="41"/>
      <c r="Q11" s="18"/>
      <c r="R11" s="45">
        <f t="shared" si="3"/>
        <v>0</v>
      </c>
      <c r="S11" s="16"/>
      <c r="T11" s="17">
        <v>0</v>
      </c>
      <c r="U11" s="17">
        <v>0</v>
      </c>
      <c r="V11" s="17">
        <v>0</v>
      </c>
      <c r="W11" s="16"/>
      <c r="X11" s="80">
        <v>6</v>
      </c>
      <c r="Y11" s="11">
        <f t="shared" si="4"/>
        <v>56</v>
      </c>
      <c r="Z11" s="11">
        <f t="shared" si="0"/>
        <v>0</v>
      </c>
      <c r="AA11" s="11">
        <f t="shared" si="0"/>
        <v>0</v>
      </c>
      <c r="AB11" s="11">
        <f t="shared" si="0"/>
        <v>0</v>
      </c>
      <c r="AC11" s="11">
        <f t="shared" si="0"/>
        <v>0</v>
      </c>
      <c r="AD11" s="11">
        <f t="shared" si="0"/>
        <v>0</v>
      </c>
      <c r="AE11" s="34"/>
      <c r="AF11" s="11">
        <f t="shared" si="1"/>
        <v>20</v>
      </c>
      <c r="AG11" s="11">
        <f t="shared" si="1"/>
        <v>0</v>
      </c>
      <c r="AH11" s="11">
        <f t="shared" si="1"/>
        <v>0</v>
      </c>
      <c r="AI11" s="11">
        <f t="shared" si="1"/>
        <v>0</v>
      </c>
      <c r="AJ11" s="34"/>
      <c r="AK11" s="11">
        <f>N12-N10</f>
        <v>49</v>
      </c>
      <c r="AL11" s="11">
        <f t="shared" si="2"/>
        <v>0</v>
      </c>
      <c r="AM11" s="11">
        <f t="shared" si="2"/>
        <v>0</v>
      </c>
      <c r="AN11" s="11">
        <f t="shared" si="2"/>
        <v>0</v>
      </c>
    </row>
    <row r="12" spans="1:40" x14ac:dyDescent="0.2">
      <c r="A12" s="80">
        <v>7</v>
      </c>
      <c r="B12" s="40">
        <v>13111</v>
      </c>
      <c r="C12" s="14"/>
      <c r="D12" s="14"/>
      <c r="E12" s="41"/>
      <c r="F12" s="18"/>
      <c r="G12" s="18"/>
      <c r="H12" s="15"/>
      <c r="I12" s="40">
        <v>29880</v>
      </c>
      <c r="J12" s="42">
        <v>3455</v>
      </c>
      <c r="K12" s="42"/>
      <c r="L12" s="18"/>
      <c r="M12" s="15"/>
      <c r="N12" s="41">
        <v>242974</v>
      </c>
      <c r="O12" s="41"/>
      <c r="P12" s="41"/>
      <c r="Q12" s="18"/>
      <c r="R12" s="45">
        <f t="shared" si="3"/>
        <v>0</v>
      </c>
      <c r="S12" s="16"/>
      <c r="T12" s="17">
        <v>0</v>
      </c>
      <c r="U12" s="17">
        <v>0</v>
      </c>
      <c r="V12" s="17">
        <v>0</v>
      </c>
      <c r="W12" s="16"/>
      <c r="X12" s="80">
        <v>7</v>
      </c>
      <c r="Y12" s="11">
        <f t="shared" si="4"/>
        <v>55</v>
      </c>
      <c r="Z12" s="11">
        <f t="shared" si="0"/>
        <v>0</v>
      </c>
      <c r="AA12" s="11">
        <f t="shared" si="0"/>
        <v>0</v>
      </c>
      <c r="AB12" s="11">
        <f t="shared" si="0"/>
        <v>0</v>
      </c>
      <c r="AC12" s="11">
        <f t="shared" si="0"/>
        <v>0</v>
      </c>
      <c r="AD12" s="11">
        <f t="shared" si="0"/>
        <v>0</v>
      </c>
      <c r="AE12" s="34"/>
      <c r="AF12" s="11">
        <f t="shared" si="1"/>
        <v>21</v>
      </c>
      <c r="AG12" s="11">
        <f t="shared" si="1"/>
        <v>0</v>
      </c>
      <c r="AH12" s="11">
        <f t="shared" si="1"/>
        <v>0</v>
      </c>
      <c r="AI12" s="11">
        <f t="shared" si="1"/>
        <v>0</v>
      </c>
      <c r="AJ12" s="34"/>
      <c r="AK12" s="11">
        <f t="shared" ref="AK12:AK32" si="6">N13-N12</f>
        <v>25</v>
      </c>
      <c r="AL12" s="11">
        <f t="shared" si="2"/>
        <v>0</v>
      </c>
      <c r="AM12" s="11">
        <f t="shared" si="2"/>
        <v>0</v>
      </c>
      <c r="AN12" s="11">
        <f t="shared" si="2"/>
        <v>0</v>
      </c>
    </row>
    <row r="13" spans="1:40" x14ac:dyDescent="0.2">
      <c r="A13" s="80">
        <v>8</v>
      </c>
      <c r="B13" s="40">
        <v>13167</v>
      </c>
      <c r="C13" s="14"/>
      <c r="D13" s="14"/>
      <c r="E13" s="41"/>
      <c r="F13" s="18"/>
      <c r="G13" s="18"/>
      <c r="H13" s="15"/>
      <c r="I13" s="40">
        <v>29900</v>
      </c>
      <c r="J13" s="42">
        <v>3455</v>
      </c>
      <c r="K13" s="42"/>
      <c r="L13" s="18"/>
      <c r="M13" s="15"/>
      <c r="N13" s="41">
        <v>242999</v>
      </c>
      <c r="O13" s="41"/>
      <c r="P13" s="41"/>
      <c r="Q13" s="18"/>
      <c r="R13" s="45">
        <f t="shared" si="3"/>
        <v>0</v>
      </c>
      <c r="S13" s="16"/>
      <c r="T13" s="17">
        <v>0</v>
      </c>
      <c r="U13" s="17">
        <v>0</v>
      </c>
      <c r="V13" s="17">
        <v>0</v>
      </c>
      <c r="W13" s="16"/>
      <c r="X13" s="80">
        <v>8</v>
      </c>
      <c r="Y13" s="11">
        <f t="shared" si="4"/>
        <v>56</v>
      </c>
      <c r="Z13" s="11">
        <f t="shared" si="0"/>
        <v>0</v>
      </c>
      <c r="AA13" s="11">
        <f t="shared" si="0"/>
        <v>0</v>
      </c>
      <c r="AB13" s="11">
        <f t="shared" si="0"/>
        <v>0</v>
      </c>
      <c r="AC13" s="11">
        <f t="shared" si="0"/>
        <v>0</v>
      </c>
      <c r="AD13" s="11">
        <f t="shared" si="0"/>
        <v>0</v>
      </c>
      <c r="AE13" s="34"/>
      <c r="AF13" s="11">
        <f t="shared" si="1"/>
        <v>20</v>
      </c>
      <c r="AG13" s="11">
        <f t="shared" si="1"/>
        <v>0</v>
      </c>
      <c r="AH13" s="11">
        <f t="shared" si="1"/>
        <v>0</v>
      </c>
      <c r="AI13" s="11">
        <f t="shared" si="1"/>
        <v>0</v>
      </c>
      <c r="AJ13" s="34"/>
      <c r="AK13" s="11">
        <f t="shared" si="6"/>
        <v>23</v>
      </c>
      <c r="AL13" s="11">
        <f t="shared" si="2"/>
        <v>0</v>
      </c>
      <c r="AM13" s="11">
        <f t="shared" si="2"/>
        <v>0</v>
      </c>
      <c r="AN13" s="11">
        <f t="shared" si="2"/>
        <v>0</v>
      </c>
    </row>
    <row r="14" spans="1:40" x14ac:dyDescent="0.2">
      <c r="A14" s="80">
        <v>9</v>
      </c>
      <c r="B14" s="40">
        <v>13225</v>
      </c>
      <c r="C14" s="14"/>
      <c r="D14" s="14"/>
      <c r="E14" s="41"/>
      <c r="F14" s="18"/>
      <c r="G14" s="18"/>
      <c r="H14" s="15"/>
      <c r="I14" s="40">
        <v>29920</v>
      </c>
      <c r="J14" s="42">
        <v>3455</v>
      </c>
      <c r="K14" s="42"/>
      <c r="L14" s="18"/>
      <c r="M14" s="15"/>
      <c r="N14" s="41">
        <v>243022</v>
      </c>
      <c r="O14" s="41"/>
      <c r="P14" s="41"/>
      <c r="Q14" s="18"/>
      <c r="R14" s="45">
        <f t="shared" si="3"/>
        <v>0</v>
      </c>
      <c r="S14" s="16"/>
      <c r="T14" s="17">
        <v>0</v>
      </c>
      <c r="U14" s="17">
        <v>0</v>
      </c>
      <c r="V14" s="17">
        <v>0</v>
      </c>
      <c r="W14" s="16"/>
      <c r="X14" s="80">
        <v>9</v>
      </c>
      <c r="Y14" s="11">
        <f t="shared" si="4"/>
        <v>58</v>
      </c>
      <c r="Z14" s="11">
        <f t="shared" si="0"/>
        <v>0</v>
      </c>
      <c r="AA14" s="11">
        <f t="shared" si="0"/>
        <v>0</v>
      </c>
      <c r="AB14" s="11">
        <f t="shared" si="0"/>
        <v>0</v>
      </c>
      <c r="AC14" s="11">
        <f t="shared" si="0"/>
        <v>0</v>
      </c>
      <c r="AD14" s="11">
        <f t="shared" si="0"/>
        <v>0</v>
      </c>
      <c r="AE14" s="34"/>
      <c r="AF14" s="11">
        <f t="shared" si="1"/>
        <v>20</v>
      </c>
      <c r="AG14" s="11">
        <f t="shared" si="1"/>
        <v>0</v>
      </c>
      <c r="AH14" s="11">
        <f t="shared" si="1"/>
        <v>0</v>
      </c>
      <c r="AI14" s="11">
        <f t="shared" si="1"/>
        <v>0</v>
      </c>
      <c r="AJ14" s="34"/>
      <c r="AK14" s="11">
        <f t="shared" si="6"/>
        <v>26</v>
      </c>
      <c r="AL14" s="11">
        <f t="shared" si="2"/>
        <v>0</v>
      </c>
      <c r="AM14" s="11">
        <f t="shared" si="2"/>
        <v>0</v>
      </c>
      <c r="AN14" s="11">
        <f t="shared" si="2"/>
        <v>0</v>
      </c>
    </row>
    <row r="15" spans="1:40" x14ac:dyDescent="0.2">
      <c r="A15" s="80">
        <v>10</v>
      </c>
      <c r="B15" s="40">
        <v>13279</v>
      </c>
      <c r="C15" s="14"/>
      <c r="D15" s="14"/>
      <c r="E15" s="41"/>
      <c r="F15" s="18"/>
      <c r="G15" s="18"/>
      <c r="H15" s="15"/>
      <c r="I15" s="40">
        <v>29941</v>
      </c>
      <c r="J15" s="42">
        <v>3455</v>
      </c>
      <c r="K15" s="42"/>
      <c r="L15" s="18"/>
      <c r="M15" s="15"/>
      <c r="N15" s="41">
        <v>243048</v>
      </c>
      <c r="O15" s="41"/>
      <c r="P15" s="41"/>
      <c r="Q15" s="18"/>
      <c r="R15" s="45">
        <f t="shared" si="3"/>
        <v>0</v>
      </c>
      <c r="S15" s="16"/>
      <c r="T15" s="17">
        <v>0</v>
      </c>
      <c r="U15" s="17">
        <v>0</v>
      </c>
      <c r="V15" s="17">
        <v>0</v>
      </c>
      <c r="W15" s="16"/>
      <c r="X15" s="80">
        <v>10</v>
      </c>
      <c r="Y15" s="11">
        <f t="shared" si="4"/>
        <v>54</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 t="shared" si="6"/>
        <v>24</v>
      </c>
      <c r="AL15" s="11">
        <f t="shared" si="2"/>
        <v>0</v>
      </c>
      <c r="AM15" s="11">
        <f t="shared" si="2"/>
        <v>0</v>
      </c>
      <c r="AN15" s="11">
        <f t="shared" si="2"/>
        <v>0</v>
      </c>
    </row>
    <row r="16" spans="1:40" x14ac:dyDescent="0.2">
      <c r="A16" s="80">
        <v>11</v>
      </c>
      <c r="B16" s="40">
        <v>13344</v>
      </c>
      <c r="C16" s="14"/>
      <c r="D16" s="14"/>
      <c r="E16" s="41"/>
      <c r="F16" s="18"/>
      <c r="G16" s="18"/>
      <c r="H16" s="15"/>
      <c r="I16" s="40">
        <v>29982</v>
      </c>
      <c r="J16" s="42">
        <v>3455</v>
      </c>
      <c r="K16" s="42"/>
      <c r="L16" s="18"/>
      <c r="M16" s="15"/>
      <c r="N16" s="41">
        <v>243072</v>
      </c>
      <c r="O16" s="41"/>
      <c r="P16" s="41"/>
      <c r="Q16" s="18"/>
      <c r="R16" s="45">
        <f t="shared" si="3"/>
        <v>0</v>
      </c>
      <c r="S16" s="16"/>
      <c r="T16" s="17">
        <v>0</v>
      </c>
      <c r="U16" s="17">
        <v>0</v>
      </c>
      <c r="V16" s="17">
        <v>0</v>
      </c>
      <c r="W16" s="16"/>
      <c r="X16" s="80">
        <v>11</v>
      </c>
      <c r="Y16" s="11">
        <f t="shared" si="4"/>
        <v>65</v>
      </c>
      <c r="Z16" s="11">
        <f t="shared" si="0"/>
        <v>0</v>
      </c>
      <c r="AA16" s="11">
        <f t="shared" si="0"/>
        <v>0</v>
      </c>
      <c r="AB16" s="11">
        <f t="shared" si="0"/>
        <v>0</v>
      </c>
      <c r="AC16" s="11">
        <f t="shared" si="0"/>
        <v>0</v>
      </c>
      <c r="AD16" s="11">
        <f t="shared" si="0"/>
        <v>0</v>
      </c>
      <c r="AE16" s="34"/>
      <c r="AF16" s="11">
        <f t="shared" si="1"/>
        <v>41</v>
      </c>
      <c r="AG16" s="11">
        <f t="shared" si="1"/>
        <v>0</v>
      </c>
      <c r="AH16" s="11">
        <f t="shared" si="1"/>
        <v>0</v>
      </c>
      <c r="AI16" s="11">
        <f t="shared" si="1"/>
        <v>0</v>
      </c>
      <c r="AJ16" s="34"/>
      <c r="AK16" s="11">
        <f t="shared" si="6"/>
        <v>23</v>
      </c>
      <c r="AL16" s="11">
        <f t="shared" si="2"/>
        <v>0</v>
      </c>
      <c r="AM16" s="11">
        <f t="shared" si="2"/>
        <v>0</v>
      </c>
      <c r="AN16" s="11">
        <f t="shared" si="2"/>
        <v>0</v>
      </c>
    </row>
    <row r="17" spans="1:40" x14ac:dyDescent="0.2">
      <c r="A17" s="80">
        <v>12</v>
      </c>
      <c r="B17" s="40">
        <v>13400</v>
      </c>
      <c r="C17" s="14"/>
      <c r="D17" s="14"/>
      <c r="E17" s="41"/>
      <c r="F17" s="18"/>
      <c r="G17" s="18"/>
      <c r="H17" s="15"/>
      <c r="I17" s="40">
        <v>29991</v>
      </c>
      <c r="J17" s="42">
        <v>3455</v>
      </c>
      <c r="K17" s="42"/>
      <c r="L17" s="18"/>
      <c r="M17" s="15"/>
      <c r="N17" s="41">
        <v>243095</v>
      </c>
      <c r="O17" s="41"/>
      <c r="P17" s="41"/>
      <c r="Q17" s="18"/>
      <c r="R17" s="45">
        <f t="shared" si="3"/>
        <v>0</v>
      </c>
      <c r="S17" s="16"/>
      <c r="T17" s="17">
        <v>0</v>
      </c>
      <c r="U17" s="17">
        <v>0</v>
      </c>
      <c r="V17" s="17">
        <v>0</v>
      </c>
      <c r="W17" s="16"/>
      <c r="X17" s="80">
        <v>12</v>
      </c>
      <c r="Y17" s="11">
        <f t="shared" si="4"/>
        <v>56</v>
      </c>
      <c r="Z17" s="11">
        <f t="shared" si="0"/>
        <v>0</v>
      </c>
      <c r="AA17" s="11">
        <f t="shared" si="0"/>
        <v>0</v>
      </c>
      <c r="AB17" s="11">
        <f t="shared" si="0"/>
        <v>0</v>
      </c>
      <c r="AC17" s="11">
        <f t="shared" si="0"/>
        <v>0</v>
      </c>
      <c r="AD17" s="11">
        <f t="shared" si="0"/>
        <v>0</v>
      </c>
      <c r="AE17" s="34"/>
      <c r="AF17" s="11">
        <f t="shared" si="1"/>
        <v>9</v>
      </c>
      <c r="AG17" s="11">
        <f t="shared" si="1"/>
        <v>0</v>
      </c>
      <c r="AH17" s="11">
        <f t="shared" si="1"/>
        <v>0</v>
      </c>
      <c r="AI17" s="11">
        <f t="shared" si="1"/>
        <v>0</v>
      </c>
      <c r="AJ17" s="34"/>
      <c r="AK17" s="11">
        <f t="shared" si="6"/>
        <v>25</v>
      </c>
      <c r="AL17" s="11">
        <f t="shared" si="2"/>
        <v>0</v>
      </c>
      <c r="AM17" s="11">
        <f t="shared" si="2"/>
        <v>0</v>
      </c>
      <c r="AN17" s="11">
        <f t="shared" si="2"/>
        <v>0</v>
      </c>
    </row>
    <row r="18" spans="1:40" x14ac:dyDescent="0.2">
      <c r="A18" s="80">
        <v>13</v>
      </c>
      <c r="B18" s="40">
        <v>13484</v>
      </c>
      <c r="C18" s="14"/>
      <c r="D18" s="14"/>
      <c r="E18" s="41"/>
      <c r="F18" s="18"/>
      <c r="G18" s="18"/>
      <c r="H18" s="15"/>
      <c r="I18" s="40">
        <v>30037</v>
      </c>
      <c r="J18" s="42">
        <v>5458</v>
      </c>
      <c r="K18" s="42"/>
      <c r="L18" s="18"/>
      <c r="M18" s="15"/>
      <c r="N18" s="41">
        <v>243120</v>
      </c>
      <c r="O18" s="41"/>
      <c r="P18" s="41"/>
      <c r="Q18" s="18"/>
      <c r="R18" s="45">
        <f t="shared" si="3"/>
        <v>0</v>
      </c>
      <c r="S18" s="16"/>
      <c r="T18" s="17">
        <v>0</v>
      </c>
      <c r="U18" s="17">
        <v>0</v>
      </c>
      <c r="V18" s="17">
        <v>0</v>
      </c>
      <c r="W18" s="16"/>
      <c r="X18" s="80">
        <v>13</v>
      </c>
      <c r="Y18" s="11">
        <f t="shared" si="4"/>
        <v>84</v>
      </c>
      <c r="Z18" s="11">
        <f t="shared" si="0"/>
        <v>0</v>
      </c>
      <c r="AA18" s="11">
        <f t="shared" si="0"/>
        <v>0</v>
      </c>
      <c r="AB18" s="11">
        <f t="shared" si="0"/>
        <v>0</v>
      </c>
      <c r="AC18" s="11">
        <f t="shared" si="0"/>
        <v>0</v>
      </c>
      <c r="AD18" s="11">
        <f t="shared" si="0"/>
        <v>0</v>
      </c>
      <c r="AE18" s="34"/>
      <c r="AF18" s="11">
        <f t="shared" si="1"/>
        <v>46</v>
      </c>
      <c r="AG18" s="11">
        <f t="shared" si="1"/>
        <v>2003</v>
      </c>
      <c r="AH18" s="11">
        <f t="shared" si="1"/>
        <v>0</v>
      </c>
      <c r="AI18" s="11">
        <f t="shared" si="1"/>
        <v>0</v>
      </c>
      <c r="AJ18" s="34"/>
      <c r="AK18" s="11">
        <f t="shared" si="6"/>
        <v>25</v>
      </c>
      <c r="AL18" s="11">
        <f t="shared" si="2"/>
        <v>0</v>
      </c>
      <c r="AM18" s="11">
        <f t="shared" si="2"/>
        <v>0</v>
      </c>
      <c r="AN18" s="11">
        <f t="shared" si="2"/>
        <v>0</v>
      </c>
    </row>
    <row r="19" spans="1:40" x14ac:dyDescent="0.2">
      <c r="A19" s="80">
        <v>14</v>
      </c>
      <c r="B19" s="40">
        <v>13552</v>
      </c>
      <c r="C19" s="14"/>
      <c r="D19" s="14"/>
      <c r="E19" s="41"/>
      <c r="F19" s="18"/>
      <c r="G19" s="18"/>
      <c r="H19" s="15"/>
      <c r="I19" s="40">
        <v>30067</v>
      </c>
      <c r="J19" s="42">
        <v>3482</v>
      </c>
      <c r="K19" s="42"/>
      <c r="L19" s="18"/>
      <c r="M19" s="15"/>
      <c r="N19" s="41">
        <v>243145</v>
      </c>
      <c r="O19" s="41"/>
      <c r="P19" s="41"/>
      <c r="Q19" s="18"/>
      <c r="R19" s="45">
        <f t="shared" si="3"/>
        <v>0</v>
      </c>
      <c r="S19" s="16"/>
      <c r="T19" s="17">
        <v>0</v>
      </c>
      <c r="U19" s="17">
        <v>0</v>
      </c>
      <c r="V19" s="17">
        <v>0</v>
      </c>
      <c r="W19" s="16"/>
      <c r="X19" s="80">
        <v>14</v>
      </c>
      <c r="Y19" s="11">
        <f t="shared" si="4"/>
        <v>68</v>
      </c>
      <c r="Z19" s="11">
        <f t="shared" si="0"/>
        <v>0</v>
      </c>
      <c r="AA19" s="11">
        <f t="shared" si="0"/>
        <v>0</v>
      </c>
      <c r="AB19" s="11">
        <f t="shared" si="0"/>
        <v>0</v>
      </c>
      <c r="AC19" s="11">
        <f t="shared" si="0"/>
        <v>0</v>
      </c>
      <c r="AD19" s="11">
        <f t="shared" si="0"/>
        <v>0</v>
      </c>
      <c r="AE19" s="34"/>
      <c r="AF19" s="11">
        <f t="shared" si="1"/>
        <v>30</v>
      </c>
      <c r="AG19" s="11">
        <f t="shared" si="1"/>
        <v>-1976</v>
      </c>
      <c r="AH19" s="11">
        <f t="shared" si="1"/>
        <v>0</v>
      </c>
      <c r="AI19" s="11">
        <f t="shared" si="1"/>
        <v>0</v>
      </c>
      <c r="AJ19" s="34"/>
      <c r="AK19" s="11">
        <f t="shared" si="6"/>
        <v>24</v>
      </c>
      <c r="AL19" s="11">
        <f t="shared" si="2"/>
        <v>0</v>
      </c>
      <c r="AM19" s="11">
        <f t="shared" si="2"/>
        <v>0</v>
      </c>
      <c r="AN19" s="11">
        <f t="shared" si="2"/>
        <v>0</v>
      </c>
    </row>
    <row r="20" spans="1:40" x14ac:dyDescent="0.2">
      <c r="A20" s="80">
        <v>15</v>
      </c>
      <c r="B20" s="40">
        <v>13618</v>
      </c>
      <c r="C20" s="14"/>
      <c r="D20" s="14"/>
      <c r="E20" s="41"/>
      <c r="F20" s="18"/>
      <c r="G20" s="18"/>
      <c r="H20" s="15"/>
      <c r="I20" s="40">
        <v>30096</v>
      </c>
      <c r="J20" s="42">
        <v>3487</v>
      </c>
      <c r="K20" s="42"/>
      <c r="L20" s="18"/>
      <c r="M20" s="15"/>
      <c r="N20" s="41">
        <v>243169</v>
      </c>
      <c r="O20" s="41"/>
      <c r="P20" s="41"/>
      <c r="Q20" s="18"/>
      <c r="R20" s="45">
        <f t="shared" si="3"/>
        <v>0</v>
      </c>
      <c r="S20" s="16"/>
      <c r="T20" s="17">
        <v>0</v>
      </c>
      <c r="U20" s="17">
        <v>0</v>
      </c>
      <c r="V20" s="17">
        <v>0</v>
      </c>
      <c r="W20" s="16"/>
      <c r="X20" s="80">
        <v>15</v>
      </c>
      <c r="Y20" s="11">
        <f t="shared" si="4"/>
        <v>66</v>
      </c>
      <c r="Z20" s="11">
        <f t="shared" si="0"/>
        <v>0</v>
      </c>
      <c r="AA20" s="11">
        <f t="shared" si="0"/>
        <v>0</v>
      </c>
      <c r="AB20" s="11">
        <f t="shared" si="0"/>
        <v>0</v>
      </c>
      <c r="AC20" s="11">
        <f t="shared" si="0"/>
        <v>0</v>
      </c>
      <c r="AD20" s="11">
        <f t="shared" si="0"/>
        <v>0</v>
      </c>
      <c r="AE20" s="34"/>
      <c r="AF20" s="11">
        <f t="shared" si="1"/>
        <v>29</v>
      </c>
      <c r="AG20" s="11">
        <f t="shared" si="1"/>
        <v>5</v>
      </c>
      <c r="AH20" s="11">
        <f t="shared" si="1"/>
        <v>0</v>
      </c>
      <c r="AI20" s="11">
        <f t="shared" si="1"/>
        <v>0</v>
      </c>
      <c r="AJ20" s="34"/>
      <c r="AK20" s="11">
        <f t="shared" si="6"/>
        <v>23</v>
      </c>
      <c r="AL20" s="11">
        <f t="shared" si="2"/>
        <v>0</v>
      </c>
      <c r="AM20" s="11">
        <f t="shared" si="2"/>
        <v>0</v>
      </c>
      <c r="AN20" s="11">
        <f t="shared" si="2"/>
        <v>0</v>
      </c>
    </row>
    <row r="21" spans="1:40" x14ac:dyDescent="0.2">
      <c r="A21" s="80">
        <v>16</v>
      </c>
      <c r="B21" s="40">
        <v>13684</v>
      </c>
      <c r="C21" s="14"/>
      <c r="D21" s="14"/>
      <c r="E21" s="41"/>
      <c r="F21" s="18"/>
      <c r="G21" s="18"/>
      <c r="H21" s="15"/>
      <c r="I21" s="40">
        <v>30126</v>
      </c>
      <c r="J21" s="42">
        <v>3493</v>
      </c>
      <c r="K21" s="42"/>
      <c r="L21" s="18"/>
      <c r="M21" s="15"/>
      <c r="N21" s="41">
        <v>243192</v>
      </c>
      <c r="O21" s="41"/>
      <c r="P21" s="41"/>
      <c r="Q21" s="18"/>
      <c r="R21" s="45">
        <f t="shared" si="3"/>
        <v>0</v>
      </c>
      <c r="S21" s="16"/>
      <c r="T21" s="17">
        <v>0</v>
      </c>
      <c r="U21" s="17">
        <v>0</v>
      </c>
      <c r="V21" s="17">
        <v>0</v>
      </c>
      <c r="W21" s="16"/>
      <c r="X21" s="80">
        <v>16</v>
      </c>
      <c r="Y21" s="11">
        <f t="shared" si="4"/>
        <v>66</v>
      </c>
      <c r="Z21" s="11">
        <f t="shared" si="0"/>
        <v>0</v>
      </c>
      <c r="AA21" s="11">
        <f t="shared" si="0"/>
        <v>0</v>
      </c>
      <c r="AB21" s="11">
        <f t="shared" si="0"/>
        <v>0</v>
      </c>
      <c r="AC21" s="11">
        <f t="shared" si="0"/>
        <v>0</v>
      </c>
      <c r="AD21" s="11">
        <f t="shared" si="0"/>
        <v>0</v>
      </c>
      <c r="AE21" s="34"/>
      <c r="AF21" s="11">
        <f t="shared" si="1"/>
        <v>30</v>
      </c>
      <c r="AG21" s="11">
        <f t="shared" si="1"/>
        <v>6</v>
      </c>
      <c r="AH21" s="11">
        <f t="shared" si="1"/>
        <v>0</v>
      </c>
      <c r="AI21" s="11">
        <f t="shared" si="1"/>
        <v>0</v>
      </c>
      <c r="AJ21" s="34"/>
      <c r="AK21" s="11">
        <f t="shared" si="6"/>
        <v>24</v>
      </c>
      <c r="AL21" s="11">
        <f t="shared" si="2"/>
        <v>0</v>
      </c>
      <c r="AM21" s="11">
        <f t="shared" si="2"/>
        <v>0</v>
      </c>
      <c r="AN21" s="11">
        <f t="shared" si="2"/>
        <v>0</v>
      </c>
    </row>
    <row r="22" spans="1:40" x14ac:dyDescent="0.2">
      <c r="A22" s="80">
        <v>17</v>
      </c>
      <c r="B22" s="40">
        <v>13751</v>
      </c>
      <c r="C22" s="14"/>
      <c r="D22" s="14"/>
      <c r="E22" s="41"/>
      <c r="F22" s="18"/>
      <c r="G22" s="18"/>
      <c r="H22" s="15"/>
      <c r="I22" s="40">
        <v>30148</v>
      </c>
      <c r="J22" s="42">
        <v>3499</v>
      </c>
      <c r="K22" s="42"/>
      <c r="L22" s="18"/>
      <c r="M22" s="15"/>
      <c r="N22" s="41">
        <v>243216</v>
      </c>
      <c r="O22" s="41"/>
      <c r="P22" s="41"/>
      <c r="Q22" s="18"/>
      <c r="R22" s="45">
        <f t="shared" si="3"/>
        <v>0</v>
      </c>
      <c r="S22" s="16"/>
      <c r="T22" s="17">
        <v>0</v>
      </c>
      <c r="U22" s="17">
        <v>0</v>
      </c>
      <c r="V22" s="17">
        <v>0</v>
      </c>
      <c r="W22" s="16"/>
      <c r="X22" s="80">
        <v>17</v>
      </c>
      <c r="Y22" s="11">
        <f t="shared" si="4"/>
        <v>67</v>
      </c>
      <c r="Z22" s="11">
        <f t="shared" si="4"/>
        <v>0</v>
      </c>
      <c r="AA22" s="11">
        <f t="shared" si="4"/>
        <v>0</v>
      </c>
      <c r="AB22" s="11">
        <f t="shared" si="4"/>
        <v>0</v>
      </c>
      <c r="AC22" s="11">
        <f t="shared" si="4"/>
        <v>0</v>
      </c>
      <c r="AD22" s="11">
        <f t="shared" si="4"/>
        <v>0</v>
      </c>
      <c r="AE22" s="34"/>
      <c r="AF22" s="11">
        <f t="shared" ref="AF22:AI32" si="7">I22-I21</f>
        <v>22</v>
      </c>
      <c r="AG22" s="11">
        <f t="shared" si="7"/>
        <v>6</v>
      </c>
      <c r="AH22" s="11">
        <f t="shared" si="7"/>
        <v>0</v>
      </c>
      <c r="AI22" s="11">
        <f t="shared" si="7"/>
        <v>0</v>
      </c>
      <c r="AJ22" s="34"/>
      <c r="AK22" s="11">
        <f t="shared" si="6"/>
        <v>26</v>
      </c>
      <c r="AL22" s="11">
        <f t="shared" ref="AL22:AN32" si="8">O22-O21</f>
        <v>0</v>
      </c>
      <c r="AM22" s="11">
        <f t="shared" si="8"/>
        <v>0</v>
      </c>
      <c r="AN22" s="11">
        <f t="shared" si="8"/>
        <v>0</v>
      </c>
    </row>
    <row r="23" spans="1:40" x14ac:dyDescent="0.2">
      <c r="A23" s="80">
        <v>18</v>
      </c>
      <c r="B23" s="40">
        <v>13830</v>
      </c>
      <c r="C23" s="14"/>
      <c r="D23" s="14"/>
      <c r="E23" s="41"/>
      <c r="F23" s="18"/>
      <c r="G23" s="18"/>
      <c r="H23" s="15"/>
      <c r="I23" s="40">
        <v>30191</v>
      </c>
      <c r="J23" s="42">
        <v>3504</v>
      </c>
      <c r="K23" s="42"/>
      <c r="L23" s="18"/>
      <c r="M23" s="15"/>
      <c r="N23" s="41">
        <v>243242</v>
      </c>
      <c r="O23" s="41"/>
      <c r="P23" s="41"/>
      <c r="Q23" s="18"/>
      <c r="R23" s="45">
        <f t="shared" si="3"/>
        <v>0</v>
      </c>
      <c r="S23" s="16"/>
      <c r="T23" s="17">
        <v>0</v>
      </c>
      <c r="U23" s="17">
        <v>0</v>
      </c>
      <c r="V23" s="17">
        <v>0</v>
      </c>
      <c r="W23" s="16"/>
      <c r="X23" s="80">
        <v>18</v>
      </c>
      <c r="Y23" s="11">
        <f t="shared" si="4"/>
        <v>79</v>
      </c>
      <c r="Z23" s="11">
        <f t="shared" si="4"/>
        <v>0</v>
      </c>
      <c r="AA23" s="11">
        <f t="shared" si="4"/>
        <v>0</v>
      </c>
      <c r="AB23" s="11">
        <f t="shared" si="4"/>
        <v>0</v>
      </c>
      <c r="AC23" s="11">
        <f t="shared" si="4"/>
        <v>0</v>
      </c>
      <c r="AD23" s="11">
        <f t="shared" si="4"/>
        <v>0</v>
      </c>
      <c r="AE23" s="34"/>
      <c r="AF23" s="11">
        <f t="shared" si="7"/>
        <v>43</v>
      </c>
      <c r="AG23" s="11">
        <f t="shared" si="7"/>
        <v>5</v>
      </c>
      <c r="AH23" s="11">
        <f t="shared" si="7"/>
        <v>0</v>
      </c>
      <c r="AI23" s="11">
        <f t="shared" si="7"/>
        <v>0</v>
      </c>
      <c r="AJ23" s="34"/>
      <c r="AK23" s="11">
        <f t="shared" si="6"/>
        <v>23</v>
      </c>
      <c r="AL23" s="11">
        <f t="shared" si="8"/>
        <v>0</v>
      </c>
      <c r="AM23" s="11">
        <f t="shared" si="8"/>
        <v>0</v>
      </c>
      <c r="AN23" s="11">
        <f t="shared" si="8"/>
        <v>0</v>
      </c>
    </row>
    <row r="24" spans="1:40" x14ac:dyDescent="0.2">
      <c r="A24" s="80">
        <v>19</v>
      </c>
      <c r="B24" s="40">
        <v>13895</v>
      </c>
      <c r="C24" s="14"/>
      <c r="D24" s="14"/>
      <c r="E24" s="41"/>
      <c r="F24" s="18"/>
      <c r="G24" s="18"/>
      <c r="H24" s="15"/>
      <c r="I24" s="40">
        <v>30224</v>
      </c>
      <c r="J24" s="42">
        <v>3504</v>
      </c>
      <c r="K24" s="42"/>
      <c r="L24" s="18"/>
      <c r="M24" s="15"/>
      <c r="N24" s="41">
        <v>243265</v>
      </c>
      <c r="O24" s="41"/>
      <c r="P24" s="41"/>
      <c r="Q24" s="18"/>
      <c r="R24" s="45">
        <f t="shared" si="3"/>
        <v>0</v>
      </c>
      <c r="S24" s="16"/>
      <c r="T24" s="17">
        <v>0</v>
      </c>
      <c r="U24" s="17">
        <v>0</v>
      </c>
      <c r="V24" s="17">
        <v>0</v>
      </c>
      <c r="W24" s="16"/>
      <c r="X24" s="80">
        <v>19</v>
      </c>
      <c r="Y24" s="11">
        <f t="shared" si="4"/>
        <v>65</v>
      </c>
      <c r="Z24" s="11">
        <f t="shared" si="4"/>
        <v>0</v>
      </c>
      <c r="AA24" s="11">
        <f t="shared" si="4"/>
        <v>0</v>
      </c>
      <c r="AB24" s="11">
        <f t="shared" si="4"/>
        <v>0</v>
      </c>
      <c r="AC24" s="11">
        <f t="shared" si="4"/>
        <v>0</v>
      </c>
      <c r="AD24" s="11">
        <f t="shared" si="4"/>
        <v>0</v>
      </c>
      <c r="AE24" s="34"/>
      <c r="AF24" s="11">
        <f t="shared" si="7"/>
        <v>33</v>
      </c>
      <c r="AG24" s="11">
        <f t="shared" si="7"/>
        <v>0</v>
      </c>
      <c r="AH24" s="11">
        <f t="shared" si="7"/>
        <v>0</v>
      </c>
      <c r="AI24" s="11">
        <f t="shared" si="7"/>
        <v>0</v>
      </c>
      <c r="AJ24" s="34"/>
      <c r="AK24" s="11">
        <f t="shared" si="6"/>
        <v>25</v>
      </c>
      <c r="AL24" s="11">
        <f t="shared" si="8"/>
        <v>0</v>
      </c>
      <c r="AM24" s="11">
        <f t="shared" si="8"/>
        <v>0</v>
      </c>
      <c r="AN24" s="11">
        <f t="shared" si="8"/>
        <v>0</v>
      </c>
    </row>
    <row r="25" spans="1:40" x14ac:dyDescent="0.2">
      <c r="A25" s="80">
        <v>20</v>
      </c>
      <c r="B25" s="40">
        <v>13969</v>
      </c>
      <c r="C25" s="14"/>
      <c r="D25" s="14"/>
      <c r="E25" s="41"/>
      <c r="F25" s="18"/>
      <c r="G25" s="18"/>
      <c r="H25" s="15"/>
      <c r="I25" s="40">
        <v>30254</v>
      </c>
      <c r="J25" s="42">
        <v>3507</v>
      </c>
      <c r="K25" s="42"/>
      <c r="L25" s="18"/>
      <c r="M25" s="15"/>
      <c r="N25" s="41">
        <v>243290</v>
      </c>
      <c r="O25" s="41"/>
      <c r="P25" s="41"/>
      <c r="Q25" s="18"/>
      <c r="R25" s="45">
        <f t="shared" si="3"/>
        <v>0</v>
      </c>
      <c r="S25" s="16"/>
      <c r="T25" s="17">
        <v>0</v>
      </c>
      <c r="U25" s="17">
        <v>0</v>
      </c>
      <c r="V25" s="17">
        <v>0</v>
      </c>
      <c r="W25" s="16"/>
      <c r="X25" s="80">
        <v>20</v>
      </c>
      <c r="Y25" s="11">
        <f t="shared" si="4"/>
        <v>74</v>
      </c>
      <c r="Z25" s="11">
        <f t="shared" si="4"/>
        <v>0</v>
      </c>
      <c r="AA25" s="11">
        <f t="shared" si="4"/>
        <v>0</v>
      </c>
      <c r="AB25" s="11">
        <f t="shared" si="4"/>
        <v>0</v>
      </c>
      <c r="AC25" s="11">
        <f t="shared" si="4"/>
        <v>0</v>
      </c>
      <c r="AD25" s="11">
        <f t="shared" si="4"/>
        <v>0</v>
      </c>
      <c r="AE25" s="34"/>
      <c r="AF25" s="11">
        <f t="shared" si="7"/>
        <v>30</v>
      </c>
      <c r="AG25" s="11">
        <f t="shared" si="7"/>
        <v>3</v>
      </c>
      <c r="AH25" s="11">
        <f t="shared" si="7"/>
        <v>0</v>
      </c>
      <c r="AI25" s="11">
        <f t="shared" si="7"/>
        <v>0</v>
      </c>
      <c r="AJ25" s="34"/>
      <c r="AK25" s="11">
        <f t="shared" si="6"/>
        <v>25</v>
      </c>
      <c r="AL25" s="11">
        <f t="shared" si="8"/>
        <v>0</v>
      </c>
      <c r="AM25" s="11">
        <f t="shared" si="8"/>
        <v>0</v>
      </c>
      <c r="AN25" s="11">
        <f t="shared" si="8"/>
        <v>0</v>
      </c>
    </row>
    <row r="26" spans="1:40" x14ac:dyDescent="0.2">
      <c r="A26" s="80">
        <v>21</v>
      </c>
      <c r="B26" s="40">
        <v>14041</v>
      </c>
      <c r="C26" s="14"/>
      <c r="D26" s="14"/>
      <c r="E26" s="41"/>
      <c r="F26" s="18"/>
      <c r="G26" s="18"/>
      <c r="H26" s="15"/>
      <c r="I26" s="40">
        <v>30291</v>
      </c>
      <c r="J26" s="42">
        <v>3523</v>
      </c>
      <c r="K26" s="42"/>
      <c r="L26" s="18"/>
      <c r="M26" s="15"/>
      <c r="N26" s="41">
        <v>243315</v>
      </c>
      <c r="O26" s="41"/>
      <c r="P26" s="41"/>
      <c r="Q26" s="18"/>
      <c r="R26" s="45">
        <f t="shared" si="3"/>
        <v>0</v>
      </c>
      <c r="S26" s="16"/>
      <c r="T26" s="17">
        <v>0</v>
      </c>
      <c r="U26" s="17">
        <v>0</v>
      </c>
      <c r="V26" s="17">
        <v>0</v>
      </c>
      <c r="W26" s="16"/>
      <c r="X26" s="80">
        <v>21</v>
      </c>
      <c r="Y26" s="11">
        <f t="shared" si="4"/>
        <v>72</v>
      </c>
      <c r="Z26" s="11">
        <f t="shared" si="4"/>
        <v>0</v>
      </c>
      <c r="AA26" s="11">
        <f t="shared" si="4"/>
        <v>0</v>
      </c>
      <c r="AB26" s="11">
        <f t="shared" si="4"/>
        <v>0</v>
      </c>
      <c r="AC26" s="11">
        <f t="shared" si="4"/>
        <v>0</v>
      </c>
      <c r="AD26" s="11">
        <f t="shared" si="4"/>
        <v>0</v>
      </c>
      <c r="AE26" s="34"/>
      <c r="AF26" s="11">
        <f t="shared" si="7"/>
        <v>37</v>
      </c>
      <c r="AG26" s="11">
        <f t="shared" si="7"/>
        <v>16</v>
      </c>
      <c r="AH26" s="11">
        <f t="shared" si="7"/>
        <v>0</v>
      </c>
      <c r="AI26" s="11">
        <f t="shared" si="7"/>
        <v>0</v>
      </c>
      <c r="AJ26" s="34"/>
      <c r="AK26" s="11">
        <f t="shared" si="6"/>
        <v>24</v>
      </c>
      <c r="AL26" s="11">
        <f t="shared" si="8"/>
        <v>0</v>
      </c>
      <c r="AM26" s="11">
        <f t="shared" si="8"/>
        <v>0</v>
      </c>
      <c r="AN26" s="11">
        <f t="shared" si="8"/>
        <v>0</v>
      </c>
    </row>
    <row r="27" spans="1:40" x14ac:dyDescent="0.2">
      <c r="A27" s="80">
        <v>22</v>
      </c>
      <c r="B27" s="40">
        <v>14114</v>
      </c>
      <c r="C27" s="14"/>
      <c r="D27" s="14"/>
      <c r="E27" s="41"/>
      <c r="F27" s="18"/>
      <c r="G27" s="18"/>
      <c r="H27" s="15"/>
      <c r="I27" s="40">
        <v>30321</v>
      </c>
      <c r="J27" s="42">
        <v>3529</v>
      </c>
      <c r="K27" s="42"/>
      <c r="L27" s="18"/>
      <c r="M27" s="15"/>
      <c r="N27" s="41">
        <v>243339</v>
      </c>
      <c r="O27" s="41"/>
      <c r="P27" s="41"/>
      <c r="Q27" s="18"/>
      <c r="R27" s="45">
        <f t="shared" si="3"/>
        <v>0</v>
      </c>
      <c r="S27" s="16"/>
      <c r="T27" s="17">
        <v>0</v>
      </c>
      <c r="U27" s="17">
        <v>0</v>
      </c>
      <c r="V27" s="17">
        <v>0</v>
      </c>
      <c r="W27" s="16"/>
      <c r="X27" s="80">
        <v>22</v>
      </c>
      <c r="Y27" s="11">
        <f t="shared" si="4"/>
        <v>73</v>
      </c>
      <c r="Z27" s="11">
        <f t="shared" si="4"/>
        <v>0</v>
      </c>
      <c r="AA27" s="11">
        <f t="shared" si="4"/>
        <v>0</v>
      </c>
      <c r="AB27" s="11">
        <f t="shared" si="4"/>
        <v>0</v>
      </c>
      <c r="AC27" s="11">
        <f t="shared" si="4"/>
        <v>0</v>
      </c>
      <c r="AD27" s="11">
        <f t="shared" si="4"/>
        <v>0</v>
      </c>
      <c r="AE27" s="34"/>
      <c r="AF27" s="11">
        <f t="shared" si="7"/>
        <v>30</v>
      </c>
      <c r="AG27" s="11">
        <f t="shared" si="7"/>
        <v>6</v>
      </c>
      <c r="AH27" s="11">
        <f t="shared" si="7"/>
        <v>0</v>
      </c>
      <c r="AI27" s="11">
        <f t="shared" si="7"/>
        <v>0</v>
      </c>
      <c r="AJ27" s="34"/>
      <c r="AK27" s="11">
        <f t="shared" si="6"/>
        <v>24</v>
      </c>
      <c r="AL27" s="11">
        <f t="shared" si="8"/>
        <v>0</v>
      </c>
      <c r="AM27" s="11">
        <f t="shared" si="8"/>
        <v>0</v>
      </c>
      <c r="AN27" s="11">
        <f t="shared" si="8"/>
        <v>0</v>
      </c>
    </row>
    <row r="28" spans="1:40" x14ac:dyDescent="0.2">
      <c r="A28" s="80">
        <v>23</v>
      </c>
      <c r="B28" s="40">
        <v>14183</v>
      </c>
      <c r="C28" s="14"/>
      <c r="D28" s="14"/>
      <c r="E28" s="41"/>
      <c r="F28" s="18"/>
      <c r="G28" s="18"/>
      <c r="H28" s="15"/>
      <c r="I28" s="40">
        <v>30356</v>
      </c>
      <c r="J28" s="42">
        <v>3535</v>
      </c>
      <c r="K28" s="42"/>
      <c r="L28" s="18"/>
      <c r="M28" s="15"/>
      <c r="N28" s="41">
        <v>243363</v>
      </c>
      <c r="O28" s="41"/>
      <c r="P28" s="41"/>
      <c r="Q28" s="18"/>
      <c r="R28" s="45">
        <f t="shared" si="3"/>
        <v>0</v>
      </c>
      <c r="S28" s="16"/>
      <c r="T28" s="17">
        <v>0</v>
      </c>
      <c r="U28" s="17">
        <v>0</v>
      </c>
      <c r="V28" s="17">
        <v>0</v>
      </c>
      <c r="W28" s="16"/>
      <c r="X28" s="80">
        <v>23</v>
      </c>
      <c r="Y28" s="11">
        <f t="shared" si="4"/>
        <v>69</v>
      </c>
      <c r="Z28" s="11">
        <f t="shared" si="4"/>
        <v>0</v>
      </c>
      <c r="AA28" s="11">
        <f t="shared" si="4"/>
        <v>0</v>
      </c>
      <c r="AB28" s="11">
        <f t="shared" si="4"/>
        <v>0</v>
      </c>
      <c r="AC28" s="11">
        <f t="shared" si="4"/>
        <v>0</v>
      </c>
      <c r="AD28" s="11">
        <f t="shared" si="4"/>
        <v>0</v>
      </c>
      <c r="AE28" s="34"/>
      <c r="AF28" s="11">
        <f t="shared" si="7"/>
        <v>35</v>
      </c>
      <c r="AG28" s="11">
        <f t="shared" si="7"/>
        <v>6</v>
      </c>
      <c r="AH28" s="11">
        <f t="shared" si="7"/>
        <v>0</v>
      </c>
      <c r="AI28" s="11">
        <f t="shared" si="7"/>
        <v>0</v>
      </c>
      <c r="AJ28" s="34"/>
      <c r="AK28" s="11">
        <f t="shared" si="6"/>
        <v>22</v>
      </c>
      <c r="AL28" s="11">
        <f t="shared" si="8"/>
        <v>0</v>
      </c>
      <c r="AM28" s="11">
        <f t="shared" si="8"/>
        <v>0</v>
      </c>
      <c r="AN28" s="11">
        <f t="shared" si="8"/>
        <v>0</v>
      </c>
    </row>
    <row r="29" spans="1:40" x14ac:dyDescent="0.2">
      <c r="A29" s="80">
        <v>24</v>
      </c>
      <c r="B29" s="40">
        <v>14253</v>
      </c>
      <c r="C29" s="14"/>
      <c r="D29" s="14"/>
      <c r="E29" s="41"/>
      <c r="F29" s="18"/>
      <c r="G29" s="18"/>
      <c r="H29" s="15"/>
      <c r="I29" s="40">
        <v>30389</v>
      </c>
      <c r="J29" s="42">
        <v>3542</v>
      </c>
      <c r="K29" s="42"/>
      <c r="L29" s="18"/>
      <c r="M29" s="15"/>
      <c r="N29" s="41">
        <v>243385</v>
      </c>
      <c r="O29" s="41"/>
      <c r="P29" s="41"/>
      <c r="Q29" s="18"/>
      <c r="R29" s="45">
        <f t="shared" si="3"/>
        <v>0</v>
      </c>
      <c r="S29" s="16"/>
      <c r="T29" s="17">
        <v>0</v>
      </c>
      <c r="U29" s="17">
        <v>0</v>
      </c>
      <c r="V29" s="17">
        <v>0</v>
      </c>
      <c r="W29" s="16"/>
      <c r="X29" s="80">
        <v>24</v>
      </c>
      <c r="Y29" s="11">
        <f t="shared" si="4"/>
        <v>70</v>
      </c>
      <c r="Z29" s="11">
        <f t="shared" si="4"/>
        <v>0</v>
      </c>
      <c r="AA29" s="11">
        <f t="shared" si="4"/>
        <v>0</v>
      </c>
      <c r="AB29" s="11">
        <f t="shared" si="4"/>
        <v>0</v>
      </c>
      <c r="AC29" s="11">
        <f t="shared" si="4"/>
        <v>0</v>
      </c>
      <c r="AD29" s="11">
        <f t="shared" si="4"/>
        <v>0</v>
      </c>
      <c r="AE29" s="34"/>
      <c r="AF29" s="11">
        <f t="shared" si="7"/>
        <v>33</v>
      </c>
      <c r="AG29" s="11">
        <f t="shared" si="7"/>
        <v>7</v>
      </c>
      <c r="AH29" s="11">
        <f t="shared" si="7"/>
        <v>0</v>
      </c>
      <c r="AI29" s="11">
        <f t="shared" si="7"/>
        <v>0</v>
      </c>
      <c r="AJ29" s="34"/>
      <c r="AK29" s="11">
        <f t="shared" si="6"/>
        <v>22</v>
      </c>
      <c r="AL29" s="11">
        <f t="shared" si="8"/>
        <v>0</v>
      </c>
      <c r="AM29" s="11">
        <f t="shared" si="8"/>
        <v>0</v>
      </c>
      <c r="AN29" s="11">
        <f t="shared" si="8"/>
        <v>0</v>
      </c>
    </row>
    <row r="30" spans="1:40" x14ac:dyDescent="0.2">
      <c r="A30" s="80">
        <v>25</v>
      </c>
      <c r="B30" s="40">
        <v>14324</v>
      </c>
      <c r="C30" s="14"/>
      <c r="D30" s="14"/>
      <c r="E30" s="41"/>
      <c r="F30" s="18"/>
      <c r="G30" s="18"/>
      <c r="H30" s="15"/>
      <c r="I30" s="40">
        <v>30428</v>
      </c>
      <c r="J30" s="42">
        <v>3549</v>
      </c>
      <c r="K30" s="42"/>
      <c r="L30" s="18"/>
      <c r="M30" s="15"/>
      <c r="N30" s="41">
        <v>243407</v>
      </c>
      <c r="O30" s="41"/>
      <c r="P30" s="41"/>
      <c r="Q30" s="18"/>
      <c r="R30" s="45">
        <f t="shared" si="3"/>
        <v>0</v>
      </c>
      <c r="S30" s="16"/>
      <c r="T30" s="17">
        <v>0</v>
      </c>
      <c r="U30" s="17">
        <v>0</v>
      </c>
      <c r="V30" s="17">
        <v>0</v>
      </c>
      <c r="W30" s="16"/>
      <c r="X30" s="80">
        <v>25</v>
      </c>
      <c r="Y30" s="11">
        <f t="shared" si="4"/>
        <v>71</v>
      </c>
      <c r="Z30" s="11">
        <f t="shared" si="4"/>
        <v>0</v>
      </c>
      <c r="AA30" s="11">
        <f t="shared" si="4"/>
        <v>0</v>
      </c>
      <c r="AB30" s="11">
        <f t="shared" si="4"/>
        <v>0</v>
      </c>
      <c r="AC30" s="11">
        <f t="shared" si="4"/>
        <v>0</v>
      </c>
      <c r="AD30" s="11">
        <f t="shared" si="4"/>
        <v>0</v>
      </c>
      <c r="AE30" s="34"/>
      <c r="AF30" s="11">
        <f t="shared" si="7"/>
        <v>39</v>
      </c>
      <c r="AG30" s="11">
        <f t="shared" si="7"/>
        <v>7</v>
      </c>
      <c r="AH30" s="11">
        <f t="shared" si="7"/>
        <v>0</v>
      </c>
      <c r="AI30" s="11">
        <f t="shared" si="7"/>
        <v>0</v>
      </c>
      <c r="AJ30" s="34"/>
      <c r="AK30" s="11">
        <f t="shared" si="6"/>
        <v>24</v>
      </c>
      <c r="AL30" s="11">
        <f t="shared" si="8"/>
        <v>0</v>
      </c>
      <c r="AM30" s="11">
        <f t="shared" si="8"/>
        <v>0</v>
      </c>
      <c r="AN30" s="11">
        <f t="shared" si="8"/>
        <v>0</v>
      </c>
    </row>
    <row r="31" spans="1:40" x14ac:dyDescent="0.2">
      <c r="A31" s="80">
        <v>26</v>
      </c>
      <c r="B31" s="40">
        <v>14396</v>
      </c>
      <c r="C31" s="14"/>
      <c r="D31" s="14"/>
      <c r="E31" s="41"/>
      <c r="F31" s="18"/>
      <c r="G31" s="18"/>
      <c r="H31" s="15"/>
      <c r="I31" s="40">
        <v>30463</v>
      </c>
      <c r="J31" s="42">
        <v>3555</v>
      </c>
      <c r="K31" s="42"/>
      <c r="L31" s="18"/>
      <c r="M31" s="15"/>
      <c r="N31" s="41">
        <v>243431</v>
      </c>
      <c r="O31" s="41"/>
      <c r="P31" s="41"/>
      <c r="Q31" s="18"/>
      <c r="R31" s="45">
        <f t="shared" si="3"/>
        <v>0</v>
      </c>
      <c r="S31" s="16"/>
      <c r="T31" s="17">
        <v>0</v>
      </c>
      <c r="U31" s="17">
        <v>0</v>
      </c>
      <c r="V31" s="17">
        <v>0</v>
      </c>
      <c r="W31" s="16"/>
      <c r="X31" s="80">
        <v>26</v>
      </c>
      <c r="Y31" s="11">
        <f t="shared" si="4"/>
        <v>72</v>
      </c>
      <c r="Z31" s="11">
        <f t="shared" si="4"/>
        <v>0</v>
      </c>
      <c r="AA31" s="11">
        <f t="shared" si="4"/>
        <v>0</v>
      </c>
      <c r="AB31" s="11">
        <f t="shared" si="4"/>
        <v>0</v>
      </c>
      <c r="AC31" s="11">
        <f t="shared" si="4"/>
        <v>0</v>
      </c>
      <c r="AD31" s="11">
        <f t="shared" si="4"/>
        <v>0</v>
      </c>
      <c r="AE31" s="34"/>
      <c r="AF31" s="11">
        <f t="shared" si="7"/>
        <v>35</v>
      </c>
      <c r="AG31" s="11">
        <f t="shared" si="7"/>
        <v>6</v>
      </c>
      <c r="AH31" s="11">
        <f t="shared" si="7"/>
        <v>0</v>
      </c>
      <c r="AI31" s="11">
        <f t="shared" si="7"/>
        <v>0</v>
      </c>
      <c r="AJ31" s="34"/>
      <c r="AK31" s="11">
        <f t="shared" si="6"/>
        <v>24</v>
      </c>
      <c r="AL31" s="11">
        <f t="shared" si="8"/>
        <v>0</v>
      </c>
      <c r="AM31" s="11">
        <f t="shared" si="8"/>
        <v>0</v>
      </c>
      <c r="AN31" s="11">
        <f t="shared" si="8"/>
        <v>0</v>
      </c>
    </row>
    <row r="32" spans="1:40" x14ac:dyDescent="0.2">
      <c r="A32" s="80">
        <v>27</v>
      </c>
      <c r="B32" s="40">
        <v>14474</v>
      </c>
      <c r="C32" s="14"/>
      <c r="D32" s="14"/>
      <c r="E32" s="41"/>
      <c r="F32" s="18"/>
      <c r="G32" s="18"/>
      <c r="H32" s="15"/>
      <c r="I32" s="40">
        <v>30501</v>
      </c>
      <c r="J32" s="42">
        <v>3565</v>
      </c>
      <c r="K32" s="42"/>
      <c r="L32" s="18"/>
      <c r="M32" s="15"/>
      <c r="N32" s="41">
        <v>243455</v>
      </c>
      <c r="O32" s="41"/>
      <c r="P32" s="41"/>
      <c r="Q32" s="18"/>
      <c r="R32" s="45">
        <f t="shared" si="3"/>
        <v>0</v>
      </c>
      <c r="S32" s="16"/>
      <c r="T32" s="17">
        <v>0</v>
      </c>
      <c r="U32" s="17">
        <v>0</v>
      </c>
      <c r="V32" s="17">
        <v>0</v>
      </c>
      <c r="W32" s="16"/>
      <c r="X32" s="80">
        <v>27</v>
      </c>
      <c r="Y32" s="11">
        <f t="shared" si="4"/>
        <v>78</v>
      </c>
      <c r="Z32" s="11">
        <f t="shared" si="4"/>
        <v>0</v>
      </c>
      <c r="AA32" s="11">
        <f t="shared" si="4"/>
        <v>0</v>
      </c>
      <c r="AB32" s="11">
        <f t="shared" si="4"/>
        <v>0</v>
      </c>
      <c r="AC32" s="11">
        <f t="shared" si="4"/>
        <v>0</v>
      </c>
      <c r="AD32" s="11">
        <f t="shared" si="4"/>
        <v>0</v>
      </c>
      <c r="AE32" s="34"/>
      <c r="AF32" s="11">
        <f t="shared" si="7"/>
        <v>38</v>
      </c>
      <c r="AG32" s="11">
        <f t="shared" si="7"/>
        <v>10</v>
      </c>
      <c r="AH32" s="11">
        <f t="shared" si="7"/>
        <v>0</v>
      </c>
      <c r="AI32" s="11">
        <f t="shared" si="7"/>
        <v>0</v>
      </c>
      <c r="AJ32" s="34"/>
      <c r="AK32" s="11">
        <f t="shared" si="6"/>
        <v>24</v>
      </c>
      <c r="AL32" s="11">
        <f t="shared" si="8"/>
        <v>0</v>
      </c>
      <c r="AM32" s="11">
        <f t="shared" si="8"/>
        <v>0</v>
      </c>
      <c r="AN32" s="11">
        <f t="shared" si="8"/>
        <v>0</v>
      </c>
    </row>
    <row r="33" spans="1:40" x14ac:dyDescent="0.2">
      <c r="A33" s="80">
        <v>28</v>
      </c>
      <c r="B33" s="40">
        <v>14547</v>
      </c>
      <c r="C33" s="14"/>
      <c r="D33" s="14"/>
      <c r="E33" s="41"/>
      <c r="F33" s="18"/>
      <c r="G33" s="18"/>
      <c r="H33" s="15"/>
      <c r="I33" s="40">
        <v>30536</v>
      </c>
      <c r="J33" s="42">
        <v>3570</v>
      </c>
      <c r="K33" s="42"/>
      <c r="L33" s="18"/>
      <c r="M33" s="15"/>
      <c r="N33" s="41">
        <v>243479</v>
      </c>
      <c r="O33" s="41"/>
      <c r="P33" s="41"/>
      <c r="Q33" s="18"/>
      <c r="R33" s="45">
        <f>Q33-Q32</f>
        <v>0</v>
      </c>
      <c r="S33" s="16"/>
      <c r="T33" s="17">
        <v>0</v>
      </c>
      <c r="U33" s="17">
        <v>0</v>
      </c>
      <c r="V33" s="17">
        <v>0</v>
      </c>
      <c r="W33" s="16"/>
      <c r="X33" s="80">
        <v>28</v>
      </c>
      <c r="Y33" s="11">
        <f t="shared" ref="Y33:AD33" si="9">B33-B32</f>
        <v>73</v>
      </c>
      <c r="Z33" s="11">
        <f t="shared" si="9"/>
        <v>0</v>
      </c>
      <c r="AA33" s="11">
        <f t="shared" si="9"/>
        <v>0</v>
      </c>
      <c r="AB33" s="11">
        <f t="shared" si="9"/>
        <v>0</v>
      </c>
      <c r="AC33" s="11">
        <f t="shared" si="9"/>
        <v>0</v>
      </c>
      <c r="AD33" s="11">
        <f t="shared" si="9"/>
        <v>0</v>
      </c>
      <c r="AE33" s="34"/>
      <c r="AF33" s="11">
        <f>I33-I32</f>
        <v>35</v>
      </c>
      <c r="AG33" s="11">
        <f>J33-J32</f>
        <v>5</v>
      </c>
      <c r="AH33" s="11">
        <f>K33-K32</f>
        <v>0</v>
      </c>
      <c r="AI33" s="11">
        <f>L33-L32</f>
        <v>0</v>
      </c>
      <c r="AJ33" s="34"/>
      <c r="AK33" s="11" t="e">
        <f>#REF!-N33</f>
        <v>#REF!</v>
      </c>
      <c r="AL33" s="11">
        <f>O33-O32</f>
        <v>0</v>
      </c>
      <c r="AM33" s="11">
        <f>P33-P32</f>
        <v>0</v>
      </c>
      <c r="AN33" s="11">
        <f>Q33-Q32</f>
        <v>0</v>
      </c>
    </row>
    <row r="34" spans="1:40" x14ac:dyDescent="0.2">
      <c r="A34" s="75">
        <v>29</v>
      </c>
      <c r="B34" s="40">
        <v>14626</v>
      </c>
      <c r="C34" s="14"/>
      <c r="D34" s="14"/>
      <c r="E34" s="41"/>
      <c r="F34" s="18"/>
      <c r="G34" s="18"/>
      <c r="H34" s="15"/>
      <c r="I34" s="40">
        <v>30573</v>
      </c>
      <c r="J34" s="42">
        <v>3577</v>
      </c>
      <c r="K34" s="42"/>
      <c r="L34" s="18"/>
      <c r="M34" s="15"/>
      <c r="N34" s="41">
        <v>243504</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14706</v>
      </c>
      <c r="C35" s="14"/>
      <c r="D35" s="14"/>
      <c r="E35" s="41"/>
      <c r="F35" s="18"/>
      <c r="G35" s="18"/>
      <c r="H35" s="15"/>
      <c r="I35" s="40">
        <v>30610</v>
      </c>
      <c r="J35" s="42">
        <v>3584</v>
      </c>
      <c r="K35" s="42"/>
      <c r="L35" s="18"/>
      <c r="M35" s="15"/>
      <c r="N35" s="41">
        <v>243529</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v>14786</v>
      </c>
      <c r="C36" s="14"/>
      <c r="D36" s="14"/>
      <c r="E36" s="41"/>
      <c r="F36" s="18"/>
      <c r="G36" s="18"/>
      <c r="H36" s="15"/>
      <c r="I36" s="40">
        <v>30640</v>
      </c>
      <c r="J36" s="42">
        <v>3591</v>
      </c>
      <c r="K36" s="42"/>
      <c r="L36" s="18"/>
      <c r="M36" s="15"/>
      <c r="N36" s="41">
        <v>243554</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80" t="s">
        <v>34</v>
      </c>
      <c r="B39" s="10">
        <f>LARGE(B5:B35, 1)</f>
        <v>14706</v>
      </c>
      <c r="C39" s="11" t="e">
        <f>LARGE(C5:C33, 1)</f>
        <v>#REF!</v>
      </c>
      <c r="D39" s="11" t="e">
        <f>LARGE(D5:D33, 1)</f>
        <v>#REF!</v>
      </c>
      <c r="E39" s="22" t="e">
        <f>LARGE(E5:E33, 1)</f>
        <v>#REF!</v>
      </c>
      <c r="F39" s="10" t="e">
        <f>LARGE(F5:F33, 1)</f>
        <v>#REF!</v>
      </c>
      <c r="G39" s="10" t="e">
        <f>LARGE(G5:G33, 1)</f>
        <v>#REF!</v>
      </c>
      <c r="H39" s="81"/>
      <c r="I39" s="10">
        <f>LARGE(I5:I33, 1)</f>
        <v>30536</v>
      </c>
      <c r="J39" s="24">
        <f>LARGE(J5:J33, 1)</f>
        <v>5458</v>
      </c>
      <c r="K39" s="24" t="e">
        <f>LARGE(K5:K33, 1)</f>
        <v>#REF!</v>
      </c>
      <c r="L39" s="10" t="e">
        <f>LARGE(L5:L33, 1)</f>
        <v>#REF!</v>
      </c>
      <c r="M39" s="8"/>
      <c r="N39" s="22">
        <f>LARGE(N5:N35, 1)</f>
        <v>243529</v>
      </c>
      <c r="O39" s="22" t="e">
        <f>LARGE(O5:O33, 1)</f>
        <v>#REF!</v>
      </c>
      <c r="P39" s="22" t="e">
        <f>LARGE(P5:P33, 1)</f>
        <v>#REF!</v>
      </c>
      <c r="Q39" s="10" t="e">
        <f>LARGE(Q5:Q33, 1)</f>
        <v>#REF!</v>
      </c>
      <c r="R39" s="19"/>
      <c r="S39" s="9"/>
      <c r="T39" s="11">
        <f>LARGE(T5:T33, 1)</f>
        <v>0</v>
      </c>
      <c r="U39" s="11">
        <f>LARGE(U5:U33, 1)</f>
        <v>0</v>
      </c>
      <c r="V39" s="11">
        <f>LARGE(V5:V33, 1)</f>
        <v>0</v>
      </c>
      <c r="X39" s="80" t="s">
        <v>35</v>
      </c>
      <c r="Y39" s="55">
        <f t="shared" ref="Y39:AD39" si="10">AVERAGEIF($W$6:$W$33, "x",Y6:Y33)</f>
        <v>4962</v>
      </c>
      <c r="Z39" s="55" t="e">
        <f t="shared" si="10"/>
        <v>#REF!</v>
      </c>
      <c r="AA39" s="55" t="e">
        <f t="shared" si="10"/>
        <v>#REF!</v>
      </c>
      <c r="AB39" s="55" t="e">
        <f t="shared" si="10"/>
        <v>#REF!</v>
      </c>
      <c r="AC39" s="55" t="e">
        <f t="shared" si="10"/>
        <v>#REF!</v>
      </c>
      <c r="AD39" s="55" t="e">
        <f t="shared" si="10"/>
        <v>#REF!</v>
      </c>
      <c r="AE39" s="56"/>
      <c r="AF39" s="55">
        <f>AVERAGEIF($W$6:$W$33, "x",AF6:AF33)</f>
        <v>2970</v>
      </c>
      <c r="AG39" s="55">
        <f>AVERAGEIF($W$6:$W$33, "x",AG6:AG33)</f>
        <v>264</v>
      </c>
      <c r="AH39" s="55" t="e">
        <f>AVERAGEIF($W$6:$W$33, "x",AH6:AH33)</f>
        <v>#REF!</v>
      </c>
      <c r="AI39" s="55" t="e">
        <f>AVERAGEIF($W$6:$W$33, "x",AI6:AI33)</f>
        <v>#REF!</v>
      </c>
      <c r="AJ39" s="56"/>
      <c r="AK39" s="55">
        <f>AVERAGEIF($W$6:$W$33, "x",AK6:AK33)</f>
        <v>1962</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95"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6892</v>
      </c>
      <c r="C42" s="26" t="e">
        <f t="shared" si="11"/>
        <v>#REF!</v>
      </c>
      <c r="D42" s="26" t="e">
        <f t="shared" si="11"/>
        <v>#REF!</v>
      </c>
      <c r="E42" s="26" t="e">
        <f t="shared" si="11"/>
        <v>#REF!</v>
      </c>
      <c r="F42" s="26" t="e">
        <f t="shared" si="11"/>
        <v>#REF!</v>
      </c>
      <c r="G42" s="26" t="e">
        <f t="shared" si="11"/>
        <v>#REF!</v>
      </c>
      <c r="I42" s="26">
        <f>I39-I5</f>
        <v>3756</v>
      </c>
      <c r="J42" s="26">
        <f>J39-J5</f>
        <v>2267</v>
      </c>
      <c r="K42" s="26" t="e">
        <f>K39-K5</f>
        <v>#REF!</v>
      </c>
      <c r="L42" s="26" t="e">
        <f>L39-L5</f>
        <v>#REF!</v>
      </c>
      <c r="N42" s="26">
        <f>N39-N6</f>
        <v>704</v>
      </c>
      <c r="O42" s="26" t="e">
        <f>O39-O5</f>
        <v>#REF!</v>
      </c>
      <c r="P42" s="26" t="e">
        <f>P39-P5</f>
        <v>#REF!</v>
      </c>
      <c r="Q42" s="26" t="e">
        <f>Q39-Q5</f>
        <v>#REF!</v>
      </c>
      <c r="R42" s="26"/>
      <c r="T42" s="26">
        <f>T39-T5</f>
        <v>0</v>
      </c>
      <c r="U42" s="26">
        <f>U39-U5</f>
        <v>0</v>
      </c>
      <c r="V42" s="26">
        <f>V39-V5</f>
        <v>0</v>
      </c>
      <c r="X42" s="96"/>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80">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80">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82" t="s">
        <v>39</v>
      </c>
      <c r="AA46" s="82"/>
      <c r="AB46" s="82"/>
      <c r="AC46" s="82"/>
      <c r="AD46" s="82"/>
      <c r="AE46" s="82"/>
      <c r="AF46" s="82"/>
      <c r="AG46" s="82"/>
      <c r="AH46" s="82"/>
      <c r="AI46" s="82"/>
      <c r="AJ46" s="82"/>
      <c r="AK46" s="82"/>
      <c r="AL46" s="82"/>
      <c r="AM46" s="82"/>
      <c r="AN46" s="82"/>
    </row>
    <row r="47" spans="1:40" ht="15" x14ac:dyDescent="0.2">
      <c r="A47" s="12"/>
      <c r="X47" s="12"/>
      <c r="Y47" s="59" t="s">
        <v>40</v>
      </c>
      <c r="Z47" s="82" t="s">
        <v>41</v>
      </c>
      <c r="AA47" s="82"/>
      <c r="AB47" s="82"/>
      <c r="AC47" s="82"/>
      <c r="AD47" s="82"/>
      <c r="AE47" s="82"/>
      <c r="AF47" s="82"/>
      <c r="AG47" s="82"/>
      <c r="AH47" s="82"/>
      <c r="AI47" s="82"/>
      <c r="AJ47" s="82"/>
      <c r="AK47" s="82"/>
      <c r="AL47" s="82"/>
      <c r="AM47" s="82"/>
      <c r="AN47" s="82"/>
    </row>
    <row r="48" spans="1:40" ht="27" x14ac:dyDescent="0.2">
      <c r="A48" s="12"/>
      <c r="X48" s="63" t="s">
        <v>42</v>
      </c>
      <c r="Y48" s="60" t="s">
        <v>43</v>
      </c>
      <c r="Z48" s="82" t="s">
        <v>44</v>
      </c>
      <c r="AA48" s="82"/>
      <c r="AB48" s="82"/>
      <c r="AC48" s="82"/>
      <c r="AD48" s="82"/>
      <c r="AE48" s="82"/>
      <c r="AF48" s="82"/>
      <c r="AG48" s="82"/>
      <c r="AH48" s="82"/>
      <c r="AI48" s="82"/>
      <c r="AJ48" s="82"/>
      <c r="AK48" s="82"/>
      <c r="AL48" s="82"/>
      <c r="AM48" s="82"/>
      <c r="AN48" s="82"/>
    </row>
    <row r="49" spans="1:40" x14ac:dyDescent="0.2">
      <c r="A49" s="12"/>
      <c r="X49" s="12"/>
      <c r="Y49" s="61" t="s">
        <v>45</v>
      </c>
      <c r="Z49" s="83" t="s">
        <v>46</v>
      </c>
      <c r="AA49" s="83"/>
      <c r="AB49" s="83"/>
      <c r="AC49" s="83"/>
      <c r="AD49" s="83"/>
      <c r="AE49" s="83"/>
      <c r="AF49" s="83"/>
      <c r="AG49" s="83"/>
      <c r="AH49" s="83"/>
      <c r="AI49" s="83"/>
      <c r="AJ49" s="83"/>
      <c r="AK49" s="83"/>
      <c r="AL49" s="83"/>
      <c r="AM49" s="83"/>
      <c r="AN49" s="83"/>
    </row>
    <row r="50" spans="1:40" ht="27" x14ac:dyDescent="0.2">
      <c r="A50" s="12"/>
      <c r="X50" s="63" t="s">
        <v>42</v>
      </c>
      <c r="Y50" s="62" t="s">
        <v>47</v>
      </c>
      <c r="Z50" s="82" t="s">
        <v>48</v>
      </c>
      <c r="AA50" s="83"/>
      <c r="AB50" s="83"/>
      <c r="AC50" s="83"/>
      <c r="AD50" s="83"/>
      <c r="AE50" s="83"/>
      <c r="AF50" s="83"/>
      <c r="AG50" s="83"/>
      <c r="AH50" s="83"/>
      <c r="AI50" s="83"/>
      <c r="AJ50" s="83"/>
      <c r="AK50" s="83"/>
      <c r="AL50" s="83"/>
      <c r="AM50" s="83"/>
      <c r="AN50" s="83"/>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53" priority="43" operator="lessThan">
      <formula>0</formula>
    </cfRule>
  </conditionalFormatting>
  <conditionalFormatting sqref="Y43:AD44 AF43:AI44 AK43:AN43 AK44:AL44">
    <cfRule type="cellIs" dxfId="52" priority="42" operator="lessThan">
      <formula>0</formula>
    </cfRule>
  </conditionalFormatting>
  <conditionalFormatting sqref="AM44:AN44">
    <cfRule type="cellIs" dxfId="51" priority="41" operator="lessThan">
      <formula>0</formula>
    </cfRule>
  </conditionalFormatting>
  <conditionalFormatting sqref="Y39:AN39">
    <cfRule type="cellIs" dxfId="50" priority="40" operator="lessThan">
      <formula>0</formula>
    </cfRule>
  </conditionalFormatting>
  <conditionalFormatting sqref="Y39">
    <cfRule type="cellIs" dxfId="49" priority="38" operator="lessThan">
      <formula>$Y$44</formula>
    </cfRule>
    <cfRule type="cellIs" dxfId="48" priority="39" operator="greaterThan">
      <formula>$Y$43</formula>
    </cfRule>
  </conditionalFormatting>
  <conditionalFormatting sqref="AB39">
    <cfRule type="cellIs" dxfId="47" priority="36" operator="lessThan">
      <formula>$AB$44</formula>
    </cfRule>
    <cfRule type="cellIs" dxfId="46" priority="37" operator="greaterThan">
      <formula>$AB$43</formula>
    </cfRule>
  </conditionalFormatting>
  <conditionalFormatting sqref="AC39">
    <cfRule type="cellIs" dxfId="45" priority="34" operator="lessThan">
      <formula>$AC$44</formula>
    </cfRule>
    <cfRule type="cellIs" dxfId="44" priority="35" operator="greaterThan">
      <formula>$AC$43</formula>
    </cfRule>
  </conditionalFormatting>
  <conditionalFormatting sqref="AD39">
    <cfRule type="cellIs" dxfId="43" priority="32" operator="lessThan">
      <formula>$AD$44</formula>
    </cfRule>
    <cfRule type="cellIs" dxfId="42" priority="33" operator="greaterThan">
      <formula>$AD$43</formula>
    </cfRule>
  </conditionalFormatting>
  <conditionalFormatting sqref="AF39">
    <cfRule type="cellIs" dxfId="41" priority="30" operator="lessThan">
      <formula>$AF$44</formula>
    </cfRule>
    <cfRule type="cellIs" dxfId="40" priority="31" operator="greaterThan">
      <formula>$AF$43</formula>
    </cfRule>
  </conditionalFormatting>
  <conditionalFormatting sqref="AG39">
    <cfRule type="cellIs" dxfId="39" priority="28" operator="lessThan">
      <formula>$AG$44</formula>
    </cfRule>
    <cfRule type="cellIs" dxfId="38" priority="29" operator="greaterThan">
      <formula>$AG$43</formula>
    </cfRule>
  </conditionalFormatting>
  <conditionalFormatting sqref="AH39">
    <cfRule type="cellIs" dxfId="37" priority="26" operator="lessThan">
      <formula>$AH$44</formula>
    </cfRule>
    <cfRule type="cellIs" dxfId="36" priority="27" operator="greaterThan">
      <formula>$AH$43</formula>
    </cfRule>
  </conditionalFormatting>
  <conditionalFormatting sqref="AI39">
    <cfRule type="cellIs" dxfId="35" priority="24" operator="lessThan">
      <formula>$AI$44</formula>
    </cfRule>
    <cfRule type="cellIs" dxfId="34" priority="25" operator="greaterThan">
      <formula>$AI$43</formula>
    </cfRule>
  </conditionalFormatting>
  <conditionalFormatting sqref="AK39">
    <cfRule type="cellIs" dxfId="33" priority="22" operator="lessThan">
      <formula>$AK$44</formula>
    </cfRule>
    <cfRule type="cellIs" dxfId="32" priority="23" operator="greaterThan">
      <formula>$AK$43</formula>
    </cfRule>
  </conditionalFormatting>
  <conditionalFormatting sqref="AL39">
    <cfRule type="cellIs" dxfId="31" priority="20" operator="lessThan">
      <formula>$AL$44</formula>
    </cfRule>
    <cfRule type="cellIs" dxfId="30" priority="21" operator="greaterThan">
      <formula>$AL$43</formula>
    </cfRule>
  </conditionalFormatting>
  <conditionalFormatting sqref="AM39">
    <cfRule type="cellIs" dxfId="29" priority="18" operator="lessThan">
      <formula>$AM$44</formula>
    </cfRule>
    <cfRule type="cellIs" dxfId="28" priority="19" operator="greaterThan">
      <formula>$AM$43</formula>
    </cfRule>
  </conditionalFormatting>
  <conditionalFormatting sqref="AN39">
    <cfRule type="cellIs" dxfId="27" priority="16" operator="lessThan">
      <formula>$AN$44</formula>
    </cfRule>
    <cfRule type="cellIs" dxfId="26" priority="17" operator="greaterThan">
      <formula>$AN$43</formula>
    </cfRule>
  </conditionalFormatting>
  <conditionalFormatting sqref="AB6:AB36">
    <cfRule type="cellIs" dxfId="25" priority="15" operator="notBetween">
      <formula>$AB$44</formula>
      <formula>$AB$43</formula>
    </cfRule>
  </conditionalFormatting>
  <conditionalFormatting sqref="AC6:AC36">
    <cfRule type="cellIs" dxfId="24" priority="4" operator="notBetween">
      <formula>$AC$43</formula>
      <formula>$AC$44</formula>
    </cfRule>
  </conditionalFormatting>
  <conditionalFormatting sqref="Y6:AN36">
    <cfRule type="cellIs" dxfId="23" priority="2" stopIfTrue="1" operator="equal">
      <formula>0</formula>
    </cfRule>
    <cfRule type="cellIs" dxfId="22" priority="3" stopIfTrue="1" operator="lessThan">
      <formula>0</formula>
    </cfRule>
  </conditionalFormatting>
  <conditionalFormatting sqref="Y6:Y36">
    <cfRule type="cellIs" dxfId="21" priority="13" operator="notBetween">
      <formula>$Y$44</formula>
      <formula>$Y$43</formula>
    </cfRule>
  </conditionalFormatting>
  <conditionalFormatting sqref="AD6:AD36">
    <cfRule type="cellIs" dxfId="20" priority="5" operator="notBetween">
      <formula>$AD$44</formula>
      <formula>$AD$43</formula>
    </cfRule>
  </conditionalFormatting>
  <conditionalFormatting sqref="AF6:AF36">
    <cfRule type="cellIs" dxfId="19" priority="6" operator="notBetween">
      <formula>$AF$44</formula>
      <formula>$AF$43</formula>
    </cfRule>
  </conditionalFormatting>
  <conditionalFormatting sqref="AG6:AG36">
    <cfRule type="cellIs" dxfId="18" priority="7" operator="notBetween">
      <formula>$AG$44</formula>
      <formula>$AG$43</formula>
    </cfRule>
  </conditionalFormatting>
  <conditionalFormatting sqref="AH6:AH36">
    <cfRule type="cellIs" dxfId="17" priority="8" operator="notBetween">
      <formula>$AH$44</formula>
      <formula>$AH$43</formula>
    </cfRule>
  </conditionalFormatting>
  <conditionalFormatting sqref="AI6:AI36">
    <cfRule type="cellIs" dxfId="16" priority="9" operator="notBetween">
      <formula>$AI$44</formula>
      <formula>$AI$43</formula>
    </cfRule>
  </conditionalFormatting>
  <conditionalFormatting sqref="AK6:AK36">
    <cfRule type="cellIs" dxfId="15" priority="10" operator="notBetween">
      <formula>$AK$44</formula>
      <formula>$AK$43</formula>
    </cfRule>
  </conditionalFormatting>
  <conditionalFormatting sqref="AL6:AL36">
    <cfRule type="cellIs" dxfId="14" priority="11" operator="notBetween">
      <formula>$AL$44</formula>
      <formula>$AL$43</formula>
    </cfRule>
  </conditionalFormatting>
  <conditionalFormatting sqref="AM6:AM36">
    <cfRule type="cellIs" dxfId="13" priority="14" operator="notBetween">
      <formula>$AM$44</formula>
      <formula>$AM$43</formula>
    </cfRule>
  </conditionalFormatting>
  <conditionalFormatting sqref="AN6:AN36">
    <cfRule type="cellIs" dxfId="12"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1" priority="44" stopIfTrue="1" operator="greaterThan">
      <formula>$AG$43*2</formula>
    </cfRule>
  </conditionalFormatting>
  <conditionalFormatting sqref="Y6:Y39">
    <cfRule type="cellIs" dxfId="10" priority="45" stopIfTrue="1" operator="greaterThan">
      <formula>$Y$43*2</formula>
    </cfRule>
  </conditionalFormatting>
  <conditionalFormatting sqref="AB6:AB39">
    <cfRule type="cellIs" dxfId="9" priority="46" stopIfTrue="1" operator="greaterThan">
      <formula>$AB$43*2</formula>
    </cfRule>
  </conditionalFormatting>
  <conditionalFormatting sqref="AC6:AC39">
    <cfRule type="cellIs" dxfId="8" priority="47" stopIfTrue="1" operator="greaterThan">
      <formula>$AC$43*2</formula>
    </cfRule>
  </conditionalFormatting>
  <conditionalFormatting sqref="AD6:AD39">
    <cfRule type="cellIs" dxfId="7" priority="48" stopIfTrue="1" operator="greaterThan">
      <formula>$AD$43*2</formula>
    </cfRule>
  </conditionalFormatting>
  <conditionalFormatting sqref="AF6:AF39">
    <cfRule type="cellIs" dxfId="6" priority="49" stopIfTrue="1" operator="greaterThan">
      <formula>$AF$43*2</formula>
    </cfRule>
  </conditionalFormatting>
  <conditionalFormatting sqref="AH6:AH39">
    <cfRule type="cellIs" dxfId="5" priority="50" stopIfTrue="1" operator="greaterThan">
      <formula>$AH$43*2</formula>
    </cfRule>
  </conditionalFormatting>
  <conditionalFormatting sqref="AI6:AI39">
    <cfRule type="cellIs" dxfId="4" priority="51" stopIfTrue="1" operator="greaterThan">
      <formula>$AI$43*2</formula>
    </cfRule>
  </conditionalFormatting>
  <conditionalFormatting sqref="AK6:AK39">
    <cfRule type="cellIs" dxfId="3" priority="52" stopIfTrue="1" operator="greaterThan">
      <formula>$AK$43*2</formula>
    </cfRule>
  </conditionalFormatting>
  <conditionalFormatting sqref="AL6:AL39">
    <cfRule type="cellIs" dxfId="2" priority="53" stopIfTrue="1" operator="greaterThan">
      <formula>$AL$43*2</formula>
    </cfRule>
  </conditionalFormatting>
  <conditionalFormatting sqref="AM6:AM39">
    <cfRule type="cellIs" dxfId="1" priority="54" stopIfTrue="1" operator="greaterThan">
      <formula>$AM$43*2</formula>
    </cfRule>
  </conditionalFormatting>
  <conditionalFormatting sqref="AN6:AN39">
    <cfRule type="cellIs" dxfId="0" priority="55" stopIfTrue="1" operator="greaterThan">
      <formula>$AN$43*2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baf53ce-c784-4a12-8ee0-51f8f1a018ac">
      <UserInfo>
        <DisplayName>Dennis Vasta</DisplayName>
        <AccountId>23</AccountId>
        <AccountType/>
      </UserInfo>
      <UserInfo>
        <DisplayName>Brittany Bonin</DisplayName>
        <AccountId>26</AccountId>
        <AccountType/>
      </UserInfo>
      <UserInfo>
        <DisplayName>Farida Rafizada Mammadova</DisplayName>
        <AccountId>31</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B43EF29E7AD14D9DEC469B5A527FAA" ma:contentTypeVersion="10" ma:contentTypeDescription="Create a new document." ma:contentTypeScope="" ma:versionID="020b5cb58af048028693d55be12cb869">
  <xsd:schema xmlns:xsd="http://www.w3.org/2001/XMLSchema" xmlns:xs="http://www.w3.org/2001/XMLSchema" xmlns:p="http://schemas.microsoft.com/office/2006/metadata/properties" xmlns:ns2="eff43ebd-2a19-4bb7-a86e-e6d7ee257b8d" xmlns:ns3="7baf53ce-c784-4a12-8ee0-51f8f1a018ac" targetNamespace="http://schemas.microsoft.com/office/2006/metadata/properties" ma:root="true" ma:fieldsID="24c8583661a988b1456e2f48b8255a21" ns2:_="" ns3:_="">
    <xsd:import namespace="eff43ebd-2a19-4bb7-a86e-e6d7ee257b8d"/>
    <xsd:import namespace="7baf53ce-c784-4a12-8ee0-51f8f1a018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43ebd-2a19-4bb7-a86e-e6d7ee257b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af53ce-c784-4a12-8ee0-51f8f1a018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D698B9-F28E-4E13-8C70-3EF09CB0CB11}">
  <ds:schemaRefs>
    <ds:schemaRef ds:uri="http://purl.org/dc/terms/"/>
    <ds:schemaRef ds:uri="http://schemas.openxmlformats.org/package/2006/metadata/core-properties"/>
    <ds:schemaRef ds:uri="http://schemas.microsoft.com/office/2006/metadata/properties"/>
    <ds:schemaRef ds:uri="http://schemas.microsoft.com/office/infopath/2007/PartnerControls"/>
    <ds:schemaRef ds:uri="7baf53ce-c784-4a12-8ee0-51f8f1a018ac"/>
    <ds:schemaRef ds:uri="http://purl.org/dc/elements/1.1/"/>
    <ds:schemaRef ds:uri="http://purl.org/dc/dcmitype/"/>
    <ds:schemaRef ds:uri="http://www.w3.org/XML/1998/namespace"/>
    <ds:schemaRef ds:uri="http://schemas.microsoft.com/office/2006/documentManagement/types"/>
    <ds:schemaRef ds:uri="eff43ebd-2a19-4bb7-a86e-e6d7ee257b8d"/>
  </ds:schemaRefs>
</ds:datastoreItem>
</file>

<file path=customXml/itemProps2.xml><?xml version="1.0" encoding="utf-8"?>
<ds:datastoreItem xmlns:ds="http://schemas.openxmlformats.org/officeDocument/2006/customXml" ds:itemID="{B0CD92DD-BF1F-44DB-B665-24E58648D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43ebd-2a19-4bb7-a86e-e6d7ee257b8d"/>
    <ds:schemaRef ds:uri="7baf53ce-c784-4a12-8ee0-51f8f1a018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AF33F2-C5CA-41CC-ACE1-3880AA0FCF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15</vt:i4>
      </vt:variant>
    </vt:vector>
  </HeadingPairs>
  <TitlesOfParts>
    <vt:vector size="36" baseType="lpstr">
      <vt:lpstr>Dec 19</vt:lpstr>
      <vt:lpstr>Annual Consumption</vt:lpstr>
      <vt:lpstr>Jan</vt:lpstr>
      <vt:lpstr>Feb</vt:lpstr>
      <vt:lpstr>Mar</vt:lpstr>
      <vt:lpstr>Apr</vt:lpstr>
      <vt:lpstr>May</vt:lpstr>
      <vt:lpstr>Jun</vt:lpstr>
      <vt:lpstr>Jul</vt:lpstr>
      <vt:lpstr>Aug</vt:lpstr>
      <vt:lpstr>Sep</vt:lpstr>
      <vt:lpstr>Oct</vt:lpstr>
      <vt:lpstr>Dec</vt:lpstr>
      <vt:lpstr>Nov</vt:lpstr>
      <vt:lpstr>Jan 21</vt:lpstr>
      <vt:lpstr>Feb 21</vt:lpstr>
      <vt:lpstr>March21</vt:lpstr>
      <vt:lpstr>April 2021 (2)</vt:lpstr>
      <vt:lpstr>May 2021</vt:lpstr>
      <vt:lpstr>June 2021</vt:lpstr>
      <vt:lpstr>July 2021</vt:lpstr>
      <vt:lpstr>'Annual Consumption'!Print_Area</vt:lpstr>
      <vt:lpstr>Apr!Print_Area</vt:lpstr>
      <vt:lpstr>Aug!Print_Area</vt:lpstr>
      <vt:lpstr>Dec!Print_Area</vt:lpstr>
      <vt:lpstr>'Dec 19'!Print_Area</vt:lpstr>
      <vt:lpstr>Feb!Print_Area</vt:lpstr>
      <vt:lpstr>Jan!Print_Area</vt:lpstr>
      <vt:lpstr>'Jan 21'!Print_Area</vt:lpstr>
      <vt:lpstr>Jul!Print_Area</vt:lpstr>
      <vt:lpstr>Jun!Print_Area</vt:lpstr>
      <vt:lpstr>Mar!Print_Area</vt:lpstr>
      <vt:lpstr>May!Print_Area</vt:lpstr>
      <vt:lpstr>Nov!Print_Area</vt:lpstr>
      <vt:lpstr>Oct!Print_Area</vt:lpstr>
      <vt:lpstr>Sep!Print_Area</vt:lpstr>
    </vt:vector>
  </TitlesOfParts>
  <Manager/>
  <Company>Four Seasons Hotel Atlanta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Jhanadean Berkley</dc:creator>
  <cp:keywords/>
  <dc:description/>
  <cp:lastModifiedBy>Brittany Bonin</cp:lastModifiedBy>
  <cp:revision/>
  <dcterms:created xsi:type="dcterms:W3CDTF">2001-01-04T18:06:24Z</dcterms:created>
  <dcterms:modified xsi:type="dcterms:W3CDTF">2021-08-02T18:01:27Z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0x01010051B43EF29E7AD14D9DEC469B5A527FAA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Order">
    <vt:r8>9800</vt:r8>
  </property>
  <property fmtid="{D5CDD505-2E9C-101B-9397-08002B2CF9AE}" pid="6" name="ComplianceAssetId">
    <vt:lpwstr/>
  </property>
</Properties>
</file>