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7470" windowHeight="7640" tabRatio="762"/>
  </bookViews>
  <sheets>
    <sheet name="TOTAL" sheetId="11" r:id="rId1"/>
    <sheet name="FS Jimbaran July 2021" sheetId="14" r:id="rId2"/>
    <sheet name="RNs &amp; Covers July 2021" sheetId="10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7" i="14" l="1"/>
  <c r="Q47" i="14"/>
  <c r="AL42" i="14" l="1"/>
  <c r="AI42" i="14"/>
  <c r="AG42" i="14"/>
  <c r="AA42" i="14"/>
  <c r="AB42" i="14" s="1"/>
  <c r="V42" i="14"/>
  <c r="N42" i="14"/>
  <c r="P42" i="14"/>
  <c r="I42" i="14"/>
  <c r="O42" i="14" l="1"/>
  <c r="E32" i="11"/>
  <c r="F32" i="11"/>
  <c r="G32" i="11"/>
  <c r="H32" i="11"/>
  <c r="I32" i="11"/>
  <c r="J32" i="11"/>
  <c r="K32" i="11"/>
  <c r="L32" i="11"/>
  <c r="M32" i="11"/>
  <c r="N32" i="11"/>
  <c r="AA12" i="14" l="1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G12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B38" i="10" l="1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AG41" i="14" l="1"/>
  <c r="AG32" i="14"/>
  <c r="AG33" i="14"/>
  <c r="AG34" i="14"/>
  <c r="AG35" i="14"/>
  <c r="AG36" i="14"/>
  <c r="AG37" i="14"/>
  <c r="AG38" i="14"/>
  <c r="AG39" i="14"/>
  <c r="AG40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8" i="10" l="1"/>
  <c r="AI40" i="14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7" i="14"/>
  <c r="P14" i="14"/>
  <c r="P20" i="14"/>
  <c r="P22" i="14"/>
  <c r="G19" i="11"/>
  <c r="I17" i="11"/>
  <c r="K15" i="11"/>
  <c r="K7" i="11"/>
  <c r="L10" i="11"/>
  <c r="P13" i="14"/>
  <c r="AF47" i="14"/>
  <c r="I10" i="11"/>
  <c r="M47" i="14"/>
  <c r="P16" i="14"/>
  <c r="I17" i="14"/>
  <c r="O18" i="14"/>
  <c r="I21" i="14"/>
  <c r="O21" i="14" s="1"/>
  <c r="G18" i="11"/>
  <c r="G10" i="11"/>
  <c r="I16" i="11"/>
  <c r="I8" i="11"/>
  <c r="J19" i="11"/>
  <c r="J3" i="11"/>
  <c r="L9" i="11"/>
  <c r="K47" i="14"/>
  <c r="O22" i="14"/>
  <c r="P26" i="14"/>
  <c r="E47" i="14"/>
  <c r="I13" i="14"/>
  <c r="O13" i="14" s="1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F47" i="14"/>
  <c r="V47" i="14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H47" i="14"/>
  <c r="P12" i="14"/>
  <c r="J2" i="11"/>
  <c r="AC47" i="14"/>
  <c r="W52" i="14" l="1"/>
  <c r="F5" i="1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 s="1"/>
  <c r="AL12" i="14"/>
  <c r="AA47" i="14"/>
  <c r="AB47" i="14" s="1"/>
  <c r="AH47" i="14"/>
  <c r="AI47" i="14" s="1"/>
  <c r="AI12" i="14"/>
  <c r="N47" i="14"/>
  <c r="O12" i="14"/>
  <c r="P47" i="14"/>
  <c r="S47" i="14" s="1"/>
  <c r="Z47" i="14"/>
  <c r="AB12" i="14"/>
  <c r="F7" i="11" l="1"/>
  <c r="F2" i="11"/>
  <c r="AB16" i="14"/>
  <c r="L6" i="11"/>
  <c r="O47" i="14"/>
  <c r="T47" i="14" s="1"/>
  <c r="U47" i="14" s="1"/>
  <c r="U48" i="14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<sst xmlns="http://schemas.openxmlformats.org/spreadsheetml/2006/main" count="101" uniqueCount="55">
  <si>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</si>
  <si>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</si>
  <si>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</si>
  <si>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</si>
  <si>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</si>
  <si>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</si>
  <si>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</si>
  <si>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</si>
  <si>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</si>
  <si>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</si>
  <si>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</si>
  <si>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</si>
  <si>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</si>
  <si>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</si>
  <si>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</si>
  <si>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</si>
  <si>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JULY 2021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</si>
  <si>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</si>
  <si>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</si>
  <si>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</si>
  <si>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</si>
  <si>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</si>
  <si>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</si>
  <si>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</si>
  <si>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</si>
  <si>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</si>
  <si>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</si>
  <si>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</si>
  <si>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</si>
  <si>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</si>
  <si>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</si>
  <si>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</si>
  <si>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</si>
  <si>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</si>
  <si>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</si>
  <si>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</si>
  <si>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</si>
  <si>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</si>
  <si>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</si>
  <si>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</si>
  <si>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</si>
  <si>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</si>
  <si>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</si>
  <si>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</si>
  <si>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</si>
  <si>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</si>
  <si>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</si>
  <si>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</si>
  <si>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</si>
  <si>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</si>
  <si>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</si>
  <si>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</si>
  <si>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kWh rate</t>
  </si>
  <si>
    <t>m3/RNs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</si>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</sst>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261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4" fontId="0" fillId="3" borderId="0" xfId="0" applyNumberFormat="1" applyFill="1"/>
    <xf numFmtId="165" fontId="4" fillId="0" borderId="0" xfId="2" applyNumberFormat="1" applyFont="1" applyBorder="1"/>
    <xf numFmtId="0" fontId="0" fillId="0" borderId="9" xfId="0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167" fontId="6" fillId="3" borderId="0" xfId="0" applyNumberFormat="1" applyFont="1" applyFill="1"/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5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3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39" xfId="0" applyNumberFormat="1" applyFill="1" applyBorder="1"/>
    <xf numFmtId="165" fontId="1" fillId="0" borderId="39" xfId="0" applyNumberFormat="1" applyFont="1" applyBorder="1"/>
    <xf numFmtId="0" fontId="0" fillId="3" borderId="47" xfId="0" applyFill="1" applyBorder="1"/>
    <xf numFmtId="165" fontId="0" fillId="3" borderId="47" xfId="2" applyNumberFormat="1" applyFont="1" applyFill="1" applyBorder="1"/>
    <xf numFmtId="164" fontId="8" fillId="3" borderId="47" xfId="2" applyFont="1" applyFill="1" applyBorder="1"/>
    <xf numFmtId="165" fontId="8" fillId="3" borderId="47" xfId="2" applyNumberFormat="1" applyFont="1" applyFill="1" applyBorder="1"/>
    <xf numFmtId="164" fontId="0" fillId="3" borderId="47" xfId="0" applyNumberFormat="1" applyFill="1" applyBorder="1"/>
    <xf numFmtId="0" fontId="0" fillId="3" borderId="49" xfId="0" applyFill="1" applyBorder="1"/>
    <xf numFmtId="43" fontId="0" fillId="3" borderId="47" xfId="0" applyNumberFormat="1" applyFill="1" applyBorder="1"/>
    <xf numFmtId="165" fontId="0" fillId="3" borderId="47" xfId="0" applyNumberFormat="1" applyFill="1" applyBorder="1"/>
    <xf numFmtId="165" fontId="0" fillId="0" borderId="47" xfId="2" applyNumberFormat="1" applyFont="1" applyBorder="1"/>
    <xf numFmtId="167" fontId="0" fillId="3" borderId="49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7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5" fontId="9" fillId="0" borderId="53" xfId="2" applyNumberFormat="1" applyFont="1" applyBorder="1" applyAlignment="1">
      <alignment horizontal="center" vertical="center" wrapText="1"/>
    </xf>
    <xf numFmtId="165" fontId="8" fillId="0" borderId="54" xfId="2" applyNumberFormat="1" applyFont="1" applyBorder="1" applyAlignment="1">
      <alignment horizontal="center" vertical="center" wrapText="1"/>
    </xf>
    <xf numFmtId="165" fontId="8" fillId="0" borderId="21" xfId="2" applyNumberFormat="1" applyFont="1" applyBorder="1"/>
    <xf numFmtId="0" fontId="0" fillId="0" borderId="29" xfId="0" applyBorder="1"/>
    <xf numFmtId="165" fontId="0" fillId="0" borderId="29" xfId="2" applyNumberFormat="1" applyFont="1" applyBorder="1"/>
    <xf numFmtId="164" fontId="8" fillId="0" borderId="29" xfId="2" applyFont="1" applyBorder="1"/>
    <xf numFmtId="165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56" xfId="2" applyNumberFormat="1" applyFont="1" applyBorder="1"/>
    <xf numFmtId="0" fontId="0" fillId="0" borderId="32" xfId="0" applyBorder="1"/>
    <xf numFmtId="165" fontId="0" fillId="0" borderId="10" xfId="2" applyNumberFormat="1" applyFont="1" applyBorder="1"/>
    <xf numFmtId="0" fontId="0" fillId="0" borderId="57" xfId="0" applyBorder="1"/>
    <xf numFmtId="164" fontId="0" fillId="0" borderId="45" xfId="2" applyFont="1" applyBorder="1"/>
    <xf numFmtId="164" fontId="0" fillId="0" borderId="58" xfId="2" applyFont="1" applyBorder="1"/>
    <xf numFmtId="165" fontId="8" fillId="0" borderId="44" xfId="2" applyNumberFormat="1" applyFont="1" applyBorder="1" applyAlignment="1">
      <alignment horizontal="center" vertical="center" wrapText="1"/>
    </xf>
    <xf numFmtId="165" fontId="8" fillId="0" borderId="45" xfId="2" applyNumberFormat="1" applyFont="1" applyBorder="1"/>
    <xf numFmtId="165" fontId="8" fillId="0" borderId="58" xfId="2" applyNumberFormat="1" applyFont="1" applyBorder="1"/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9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60" xfId="0" applyFill="1" applyBorder="1"/>
    <xf numFmtId="0" fontId="0" fillId="3" borderId="15" xfId="0" applyFill="1" applyBorder="1"/>
    <xf numFmtId="0" fontId="0" fillId="3" borderId="61" xfId="0" applyFill="1" applyBorder="1"/>
    <xf numFmtId="0" fontId="0" fillId="3" borderId="62" xfId="0" applyFill="1" applyBorder="1"/>
    <xf numFmtId="165" fontId="0" fillId="3" borderId="48" xfId="2" applyNumberFormat="1" applyFont="1" applyFill="1" applyBorder="1"/>
    <xf numFmtId="0" fontId="11" fillId="11" borderId="58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167" fontId="1" fillId="3" borderId="7" xfId="0" applyNumberFormat="1" applyFont="1" applyFill="1" applyBorder="1"/>
    <xf numFmtId="0" fontId="0" fillId="0" borderId="6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5" fontId="0" fillId="0" borderId="21" xfId="0" applyNumberFormat="1" applyBorder="1"/>
    <xf numFmtId="0" fontId="0" fillId="0" borderId="21" xfId="0" applyBorder="1"/>
    <xf numFmtId="0" fontId="0" fillId="3" borderId="50" xfId="0" applyFill="1" applyBorder="1"/>
    <xf numFmtId="43" fontId="0" fillId="3" borderId="5" xfId="0" applyNumberFormat="1" applyFill="1" applyBorder="1"/>
    <xf numFmtId="0" fontId="0" fillId="3" borderId="65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5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5" fontId="1" fillId="12" borderId="6" xfId="0" applyNumberFormat="1" applyFont="1" applyFill="1" applyBorder="1"/>
    <xf numFmtId="44" fontId="9" fillId="12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/>
    <xf numFmtId="168" fontId="0" fillId="0" borderId="41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7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1" xfId="2" applyNumberFormat="1" applyFont="1" applyFill="1" applyBorder="1"/>
    <xf numFmtId="167" fontId="1" fillId="12" borderId="33" xfId="2" applyNumberFormat="1" applyFont="1" applyFill="1" applyBorder="1"/>
    <xf numFmtId="164" fontId="5" fillId="0" borderId="0" xfId="2" applyFont="1" applyBorder="1"/>
    <xf numFmtId="165" fontId="14" fillId="3" borderId="66" xfId="2" applyNumberFormat="1" applyFont="1" applyFill="1" applyBorder="1" applyProtection="1">
      <protection locked="0"/>
    </xf>
    <xf numFmtId="166" fontId="0" fillId="0" borderId="55" xfId="2" applyNumberFormat="1" applyFont="1" applyBorder="1"/>
    <xf numFmtId="165" fontId="14" fillId="3" borderId="45" xfId="2" applyNumberFormat="1" applyFont="1" applyFill="1" applyBorder="1" applyProtection="1">
      <protection locked="0"/>
    </xf>
    <xf numFmtId="165" fontId="0" fillId="0" borderId="58" xfId="2" applyNumberFormat="1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5" fontId="14" fillId="3" borderId="63" xfId="2" applyNumberFormat="1" applyFont="1" applyFill="1" applyBorder="1" applyProtection="1">
      <protection locked="0"/>
    </xf>
    <xf numFmtId="165" fontId="14" fillId="3" borderId="46" xfId="2" applyNumberFormat="1" applyFont="1" applyFill="1" applyBorder="1" applyProtection="1">
      <protection locked="0"/>
    </xf>
    <xf numFmtId="0" fontId="7" fillId="0" borderId="67" xfId="4" quotePrefix="1" applyBorder="1"/>
    <xf numFmtId="165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4" fontId="0" fillId="3" borderId="49" xfId="0" applyNumberFormat="1" applyFill="1" applyBorder="1"/>
    <xf numFmtId="164" fontId="1" fillId="6" borderId="23" xfId="2" applyFont="1" applyFill="1" applyBorder="1"/>
    <xf numFmtId="0" fontId="0" fillId="3" borderId="60" xfId="0" applyFill="1" applyBorder="1" applyAlignment="1">
      <alignment wrapText="1"/>
    </xf>
    <xf numFmtId="0" fontId="7" fillId="3" borderId="60" xfId="4" quotePrefix="1" applyFill="1" applyBorder="1" applyAlignment="1"/>
    <xf numFmtId="165" fontId="19" fillId="0" borderId="0" xfId="2" applyNumberFormat="1" applyFont="1" applyBorder="1"/>
    <xf numFmtId="0" fontId="17" fillId="3" borderId="0" xfId="0" applyFont="1" applyFill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168" fontId="0" fillId="0" borderId="16" xfId="2" applyNumberFormat="1" applyFont="1" applyBorder="1"/>
    <xf numFmtId="168" fontId="0" fillId="0" borderId="14" xfId="2" applyNumberFormat="1" applyFont="1" applyBorder="1"/>
    <xf numFmtId="168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68" fontId="17" fillId="3" borderId="14" xfId="2" applyNumberFormat="1" applyFont="1" applyFill="1" applyBorder="1" applyAlignment="1">
      <alignment vertical="top" wrapText="1"/>
    </xf>
    <xf numFmtId="168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164" fontId="0" fillId="3" borderId="69" xfId="2" applyFont="1" applyFill="1" applyBorder="1"/>
    <xf numFmtId="164" fontId="0" fillId="3" borderId="7" xfId="2" applyFont="1" applyFill="1" applyBorder="1"/>
    <xf numFmtId="164" fontId="0" fillId="3" borderId="46" xfId="2" applyFont="1" applyFill="1" applyBorder="1"/>
    <xf numFmtId="168" fontId="0" fillId="13" borderId="6" xfId="2" applyNumberFormat="1" applyFont="1" applyFill="1" applyBorder="1"/>
    <xf numFmtId="165" fontId="13" fillId="3" borderId="23" xfId="0" applyNumberFormat="1" applyFont="1" applyFill="1" applyBorder="1"/>
    <xf numFmtId="164" fontId="0" fillId="3" borderId="45" xfId="2" applyFont="1" applyFill="1" applyBorder="1"/>
    <xf numFmtId="164" fontId="0" fillId="3" borderId="58" xfId="2" applyFont="1" applyFill="1" applyBorder="1"/>
    <xf numFmtId="164" fontId="17" fillId="0" borderId="0" xfId="0" applyNumberFormat="1" applyFont="1"/>
    <xf numFmtId="164" fontId="0" fillId="0" borderId="0" xfId="0" applyNumberFormat="1"/>
    <xf numFmtId="164" fontId="0" fillId="0" borderId="0" xfId="2" applyFont="1" applyBorder="1"/>
    <xf numFmtId="9" fontId="17" fillId="0" borderId="0" xfId="5" applyFont="1"/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8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39" xfId="2" applyNumberFormat="1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168" fontId="1" fillId="4" borderId="1" xfId="2" applyNumberFormat="1" applyFont="1" applyFill="1" applyBorder="1" applyAlignment="1">
      <alignment horizontal="center" vertical="center"/>
    </xf>
    <xf numFmtId="168" fontId="1" fillId="4" borderId="40" xfId="2" applyNumberFormat="1" applyFont="1" applyFill="1" applyBorder="1" applyAlignment="1">
      <alignment horizontal="center" vertical="center"/>
    </xf>
    <xf numFmtId="168" fontId="1" fillId="4" borderId="2" xfId="2" applyNumberFormat="1" applyFont="1" applyFill="1" applyBorder="1" applyAlignment="1">
      <alignment horizontal="center" vertical="center"/>
    </xf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17" fontId="6" fillId="3" borderId="59" xfId="0" applyNumberFormat="1" applyFont="1" applyFill="1" applyBorder="1" applyAlignment="1">
      <alignment horizontal="center"/>
    </xf>
    <xf numFmtId="0" fontId="6" fillId="3" borderId="59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2"/>
  <sheetViews>
    <sheetView tabSelected="1" workbookViewId="0">
      <selection activeCell="I1" sqref="I1"/>
    </sheetView>
  </sheetViews>
  <sheetFormatPr defaultColWidth="11.54296875" defaultRowHeight="14.5" x14ac:dyDescent="0.35"/>
  <cols>
    <col min="1" max="1" width="18.453125" style="163" customWidth="1"/>
    <col min="2" max="2" width="11.54296875" style="164"/>
    <col min="3" max="3" width="11.54296875" style="165"/>
    <col min="4" max="4" width="13.453125" style="164" customWidth="1"/>
    <col min="5" max="5" width="12.54296875" style="162" customWidth="1"/>
    <col min="6" max="6" width="12.54296875" style="166" customWidth="1"/>
    <col min="7" max="7" width="11.54296875" style="162"/>
    <col min="8" max="8" width="11.54296875" style="166"/>
    <col min="9" max="9" width="11.54296875" style="167"/>
    <col min="10" max="10" width="11.54296875" style="168"/>
    <col min="11" max="11" width="11.54296875" style="162"/>
    <col min="12" max="12" width="11.54296875" style="168"/>
    <col min="13" max="26" width="11.54296875" style="162"/>
  </cols>
  <sheetData>
    <row r="1" spans="1:15" s="156" customFormat="1" ht="43.5" x14ac:dyDescent="0.35">
      <c r="A1" s="152" t="s">
        <v>0</v>
      </c>
      <c r="B1" s="152" t="s">
        <v>1</v>
      </c>
      <c r="C1" s="153" t="s">
        <v>2</v>
      </c>
      <c r="D1" s="152" t="s">
        <v>3</v>
      </c>
      <c r="E1" s="151" t="s">
        <v>4</v>
      </c>
      <c r="F1" s="154" t="s">
        <v>5</v>
      </c>
      <c r="G1" s="151" t="s">
        <v>6</v>
      </c>
      <c r="H1" s="154" t="s">
        <v>7</v>
      </c>
      <c r="I1" s="151" t="s">
        <v>54</v>
      </c>
      <c r="J1" s="154" t="s">
        <v>8</v>
      </c>
      <c r="K1" s="151" t="s">
        <v>9</v>
      </c>
      <c r="L1" s="155" t="s">
        <v>10</v>
      </c>
      <c r="M1" s="151" t="s">
        <v>11</v>
      </c>
      <c r="N1" s="151" t="s">
        <v>12</v>
      </c>
    </row>
    <row r="2" spans="1:15" x14ac:dyDescent="0.35">
      <c r="A2" s="157" t="s">
        <v>13</v>
      </c>
      <c r="B2" s="158">
        <v>1</v>
      </c>
      <c r="C2" s="159">
        <v>7</v>
      </c>
      <c r="D2" s="158">
        <v>2021</v>
      </c>
      <c r="E2" s="160">
        <f>'FS Jimbaran July 2021'!P12</f>
        <v>14889.000000000049</v>
      </c>
      <c r="F2" s="169">
        <f>'FS Jimbaran July 2021'!O12/'FS Jimbaran July 2021'!P12</f>
        <v>1186.4721114245433</v>
      </c>
      <c r="G2" s="160">
        <f>'FS Jimbaran July 2021'!AG12</f>
        <v>112</v>
      </c>
      <c r="H2" s="169">
        <f>'FS Jimbaran July 2021'!AH12/'FS Jimbaran July 2021'!AG12</f>
        <v>12441.964285714286</v>
      </c>
      <c r="I2" s="160">
        <f>'FS Jimbaran July 2021'!AJ12</f>
        <v>503.5</v>
      </c>
      <c r="J2" s="161">
        <f>'FS Jimbaran July 2021'!AK12/'FS Jimbaran July 2021'!AJ12</f>
        <v>10000</v>
      </c>
      <c r="K2" s="160">
        <f>'FS Jimbaran July 2021'!V12</f>
        <v>995</v>
      </c>
      <c r="L2" s="169">
        <f>'FS Jimbaran July 2021'!AA12/'FS Jimbaran July 2021'!V12</f>
        <v>9359.5664399272555</v>
      </c>
      <c r="M2" s="160">
        <f>+'RNs &amp; Covers July 2021'!B6</f>
        <v>4</v>
      </c>
      <c r="N2" s="160">
        <f>+'RNs &amp; Covers July 2021'!C6</f>
        <v>84</v>
      </c>
    </row>
    <row r="3" spans="1:15" x14ac:dyDescent="0.35">
      <c r="A3" s="157" t="s">
        <v>13</v>
      </c>
      <c r="B3" s="158">
        <f>B2+1</f>
        <v>2</v>
      </c>
      <c r="C3" s="159">
        <v>7</v>
      </c>
      <c r="D3" s="158">
        <v>2021</v>
      </c>
      <c r="E3" s="160">
        <f>'FS Jimbaran July 2021'!P13</f>
        <v>14827.999999999964</v>
      </c>
      <c r="F3" s="169">
        <f>'FS Jimbaran July 2021'!O13/'FS Jimbaran July 2021'!P13</f>
        <v>1181.7447887779865</v>
      </c>
      <c r="G3" s="160">
        <f>'FS Jimbaran July 2021'!AG13</f>
        <v>112</v>
      </c>
      <c r="H3" s="169">
        <f>'FS Jimbaran July 2021'!AH13/'FS Jimbaran July 2021'!AG13</f>
        <v>12441.964285714286</v>
      </c>
      <c r="I3" s="160">
        <f>'FS Jimbaran July 2021'!AJ13</f>
        <v>325.73999999999796</v>
      </c>
      <c r="J3" s="161">
        <f>'FS Jimbaran July 2021'!AK13/'FS Jimbaran July 2021'!AJ13</f>
        <v>10000</v>
      </c>
      <c r="K3" s="160">
        <f>'FS Jimbaran July 2021'!V13</f>
        <v>1108</v>
      </c>
      <c r="L3" s="169">
        <f>'FS Jimbaran July 2021'!AA13/'FS Jimbaran July 2021'!V13</f>
        <v>9950.9040833557883</v>
      </c>
      <c r="M3" s="160">
        <f>+'RNs &amp; Covers July 2021'!B7</f>
        <v>6</v>
      </c>
      <c r="N3" s="160">
        <f>+'RNs &amp; Covers July 2021'!C7</f>
        <v>102</v>
      </c>
    </row>
    <row r="4" spans="1:15" x14ac:dyDescent="0.35">
      <c r="A4" s="157" t="s">
        <v>13</v>
      </c>
      <c r="B4" s="158">
        <f t="shared" ref="B4:B32" si="0">B3+1</f>
        <v>3</v>
      </c>
      <c r="C4" s="159">
        <v>7</v>
      </c>
      <c r="D4" s="158">
        <v>2021</v>
      </c>
      <c r="E4" s="160">
        <f>'FS Jimbaran July 2021'!P14</f>
        <v>15308.999999999978</v>
      </c>
      <c r="F4" s="169">
        <f>'FS Jimbaran July 2021'!O14/'FS Jimbaran July 2021'!P14</f>
        <v>1183.7587201646083</v>
      </c>
      <c r="G4" s="160">
        <f>'FS Jimbaran July 2021'!AG14</f>
        <v>112</v>
      </c>
      <c r="H4" s="169">
        <f>'FS Jimbaran July 2021'!AH14/'FS Jimbaran July 2021'!AG14</f>
        <v>12441.964285714286</v>
      </c>
      <c r="I4" s="160">
        <f>'FS Jimbaran July 2021'!AJ14</f>
        <v>360.76</v>
      </c>
      <c r="J4" s="161">
        <f>'FS Jimbaran July 2021'!AK14/'FS Jimbaran July 2021'!AJ14</f>
        <v>10000</v>
      </c>
      <c r="K4" s="160">
        <f>'FS Jimbaran July 2021'!V14</f>
        <v>937</v>
      </c>
      <c r="L4" s="169">
        <f>'FS Jimbaran July 2021'!AA14/'FS Jimbaran July 2021'!V14</f>
        <v>11370.420447521847</v>
      </c>
      <c r="M4" s="160">
        <f>+'RNs &amp; Covers July 2021'!B8</f>
        <v>8</v>
      </c>
      <c r="N4" s="160">
        <f>+'RNs &amp; Covers July 2021'!C8</f>
        <v>102</v>
      </c>
    </row>
    <row r="5" spans="1:15" x14ac:dyDescent="0.35">
      <c r="A5" s="157" t="s">
        <v>13</v>
      </c>
      <c r="B5" s="158">
        <f t="shared" si="0"/>
        <v>4</v>
      </c>
      <c r="C5" s="159">
        <v>7</v>
      </c>
      <c r="D5" s="158">
        <v>2021</v>
      </c>
      <c r="E5" s="160">
        <f>'FS Jimbaran July 2021'!P15</f>
        <v>14609</v>
      </c>
      <c r="F5" s="169">
        <f>'FS Jimbaran July 2021'!O15/'FS Jimbaran July 2021'!P15</f>
        <v>1181.6676526114038</v>
      </c>
      <c r="G5" s="160">
        <f>'FS Jimbaran July 2021'!AG15</f>
        <v>112</v>
      </c>
      <c r="H5" s="169">
        <f>'FS Jimbaran July 2021'!AH15/'FS Jimbaran July 2021'!AG15</f>
        <v>12441.964285714286</v>
      </c>
      <c r="I5" s="160">
        <f>'FS Jimbaran July 2021'!AJ15</f>
        <v>121.63999999999942</v>
      </c>
      <c r="J5" s="161">
        <f>'FS Jimbaran July 2021'!AK15/'FS Jimbaran July 2021'!AJ15</f>
        <v>10000</v>
      </c>
      <c r="K5" s="160">
        <f>'FS Jimbaran July 2021'!V15</f>
        <v>1079</v>
      </c>
      <c r="L5" s="169">
        <f>'FS Jimbaran July 2021'!AA15/'FS Jimbaran July 2021'!V15</f>
        <v>10128.093202716216</v>
      </c>
      <c r="M5" s="160">
        <f>+'RNs &amp; Covers July 2021'!B9</f>
        <v>6</v>
      </c>
      <c r="N5" s="160">
        <f>+'RNs &amp; Covers July 2021'!C9</f>
        <v>83</v>
      </c>
    </row>
    <row r="6" spans="1:15" x14ac:dyDescent="0.35">
      <c r="A6" s="157" t="s">
        <v>13</v>
      </c>
      <c r="B6" s="158">
        <f t="shared" si="0"/>
        <v>5</v>
      </c>
      <c r="C6" s="159">
        <v>7</v>
      </c>
      <c r="D6" s="158">
        <v>2021</v>
      </c>
      <c r="E6" s="160">
        <f>'FS Jimbaran July 2021'!P16</f>
        <v>14409.000000000007</v>
      </c>
      <c r="F6" s="169">
        <f>'FS Jimbaran July 2021'!O16/'FS Jimbaran July 2021'!P16</f>
        <v>1181.4641930043726</v>
      </c>
      <c r="G6" s="160">
        <f>'FS Jimbaran July 2021'!AG16</f>
        <v>112</v>
      </c>
      <c r="H6" s="169">
        <f>'FS Jimbaran July 2021'!AH16/'FS Jimbaran July 2021'!AG16</f>
        <v>12441.964285714286</v>
      </c>
      <c r="I6" s="160">
        <f>'FS Jimbaran July 2021'!AJ16</f>
        <v>295.73999999999796</v>
      </c>
      <c r="J6" s="161">
        <f>'FS Jimbaran July 2021'!AK16/'FS Jimbaran July 2021'!AJ16</f>
        <v>10000</v>
      </c>
      <c r="K6" s="160">
        <f>'FS Jimbaran July 2021'!V16</f>
        <v>980</v>
      </c>
      <c r="L6" s="169">
        <f>'FS Jimbaran July 2021'!AA16/'FS Jimbaran July 2021'!V16</f>
        <v>11565.420610782832</v>
      </c>
      <c r="M6" s="160">
        <f>+'RNs &amp; Covers July 2021'!B10</f>
        <v>5</v>
      </c>
      <c r="N6" s="160">
        <f>+'RNs &amp; Covers July 2021'!C10</f>
        <v>50</v>
      </c>
    </row>
    <row r="7" spans="1:15" x14ac:dyDescent="0.35">
      <c r="A7" s="157" t="s">
        <v>13</v>
      </c>
      <c r="B7" s="158">
        <f t="shared" si="0"/>
        <v>6</v>
      </c>
      <c r="C7" s="159">
        <v>7</v>
      </c>
      <c r="D7" s="158">
        <v>2021</v>
      </c>
      <c r="E7" s="160">
        <f>'FS Jimbaran July 2021'!P17</f>
        <v>14528.999999999967</v>
      </c>
      <c r="F7" s="169">
        <f>'FS Jimbaran July 2021'!O17/'FS Jimbaran July 2021'!P17</f>
        <v>1182.9343318191195</v>
      </c>
      <c r="G7" s="160">
        <f>'FS Jimbaran July 2021'!AG17</f>
        <v>112</v>
      </c>
      <c r="H7" s="169">
        <f>'FS Jimbaran July 2021'!AH17/'FS Jimbaran July 2021'!AG17</f>
        <v>12441.964285714286</v>
      </c>
      <c r="I7" s="160">
        <f>'FS Jimbaran July 2021'!AJ17</f>
        <v>132.95000000000073</v>
      </c>
      <c r="J7" s="161">
        <f>'FS Jimbaran July 2021'!AK17/'FS Jimbaran July 2021'!AJ17</f>
        <v>10000</v>
      </c>
      <c r="K7" s="160">
        <f>'FS Jimbaran July 2021'!V17</f>
        <v>721</v>
      </c>
      <c r="L7" s="169">
        <f>'FS Jimbaran July 2021'!AA17/'FS Jimbaran July 2021'!V17</f>
        <v>11082.908593226364</v>
      </c>
      <c r="M7" s="160">
        <f>+'RNs &amp; Covers July 2021'!B11</f>
        <v>7</v>
      </c>
      <c r="N7" s="160">
        <f>+'RNs &amp; Covers July 2021'!C11</f>
        <v>63</v>
      </c>
    </row>
    <row r="8" spans="1:15" x14ac:dyDescent="0.35">
      <c r="A8" s="157" t="s">
        <v>13</v>
      </c>
      <c r="B8" s="158">
        <f t="shared" si="0"/>
        <v>7</v>
      </c>
      <c r="C8" s="159">
        <v>7</v>
      </c>
      <c r="D8" s="158">
        <v>2021</v>
      </c>
      <c r="E8" s="160">
        <f>'FS Jimbaran July 2021'!P18</f>
        <v>13949.000000000035</v>
      </c>
      <c r="F8" s="169">
        <f>'FS Jimbaran July 2021'!O18/'FS Jimbaran July 2021'!P18</f>
        <v>1182.2215748082313</v>
      </c>
      <c r="G8" s="160">
        <f>'FS Jimbaran July 2021'!AG18</f>
        <v>100</v>
      </c>
      <c r="H8" s="169">
        <f>'FS Jimbaran July 2021'!AH18/'FS Jimbaran July 2021'!AG18</f>
        <v>12560</v>
      </c>
      <c r="I8" s="160">
        <f>'FS Jimbaran July 2021'!AJ18</f>
        <v>389.85999999999331</v>
      </c>
      <c r="J8" s="161">
        <f>'FS Jimbaran July 2021'!AK18/'FS Jimbaran July 2021'!AJ18</f>
        <v>10000</v>
      </c>
      <c r="K8" s="160">
        <f>'FS Jimbaran July 2021'!V18</f>
        <v>876</v>
      </c>
      <c r="L8" s="169">
        <f>'FS Jimbaran July 2021'!AA18/'FS Jimbaran July 2021'!V18</f>
        <v>11137.588520229769</v>
      </c>
      <c r="M8" s="160">
        <f>+'RNs &amp; Covers July 2021'!B12</f>
        <v>7</v>
      </c>
      <c r="N8" s="160">
        <f>+'RNs &amp; Covers July 2021'!C12</f>
        <v>52</v>
      </c>
    </row>
    <row r="9" spans="1:15" x14ac:dyDescent="0.35">
      <c r="A9" s="157" t="s">
        <v>13</v>
      </c>
      <c r="B9" s="158">
        <f t="shared" si="0"/>
        <v>8</v>
      </c>
      <c r="C9" s="159">
        <v>7</v>
      </c>
      <c r="D9" s="158">
        <v>2021</v>
      </c>
      <c r="E9" s="160">
        <f>'FS Jimbaran July 2021'!P19</f>
        <v>14269.00000000004</v>
      </c>
      <c r="F9" s="169">
        <f>'FS Jimbaran July 2021'!O19/'FS Jimbaran July 2021'!P19</f>
        <v>1181.6232536968269</v>
      </c>
      <c r="G9" s="160">
        <f>'FS Jimbaran July 2021'!AG19</f>
        <v>112</v>
      </c>
      <c r="H9" s="169">
        <f>'FS Jimbaran July 2021'!AH19/'FS Jimbaran July 2021'!AG19</f>
        <v>12441.964285714286</v>
      </c>
      <c r="I9" s="160">
        <f>'FS Jimbaran July 2021'!AJ19</f>
        <v>107.88000000000466</v>
      </c>
      <c r="J9" s="161">
        <f>'FS Jimbaran July 2021'!AK19/'FS Jimbaran July 2021'!AJ19</f>
        <v>10000</v>
      </c>
      <c r="K9" s="160">
        <f>'FS Jimbaran July 2021'!V19</f>
        <v>830</v>
      </c>
      <c r="L9" s="169">
        <f>'FS Jimbaran July 2021'!AA19/'FS Jimbaran July 2021'!V19</f>
        <v>12019.308203599727</v>
      </c>
      <c r="M9" s="160">
        <f>+'RNs &amp; Covers July 2021'!B13</f>
        <v>5</v>
      </c>
      <c r="N9" s="160">
        <f>+'RNs &amp; Covers July 2021'!C13</f>
        <v>47</v>
      </c>
      <c r="O9" s="162" t="s">
        <v>14</v>
      </c>
    </row>
    <row r="10" spans="1:15" x14ac:dyDescent="0.35">
      <c r="A10" s="157" t="s">
        <v>13</v>
      </c>
      <c r="B10" s="158">
        <f t="shared" si="0"/>
        <v>9</v>
      </c>
      <c r="C10" s="159">
        <v>7</v>
      </c>
      <c r="D10" s="158">
        <v>2021</v>
      </c>
      <c r="E10" s="160">
        <f>'FS Jimbaran July 2021'!P20</f>
        <v>14272.999999999964</v>
      </c>
      <c r="F10" s="169">
        <f>'FS Jimbaran July 2021'!O20/'FS Jimbaran July 2021'!P20</f>
        <v>1180.9873138793516</v>
      </c>
      <c r="G10" s="160">
        <f>'FS Jimbaran July 2021'!AG20</f>
        <v>112</v>
      </c>
      <c r="H10" s="169">
        <f>'FS Jimbaran July 2021'!AH20/'FS Jimbaran July 2021'!AG20</f>
        <v>12441.964285714286</v>
      </c>
      <c r="I10" s="160">
        <f>'FS Jimbaran July 2021'!AJ20</f>
        <v>404.05999999999767</v>
      </c>
      <c r="J10" s="161">
        <f>'FS Jimbaran July 2021'!AK20/'FS Jimbaran July 2021'!AJ20</f>
        <v>10000</v>
      </c>
      <c r="K10" s="160">
        <f>'FS Jimbaran July 2021'!V20</f>
        <v>866</v>
      </c>
      <c r="L10" s="169">
        <f>'FS Jimbaran July 2021'!AA20/'FS Jimbaran July 2021'!V20</f>
        <v>10661.117247667911</v>
      </c>
      <c r="M10" s="160">
        <f>+'RNs &amp; Covers July 2021'!B14</f>
        <v>5</v>
      </c>
      <c r="N10" s="160">
        <f>+'RNs &amp; Covers July 2021'!C14</f>
        <v>47</v>
      </c>
    </row>
    <row r="11" spans="1:15" x14ac:dyDescent="0.35">
      <c r="A11" s="157" t="s">
        <v>13</v>
      </c>
      <c r="B11" s="158">
        <f t="shared" si="0"/>
        <v>10</v>
      </c>
      <c r="C11" s="159">
        <v>7</v>
      </c>
      <c r="D11" s="158">
        <v>2021</v>
      </c>
      <c r="E11" s="160">
        <f>'FS Jimbaran July 2021'!P21</f>
        <v>14524.999999999973</v>
      </c>
      <c r="F11" s="169">
        <f>'FS Jimbaran July 2021'!O21/'FS Jimbaran July 2021'!P21</f>
        <v>1178.3183031325293</v>
      </c>
      <c r="G11" s="160">
        <f>'FS Jimbaran July 2021'!AG21</f>
        <v>112</v>
      </c>
      <c r="H11" s="169">
        <f>'FS Jimbaran July 2021'!AH21/'FS Jimbaran July 2021'!AG21</f>
        <v>12441.964285714286</v>
      </c>
      <c r="I11" s="160">
        <f>'FS Jimbaran July 2021'!AJ21</f>
        <v>262.8</v>
      </c>
      <c r="J11" s="161">
        <f>'FS Jimbaran July 2021'!AK21/'FS Jimbaran July 2021'!AJ21</f>
        <v>10000</v>
      </c>
      <c r="K11" s="160">
        <f>'FS Jimbaran July 2021'!V21</f>
        <v>862</v>
      </c>
      <c r="L11" s="169">
        <f>'FS Jimbaran July 2021'!AA21/'FS Jimbaran July 2021'!V21</f>
        <v>11226.324317317361</v>
      </c>
      <c r="M11" s="160">
        <f>+'RNs &amp; Covers July 2021'!B15</f>
        <v>3</v>
      </c>
      <c r="N11" s="160">
        <f>+'RNs &amp; Covers July 2021'!C15</f>
        <v>34</v>
      </c>
    </row>
    <row r="12" spans="1:15" x14ac:dyDescent="0.35">
      <c r="A12" s="157" t="s">
        <v>13</v>
      </c>
      <c r="B12" s="158">
        <f t="shared" si="0"/>
        <v>11</v>
      </c>
      <c r="C12" s="159">
        <v>7</v>
      </c>
      <c r="D12" s="158">
        <v>2021</v>
      </c>
      <c r="E12" s="160">
        <f>'FS Jimbaran July 2021'!P22</f>
        <v>15408.000000000029</v>
      </c>
      <c r="F12" s="169">
        <f>'FS Jimbaran July 2021'!O22/'FS Jimbaran July 2021'!P22</f>
        <v>1173.9646682243001</v>
      </c>
      <c r="G12" s="160">
        <f>'FS Jimbaran July 2021'!AG22</f>
        <v>112</v>
      </c>
      <c r="H12" s="169">
        <f>'FS Jimbaran July 2021'!AH22/'FS Jimbaran July 2021'!AG22</f>
        <v>12441.964285714286</v>
      </c>
      <c r="I12" s="160">
        <f>'FS Jimbaran July 2021'!AJ22</f>
        <v>350.9</v>
      </c>
      <c r="J12" s="161">
        <f>'FS Jimbaran July 2021'!AK22/'FS Jimbaran July 2021'!AJ22</f>
        <v>10000</v>
      </c>
      <c r="K12" s="160">
        <f>'FS Jimbaran July 2021'!V22</f>
        <v>926</v>
      </c>
      <c r="L12" s="169">
        <f>'FS Jimbaran July 2021'!AA22/'FS Jimbaran July 2021'!V22</f>
        <v>10605.599921634761</v>
      </c>
      <c r="M12" s="160">
        <f>+'RNs &amp; Covers July 2021'!B16</f>
        <v>3</v>
      </c>
      <c r="N12" s="160">
        <f>+'RNs &amp; Covers July 2021'!C16</f>
        <v>39</v>
      </c>
    </row>
    <row r="13" spans="1:15" x14ac:dyDescent="0.35">
      <c r="A13" s="157" t="s">
        <v>13</v>
      </c>
      <c r="B13" s="158">
        <f t="shared" si="0"/>
        <v>12</v>
      </c>
      <c r="C13" s="159">
        <v>7</v>
      </c>
      <c r="D13" s="158">
        <v>2021</v>
      </c>
      <c r="E13" s="160">
        <f>'FS Jimbaran July 2021'!P23</f>
        <v>12589</v>
      </c>
      <c r="F13" s="169">
        <f>'FS Jimbaran July 2021'!O23/'FS Jimbaran July 2021'!P23</f>
        <v>1190.719161728493</v>
      </c>
      <c r="G13" s="160">
        <f>'FS Jimbaran July 2021'!AG23</f>
        <v>112</v>
      </c>
      <c r="H13" s="169">
        <f>'FS Jimbaran July 2021'!AH23/'FS Jimbaran July 2021'!AG23</f>
        <v>12441.964285714286</v>
      </c>
      <c r="I13" s="160">
        <f>'FS Jimbaran July 2021'!AJ23</f>
        <v>433.72000000000116</v>
      </c>
      <c r="J13" s="161">
        <f>'FS Jimbaran July 2021'!AK23/'FS Jimbaran July 2021'!AJ23</f>
        <v>9999.9999999999982</v>
      </c>
      <c r="K13" s="160">
        <f>'FS Jimbaran July 2021'!V23</f>
        <v>892</v>
      </c>
      <c r="L13" s="169">
        <f>'FS Jimbaran July 2021'!AA23/'FS Jimbaran July 2021'!V23</f>
        <v>10725.710604921238</v>
      </c>
      <c r="M13" s="160">
        <f>+'RNs &amp; Covers July 2021'!B17</f>
        <v>3</v>
      </c>
      <c r="N13" s="160">
        <f>+'RNs &amp; Covers July 2021'!C17</f>
        <v>39</v>
      </c>
    </row>
    <row r="14" spans="1:15" x14ac:dyDescent="0.35">
      <c r="A14" s="157" t="s">
        <v>13</v>
      </c>
      <c r="B14" s="158">
        <f t="shared" si="0"/>
        <v>13</v>
      </c>
      <c r="C14" s="159">
        <v>7</v>
      </c>
      <c r="D14" s="158">
        <v>2021</v>
      </c>
      <c r="E14" s="160">
        <f>'FS Jimbaran July 2021'!P24</f>
        <v>13409.000000000007</v>
      </c>
      <c r="F14" s="169">
        <f>'FS Jimbaran July 2021'!O24/'FS Jimbaran July 2021'!P24</f>
        <v>1177.1115591766725</v>
      </c>
      <c r="G14" s="160">
        <f>'FS Jimbaran July 2021'!AG24</f>
        <v>100</v>
      </c>
      <c r="H14" s="169">
        <f>'FS Jimbaran July 2021'!AH24/'FS Jimbaran July 2021'!AG24</f>
        <v>12560</v>
      </c>
      <c r="I14" s="160">
        <f>'FS Jimbaran July 2021'!AJ24</f>
        <v>189.58999999999651</v>
      </c>
      <c r="J14" s="161">
        <f>'FS Jimbaran July 2021'!AK24/'FS Jimbaran July 2021'!AJ24</f>
        <v>10000</v>
      </c>
      <c r="K14" s="160">
        <f>'FS Jimbaran July 2021'!V24</f>
        <v>843</v>
      </c>
      <c r="L14" s="169">
        <f>'FS Jimbaran July 2021'!AA24/'FS Jimbaran July 2021'!V24</f>
        <v>10995.782493132911</v>
      </c>
      <c r="M14" s="160">
        <f>+'RNs &amp; Covers July 2021'!B18</f>
        <v>2</v>
      </c>
      <c r="N14" s="160">
        <f>+'RNs &amp; Covers July 2021'!C18</f>
        <v>29</v>
      </c>
    </row>
    <row r="15" spans="1:15" x14ac:dyDescent="0.35">
      <c r="A15" s="157" t="s">
        <v>13</v>
      </c>
      <c r="B15" s="158">
        <f t="shared" si="0"/>
        <v>14</v>
      </c>
      <c r="C15" s="159">
        <v>7</v>
      </c>
      <c r="D15" s="158">
        <v>2021</v>
      </c>
      <c r="E15" s="160">
        <f>'FS Jimbaran July 2021'!P25</f>
        <v>13527.999999999985</v>
      </c>
      <c r="F15" s="169">
        <f>'FS Jimbaran July 2021'!O25/'FS Jimbaran July 2021'!P25</f>
        <v>1177.9317702542869</v>
      </c>
      <c r="G15" s="160">
        <f>'FS Jimbaran July 2021'!AG25</f>
        <v>100</v>
      </c>
      <c r="H15" s="169">
        <f>'FS Jimbaran July 2021'!AH25/'FS Jimbaran July 2021'!AG25</f>
        <v>12560</v>
      </c>
      <c r="I15" s="160">
        <f>'FS Jimbaran July 2021'!AJ25</f>
        <v>452.5</v>
      </c>
      <c r="J15" s="161">
        <f>'FS Jimbaran July 2021'!AK25/'FS Jimbaran July 2021'!AJ25</f>
        <v>10000</v>
      </c>
      <c r="K15" s="160">
        <f>'FS Jimbaran July 2021'!V25</f>
        <v>871</v>
      </c>
      <c r="L15" s="169">
        <f>'FS Jimbaran July 2021'!AA25/'FS Jimbaran July 2021'!V25</f>
        <v>11448.043932167589</v>
      </c>
      <c r="M15" s="160">
        <f>+'RNs &amp; Covers July 2021'!B19</f>
        <v>3</v>
      </c>
      <c r="N15" s="160">
        <f>+'RNs &amp; Covers July 2021'!C19</f>
        <v>20</v>
      </c>
    </row>
    <row r="16" spans="1:15" x14ac:dyDescent="0.35">
      <c r="A16" s="157" t="s">
        <v>13</v>
      </c>
      <c r="B16" s="158">
        <f t="shared" si="0"/>
        <v>15</v>
      </c>
      <c r="C16" s="159">
        <v>7</v>
      </c>
      <c r="D16" s="158">
        <v>2021</v>
      </c>
      <c r="E16" s="160">
        <f>'FS Jimbaran July 2021'!P26</f>
        <v>14149.000000000009</v>
      </c>
      <c r="F16" s="169">
        <f>'FS Jimbaran July 2021'!O26/'FS Jimbaran July 2021'!P26</f>
        <v>1188.5701778924306</v>
      </c>
      <c r="G16" s="160">
        <f>'FS Jimbaran July 2021'!AG26</f>
        <v>112</v>
      </c>
      <c r="H16" s="169">
        <f>'FS Jimbaran July 2021'!AH26/'FS Jimbaran July 2021'!AG26</f>
        <v>12441.964285714286</v>
      </c>
      <c r="I16" s="160">
        <f>'FS Jimbaran July 2021'!AJ26</f>
        <v>678.42</v>
      </c>
      <c r="J16" s="161">
        <f>'FS Jimbaran July 2021'!AK26/'FS Jimbaran July 2021'!AJ26</f>
        <v>10000</v>
      </c>
      <c r="K16" s="160">
        <f>'FS Jimbaran July 2021'!V26</f>
        <v>815</v>
      </c>
      <c r="L16" s="169">
        <f>'FS Jimbaran July 2021'!AA26/'FS Jimbaran July 2021'!V26</f>
        <v>10658.67815915141</v>
      </c>
      <c r="M16" s="160">
        <f>+'RNs &amp; Covers July 2021'!B20</f>
        <v>3</v>
      </c>
      <c r="N16" s="160">
        <f>+'RNs &amp; Covers July 2021'!C20</f>
        <v>22</v>
      </c>
    </row>
    <row r="17" spans="1:14" x14ac:dyDescent="0.35">
      <c r="A17" s="157" t="s">
        <v>13</v>
      </c>
      <c r="B17" s="158">
        <f t="shared" si="0"/>
        <v>16</v>
      </c>
      <c r="C17" s="159">
        <v>7</v>
      </c>
      <c r="D17" s="158">
        <v>2021</v>
      </c>
      <c r="E17" s="160">
        <f>'FS Jimbaran July 2021'!P27</f>
        <v>14089.000000000004</v>
      </c>
      <c r="F17" s="169">
        <f>'FS Jimbaran July 2021'!O27/'FS Jimbaran July 2021'!P27</f>
        <v>1178.9652450138406</v>
      </c>
      <c r="G17" s="160">
        <f>'FS Jimbaran July 2021'!AG27</f>
        <v>112</v>
      </c>
      <c r="H17" s="169">
        <f>'FS Jimbaran July 2021'!AH27/'FS Jimbaran July 2021'!AG27</f>
        <v>12441.964285714286</v>
      </c>
      <c r="I17" s="160">
        <f>'FS Jimbaran July 2021'!AJ27</f>
        <v>409.75</v>
      </c>
      <c r="J17" s="161">
        <f>'FS Jimbaran July 2021'!AK27/'FS Jimbaran July 2021'!AJ27</f>
        <v>10000</v>
      </c>
      <c r="K17" s="160">
        <f>'FS Jimbaran July 2021'!V27</f>
        <v>844</v>
      </c>
      <c r="L17" s="169">
        <f>'FS Jimbaran July 2021'!AA27/'FS Jimbaran July 2021'!V27</f>
        <v>11349.221642611799</v>
      </c>
      <c r="M17" s="160">
        <f>+'RNs &amp; Covers July 2021'!B21</f>
        <v>5</v>
      </c>
      <c r="N17" s="160">
        <f>+'RNs &amp; Covers July 2021'!C21</f>
        <v>28</v>
      </c>
    </row>
    <row r="18" spans="1:14" x14ac:dyDescent="0.35">
      <c r="A18" s="157" t="s">
        <v>13</v>
      </c>
      <c r="B18" s="158">
        <f t="shared" si="0"/>
        <v>17</v>
      </c>
      <c r="C18" s="159">
        <v>7</v>
      </c>
      <c r="D18" s="158">
        <v>2021</v>
      </c>
      <c r="E18" s="160">
        <f>'FS Jimbaran July 2021'!P28</f>
        <v>13269.000000000004</v>
      </c>
      <c r="F18" s="169">
        <f>'FS Jimbaran July 2021'!O28/'FS Jimbaran July 2021'!P28</f>
        <v>1190.3507865702015</v>
      </c>
      <c r="G18" s="160">
        <f>'FS Jimbaran July 2021'!AG28</f>
        <v>112</v>
      </c>
      <c r="H18" s="169">
        <f>'FS Jimbaran July 2021'!AH28/'FS Jimbaran July 2021'!AG28</f>
        <v>12441.964285714286</v>
      </c>
      <c r="I18" s="160">
        <f>'FS Jimbaran July 2021'!AJ28</f>
        <v>369.94999999999709</v>
      </c>
      <c r="J18" s="161">
        <f>'FS Jimbaran July 2021'!AK28/'FS Jimbaran July 2021'!AJ28</f>
        <v>10000</v>
      </c>
      <c r="K18" s="160">
        <f>'FS Jimbaran July 2021'!V28</f>
        <v>820</v>
      </c>
      <c r="L18" s="169">
        <f>'FS Jimbaran July 2021'!AA28/'FS Jimbaran July 2021'!V28</f>
        <v>10025.002962564227</v>
      </c>
      <c r="M18" s="160">
        <f>+'RNs &amp; Covers July 2021'!B22</f>
        <v>6</v>
      </c>
      <c r="N18" s="160">
        <f>+'RNs &amp; Covers July 2021'!C22</f>
        <v>38</v>
      </c>
    </row>
    <row r="19" spans="1:14" x14ac:dyDescent="0.35">
      <c r="A19" s="157" t="s">
        <v>13</v>
      </c>
      <c r="B19" s="158">
        <f t="shared" si="0"/>
        <v>18</v>
      </c>
      <c r="C19" s="159">
        <v>7</v>
      </c>
      <c r="D19" s="158">
        <v>2021</v>
      </c>
      <c r="E19" s="160">
        <f>'FS Jimbaran July 2021'!P29</f>
        <v>13568.999999999962</v>
      </c>
      <c r="F19" s="169">
        <f>'FS Jimbaran July 2021'!O29/'FS Jimbaran July 2021'!P29</f>
        <v>1173.6511804112304</v>
      </c>
      <c r="G19" s="160">
        <f>'FS Jimbaran July 2021'!AG29</f>
        <v>112</v>
      </c>
      <c r="H19" s="169">
        <f>'FS Jimbaran July 2021'!AH29/'FS Jimbaran July 2021'!AG29</f>
        <v>12441.964285714286</v>
      </c>
      <c r="I19" s="160">
        <f>'FS Jimbaran July 2021'!AJ29</f>
        <v>225.97000000000116</v>
      </c>
      <c r="J19" s="161">
        <f>'FS Jimbaran July 2021'!AK29/'FS Jimbaran July 2021'!AJ29</f>
        <v>10000</v>
      </c>
      <c r="K19" s="160">
        <f>'FS Jimbaran July 2021'!V29</f>
        <v>771</v>
      </c>
      <c r="L19" s="169">
        <f>'FS Jimbaran July 2021'!AA29/'FS Jimbaran July 2021'!V29</f>
        <v>10172.710882777055</v>
      </c>
      <c r="M19" s="160">
        <f>+'RNs &amp; Covers July 2021'!B23</f>
        <v>5</v>
      </c>
      <c r="N19" s="160">
        <f>+'RNs &amp; Covers July 2021'!C23</f>
        <v>46</v>
      </c>
    </row>
    <row r="20" spans="1:14" x14ac:dyDescent="0.35">
      <c r="A20" s="157" t="s">
        <v>13</v>
      </c>
      <c r="B20" s="158">
        <f t="shared" si="0"/>
        <v>19</v>
      </c>
      <c r="C20" s="159">
        <v>7</v>
      </c>
      <c r="D20" s="158">
        <v>2021</v>
      </c>
      <c r="E20" s="160">
        <f>'FS Jimbaran July 2021'!P30</f>
        <v>13148.999999999989</v>
      </c>
      <c r="F20" s="169">
        <f>'FS Jimbaran July 2021'!O30/'FS Jimbaran July 2021'!P30</f>
        <v>1179.7092286105403</v>
      </c>
      <c r="G20" s="160">
        <f>'FS Jimbaran July 2021'!AG30</f>
        <v>62</v>
      </c>
      <c r="H20" s="169">
        <f>'FS Jimbaran July 2021'!AH30/'FS Jimbaran July 2021'!AG30</f>
        <v>12346.774193548386</v>
      </c>
      <c r="I20" s="160">
        <f>'FS Jimbaran July 2021'!AJ30</f>
        <v>249.65999999999622</v>
      </c>
      <c r="J20" s="161">
        <f>'FS Jimbaran July 2021'!AK30/'FS Jimbaran July 2021'!AJ30</f>
        <v>10000</v>
      </c>
      <c r="K20" s="160">
        <f>'FS Jimbaran July 2021'!V30</f>
        <v>774</v>
      </c>
      <c r="L20" s="169">
        <f>'FS Jimbaran July 2021'!AA30/'FS Jimbaran July 2021'!V30</f>
        <v>10237.151691667455</v>
      </c>
      <c r="M20" s="160">
        <f>+'RNs &amp; Covers July 2021'!B24</f>
        <v>2</v>
      </c>
      <c r="N20" s="160">
        <f>+'RNs &amp; Covers July 2021'!C24</f>
        <v>22</v>
      </c>
    </row>
    <row r="21" spans="1:14" x14ac:dyDescent="0.35">
      <c r="A21" s="157" t="s">
        <v>13</v>
      </c>
      <c r="B21" s="158">
        <f t="shared" si="0"/>
        <v>20</v>
      </c>
      <c r="C21" s="159">
        <v>7</v>
      </c>
      <c r="D21" s="158">
        <v>2021</v>
      </c>
      <c r="E21" s="160">
        <f>'FS Jimbaran July 2021'!P31</f>
        <v>13249</v>
      </c>
      <c r="F21" s="169">
        <f>'FS Jimbaran July 2021'!O31/'FS Jimbaran July 2021'!P31</f>
        <v>1179.8346469167484</v>
      </c>
      <c r="G21" s="160">
        <f>'FS Jimbaran July 2021'!AG31</f>
        <v>50</v>
      </c>
      <c r="H21" s="169">
        <f>'FS Jimbaran July 2021'!AH31/'FS Jimbaran July 2021'!AG31</f>
        <v>12560</v>
      </c>
      <c r="I21" s="160">
        <f>'FS Jimbaran July 2021'!AJ31</f>
        <v>378.1</v>
      </c>
      <c r="J21" s="161">
        <f>'FS Jimbaran July 2021'!AK31/'FS Jimbaran July 2021'!AJ31</f>
        <v>10000</v>
      </c>
      <c r="K21" s="160">
        <f>'FS Jimbaran July 2021'!V31</f>
        <v>697</v>
      </c>
      <c r="L21" s="169">
        <f>'FS Jimbaran July 2021'!AA31/'FS Jimbaran July 2021'!V31</f>
        <v>10427.778228231497</v>
      </c>
      <c r="M21" s="160">
        <f>+'RNs &amp; Covers July 2021'!B25</f>
        <v>1</v>
      </c>
      <c r="N21" s="160">
        <f>+'RNs &amp; Covers July 2021'!C25</f>
        <v>10</v>
      </c>
    </row>
    <row r="22" spans="1:14" x14ac:dyDescent="0.35">
      <c r="A22" s="157" t="s">
        <v>13</v>
      </c>
      <c r="B22" s="158">
        <f t="shared" si="0"/>
        <v>21</v>
      </c>
      <c r="C22" s="159">
        <v>7</v>
      </c>
      <c r="D22" s="158">
        <v>2021</v>
      </c>
      <c r="E22" s="160">
        <f>'FS Jimbaran July 2021'!P32</f>
        <v>12549.000000000029</v>
      </c>
      <c r="F22" s="169">
        <f>'FS Jimbaran July 2021'!O32/'FS Jimbaran July 2021'!P32</f>
        <v>1187.5813217786288</v>
      </c>
      <c r="G22" s="160">
        <f>'FS Jimbaran July 2021'!AG32</f>
        <v>50</v>
      </c>
      <c r="H22" s="169">
        <f>'FS Jimbaran July 2021'!AH32/'FS Jimbaran July 2021'!AG32</f>
        <v>12560</v>
      </c>
      <c r="I22" s="160">
        <f>'FS Jimbaran July 2021'!AJ32</f>
        <v>317.81999999999971</v>
      </c>
      <c r="J22" s="161">
        <f>'FS Jimbaran July 2021'!AK32/'FS Jimbaran July 2021'!AJ32</f>
        <v>10000</v>
      </c>
      <c r="K22" s="160">
        <f>'FS Jimbaran July 2021'!V32</f>
        <v>673</v>
      </c>
      <c r="L22" s="169">
        <f>'FS Jimbaran July 2021'!AA32/'FS Jimbaran July 2021'!V32</f>
        <v>10493.300207514185</v>
      </c>
      <c r="M22" s="160">
        <f>+'RNs &amp; Covers July 2021'!B26</f>
        <v>0</v>
      </c>
      <c r="N22" s="160">
        <f>+'RNs &amp; Covers July 2021'!C26</f>
        <v>4</v>
      </c>
    </row>
    <row r="23" spans="1:14" x14ac:dyDescent="0.35">
      <c r="A23" s="157" t="s">
        <v>13</v>
      </c>
      <c r="B23" s="158">
        <f t="shared" si="0"/>
        <v>22</v>
      </c>
      <c r="C23" s="159">
        <v>7</v>
      </c>
      <c r="D23" s="158">
        <v>2021</v>
      </c>
      <c r="E23" s="160">
        <f>'FS Jimbaran July 2021'!P33</f>
        <v>13048.999999999965</v>
      </c>
      <c r="F23" s="169">
        <f>'FS Jimbaran July 2021'!O33/'FS Jimbaran July 2021'!P33</f>
        <v>1176.2480877461862</v>
      </c>
      <c r="G23" s="160">
        <f>'FS Jimbaran July 2021'!AG33</f>
        <v>50</v>
      </c>
      <c r="H23" s="169">
        <f>'FS Jimbaran July 2021'!AH33/'FS Jimbaran July 2021'!AG33</f>
        <v>12560</v>
      </c>
      <c r="I23" s="160">
        <f>'FS Jimbaran July 2021'!AJ33</f>
        <v>280.60000000000002</v>
      </c>
      <c r="J23" s="161">
        <f>'FS Jimbaran July 2021'!AK33/'FS Jimbaran July 2021'!AJ33</f>
        <v>10000</v>
      </c>
      <c r="K23" s="160">
        <f>'FS Jimbaran July 2021'!V33</f>
        <v>564</v>
      </c>
      <c r="L23" s="169">
        <f>'FS Jimbaran July 2021'!AA33/'FS Jimbaran July 2021'!V33</f>
        <v>10010.915529797763</v>
      </c>
      <c r="M23" s="160">
        <f>+'RNs &amp; Covers July 2021'!B27</f>
        <v>1</v>
      </c>
      <c r="N23" s="160">
        <f>+'RNs &amp; Covers July 2021'!C27</f>
        <v>8</v>
      </c>
    </row>
    <row r="24" spans="1:14" x14ac:dyDescent="0.35">
      <c r="A24" s="157" t="s">
        <v>13</v>
      </c>
      <c r="B24" s="158">
        <f t="shared" si="0"/>
        <v>23</v>
      </c>
      <c r="C24" s="159">
        <v>7</v>
      </c>
      <c r="D24" s="158">
        <v>2021</v>
      </c>
      <c r="E24" s="160">
        <f>'FS Jimbaran July 2021'!P34</f>
        <v>13594.000000000073</v>
      </c>
      <c r="F24" s="169">
        <f>'FS Jimbaran July 2021'!O34/'FS Jimbaran July 2021'!P34</f>
        <v>1176.6930154479944</v>
      </c>
      <c r="G24" s="160">
        <f>'FS Jimbaran July 2021'!AG34</f>
        <v>50</v>
      </c>
      <c r="H24" s="169">
        <f>'FS Jimbaran July 2021'!AH34/'FS Jimbaran July 2021'!AG34</f>
        <v>12560</v>
      </c>
      <c r="I24" s="160">
        <f>'FS Jimbaran July 2021'!AJ34</f>
        <v>294.23999999999796</v>
      </c>
      <c r="J24" s="161">
        <f>'FS Jimbaran July 2021'!AK34/'FS Jimbaran July 2021'!AJ34</f>
        <v>10000</v>
      </c>
      <c r="K24" s="160">
        <f>'FS Jimbaran July 2021'!V34</f>
        <v>575</v>
      </c>
      <c r="L24" s="169">
        <f>'FS Jimbaran July 2021'!AA34/'FS Jimbaran July 2021'!V34</f>
        <v>9886.8236220375238</v>
      </c>
      <c r="M24" s="160">
        <f>+'RNs &amp; Covers July 2021'!B28</f>
        <v>2</v>
      </c>
      <c r="N24" s="160">
        <f>+'RNs &amp; Covers July 2021'!C28</f>
        <v>18</v>
      </c>
    </row>
    <row r="25" spans="1:14" x14ac:dyDescent="0.35">
      <c r="A25" s="157" t="s">
        <v>13</v>
      </c>
      <c r="B25" s="158">
        <f t="shared" si="0"/>
        <v>24</v>
      </c>
      <c r="C25" s="159">
        <v>7</v>
      </c>
      <c r="D25" s="158">
        <v>2021</v>
      </c>
      <c r="E25" s="160">
        <f>'FS Jimbaran July 2021'!P35</f>
        <v>12874.999999999951</v>
      </c>
      <c r="F25" s="169">
        <f>'FS Jimbaran July 2021'!O35/'FS Jimbaran July 2021'!P35</f>
        <v>1186.7383985242702</v>
      </c>
      <c r="G25" s="160">
        <f>'FS Jimbaran July 2021'!AG35</f>
        <v>112</v>
      </c>
      <c r="H25" s="169">
        <f>'FS Jimbaran July 2021'!AH35/'FS Jimbaran July 2021'!AG35</f>
        <v>12441.964285714286</v>
      </c>
      <c r="I25" s="160">
        <f>'FS Jimbaran July 2021'!AJ35</f>
        <v>80.510000000002037</v>
      </c>
      <c r="J25" s="161">
        <f>'FS Jimbaran July 2021'!AK35/'FS Jimbaran July 2021'!AJ35</f>
        <v>10000</v>
      </c>
      <c r="K25" s="160">
        <f>'FS Jimbaran July 2021'!V35</f>
        <v>715</v>
      </c>
      <c r="L25" s="169">
        <f>'FS Jimbaran July 2021'!AA35/'FS Jimbaran July 2021'!V35</f>
        <v>8061.8256187174757</v>
      </c>
      <c r="M25" s="160">
        <f>+'RNs &amp; Covers July 2021'!B29</f>
        <v>2</v>
      </c>
      <c r="N25" s="160">
        <f>+'RNs &amp; Covers July 2021'!C29</f>
        <v>21</v>
      </c>
    </row>
    <row r="26" spans="1:14" x14ac:dyDescent="0.35">
      <c r="A26" s="157" t="s">
        <v>13</v>
      </c>
      <c r="B26" s="158">
        <f>B25+1</f>
        <v>25</v>
      </c>
      <c r="C26" s="159">
        <v>7</v>
      </c>
      <c r="D26" s="158">
        <v>2021</v>
      </c>
      <c r="E26" s="160">
        <f>'FS Jimbaran July 2021'!P36</f>
        <v>12750.000000000004</v>
      </c>
      <c r="F26" s="169">
        <f>'FS Jimbaran July 2021'!O36/'FS Jimbaran July 2021'!P36</f>
        <v>1182.592675764706</v>
      </c>
      <c r="G26" s="160">
        <f>'FS Jimbaran July 2021'!AG36</f>
        <v>62</v>
      </c>
      <c r="H26" s="169">
        <f>'FS Jimbaran July 2021'!AH36/'FS Jimbaran July 2021'!AG36</f>
        <v>12346.774193548386</v>
      </c>
      <c r="I26" s="160">
        <f>'FS Jimbaran July 2021'!AJ36</f>
        <v>92.709999999999127</v>
      </c>
      <c r="J26" s="161">
        <f>'FS Jimbaran July 2021'!AK36/'FS Jimbaran July 2021'!AJ36</f>
        <v>10000</v>
      </c>
      <c r="K26" s="160">
        <f>'FS Jimbaran July 2021'!V36</f>
        <v>667</v>
      </c>
      <c r="L26" s="169">
        <f>'FS Jimbaran July 2021'!AA36/'FS Jimbaran July 2021'!V36</f>
        <v>8242.1718161133722</v>
      </c>
      <c r="M26" s="160">
        <f>+'RNs &amp; Covers July 2021'!B30</f>
        <v>3</v>
      </c>
      <c r="N26" s="160">
        <f>+'RNs &amp; Covers July 2021'!C30</f>
        <v>17</v>
      </c>
    </row>
    <row r="27" spans="1:14" x14ac:dyDescent="0.35">
      <c r="A27" s="157" t="s">
        <v>13</v>
      </c>
      <c r="B27" s="158">
        <f t="shared" si="0"/>
        <v>26</v>
      </c>
      <c r="C27" s="159">
        <v>7</v>
      </c>
      <c r="D27" s="158">
        <v>2021</v>
      </c>
      <c r="E27" s="160">
        <f>'FS Jimbaran July 2021'!P37</f>
        <v>13207.999999999989</v>
      </c>
      <c r="F27" s="169">
        <f>'FS Jimbaran July 2021'!O37/'FS Jimbaran July 2021'!P37</f>
        <v>1179.2976391580855</v>
      </c>
      <c r="G27" s="160">
        <f>'FS Jimbaran July 2021'!AG37</f>
        <v>112</v>
      </c>
      <c r="H27" s="169">
        <f>'FS Jimbaran July 2021'!AH37/'FS Jimbaran July 2021'!AG37</f>
        <v>12441.964285714286</v>
      </c>
      <c r="I27" s="160">
        <f>'FS Jimbaran July 2021'!AJ37</f>
        <v>416.06000000002678</v>
      </c>
      <c r="J27" s="161">
        <f>'FS Jimbaran July 2021'!AK37/'FS Jimbaran July 2021'!AJ37</f>
        <v>10000</v>
      </c>
      <c r="K27" s="160">
        <f>'FS Jimbaran July 2021'!V37</f>
        <v>588</v>
      </c>
      <c r="L27" s="169">
        <f>'FS Jimbaran July 2021'!AA37/'FS Jimbaran July 2021'!V37</f>
        <v>9164.7112350503266</v>
      </c>
      <c r="M27" s="160">
        <f>+'RNs &amp; Covers July 2021'!B31</f>
        <v>3</v>
      </c>
      <c r="N27" s="160">
        <f>+'RNs &amp; Covers July 2021'!C31</f>
        <v>34</v>
      </c>
    </row>
    <row r="28" spans="1:14" x14ac:dyDescent="0.35">
      <c r="A28" s="157" t="s">
        <v>13</v>
      </c>
      <c r="B28" s="158">
        <f t="shared" si="0"/>
        <v>27</v>
      </c>
      <c r="C28" s="159">
        <v>7</v>
      </c>
      <c r="D28" s="158">
        <v>2021</v>
      </c>
      <c r="E28" s="160">
        <f>'FS Jimbaran July 2021'!P38</f>
        <v>12608.000000000076</v>
      </c>
      <c r="F28" s="169">
        <f>'FS Jimbaran July 2021'!O38/'FS Jimbaran July 2021'!P38</f>
        <v>1180.2124887373122</v>
      </c>
      <c r="G28" s="160">
        <f>'FS Jimbaran July 2021'!AG38</f>
        <v>112</v>
      </c>
      <c r="H28" s="169">
        <f>'FS Jimbaran July 2021'!AH38/'FS Jimbaran July 2021'!AG38</f>
        <v>12441.964285714286</v>
      </c>
      <c r="I28" s="160">
        <f>'FS Jimbaran July 2021'!AJ38</f>
        <v>105.34000000000378</v>
      </c>
      <c r="J28" s="161">
        <f>'FS Jimbaran July 2021'!AK38/'FS Jimbaran July 2021'!AJ38</f>
        <v>9999.9999999999982</v>
      </c>
      <c r="K28" s="160">
        <f>'FS Jimbaran July 2021'!V38</f>
        <v>743</v>
      </c>
      <c r="L28" s="169">
        <f>'FS Jimbaran July 2021'!AA38/'FS Jimbaran July 2021'!V38</f>
        <v>7900.5498446413385</v>
      </c>
      <c r="M28" s="160">
        <f>+'RNs &amp; Covers July 2021'!B32</f>
        <v>3</v>
      </c>
      <c r="N28" s="160">
        <f>+'RNs &amp; Covers July 2021'!C32</f>
        <v>55</v>
      </c>
    </row>
    <row r="29" spans="1:14" x14ac:dyDescent="0.35">
      <c r="A29" s="157" t="s">
        <v>13</v>
      </c>
      <c r="B29" s="158">
        <f t="shared" si="0"/>
        <v>28</v>
      </c>
      <c r="C29" s="159">
        <v>7</v>
      </c>
      <c r="D29" s="158">
        <v>2021</v>
      </c>
      <c r="E29" s="160">
        <f>'FS Jimbaran July 2021'!P39</f>
        <v>13267.999999999989</v>
      </c>
      <c r="F29" s="169">
        <f>'FS Jimbaran July 2021'!O39/'FS Jimbaran July 2021'!P39</f>
        <v>1178.8828277057578</v>
      </c>
      <c r="G29" s="160">
        <f>'FS Jimbaran July 2021'!AG39</f>
        <v>112</v>
      </c>
      <c r="H29" s="169">
        <f>'FS Jimbaran July 2021'!AH39/'FS Jimbaran July 2021'!AG39</f>
        <v>12441.964285714286</v>
      </c>
      <c r="I29" s="160">
        <f>'FS Jimbaran July 2021'!AJ39</f>
        <v>472.6</v>
      </c>
      <c r="J29" s="161">
        <f>'FS Jimbaran July 2021'!AK39/'FS Jimbaran July 2021'!AJ39</f>
        <v>10000</v>
      </c>
      <c r="K29" s="160">
        <f>'FS Jimbaran July 2021'!V39</f>
        <v>691</v>
      </c>
      <c r="L29" s="169">
        <f>'FS Jimbaran July 2021'!AA39/'FS Jimbaran July 2021'!V39</f>
        <v>8369.2505174685648</v>
      </c>
      <c r="M29" s="160">
        <f>+'RNs &amp; Covers July 2021'!B33</f>
        <v>3</v>
      </c>
      <c r="N29" s="160">
        <f>+'RNs &amp; Covers July 2021'!C33</f>
        <v>50</v>
      </c>
    </row>
    <row r="30" spans="1:14" x14ac:dyDescent="0.35">
      <c r="A30" s="157" t="s">
        <v>13</v>
      </c>
      <c r="B30" s="158">
        <f t="shared" si="0"/>
        <v>29</v>
      </c>
      <c r="C30" s="159">
        <v>7</v>
      </c>
      <c r="D30" s="158">
        <v>2021</v>
      </c>
      <c r="E30" s="160">
        <f>'FS Jimbaran July 2021'!P40</f>
        <v>13828.000000000004</v>
      </c>
      <c r="F30" s="169">
        <f>'FS Jimbaran July 2021'!O40/'FS Jimbaran July 2021'!P40</f>
        <v>1186.1958098061905</v>
      </c>
      <c r="G30" s="160">
        <f>'FS Jimbaran July 2021'!AG40</f>
        <v>112</v>
      </c>
      <c r="H30" s="169">
        <f>'FS Jimbaran July 2021'!AH40/'FS Jimbaran July 2021'!AG40</f>
        <v>12441.964285714286</v>
      </c>
      <c r="I30" s="160">
        <f>'FS Jimbaran July 2021'!AJ40</f>
        <v>293.86999999999534</v>
      </c>
      <c r="J30" s="161">
        <f>'FS Jimbaran July 2021'!AK40/'FS Jimbaran July 2021'!AJ40</f>
        <v>10000</v>
      </c>
      <c r="K30" s="160">
        <f>'FS Jimbaran July 2021'!V40</f>
        <v>642</v>
      </c>
      <c r="L30" s="169">
        <f>'FS Jimbaran July 2021'!AA40/'FS Jimbaran July 2021'!V40</f>
        <v>8440.8908967129264</v>
      </c>
      <c r="M30" s="160">
        <f>+'RNs &amp; Covers July 2021'!B34</f>
        <v>3</v>
      </c>
      <c r="N30" s="160">
        <f>+'RNs &amp; Covers July 2021'!C34</f>
        <v>55</v>
      </c>
    </row>
    <row r="31" spans="1:14" x14ac:dyDescent="0.35">
      <c r="A31" s="157" t="s">
        <v>13</v>
      </c>
      <c r="B31" s="158">
        <f t="shared" si="0"/>
        <v>30</v>
      </c>
      <c r="C31" s="159">
        <v>7</v>
      </c>
      <c r="D31" s="158">
        <v>2021</v>
      </c>
      <c r="E31" s="160">
        <f>'FS Jimbaran July 2021'!P41</f>
        <v>13627.999999999958</v>
      </c>
      <c r="F31" s="169">
        <f>'FS Jimbaran July 2021'!O41/'FS Jimbaran July 2021'!P41</f>
        <v>1179.6628234517157</v>
      </c>
      <c r="G31" s="160">
        <f>'FS Jimbaran July 2021'!AG41</f>
        <v>112</v>
      </c>
      <c r="H31" s="169">
        <f>'FS Jimbaran July 2021'!AH41/'FS Jimbaran July 2021'!AG41</f>
        <v>12441.964285714286</v>
      </c>
      <c r="I31" s="160">
        <f>'FS Jimbaran July 2021'!AJ41</f>
        <v>324.40000000000146</v>
      </c>
      <c r="J31" s="161">
        <f>'FS Jimbaran July 2021'!AK41/'FS Jimbaran July 2021'!AJ41</f>
        <v>10000</v>
      </c>
      <c r="K31" s="160">
        <f>'FS Jimbaran July 2021'!V41</f>
        <v>550</v>
      </c>
      <c r="L31" s="169">
        <f>'FS Jimbaran July 2021'!AA41/'FS Jimbaran July 2021'!V41</f>
        <v>8656.5170097893806</v>
      </c>
      <c r="M31" s="160">
        <f>+'RNs &amp; Covers July 2021'!B35</f>
        <v>5</v>
      </c>
      <c r="N31" s="160">
        <f>+'RNs &amp; Covers July 2021'!C35</f>
        <v>74</v>
      </c>
    </row>
    <row r="32" spans="1:14" x14ac:dyDescent="0.35">
      <c r="A32" s="157" t="s">
        <v>13</v>
      </c>
      <c r="B32" s="158">
        <f t="shared" si="0"/>
        <v>31</v>
      </c>
      <c r="C32" s="159">
        <v>7</v>
      </c>
      <c r="D32" s="158">
        <v>2021</v>
      </c>
      <c r="E32" s="160">
        <f>'FS Jimbaran July 2021'!P42</f>
        <v>13505.999999999955</v>
      </c>
      <c r="F32" s="169">
        <f>'FS Jimbaran July 2021'!O42/'FS Jimbaran July 2021'!P42</f>
        <v>1180.977858285205</v>
      </c>
      <c r="G32" s="160">
        <f>'FS Jimbaran July 2021'!AG42</f>
        <v>112</v>
      </c>
      <c r="H32" s="169">
        <f>'FS Jimbaran July 2021'!AH42/'FS Jimbaran July 2021'!AG42</f>
        <v>12441.964285714286</v>
      </c>
      <c r="I32" s="160">
        <f>'FS Jimbaran July 2021'!AJ42</f>
        <v>202.08000000000175</v>
      </c>
      <c r="J32" s="161">
        <f>'FS Jimbaran July 2021'!AK42/'FS Jimbaran July 2021'!AJ42</f>
        <v>10000</v>
      </c>
      <c r="K32" s="160">
        <f>'FS Jimbaran July 2021'!V42</f>
        <v>589</v>
      </c>
      <c r="L32" s="169">
        <f>'FS Jimbaran July 2021'!AA42/'FS Jimbaran July 2021'!V42</f>
        <v>6729.0698811554985</v>
      </c>
      <c r="M32" s="160">
        <f>+'RNs &amp; Covers July 2021'!B36</f>
        <v>6</v>
      </c>
      <c r="N32" s="160">
        <f>+'RNs &amp; Covers July 2021'!C36</f>
        <v>81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70"/>
  <sheetViews>
    <sheetView zoomScale="62" zoomScaleNormal="62" workbookViewId="0">
      <pane xSplit="4" ySplit="10" topLeftCell="W36" activePane="bottomRight" state="frozen"/>
      <selection pane="topRight" activeCell="E1" sqref="E1"/>
      <selection pane="bottomLeft" activeCell="A11" sqref="A11"/>
      <selection pane="bottomRight" activeCell="W52" sqref="W52"/>
    </sheetView>
  </sheetViews>
  <sheetFormatPr defaultRowHeight="15.5" x14ac:dyDescent="0.35"/>
  <cols>
    <col min="1" max="1" width="3.7265625" style="7" customWidth="1"/>
    <col min="2" max="2" width="8.7265625" style="7" customWidth="1"/>
    <col min="3" max="3" width="8.7265625" style="3" customWidth="1"/>
    <col min="4" max="4" width="9.1796875" customWidth="1"/>
    <col min="5" max="5" width="14.7265625" style="3" customWidth="1"/>
    <col min="6" max="6" width="17.7265625" style="3" customWidth="1"/>
    <col min="7" max="7" width="14.81640625" customWidth="1"/>
    <col min="8" max="8" width="17.1796875" style="3" customWidth="1"/>
    <col min="9" max="9" width="17" customWidth="1"/>
    <col min="10" max="10" width="14" customWidth="1"/>
    <col min="11" max="11" width="17.453125" customWidth="1"/>
    <col min="12" max="12" width="14.1796875" style="3" customWidth="1"/>
    <col min="13" max="13" width="18.26953125" style="61" bestFit="1" customWidth="1"/>
    <col min="14" max="14" width="20.453125" style="65" customWidth="1"/>
    <col min="15" max="15" width="18.81640625" customWidth="1"/>
    <col min="16" max="16" width="15.1796875" style="65" customWidth="1"/>
    <col min="17" max="17" width="19.7265625" customWidth="1"/>
    <col min="18" max="18" width="18.1796875" style="86" customWidth="1"/>
    <col min="19" max="19" width="24.26953125" customWidth="1"/>
    <col min="20" max="20" width="21.1796875" bestFit="1" customWidth="1"/>
    <col min="21" max="21" width="18.81640625" customWidth="1"/>
    <col min="22" max="22" width="19.7265625" customWidth="1"/>
    <col min="23" max="24" width="21.1796875" bestFit="1" customWidth="1"/>
    <col min="25" max="25" width="19.7265625" bestFit="1" customWidth="1"/>
    <col min="26" max="26" width="21.26953125" bestFit="1" customWidth="1"/>
    <col min="27" max="27" width="17.81640625" bestFit="1" customWidth="1"/>
    <col min="28" max="28" width="9.81640625" customWidth="1"/>
    <col min="29" max="29" width="15.81640625" bestFit="1" customWidth="1"/>
    <col min="30" max="30" width="12.81640625" style="3" bestFit="1" customWidth="1"/>
    <col min="31" max="31" width="14.81640625" customWidth="1"/>
    <col min="32" max="32" width="12.26953125" bestFit="1" customWidth="1"/>
    <col min="33" max="33" width="10" bestFit="1" customWidth="1"/>
    <col min="34" max="34" width="19" style="3" customWidth="1"/>
    <col min="35" max="35" width="10.54296875" customWidth="1"/>
    <col min="36" max="36" width="13.26953125" style="86" bestFit="1" customWidth="1"/>
    <col min="37" max="37" width="20.7265625" bestFit="1" customWidth="1"/>
    <col min="38" max="38" width="9.453125" style="38" bestFit="1" customWidth="1"/>
    <col min="39" max="39" width="2.26953125" style="7" customWidth="1"/>
  </cols>
  <sheetData>
    <row r="5" spans="1:39" x14ac:dyDescent="0.35">
      <c r="N5" s="170"/>
      <c r="X5" s="171"/>
    </row>
    <row r="6" spans="1:39" s="25" customFormat="1" ht="19" thickBot="1" x14ac:dyDescent="0.5">
      <c r="B6" s="25" t="s">
        <v>15</v>
      </c>
      <c r="C6" s="33"/>
      <c r="E6" s="33"/>
      <c r="F6" s="33"/>
      <c r="H6" s="33"/>
      <c r="L6" s="33"/>
      <c r="M6" s="56"/>
      <c r="N6" s="62"/>
      <c r="P6" s="62"/>
      <c r="R6" s="82"/>
      <c r="AD6" s="33"/>
      <c r="AH6" s="33"/>
      <c r="AJ6" s="82"/>
      <c r="AL6" s="35"/>
    </row>
    <row r="7" spans="1:39" s="11" customFormat="1" ht="16" thickBot="1" x14ac:dyDescent="0.4">
      <c r="A7" s="29"/>
      <c r="B7" s="222" t="s">
        <v>16</v>
      </c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  <c r="U7" s="223"/>
      <c r="V7" s="223"/>
      <c r="W7" s="223"/>
      <c r="X7" s="223"/>
      <c r="Y7" s="223"/>
      <c r="Z7" s="223"/>
      <c r="AA7" s="223"/>
      <c r="AB7" s="223"/>
      <c r="AC7" s="223"/>
      <c r="AD7" s="223"/>
      <c r="AE7" s="223"/>
      <c r="AF7" s="223"/>
      <c r="AG7" s="223"/>
      <c r="AH7" s="223"/>
      <c r="AI7" s="223"/>
      <c r="AJ7" s="223"/>
      <c r="AK7" s="223"/>
      <c r="AL7" s="224"/>
      <c r="AM7" s="29"/>
    </row>
    <row r="8" spans="1:39" s="7" customFormat="1" ht="15.75" customHeight="1" thickBot="1" x14ac:dyDescent="0.4">
      <c r="A8" s="26"/>
      <c r="B8" s="225" t="s">
        <v>17</v>
      </c>
      <c r="C8" s="228" t="s">
        <v>18</v>
      </c>
      <c r="D8" s="231" t="s">
        <v>12</v>
      </c>
      <c r="E8" s="234" t="s">
        <v>19</v>
      </c>
      <c r="F8" s="234"/>
      <c r="G8" s="234"/>
      <c r="H8" s="234"/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5"/>
      <c r="V8" s="236" t="s">
        <v>20</v>
      </c>
      <c r="W8" s="237"/>
      <c r="X8" s="237"/>
      <c r="Y8" s="237"/>
      <c r="Z8" s="237"/>
      <c r="AA8" s="237"/>
      <c r="AB8" s="238"/>
      <c r="AC8" s="239" t="s">
        <v>21</v>
      </c>
      <c r="AD8" s="239"/>
      <c r="AE8" s="239"/>
      <c r="AF8" s="239"/>
      <c r="AG8" s="239"/>
      <c r="AH8" s="239"/>
      <c r="AI8" s="239"/>
      <c r="AJ8" s="239"/>
      <c r="AK8" s="239"/>
      <c r="AL8" s="240"/>
      <c r="AM8" s="28"/>
    </row>
    <row r="9" spans="1:39" ht="15" customHeight="1" thickBot="1" x14ac:dyDescent="0.4">
      <c r="B9" s="226"/>
      <c r="C9" s="229"/>
      <c r="D9" s="232"/>
      <c r="E9" s="241" t="s">
        <v>22</v>
      </c>
      <c r="F9" s="242"/>
      <c r="G9" s="242"/>
      <c r="H9" s="242"/>
      <c r="I9" s="243"/>
      <c r="J9" s="244" t="s">
        <v>23</v>
      </c>
      <c r="K9" s="244"/>
      <c r="L9" s="244"/>
      <c r="M9" s="244"/>
      <c r="N9" s="245"/>
      <c r="O9" s="231" t="s">
        <v>24</v>
      </c>
      <c r="P9" s="246" t="s">
        <v>25</v>
      </c>
      <c r="Q9" s="248" t="s">
        <v>26</v>
      </c>
      <c r="R9" s="253" t="s">
        <v>27</v>
      </c>
      <c r="S9" s="255" t="s">
        <v>28</v>
      </c>
      <c r="T9" s="218" t="s">
        <v>29</v>
      </c>
      <c r="U9" s="219"/>
      <c r="V9" s="50"/>
      <c r="W9" s="50" t="s">
        <v>30</v>
      </c>
      <c r="X9" s="50"/>
      <c r="Y9" s="51"/>
      <c r="Z9" s="176"/>
      <c r="AA9" s="220" t="s">
        <v>31</v>
      </c>
      <c r="AB9" s="221"/>
      <c r="AC9" s="239" t="s">
        <v>32</v>
      </c>
      <c r="AD9" s="239"/>
      <c r="AE9" s="239"/>
      <c r="AF9" s="239"/>
      <c r="AG9" s="239"/>
      <c r="AH9" s="239"/>
      <c r="AI9" s="240"/>
      <c r="AJ9" s="250" t="s">
        <v>33</v>
      </c>
      <c r="AK9" s="251"/>
      <c r="AL9" s="252"/>
    </row>
    <row r="10" spans="1:39" ht="61.5" customHeight="1" thickBot="1" x14ac:dyDescent="0.4">
      <c r="A10" s="27"/>
      <c r="B10" s="227"/>
      <c r="C10" s="230"/>
      <c r="D10" s="233"/>
      <c r="E10" s="96" t="s">
        <v>34</v>
      </c>
      <c r="F10" s="80" t="s">
        <v>35</v>
      </c>
      <c r="G10" s="130" t="s">
        <v>36</v>
      </c>
      <c r="H10" s="17" t="s">
        <v>35</v>
      </c>
      <c r="I10" s="97" t="s">
        <v>37</v>
      </c>
      <c r="J10" s="96" t="s">
        <v>34</v>
      </c>
      <c r="K10" s="81" t="s">
        <v>35</v>
      </c>
      <c r="L10" s="130" t="s">
        <v>36</v>
      </c>
      <c r="M10" s="57" t="s">
        <v>35</v>
      </c>
      <c r="N10" s="89" t="s">
        <v>38</v>
      </c>
      <c r="O10" s="233"/>
      <c r="P10" s="247"/>
      <c r="Q10" s="249"/>
      <c r="R10" s="254"/>
      <c r="S10" s="256"/>
      <c r="T10" s="177" t="s">
        <v>39</v>
      </c>
      <c r="U10" s="22" t="s">
        <v>40</v>
      </c>
      <c r="V10" s="178" t="s">
        <v>41</v>
      </c>
      <c r="W10" s="52" t="s">
        <v>42</v>
      </c>
      <c r="X10" s="52" t="s">
        <v>43</v>
      </c>
      <c r="Y10" s="21" t="s">
        <v>44</v>
      </c>
      <c r="Z10" s="21" t="s">
        <v>45</v>
      </c>
      <c r="AA10" s="21" t="s">
        <v>39</v>
      </c>
      <c r="AB10" s="12" t="s">
        <v>40</v>
      </c>
      <c r="AC10" s="122" t="s">
        <v>46</v>
      </c>
      <c r="AD10" s="45" t="s">
        <v>47</v>
      </c>
      <c r="AE10" s="44" t="s">
        <v>48</v>
      </c>
      <c r="AF10" s="44" t="s">
        <v>49</v>
      </c>
      <c r="AG10" s="44" t="s">
        <v>50</v>
      </c>
      <c r="AH10" s="45" t="s">
        <v>39</v>
      </c>
      <c r="AI10" s="46" t="s">
        <v>40</v>
      </c>
      <c r="AJ10" s="137" t="s">
        <v>51</v>
      </c>
      <c r="AK10" s="44" t="s">
        <v>39</v>
      </c>
      <c r="AL10" s="48" t="s">
        <v>40</v>
      </c>
      <c r="AM10" s="27"/>
    </row>
    <row r="11" spans="1:39" x14ac:dyDescent="0.35">
      <c r="A11" s="27"/>
      <c r="B11" s="54"/>
      <c r="C11" s="98"/>
      <c r="D11" s="179"/>
      <c r="E11" s="180"/>
      <c r="F11" s="87"/>
      <c r="G11" s="18"/>
      <c r="H11" s="19"/>
      <c r="I11" s="99"/>
      <c r="J11" s="88"/>
      <c r="K11" s="18"/>
      <c r="L11" s="19"/>
      <c r="M11" s="58"/>
      <c r="N11" s="90"/>
      <c r="O11" s="53"/>
      <c r="P11" s="107"/>
      <c r="Q11" s="181"/>
      <c r="R11" s="110"/>
      <c r="S11" s="182"/>
      <c r="T11" s="182"/>
      <c r="U11" s="23"/>
      <c r="V11" s="88"/>
      <c r="W11" s="18"/>
      <c r="X11" s="18"/>
      <c r="Y11" s="20"/>
      <c r="Z11" s="20"/>
      <c r="AA11" s="20"/>
      <c r="AB11" s="99"/>
      <c r="AC11" s="123"/>
      <c r="AD11" s="42"/>
      <c r="AE11" s="39"/>
      <c r="AF11" s="39"/>
      <c r="AG11" s="39"/>
      <c r="AH11" s="42"/>
      <c r="AI11" s="43"/>
      <c r="AJ11" s="138"/>
      <c r="AK11" s="39"/>
      <c r="AL11" s="47"/>
      <c r="AM11" s="27"/>
    </row>
    <row r="12" spans="1:39" x14ac:dyDescent="0.35">
      <c r="A12" s="32"/>
      <c r="B12" s="55">
        <v>1</v>
      </c>
      <c r="C12" s="146">
        <v>4</v>
      </c>
      <c r="D12" s="148">
        <v>84</v>
      </c>
      <c r="E12" s="103">
        <v>10652</v>
      </c>
      <c r="F12" s="2">
        <v>11584784.988000002</v>
      </c>
      <c r="G12" s="34">
        <v>2200.0000000000455</v>
      </c>
      <c r="H12" s="2">
        <v>3588977.7000000747</v>
      </c>
      <c r="I12" s="100">
        <f>F12+H12</f>
        <v>15173762.688000076</v>
      </c>
      <c r="J12" s="103">
        <v>1529</v>
      </c>
      <c r="K12" s="2">
        <v>1662893.0009999999</v>
      </c>
      <c r="L12" s="183">
        <v>508.00000000000398</v>
      </c>
      <c r="M12" s="184">
        <v>828727.57800000662</v>
      </c>
      <c r="N12" s="91">
        <f>+K12+M12</f>
        <v>2491620.5790000064</v>
      </c>
      <c r="O12" s="105">
        <f>N12+I12</f>
        <v>17665383.267000083</v>
      </c>
      <c r="P12" s="108">
        <f>L12+J12+G12+E12</f>
        <v>14889.000000000049</v>
      </c>
      <c r="Q12" s="132"/>
      <c r="R12" s="198"/>
      <c r="S12" s="212"/>
      <c r="T12" s="209"/>
      <c r="U12" s="207">
        <v>0</v>
      </c>
      <c r="V12" s="185">
        <f>Y12+W12</f>
        <v>995</v>
      </c>
      <c r="W12" s="2">
        <v>348</v>
      </c>
      <c r="X12" s="2">
        <v>6253669.6349116825</v>
      </c>
      <c r="Y12" s="30">
        <v>647</v>
      </c>
      <c r="Z12" s="30">
        <v>3059098.9728159369</v>
      </c>
      <c r="AA12" s="30">
        <f t="shared" ref="AA12:AA39" si="0">Z12+X12</f>
        <v>9312768.6077276189</v>
      </c>
      <c r="AB12" s="125">
        <f t="shared" ref="AB12:AB39" si="1">AA12/$AL$48</f>
        <v>717.68680763832697</v>
      </c>
      <c r="AC12" s="131">
        <v>0</v>
      </c>
      <c r="AD12" s="2">
        <v>0</v>
      </c>
      <c r="AE12" s="2">
        <v>100</v>
      </c>
      <c r="AF12" s="2">
        <v>12</v>
      </c>
      <c r="AG12" s="2">
        <f t="shared" ref="AG12:AG31" si="2">+AE12+AF12</f>
        <v>112</v>
      </c>
      <c r="AH12" s="2">
        <v>1393500</v>
      </c>
      <c r="AI12" s="40">
        <f t="shared" ref="AI12:AI39" si="3">AH12/$AL$48</f>
        <v>107.38982235789055</v>
      </c>
      <c r="AJ12" s="139">
        <v>503.5</v>
      </c>
      <c r="AK12" s="2">
        <v>5035000</v>
      </c>
      <c r="AL12" s="36">
        <f t="shared" ref="AL12:AL42" si="4">AK12/$AL$48</f>
        <v>388.02135311946819</v>
      </c>
      <c r="AM12" s="6"/>
    </row>
    <row r="13" spans="1:39" x14ac:dyDescent="0.35">
      <c r="A13" s="32"/>
      <c r="B13" s="55">
        <v>2</v>
      </c>
      <c r="C13" s="146">
        <v>6</v>
      </c>
      <c r="D13" s="148">
        <v>102</v>
      </c>
      <c r="E13" s="103">
        <v>10611</v>
      </c>
      <c r="F13" s="2">
        <v>11540194.659</v>
      </c>
      <c r="G13" s="34">
        <v>2159.9999999999682</v>
      </c>
      <c r="H13" s="2">
        <v>3523723.5599999484</v>
      </c>
      <c r="I13" s="100">
        <f t="shared" ref="I13:I42" si="5">F13+H13</f>
        <v>15063918.218999948</v>
      </c>
      <c r="J13" s="103">
        <v>1649</v>
      </c>
      <c r="K13" s="2">
        <v>1793401.281</v>
      </c>
      <c r="L13" s="183">
        <v>407.99999999999545</v>
      </c>
      <c r="M13" s="184">
        <v>665592.22799999267</v>
      </c>
      <c r="N13" s="91">
        <f t="shared" ref="N13:N41" si="6">+K13+M13</f>
        <v>2458993.5089999926</v>
      </c>
      <c r="O13" s="105">
        <f t="shared" ref="O13:O39" si="7">N13+I13</f>
        <v>17522911.727999941</v>
      </c>
      <c r="P13" s="108">
        <f t="shared" ref="P13:P39" si="8">L13+J13+G13+E13</f>
        <v>14827.999999999964</v>
      </c>
      <c r="Q13" s="188"/>
      <c r="R13" s="199"/>
      <c r="S13" s="212"/>
      <c r="T13" s="209"/>
      <c r="U13" s="207">
        <v>0</v>
      </c>
      <c r="V13" s="185">
        <f t="shared" ref="V13:V41" si="9">Y13+W13</f>
        <v>1108</v>
      </c>
      <c r="W13" s="2">
        <v>437</v>
      </c>
      <c r="X13" s="2">
        <v>7853027.6737253023</v>
      </c>
      <c r="Y13" s="30">
        <v>671</v>
      </c>
      <c r="Z13" s="30">
        <v>3172574.0506329117</v>
      </c>
      <c r="AA13" s="30">
        <f t="shared" si="0"/>
        <v>11025601.724358214</v>
      </c>
      <c r="AB13" s="125">
        <f t="shared" si="1"/>
        <v>849.68597816123452</v>
      </c>
      <c r="AC13" s="131">
        <v>0</v>
      </c>
      <c r="AD13" s="2">
        <v>0</v>
      </c>
      <c r="AE13" s="2">
        <v>100</v>
      </c>
      <c r="AF13" s="2">
        <v>12</v>
      </c>
      <c r="AG13" s="2">
        <f t="shared" si="2"/>
        <v>112</v>
      </c>
      <c r="AH13" s="2">
        <v>1393500</v>
      </c>
      <c r="AI13" s="40">
        <f t="shared" si="3"/>
        <v>107.38982235789055</v>
      </c>
      <c r="AJ13" s="139">
        <v>325.73999999999796</v>
      </c>
      <c r="AK13" s="2">
        <v>3257399.9999999795</v>
      </c>
      <c r="AL13" s="36">
        <f t="shared" si="4"/>
        <v>251.03093458815249</v>
      </c>
      <c r="AM13" s="6"/>
    </row>
    <row r="14" spans="1:39" x14ac:dyDescent="0.35">
      <c r="A14" s="32"/>
      <c r="B14" s="55">
        <v>3</v>
      </c>
      <c r="C14" s="146">
        <v>8</v>
      </c>
      <c r="D14" s="148">
        <v>102</v>
      </c>
      <c r="E14" s="103">
        <v>11132</v>
      </c>
      <c r="F14" s="2">
        <v>12106818.107999999</v>
      </c>
      <c r="G14" s="34">
        <v>2279.9999999999727</v>
      </c>
      <c r="H14" s="2">
        <v>3719485.9799999557</v>
      </c>
      <c r="I14" s="100">
        <f t="shared" si="5"/>
        <v>15826304.087999955</v>
      </c>
      <c r="J14" s="103">
        <v>1469</v>
      </c>
      <c r="K14" s="2">
        <v>1597638.861</v>
      </c>
      <c r="L14" s="183">
        <v>428.00000000000568</v>
      </c>
      <c r="M14" s="184">
        <v>698219.29800000938</v>
      </c>
      <c r="N14" s="91">
        <f t="shared" si="6"/>
        <v>2295858.1590000093</v>
      </c>
      <c r="O14" s="105">
        <f t="shared" si="7"/>
        <v>18122162.246999964</v>
      </c>
      <c r="P14" s="108">
        <f t="shared" si="8"/>
        <v>15308.999999999978</v>
      </c>
      <c r="Q14" s="188"/>
      <c r="R14" s="199"/>
      <c r="S14" s="212"/>
      <c r="T14" s="209"/>
      <c r="U14" s="207">
        <v>0</v>
      </c>
      <c r="V14" s="185">
        <f t="shared" si="9"/>
        <v>937</v>
      </c>
      <c r="W14" s="2">
        <v>470</v>
      </c>
      <c r="X14" s="2">
        <v>8446048.0701393411</v>
      </c>
      <c r="Y14" s="30">
        <v>467</v>
      </c>
      <c r="Z14" s="30">
        <v>2208035.8891886286</v>
      </c>
      <c r="AA14" s="30">
        <f t="shared" si="0"/>
        <v>10654083.95932797</v>
      </c>
      <c r="AB14" s="125">
        <f t="shared" si="1"/>
        <v>821.05502962201786</v>
      </c>
      <c r="AC14" s="131">
        <v>0</v>
      </c>
      <c r="AD14" s="2">
        <v>0</v>
      </c>
      <c r="AE14" s="2">
        <v>100</v>
      </c>
      <c r="AF14" s="2">
        <v>12</v>
      </c>
      <c r="AG14" s="2">
        <f t="shared" si="2"/>
        <v>112</v>
      </c>
      <c r="AH14" s="2">
        <v>1393500</v>
      </c>
      <c r="AI14" s="40">
        <f t="shared" si="3"/>
        <v>107.38982235789055</v>
      </c>
      <c r="AJ14" s="139">
        <v>360.76</v>
      </c>
      <c r="AK14" s="2">
        <v>3607600</v>
      </c>
      <c r="AL14" s="36">
        <f t="shared" si="4"/>
        <v>278.01903346847934</v>
      </c>
      <c r="AM14" s="6"/>
    </row>
    <row r="15" spans="1:39" x14ac:dyDescent="0.35">
      <c r="A15" s="32"/>
      <c r="B15" s="55">
        <v>4</v>
      </c>
      <c r="C15" s="146">
        <v>6</v>
      </c>
      <c r="D15" s="148">
        <v>83</v>
      </c>
      <c r="E15" s="103">
        <v>10612</v>
      </c>
      <c r="F15" s="2">
        <v>11541282.228</v>
      </c>
      <c r="G15" s="34">
        <v>2120.0000000000045</v>
      </c>
      <c r="H15" s="2">
        <v>3458469.4200000078</v>
      </c>
      <c r="I15" s="100">
        <f t="shared" si="5"/>
        <v>14999751.648000007</v>
      </c>
      <c r="J15" s="103">
        <v>1469</v>
      </c>
      <c r="K15" s="2">
        <v>1597638.861</v>
      </c>
      <c r="L15" s="183">
        <v>407.99999999999545</v>
      </c>
      <c r="M15" s="184">
        <v>665592.22799999267</v>
      </c>
      <c r="N15" s="91">
        <f t="shared" si="6"/>
        <v>2263231.0889999927</v>
      </c>
      <c r="O15" s="105">
        <f t="shared" si="7"/>
        <v>17262982.737</v>
      </c>
      <c r="P15" s="108">
        <f t="shared" si="8"/>
        <v>14609</v>
      </c>
      <c r="Q15" s="188"/>
      <c r="R15" s="199"/>
      <c r="S15" s="212"/>
      <c r="T15" s="209"/>
      <c r="U15" s="207">
        <v>0</v>
      </c>
      <c r="V15" s="185">
        <f t="shared" si="9"/>
        <v>1079</v>
      </c>
      <c r="W15" s="2">
        <v>440</v>
      </c>
      <c r="X15" s="2">
        <v>7906938.6188538512</v>
      </c>
      <c r="Y15" s="30">
        <v>639</v>
      </c>
      <c r="Z15" s="30">
        <v>3021273.9468769454</v>
      </c>
      <c r="AA15" s="30">
        <f t="shared" si="0"/>
        <v>10928212.565730797</v>
      </c>
      <c r="AB15" s="125">
        <f t="shared" si="1"/>
        <v>842.18070048302661</v>
      </c>
      <c r="AC15" s="131">
        <v>0</v>
      </c>
      <c r="AD15" s="2">
        <v>0</v>
      </c>
      <c r="AE15" s="2">
        <v>100</v>
      </c>
      <c r="AF15" s="2">
        <v>12</v>
      </c>
      <c r="AG15" s="2">
        <f t="shared" si="2"/>
        <v>112</v>
      </c>
      <c r="AH15" s="2">
        <v>1393500</v>
      </c>
      <c r="AI15" s="40">
        <f t="shared" si="3"/>
        <v>107.38982235789055</v>
      </c>
      <c r="AJ15" s="139">
        <v>121.63999999999942</v>
      </c>
      <c r="AK15" s="2">
        <v>1216399.9999999942</v>
      </c>
      <c r="AL15" s="36">
        <f t="shared" si="4"/>
        <v>93.74164328391636</v>
      </c>
      <c r="AM15" s="6"/>
    </row>
    <row r="16" spans="1:39" x14ac:dyDescent="0.35">
      <c r="A16" s="32"/>
      <c r="B16" s="55">
        <v>5</v>
      </c>
      <c r="C16" s="146">
        <v>5</v>
      </c>
      <c r="D16" s="148">
        <v>50</v>
      </c>
      <c r="E16" s="103">
        <v>10492</v>
      </c>
      <c r="F16" s="2">
        <v>11410773.948000001</v>
      </c>
      <c r="G16" s="34">
        <v>2120.0000000000045</v>
      </c>
      <c r="H16" s="2">
        <v>3458469.4200000078</v>
      </c>
      <c r="I16" s="100">
        <f t="shared" si="5"/>
        <v>14869243.368000008</v>
      </c>
      <c r="J16" s="103">
        <v>1429</v>
      </c>
      <c r="K16" s="2">
        <v>1554136.101</v>
      </c>
      <c r="L16" s="183">
        <v>368.00000000000341</v>
      </c>
      <c r="M16" s="184">
        <v>600338.08800000558</v>
      </c>
      <c r="N16" s="91">
        <f t="shared" si="6"/>
        <v>2154474.1890000058</v>
      </c>
      <c r="O16" s="105">
        <f t="shared" si="7"/>
        <v>17023717.557000015</v>
      </c>
      <c r="P16" s="108">
        <f t="shared" si="8"/>
        <v>14409.000000000007</v>
      </c>
      <c r="Q16" s="188"/>
      <c r="R16" s="199"/>
      <c r="S16" s="212"/>
      <c r="T16" s="209"/>
      <c r="U16" s="207">
        <v>0</v>
      </c>
      <c r="V16" s="185">
        <f t="shared" si="9"/>
        <v>980</v>
      </c>
      <c r="W16" s="2">
        <v>506</v>
      </c>
      <c r="X16" s="2">
        <v>9092979.4116819296</v>
      </c>
      <c r="Y16" s="30">
        <v>474</v>
      </c>
      <c r="Z16" s="30">
        <v>2241132.7868852462</v>
      </c>
      <c r="AA16" s="30">
        <f t="shared" si="0"/>
        <v>11334112.198567176</v>
      </c>
      <c r="AB16" s="125">
        <f t="shared" si="1"/>
        <v>873.46128136959408</v>
      </c>
      <c r="AC16" s="131">
        <v>0</v>
      </c>
      <c r="AD16" s="2">
        <v>0</v>
      </c>
      <c r="AE16" s="2">
        <v>100</v>
      </c>
      <c r="AF16" s="2">
        <v>12</v>
      </c>
      <c r="AG16" s="2">
        <f t="shared" si="2"/>
        <v>112</v>
      </c>
      <c r="AH16" s="2">
        <v>1393500</v>
      </c>
      <c r="AI16" s="40">
        <f t="shared" si="3"/>
        <v>107.38982235789055</v>
      </c>
      <c r="AJ16" s="139">
        <v>295.73999999999796</v>
      </c>
      <c r="AK16" s="2">
        <v>2957399.9999999795</v>
      </c>
      <c r="AL16" s="36">
        <f t="shared" si="4"/>
        <v>227.91148951648606</v>
      </c>
      <c r="AM16" s="6"/>
    </row>
    <row r="17" spans="1:39" x14ac:dyDescent="0.35">
      <c r="A17" s="32"/>
      <c r="B17" s="55">
        <v>6</v>
      </c>
      <c r="C17" s="146">
        <v>7</v>
      </c>
      <c r="D17" s="148">
        <v>63</v>
      </c>
      <c r="E17" s="103">
        <v>10572</v>
      </c>
      <c r="F17" s="2">
        <v>11497779.468</v>
      </c>
      <c r="G17" s="34">
        <v>2159.9999999999682</v>
      </c>
      <c r="H17" s="2">
        <v>3523723.5599999484</v>
      </c>
      <c r="I17" s="100">
        <f t="shared" si="5"/>
        <v>15021503.027999949</v>
      </c>
      <c r="J17" s="103">
        <v>1409</v>
      </c>
      <c r="K17" s="2">
        <v>1532384.7210000001</v>
      </c>
      <c r="L17" s="183">
        <v>387.99999999999943</v>
      </c>
      <c r="M17" s="184">
        <v>632965.15799999912</v>
      </c>
      <c r="N17" s="91">
        <f t="shared" si="6"/>
        <v>2165349.8789999993</v>
      </c>
      <c r="O17" s="105">
        <f t="shared" si="7"/>
        <v>17186852.906999949</v>
      </c>
      <c r="P17" s="108">
        <f t="shared" si="8"/>
        <v>14528.999999999967</v>
      </c>
      <c r="Q17" s="188"/>
      <c r="R17" s="199"/>
      <c r="S17" s="212"/>
      <c r="T17" s="209"/>
      <c r="U17" s="207">
        <v>0</v>
      </c>
      <c r="V17" s="185">
        <f t="shared" si="9"/>
        <v>721</v>
      </c>
      <c r="W17" s="2">
        <v>346</v>
      </c>
      <c r="X17" s="2">
        <v>6217729.0048259832</v>
      </c>
      <c r="Y17" s="30">
        <v>375</v>
      </c>
      <c r="Z17" s="30">
        <v>1773048.0908902262</v>
      </c>
      <c r="AA17" s="30">
        <f t="shared" si="0"/>
        <v>7990777.0957162092</v>
      </c>
      <c r="AB17" s="125">
        <f t="shared" si="1"/>
        <v>615.80777381447024</v>
      </c>
      <c r="AC17" s="131">
        <v>0</v>
      </c>
      <c r="AD17" s="2">
        <v>0</v>
      </c>
      <c r="AE17" s="2">
        <v>100</v>
      </c>
      <c r="AF17" s="2">
        <v>12</v>
      </c>
      <c r="AG17" s="2">
        <f t="shared" si="2"/>
        <v>112</v>
      </c>
      <c r="AH17" s="2">
        <v>1393500</v>
      </c>
      <c r="AI17" s="40">
        <f t="shared" si="3"/>
        <v>107.38982235789055</v>
      </c>
      <c r="AJ17" s="139">
        <v>132.95000000000073</v>
      </c>
      <c r="AK17" s="2">
        <v>1329500.0000000072</v>
      </c>
      <c r="AL17" s="36">
        <f t="shared" si="4"/>
        <v>102.4576740759356</v>
      </c>
      <c r="AM17" s="6"/>
    </row>
    <row r="18" spans="1:39" x14ac:dyDescent="0.35">
      <c r="A18" s="32"/>
      <c r="B18" s="55">
        <v>7</v>
      </c>
      <c r="C18" s="146">
        <v>7</v>
      </c>
      <c r="D18" s="148">
        <v>52</v>
      </c>
      <c r="E18" s="103">
        <v>10132</v>
      </c>
      <c r="F18" s="2">
        <v>11019249.107999999</v>
      </c>
      <c r="G18" s="34">
        <v>2080.0000000000409</v>
      </c>
      <c r="H18" s="2">
        <v>3393215.2800000673</v>
      </c>
      <c r="I18" s="100">
        <f t="shared" si="5"/>
        <v>14412464.388000067</v>
      </c>
      <c r="J18" s="103">
        <v>1389</v>
      </c>
      <c r="K18" s="2">
        <v>1510633.341</v>
      </c>
      <c r="L18" s="183">
        <v>347.99999999999318</v>
      </c>
      <c r="M18" s="184">
        <v>567711.01799998898</v>
      </c>
      <c r="N18" s="91">
        <f t="shared" si="6"/>
        <v>2078344.358999989</v>
      </c>
      <c r="O18" s="105">
        <f t="shared" si="7"/>
        <v>16490808.747000057</v>
      </c>
      <c r="P18" s="108">
        <f t="shared" si="8"/>
        <v>13949.000000000035</v>
      </c>
      <c r="Q18" s="188"/>
      <c r="R18" s="199"/>
      <c r="S18" s="212"/>
      <c r="T18" s="209"/>
      <c r="U18" s="207">
        <v>0</v>
      </c>
      <c r="V18" s="185">
        <f t="shared" si="9"/>
        <v>876</v>
      </c>
      <c r="W18" s="2">
        <v>424</v>
      </c>
      <c r="X18" s="2">
        <v>7619413.5781682571</v>
      </c>
      <c r="Y18" s="30">
        <v>452</v>
      </c>
      <c r="Z18" s="30">
        <v>2137113.9655530192</v>
      </c>
      <c r="AA18" s="30">
        <f t="shared" si="0"/>
        <v>9756527.5437212773</v>
      </c>
      <c r="AB18" s="125">
        <f t="shared" si="1"/>
        <v>751.88500879088213</v>
      </c>
      <c r="AC18" s="131">
        <v>0</v>
      </c>
      <c r="AD18" s="2">
        <v>0</v>
      </c>
      <c r="AE18" s="2">
        <v>100</v>
      </c>
      <c r="AF18" s="2">
        <v>0</v>
      </c>
      <c r="AG18" s="2">
        <f t="shared" si="2"/>
        <v>100</v>
      </c>
      <c r="AH18" s="2">
        <v>1256000</v>
      </c>
      <c r="AI18" s="40">
        <f t="shared" si="3"/>
        <v>96.793410033376773</v>
      </c>
      <c r="AJ18" s="139">
        <v>389.85999999999331</v>
      </c>
      <c r="AK18" s="2">
        <v>3898599.9999999329</v>
      </c>
      <c r="AL18" s="36">
        <f t="shared" si="4"/>
        <v>300.4448951879906</v>
      </c>
      <c r="AM18" s="6"/>
    </row>
    <row r="19" spans="1:39" x14ac:dyDescent="0.35">
      <c r="A19" s="32"/>
      <c r="B19" s="55">
        <v>8</v>
      </c>
      <c r="C19" s="146">
        <v>5</v>
      </c>
      <c r="D19" s="148">
        <v>47</v>
      </c>
      <c r="E19" s="103">
        <v>10332</v>
      </c>
      <c r="F19" s="2">
        <v>11236762.908</v>
      </c>
      <c r="G19" s="34">
        <v>2080.0000000000409</v>
      </c>
      <c r="H19" s="2">
        <v>3393215.2800000673</v>
      </c>
      <c r="I19" s="100">
        <f t="shared" si="5"/>
        <v>14629978.188000068</v>
      </c>
      <c r="J19" s="103">
        <v>1469</v>
      </c>
      <c r="K19" s="2">
        <v>1597638.861</v>
      </c>
      <c r="L19" s="183">
        <v>387.99999999999943</v>
      </c>
      <c r="M19" s="184">
        <v>632965.15799999912</v>
      </c>
      <c r="N19" s="91">
        <f t="shared" si="6"/>
        <v>2230604.0189999994</v>
      </c>
      <c r="O19" s="105">
        <f t="shared" si="7"/>
        <v>16860582.207000069</v>
      </c>
      <c r="P19" s="108">
        <f t="shared" si="8"/>
        <v>14269.00000000004</v>
      </c>
      <c r="Q19" s="188"/>
      <c r="R19" s="199"/>
      <c r="S19" s="212"/>
      <c r="T19" s="209"/>
      <c r="U19" s="207">
        <v>0</v>
      </c>
      <c r="V19" s="185">
        <f t="shared" si="9"/>
        <v>830</v>
      </c>
      <c r="W19" s="2">
        <v>457</v>
      </c>
      <c r="X19" s="2">
        <v>8212433.9745822959</v>
      </c>
      <c r="Y19" s="30">
        <v>373</v>
      </c>
      <c r="Z19" s="30">
        <v>1763591.8344054783</v>
      </c>
      <c r="AA19" s="30">
        <f t="shared" si="0"/>
        <v>9976025.808987774</v>
      </c>
      <c r="AB19" s="125">
        <f t="shared" si="1"/>
        <v>768.80060241473154</v>
      </c>
      <c r="AC19" s="131">
        <v>0</v>
      </c>
      <c r="AD19" s="2">
        <v>0</v>
      </c>
      <c r="AE19" s="2">
        <v>100</v>
      </c>
      <c r="AF19" s="2">
        <v>12</v>
      </c>
      <c r="AG19" s="2">
        <f t="shared" si="2"/>
        <v>112</v>
      </c>
      <c r="AH19" s="2">
        <v>1393500</v>
      </c>
      <c r="AI19" s="40">
        <f t="shared" si="3"/>
        <v>107.38982235789055</v>
      </c>
      <c r="AJ19" s="139">
        <v>107.88000000000466</v>
      </c>
      <c r="AK19" s="2">
        <v>1078800.0000000466</v>
      </c>
      <c r="AL19" s="36">
        <f t="shared" si="4"/>
        <v>83.137524477716056</v>
      </c>
      <c r="AM19" s="6"/>
    </row>
    <row r="20" spans="1:39" x14ac:dyDescent="0.35">
      <c r="A20" s="32"/>
      <c r="B20" s="55">
        <v>9</v>
      </c>
      <c r="C20" s="146">
        <v>5</v>
      </c>
      <c r="D20" s="148">
        <v>47</v>
      </c>
      <c r="E20" s="103">
        <v>10332</v>
      </c>
      <c r="F20" s="2">
        <v>11236762.908</v>
      </c>
      <c r="G20" s="34">
        <v>2063.9999999999645</v>
      </c>
      <c r="H20" s="2">
        <v>3367113.6239999426</v>
      </c>
      <c r="I20" s="100">
        <f t="shared" si="5"/>
        <v>14603876.531999942</v>
      </c>
      <c r="J20" s="103">
        <v>1489</v>
      </c>
      <c r="K20" s="2">
        <v>1619390.2409999999</v>
      </c>
      <c r="L20" s="183">
        <v>387.99999999999943</v>
      </c>
      <c r="M20" s="184">
        <v>632965.15799999912</v>
      </c>
      <c r="N20" s="91">
        <f t="shared" si="6"/>
        <v>2252355.3989999993</v>
      </c>
      <c r="O20" s="105">
        <f t="shared" si="7"/>
        <v>16856231.930999942</v>
      </c>
      <c r="P20" s="108">
        <f t="shared" si="8"/>
        <v>14272.999999999964</v>
      </c>
      <c r="Q20" s="188"/>
      <c r="R20" s="199"/>
      <c r="S20" s="212"/>
      <c r="T20" s="209"/>
      <c r="U20" s="207">
        <v>0</v>
      </c>
      <c r="V20" s="185">
        <f t="shared" si="9"/>
        <v>866</v>
      </c>
      <c r="W20" s="2">
        <v>388</v>
      </c>
      <c r="X20" s="2">
        <v>6972482.2366256695</v>
      </c>
      <c r="Y20" s="30">
        <v>478</v>
      </c>
      <c r="Z20" s="30">
        <v>2260045.2998547419</v>
      </c>
      <c r="AA20" s="30">
        <f t="shared" si="0"/>
        <v>9232527.5364804119</v>
      </c>
      <c r="AB20" s="125">
        <f t="shared" si="1"/>
        <v>711.50304417435541</v>
      </c>
      <c r="AC20" s="131">
        <v>0</v>
      </c>
      <c r="AD20" s="2">
        <v>0</v>
      </c>
      <c r="AE20" s="2">
        <v>100</v>
      </c>
      <c r="AF20" s="2">
        <v>12</v>
      </c>
      <c r="AG20" s="2">
        <f t="shared" si="2"/>
        <v>112</v>
      </c>
      <c r="AH20" s="2">
        <v>1393500</v>
      </c>
      <c r="AI20" s="40">
        <f t="shared" si="3"/>
        <v>107.38982235789055</v>
      </c>
      <c r="AJ20" s="139">
        <v>404.05999999999767</v>
      </c>
      <c r="AK20" s="2">
        <v>4040599.9999999767</v>
      </c>
      <c r="AL20" s="36">
        <f t="shared" si="4"/>
        <v>311.38809918858277</v>
      </c>
      <c r="AM20" s="6"/>
    </row>
    <row r="21" spans="1:39" x14ac:dyDescent="0.35">
      <c r="A21" s="32"/>
      <c r="B21" s="55">
        <v>10</v>
      </c>
      <c r="C21" s="146">
        <v>3</v>
      </c>
      <c r="D21" s="148">
        <v>34</v>
      </c>
      <c r="E21" s="103">
        <v>10612</v>
      </c>
      <c r="F21" s="2">
        <v>11541282.228</v>
      </c>
      <c r="G21" s="34">
        <v>2015.9999999999627</v>
      </c>
      <c r="H21" s="2">
        <v>3288808.6559999394</v>
      </c>
      <c r="I21" s="100">
        <f t="shared" si="5"/>
        <v>14830090.88399994</v>
      </c>
      <c r="J21" s="103">
        <v>1489</v>
      </c>
      <c r="K21" s="2">
        <v>1619390.2409999999</v>
      </c>
      <c r="L21" s="183">
        <v>408.00000000000966</v>
      </c>
      <c r="M21" s="184">
        <v>665592.22800001584</v>
      </c>
      <c r="N21" s="91">
        <f t="shared" si="6"/>
        <v>2284982.4690000159</v>
      </c>
      <c r="O21" s="105">
        <f t="shared" si="7"/>
        <v>17115073.352999955</v>
      </c>
      <c r="P21" s="108">
        <f t="shared" si="8"/>
        <v>14524.999999999973</v>
      </c>
      <c r="Q21" s="188"/>
      <c r="R21" s="199"/>
      <c r="S21" s="212"/>
      <c r="T21" s="209"/>
      <c r="U21" s="207">
        <v>0</v>
      </c>
      <c r="V21" s="185">
        <f t="shared" si="9"/>
        <v>862</v>
      </c>
      <c r="W21" s="2">
        <v>423</v>
      </c>
      <c r="X21" s="2">
        <v>7601443.2631254075</v>
      </c>
      <c r="Y21" s="30">
        <v>439</v>
      </c>
      <c r="Z21" s="30">
        <v>2075648.2984021583</v>
      </c>
      <c r="AA21" s="30">
        <f t="shared" si="0"/>
        <v>9677091.5615275651</v>
      </c>
      <c r="AB21" s="125">
        <f t="shared" si="1"/>
        <v>745.76328936741072</v>
      </c>
      <c r="AC21" s="131">
        <v>0</v>
      </c>
      <c r="AD21" s="2">
        <v>0</v>
      </c>
      <c r="AE21" s="2">
        <v>100</v>
      </c>
      <c r="AF21" s="2">
        <v>12</v>
      </c>
      <c r="AG21" s="2">
        <f t="shared" si="2"/>
        <v>112</v>
      </c>
      <c r="AH21" s="2">
        <v>1393500</v>
      </c>
      <c r="AI21" s="40">
        <f t="shared" si="3"/>
        <v>107.38982235789055</v>
      </c>
      <c r="AJ21" s="139">
        <v>262.8</v>
      </c>
      <c r="AK21" s="2">
        <v>2628000</v>
      </c>
      <c r="AL21" s="36">
        <f t="shared" si="4"/>
        <v>202.5263388277979</v>
      </c>
      <c r="AM21" s="6"/>
    </row>
    <row r="22" spans="1:39" x14ac:dyDescent="0.35">
      <c r="A22" s="32"/>
      <c r="B22" s="55">
        <v>11</v>
      </c>
      <c r="C22" s="146">
        <v>3</v>
      </c>
      <c r="D22" s="148">
        <v>39</v>
      </c>
      <c r="E22" s="103">
        <v>11451</v>
      </c>
      <c r="F22" s="2">
        <v>12453752.618999999</v>
      </c>
      <c r="G22" s="34">
        <v>2080.0000000000409</v>
      </c>
      <c r="H22" s="2">
        <v>3393215.2800000673</v>
      </c>
      <c r="I22" s="100">
        <f t="shared" si="5"/>
        <v>15846967.899000067</v>
      </c>
      <c r="J22" s="103">
        <v>1509</v>
      </c>
      <c r="K22" s="2">
        <v>1641141.621</v>
      </c>
      <c r="L22" s="183">
        <v>367.9999999999892</v>
      </c>
      <c r="M22" s="184">
        <v>600338.08799998253</v>
      </c>
      <c r="N22" s="91">
        <f t="shared" si="6"/>
        <v>2241479.7089999826</v>
      </c>
      <c r="O22" s="105">
        <f t="shared" si="7"/>
        <v>18088447.608000051</v>
      </c>
      <c r="P22" s="108">
        <f t="shared" si="8"/>
        <v>15408.000000000029</v>
      </c>
      <c r="Q22" s="188"/>
      <c r="R22" s="199"/>
      <c r="S22" s="212"/>
      <c r="T22" s="209"/>
      <c r="U22" s="207">
        <v>0</v>
      </c>
      <c r="V22" s="185">
        <f t="shared" si="9"/>
        <v>926</v>
      </c>
      <c r="W22" s="2">
        <v>411</v>
      </c>
      <c r="X22" s="2">
        <v>7385799.482611211</v>
      </c>
      <c r="Y22" s="30">
        <v>515</v>
      </c>
      <c r="Z22" s="30">
        <v>2434986.0448225774</v>
      </c>
      <c r="AA22" s="30">
        <f t="shared" si="0"/>
        <v>9820785.5274337884</v>
      </c>
      <c r="AB22" s="125">
        <f t="shared" si="1"/>
        <v>756.83703854040687</v>
      </c>
      <c r="AC22" s="131">
        <v>0</v>
      </c>
      <c r="AD22" s="2">
        <v>0</v>
      </c>
      <c r="AE22" s="2">
        <v>100</v>
      </c>
      <c r="AF22" s="2">
        <v>12</v>
      </c>
      <c r="AG22" s="2">
        <f t="shared" si="2"/>
        <v>112</v>
      </c>
      <c r="AH22" s="2">
        <v>1393500</v>
      </c>
      <c r="AI22" s="40">
        <f t="shared" si="3"/>
        <v>107.38982235789055</v>
      </c>
      <c r="AJ22" s="139">
        <v>350.9</v>
      </c>
      <c r="AK22" s="2">
        <v>3509000</v>
      </c>
      <c r="AL22" s="36">
        <f t="shared" si="4"/>
        <v>270.42044252159161</v>
      </c>
      <c r="AM22" s="6"/>
    </row>
    <row r="23" spans="1:39" x14ac:dyDescent="0.35">
      <c r="A23" s="32"/>
      <c r="B23" s="55">
        <v>12</v>
      </c>
      <c r="C23" s="146">
        <v>3</v>
      </c>
      <c r="D23" s="148">
        <v>39</v>
      </c>
      <c r="E23" s="103">
        <v>8732</v>
      </c>
      <c r="F23" s="2">
        <v>9496652.5079999994</v>
      </c>
      <c r="G23" s="34">
        <v>2000</v>
      </c>
      <c r="H23" s="2">
        <v>3262707</v>
      </c>
      <c r="I23" s="100">
        <f t="shared" si="5"/>
        <v>12759359.507999999</v>
      </c>
      <c r="J23" s="103">
        <v>1469</v>
      </c>
      <c r="K23" s="2">
        <v>1597638.861</v>
      </c>
      <c r="L23" s="183">
        <v>387.99999999999943</v>
      </c>
      <c r="M23" s="184">
        <v>632965.15799999912</v>
      </c>
      <c r="N23" s="91">
        <f t="shared" si="6"/>
        <v>2230604.0189999994</v>
      </c>
      <c r="O23" s="105">
        <f t="shared" si="7"/>
        <v>14989963.526999999</v>
      </c>
      <c r="P23" s="108">
        <f t="shared" si="8"/>
        <v>12589</v>
      </c>
      <c r="Q23" s="188"/>
      <c r="R23" s="199"/>
      <c r="S23" s="212"/>
      <c r="T23" s="209"/>
      <c r="U23" s="207">
        <v>0</v>
      </c>
      <c r="V23" s="185">
        <f t="shared" si="9"/>
        <v>892</v>
      </c>
      <c r="W23" s="2">
        <v>404</v>
      </c>
      <c r="X23" s="2">
        <v>7260007.2773112636</v>
      </c>
      <c r="Y23" s="30">
        <v>488</v>
      </c>
      <c r="Z23" s="30">
        <v>2307326.5822784812</v>
      </c>
      <c r="AA23" s="30">
        <f t="shared" si="0"/>
        <v>9567333.8595897444</v>
      </c>
      <c r="AB23" s="125">
        <f t="shared" si="1"/>
        <v>737.30483216359812</v>
      </c>
      <c r="AC23" s="131">
        <v>0</v>
      </c>
      <c r="AD23" s="2">
        <v>0</v>
      </c>
      <c r="AE23" s="2">
        <v>100</v>
      </c>
      <c r="AF23" s="2">
        <v>12</v>
      </c>
      <c r="AG23" s="2">
        <f t="shared" si="2"/>
        <v>112</v>
      </c>
      <c r="AH23" s="2">
        <v>1393500</v>
      </c>
      <c r="AI23" s="40">
        <f t="shared" si="3"/>
        <v>107.38982235789055</v>
      </c>
      <c r="AJ23" s="139">
        <v>433.72000000000116</v>
      </c>
      <c r="AK23" s="2">
        <v>4337200.0000000112</v>
      </c>
      <c r="AL23" s="36">
        <f t="shared" si="4"/>
        <v>334.24552388277294</v>
      </c>
      <c r="AM23" s="6"/>
    </row>
    <row r="24" spans="1:39" x14ac:dyDescent="0.35">
      <c r="A24" s="32"/>
      <c r="B24" s="55">
        <v>13</v>
      </c>
      <c r="C24" s="146">
        <v>2</v>
      </c>
      <c r="D24" s="148">
        <v>29</v>
      </c>
      <c r="E24" s="103">
        <v>9812</v>
      </c>
      <c r="F24" s="2">
        <v>10671227.027999999</v>
      </c>
      <c r="G24" s="34">
        <v>1879.9999999999955</v>
      </c>
      <c r="H24" s="2">
        <v>3066944.5799999931</v>
      </c>
      <c r="I24" s="100">
        <f t="shared" si="5"/>
        <v>13738171.607999992</v>
      </c>
      <c r="J24" s="103">
        <v>1389</v>
      </c>
      <c r="K24" s="2">
        <v>1510633.341</v>
      </c>
      <c r="L24" s="183">
        <v>328.00000000001137</v>
      </c>
      <c r="M24" s="184">
        <v>535083.9480000186</v>
      </c>
      <c r="N24" s="91">
        <f t="shared" si="6"/>
        <v>2045717.2890000185</v>
      </c>
      <c r="O24" s="105">
        <f t="shared" si="7"/>
        <v>15783888.897000011</v>
      </c>
      <c r="P24" s="108">
        <f t="shared" si="8"/>
        <v>13409.000000000007</v>
      </c>
      <c r="Q24" s="188"/>
      <c r="R24" s="199"/>
      <c r="S24" s="212"/>
      <c r="T24" s="209"/>
      <c r="U24" s="207">
        <v>0</v>
      </c>
      <c r="V24" s="185">
        <f>Y24+W24</f>
        <v>843</v>
      </c>
      <c r="W24" s="2">
        <v>399</v>
      </c>
      <c r="X24" s="2">
        <v>7170155.7020970155</v>
      </c>
      <c r="Y24" s="30">
        <v>444</v>
      </c>
      <c r="Z24" s="30">
        <v>2099288.9396140277</v>
      </c>
      <c r="AA24" s="30">
        <f t="shared" si="0"/>
        <v>9269444.6417110432</v>
      </c>
      <c r="AB24" s="125">
        <f t="shared" si="1"/>
        <v>714.34805412963715</v>
      </c>
      <c r="AC24" s="131">
        <v>0</v>
      </c>
      <c r="AD24" s="2">
        <v>0</v>
      </c>
      <c r="AE24" s="2">
        <v>100</v>
      </c>
      <c r="AF24" s="2">
        <v>0</v>
      </c>
      <c r="AG24" s="2">
        <f t="shared" si="2"/>
        <v>100</v>
      </c>
      <c r="AH24" s="2">
        <v>1256000</v>
      </c>
      <c r="AI24" s="40">
        <f t="shared" si="3"/>
        <v>96.793410033376773</v>
      </c>
      <c r="AJ24" s="139">
        <v>189.58999999999651</v>
      </c>
      <c r="AK24" s="2">
        <v>1895899.9999999651</v>
      </c>
      <c r="AL24" s="36">
        <f t="shared" si="4"/>
        <v>146.10718637123856</v>
      </c>
      <c r="AM24" s="6"/>
    </row>
    <row r="25" spans="1:39" x14ac:dyDescent="0.35">
      <c r="A25" s="32"/>
      <c r="B25" s="55">
        <v>14</v>
      </c>
      <c r="C25" s="146">
        <v>3</v>
      </c>
      <c r="D25" s="148">
        <v>20</v>
      </c>
      <c r="E25" s="103">
        <v>9931</v>
      </c>
      <c r="F25" s="2">
        <v>10800647.739</v>
      </c>
      <c r="G25" s="34">
        <v>1879.9999999999955</v>
      </c>
      <c r="H25" s="2">
        <v>3066944.5799999931</v>
      </c>
      <c r="I25" s="100">
        <f t="shared" si="5"/>
        <v>13867592.318999993</v>
      </c>
      <c r="J25" s="103">
        <v>1349</v>
      </c>
      <c r="K25" s="2">
        <v>1467130.581</v>
      </c>
      <c r="L25" s="183">
        <v>367.9999999999892</v>
      </c>
      <c r="M25" s="184">
        <v>600338.08799998253</v>
      </c>
      <c r="N25" s="91">
        <f t="shared" si="6"/>
        <v>2067468.6689999825</v>
      </c>
      <c r="O25" s="105">
        <f t="shared" si="7"/>
        <v>15935060.987999976</v>
      </c>
      <c r="P25" s="108">
        <f t="shared" si="8"/>
        <v>13527.999999999985</v>
      </c>
      <c r="Q25" s="188"/>
      <c r="R25" s="199"/>
      <c r="S25" s="212"/>
      <c r="T25" s="209"/>
      <c r="U25" s="207">
        <v>0</v>
      </c>
      <c r="V25" s="185">
        <f t="shared" si="9"/>
        <v>871</v>
      </c>
      <c r="W25" s="2">
        <v>442</v>
      </c>
      <c r="X25" s="2">
        <v>7942879.2489395514</v>
      </c>
      <c r="Y25" s="30">
        <v>429</v>
      </c>
      <c r="Z25" s="30">
        <v>2028367.0159784188</v>
      </c>
      <c r="AA25" s="30">
        <f t="shared" si="0"/>
        <v>9971246.2649179697</v>
      </c>
      <c r="AB25" s="125">
        <f t="shared" si="1"/>
        <v>768.43226772610001</v>
      </c>
      <c r="AC25" s="131">
        <v>0</v>
      </c>
      <c r="AD25" s="2">
        <v>0</v>
      </c>
      <c r="AE25" s="2">
        <v>100</v>
      </c>
      <c r="AF25" s="2">
        <v>0</v>
      </c>
      <c r="AG25" s="2">
        <f t="shared" si="2"/>
        <v>100</v>
      </c>
      <c r="AH25" s="2">
        <v>1256000</v>
      </c>
      <c r="AI25" s="40">
        <f t="shared" si="3"/>
        <v>96.793410033376773</v>
      </c>
      <c r="AJ25" s="139">
        <v>452.5</v>
      </c>
      <c r="AK25" s="2">
        <v>4525000</v>
      </c>
      <c r="AL25" s="36">
        <f t="shared" si="4"/>
        <v>348.71829649763527</v>
      </c>
      <c r="AM25" s="6"/>
    </row>
    <row r="26" spans="1:39" x14ac:dyDescent="0.35">
      <c r="A26" s="32"/>
      <c r="B26" s="55">
        <v>15</v>
      </c>
      <c r="C26" s="146">
        <v>3</v>
      </c>
      <c r="D26" s="148">
        <v>22</v>
      </c>
      <c r="E26" s="103">
        <v>10092</v>
      </c>
      <c r="F26" s="2">
        <v>10975746.347999999</v>
      </c>
      <c r="G26" s="34">
        <v>2240.0000000000091</v>
      </c>
      <c r="H26" s="2">
        <v>3654231.8400000152</v>
      </c>
      <c r="I26" s="100">
        <f t="shared" si="5"/>
        <v>14629978.188000014</v>
      </c>
      <c r="J26" s="103">
        <v>1429</v>
      </c>
      <c r="K26" s="2">
        <v>1554136.101</v>
      </c>
      <c r="L26" s="183">
        <v>387.99999999999943</v>
      </c>
      <c r="M26" s="184">
        <v>632965.15799999912</v>
      </c>
      <c r="N26" s="91">
        <f t="shared" si="6"/>
        <v>2187101.2589999991</v>
      </c>
      <c r="O26" s="105">
        <f t="shared" si="7"/>
        <v>16817079.447000012</v>
      </c>
      <c r="P26" s="108">
        <f t="shared" si="8"/>
        <v>14149.000000000009</v>
      </c>
      <c r="Q26" s="188"/>
      <c r="R26" s="199"/>
      <c r="S26" s="212"/>
      <c r="T26" s="209"/>
      <c r="U26" s="207">
        <v>0</v>
      </c>
      <c r="V26" s="185">
        <f t="shared" si="9"/>
        <v>815</v>
      </c>
      <c r="W26" s="2">
        <v>365</v>
      </c>
      <c r="X26" s="2">
        <v>6559164.9906401271</v>
      </c>
      <c r="Y26" s="30">
        <v>450</v>
      </c>
      <c r="Z26" s="30">
        <v>2127657.7090682713</v>
      </c>
      <c r="AA26" s="30">
        <f t="shared" si="0"/>
        <v>8686822.6997083984</v>
      </c>
      <c r="AB26" s="125">
        <f t="shared" si="1"/>
        <v>669.44840084404461</v>
      </c>
      <c r="AC26" s="131">
        <v>0</v>
      </c>
      <c r="AD26" s="2">
        <v>0</v>
      </c>
      <c r="AE26" s="2">
        <v>100</v>
      </c>
      <c r="AF26" s="2">
        <v>12</v>
      </c>
      <c r="AG26" s="2">
        <f t="shared" si="2"/>
        <v>112</v>
      </c>
      <c r="AH26" s="2">
        <v>1393500</v>
      </c>
      <c r="AI26" s="40">
        <f t="shared" si="3"/>
        <v>107.38982235789055</v>
      </c>
      <c r="AJ26" s="139">
        <v>678.42</v>
      </c>
      <c r="AK26" s="2">
        <v>6784200</v>
      </c>
      <c r="AL26" s="36">
        <f t="shared" si="4"/>
        <v>522.8231308506646</v>
      </c>
      <c r="AM26" s="6"/>
    </row>
    <row r="27" spans="1:39" x14ac:dyDescent="0.35">
      <c r="A27" s="32"/>
      <c r="B27" s="55">
        <v>16</v>
      </c>
      <c r="C27" s="146">
        <v>5</v>
      </c>
      <c r="D27" s="148">
        <v>28</v>
      </c>
      <c r="E27" s="103">
        <v>10292</v>
      </c>
      <c r="F27" s="2">
        <v>11193260.148</v>
      </c>
      <c r="G27" s="34">
        <v>2000</v>
      </c>
      <c r="H27" s="2">
        <v>3262707</v>
      </c>
      <c r="I27" s="100">
        <f t="shared" si="5"/>
        <v>14455967.148</v>
      </c>
      <c r="J27" s="103">
        <v>1429</v>
      </c>
      <c r="K27" s="2">
        <v>1554136.101</v>
      </c>
      <c r="L27" s="183">
        <v>368.00000000000341</v>
      </c>
      <c r="M27" s="184">
        <v>600338.08800000558</v>
      </c>
      <c r="N27" s="91">
        <f t="shared" si="6"/>
        <v>2154474.1890000058</v>
      </c>
      <c r="O27" s="105">
        <f t="shared" si="7"/>
        <v>16610441.337000005</v>
      </c>
      <c r="P27" s="108">
        <f t="shared" si="8"/>
        <v>14089.000000000004</v>
      </c>
      <c r="Q27" s="188"/>
      <c r="R27" s="199"/>
      <c r="S27" s="212"/>
      <c r="T27" s="209"/>
      <c r="U27" s="207">
        <v>0</v>
      </c>
      <c r="V27" s="185">
        <f t="shared" si="9"/>
        <v>844</v>
      </c>
      <c r="W27" s="2">
        <v>422</v>
      </c>
      <c r="X27" s="2">
        <v>7583472.9480825579</v>
      </c>
      <c r="Y27" s="30">
        <v>422</v>
      </c>
      <c r="Z27" s="30">
        <v>1995270.1182818012</v>
      </c>
      <c r="AA27" s="30">
        <f t="shared" si="0"/>
        <v>9578743.0663643591</v>
      </c>
      <c r="AB27" s="125">
        <f t="shared" si="1"/>
        <v>738.18408059472142</v>
      </c>
      <c r="AC27" s="131">
        <v>0</v>
      </c>
      <c r="AD27" s="2">
        <v>0</v>
      </c>
      <c r="AE27" s="2">
        <v>100</v>
      </c>
      <c r="AF27" s="2">
        <v>12</v>
      </c>
      <c r="AG27" s="2">
        <f t="shared" si="2"/>
        <v>112</v>
      </c>
      <c r="AH27" s="2">
        <v>1393500</v>
      </c>
      <c r="AI27" s="40">
        <f t="shared" si="3"/>
        <v>107.38982235789055</v>
      </c>
      <c r="AJ27" s="139">
        <v>409.75</v>
      </c>
      <c r="AK27" s="2">
        <v>4097500</v>
      </c>
      <c r="AL27" s="36">
        <f t="shared" si="4"/>
        <v>315.77308727051059</v>
      </c>
      <c r="AM27" s="6"/>
    </row>
    <row r="28" spans="1:39" x14ac:dyDescent="0.35">
      <c r="A28" s="32"/>
      <c r="B28" s="55">
        <v>17</v>
      </c>
      <c r="C28" s="146">
        <v>6</v>
      </c>
      <c r="D28" s="148">
        <v>38</v>
      </c>
      <c r="E28" s="103">
        <v>9372</v>
      </c>
      <c r="F28" s="2">
        <v>10192696.668000001</v>
      </c>
      <c r="G28" s="34">
        <v>2120.0000000000045</v>
      </c>
      <c r="H28" s="2">
        <v>3458469.4200000078</v>
      </c>
      <c r="I28" s="100">
        <f t="shared" si="5"/>
        <v>13651166.088000009</v>
      </c>
      <c r="J28" s="103">
        <v>1389</v>
      </c>
      <c r="K28" s="2">
        <v>1510633.341</v>
      </c>
      <c r="L28" s="183">
        <v>387.99999999999943</v>
      </c>
      <c r="M28" s="184">
        <v>632965.15799999912</v>
      </c>
      <c r="N28" s="91">
        <f t="shared" si="6"/>
        <v>2143598.4989999989</v>
      </c>
      <c r="O28" s="105">
        <f t="shared" si="7"/>
        <v>15794764.587000009</v>
      </c>
      <c r="P28" s="108">
        <f t="shared" si="8"/>
        <v>13269.000000000004</v>
      </c>
      <c r="Q28" s="188"/>
      <c r="R28" s="201"/>
      <c r="S28" s="212"/>
      <c r="T28" s="209"/>
      <c r="U28" s="207">
        <v>0</v>
      </c>
      <c r="V28" s="185">
        <f t="shared" si="9"/>
        <v>820</v>
      </c>
      <c r="W28" s="2">
        <v>328</v>
      </c>
      <c r="X28" s="2">
        <v>5894263.3340546899</v>
      </c>
      <c r="Y28" s="30">
        <v>492</v>
      </c>
      <c r="Z28" s="30">
        <v>2326239.0952479769</v>
      </c>
      <c r="AA28" s="30">
        <f t="shared" si="0"/>
        <v>8220502.4293026663</v>
      </c>
      <c r="AB28" s="125">
        <f t="shared" si="1"/>
        <v>633.51151458587799</v>
      </c>
      <c r="AC28" s="131">
        <v>0</v>
      </c>
      <c r="AD28" s="2">
        <v>0</v>
      </c>
      <c r="AE28" s="2">
        <v>100</v>
      </c>
      <c r="AF28" s="2">
        <v>12</v>
      </c>
      <c r="AG28" s="2">
        <f t="shared" si="2"/>
        <v>112</v>
      </c>
      <c r="AH28" s="2">
        <v>1393500</v>
      </c>
      <c r="AI28" s="40">
        <f t="shared" si="3"/>
        <v>107.38982235789055</v>
      </c>
      <c r="AJ28" s="139">
        <v>369.94999999999709</v>
      </c>
      <c r="AK28" s="2">
        <v>3699499.9999999711</v>
      </c>
      <c r="AL28" s="36">
        <f t="shared" si="4"/>
        <v>285.10129014209758</v>
      </c>
      <c r="AM28" s="6"/>
    </row>
    <row r="29" spans="1:39" x14ac:dyDescent="0.35">
      <c r="A29" s="32"/>
      <c r="B29" s="55">
        <v>18</v>
      </c>
      <c r="C29" s="146">
        <v>5</v>
      </c>
      <c r="D29" s="148">
        <v>46</v>
      </c>
      <c r="E29" s="103">
        <v>9932</v>
      </c>
      <c r="F29" s="2">
        <v>10801735.308</v>
      </c>
      <c r="G29" s="34">
        <v>1799.9999999999545</v>
      </c>
      <c r="H29" s="2">
        <v>2936436.2999999262</v>
      </c>
      <c r="I29" s="100">
        <f t="shared" si="5"/>
        <v>13738171.607999926</v>
      </c>
      <c r="J29" s="103">
        <v>1489</v>
      </c>
      <c r="K29" s="2">
        <v>1619390.2409999999</v>
      </c>
      <c r="L29" s="183">
        <v>348.00000000000739</v>
      </c>
      <c r="M29" s="184">
        <v>567711.01800001215</v>
      </c>
      <c r="N29" s="91">
        <f t="shared" si="6"/>
        <v>2187101.2590000122</v>
      </c>
      <c r="O29" s="105">
        <f t="shared" si="7"/>
        <v>15925272.866999939</v>
      </c>
      <c r="P29" s="108">
        <f t="shared" si="8"/>
        <v>13568.999999999962</v>
      </c>
      <c r="Q29" s="189"/>
      <c r="R29" s="202"/>
      <c r="S29" s="212"/>
      <c r="T29" s="209"/>
      <c r="U29" s="207">
        <v>0</v>
      </c>
      <c r="V29" s="185">
        <f t="shared" si="9"/>
        <v>771</v>
      </c>
      <c r="W29" s="2">
        <v>317</v>
      </c>
      <c r="X29" s="2">
        <v>5696589.868583343</v>
      </c>
      <c r="Y29" s="30">
        <v>454</v>
      </c>
      <c r="Z29" s="30">
        <v>2146570.2220377671</v>
      </c>
      <c r="AA29" s="30">
        <f t="shared" si="0"/>
        <v>7843160.0906211101</v>
      </c>
      <c r="AB29" s="125">
        <f t="shared" si="1"/>
        <v>604.43169634467006</v>
      </c>
      <c r="AC29" s="131">
        <v>0</v>
      </c>
      <c r="AD29" s="2">
        <v>0</v>
      </c>
      <c r="AE29" s="2">
        <v>100</v>
      </c>
      <c r="AF29" s="2">
        <v>12</v>
      </c>
      <c r="AG29" s="2">
        <f t="shared" si="2"/>
        <v>112</v>
      </c>
      <c r="AH29" s="2">
        <v>1393500</v>
      </c>
      <c r="AI29" s="40">
        <f t="shared" si="3"/>
        <v>107.38982235789055</v>
      </c>
      <c r="AJ29" s="139">
        <v>225.97000000000116</v>
      </c>
      <c r="AK29" s="2">
        <v>2259700.0000000116</v>
      </c>
      <c r="AL29" s="36">
        <f t="shared" si="4"/>
        <v>174.14336676148298</v>
      </c>
      <c r="AM29" s="6"/>
    </row>
    <row r="30" spans="1:39" x14ac:dyDescent="0.35">
      <c r="A30" s="32"/>
      <c r="B30" s="55">
        <v>19</v>
      </c>
      <c r="C30" s="146">
        <v>2</v>
      </c>
      <c r="D30" s="148">
        <v>22</v>
      </c>
      <c r="E30" s="103">
        <v>9492</v>
      </c>
      <c r="F30" s="2">
        <v>10323204.948000001</v>
      </c>
      <c r="G30" s="34">
        <v>1879.9999999999955</v>
      </c>
      <c r="H30" s="2">
        <v>3066944.5799999931</v>
      </c>
      <c r="I30" s="100">
        <f t="shared" si="5"/>
        <v>13390149.527999993</v>
      </c>
      <c r="J30" s="103">
        <v>1429</v>
      </c>
      <c r="K30" s="2">
        <v>1554136.101</v>
      </c>
      <c r="L30" s="183">
        <v>347.99999999999318</v>
      </c>
      <c r="M30" s="184">
        <v>567711.01799998898</v>
      </c>
      <c r="N30" s="91">
        <f t="shared" si="6"/>
        <v>2121847.1189999888</v>
      </c>
      <c r="O30" s="105">
        <f t="shared" si="7"/>
        <v>15511996.646999981</v>
      </c>
      <c r="P30" s="108">
        <f t="shared" si="8"/>
        <v>13148.999999999989</v>
      </c>
      <c r="Q30" s="188"/>
      <c r="R30" s="201"/>
      <c r="S30" s="212"/>
      <c r="T30" s="209"/>
      <c r="U30" s="207">
        <v>0</v>
      </c>
      <c r="V30" s="185">
        <f t="shared" si="9"/>
        <v>774</v>
      </c>
      <c r="W30" s="2">
        <v>322</v>
      </c>
      <c r="X30" s="2">
        <v>5786441.4437975911</v>
      </c>
      <c r="Y30" s="30">
        <v>452</v>
      </c>
      <c r="Z30" s="30">
        <v>2137113.9655530192</v>
      </c>
      <c r="AA30" s="30">
        <f t="shared" si="0"/>
        <v>7923555.4093506103</v>
      </c>
      <c r="AB30" s="125">
        <f t="shared" si="1"/>
        <v>610.62734686262274</v>
      </c>
      <c r="AC30" s="131">
        <v>0</v>
      </c>
      <c r="AD30" s="2">
        <v>0</v>
      </c>
      <c r="AE30" s="2">
        <v>50</v>
      </c>
      <c r="AF30" s="2">
        <v>12</v>
      </c>
      <c r="AG30" s="2">
        <f t="shared" si="2"/>
        <v>62</v>
      </c>
      <c r="AH30" s="2">
        <v>765500</v>
      </c>
      <c r="AI30" s="40">
        <f t="shared" si="3"/>
        <v>58.993117341202165</v>
      </c>
      <c r="AJ30" s="139">
        <v>249.65999999999622</v>
      </c>
      <c r="AK30" s="2">
        <v>2496599.9999999623</v>
      </c>
      <c r="AL30" s="36">
        <f t="shared" si="4"/>
        <v>192.40002188640509</v>
      </c>
      <c r="AM30" s="6"/>
    </row>
    <row r="31" spans="1:39" x14ac:dyDescent="0.35">
      <c r="A31" s="32"/>
      <c r="B31" s="55">
        <v>20</v>
      </c>
      <c r="C31" s="146">
        <v>1</v>
      </c>
      <c r="D31" s="148">
        <v>10</v>
      </c>
      <c r="E31" s="103">
        <v>9652</v>
      </c>
      <c r="F31" s="2">
        <v>10497215.988000002</v>
      </c>
      <c r="G31" s="34">
        <v>1879.9999999999955</v>
      </c>
      <c r="H31" s="2">
        <v>3066944.5799999931</v>
      </c>
      <c r="I31" s="100">
        <f t="shared" si="5"/>
        <v>13564160.567999994</v>
      </c>
      <c r="J31" s="103">
        <v>1349</v>
      </c>
      <c r="K31" s="2">
        <v>1467130.581</v>
      </c>
      <c r="L31" s="183">
        <v>368.00000000000341</v>
      </c>
      <c r="M31" s="184">
        <v>600338.08800000558</v>
      </c>
      <c r="N31" s="91">
        <f t="shared" si="6"/>
        <v>2067468.6690000056</v>
      </c>
      <c r="O31" s="105">
        <f t="shared" si="7"/>
        <v>15631629.237</v>
      </c>
      <c r="P31" s="108">
        <f t="shared" si="8"/>
        <v>13249</v>
      </c>
      <c r="Q31" s="189"/>
      <c r="R31" s="202"/>
      <c r="S31" s="212"/>
      <c r="T31" s="209"/>
      <c r="U31" s="207">
        <v>0</v>
      </c>
      <c r="V31" s="185">
        <f t="shared" si="9"/>
        <v>697</v>
      </c>
      <c r="W31" s="2">
        <v>300</v>
      </c>
      <c r="X31" s="2">
        <v>5391094.5128548993</v>
      </c>
      <c r="Y31" s="30">
        <v>397</v>
      </c>
      <c r="Z31" s="30">
        <v>1877066.9122224529</v>
      </c>
      <c r="AA31" s="30">
        <f t="shared" si="0"/>
        <v>7268161.4250773527</v>
      </c>
      <c r="AB31" s="125">
        <f t="shared" si="1"/>
        <v>560.11952946360213</v>
      </c>
      <c r="AC31" s="131">
        <v>0</v>
      </c>
      <c r="AD31" s="2">
        <v>0</v>
      </c>
      <c r="AE31" s="2">
        <v>50</v>
      </c>
      <c r="AF31" s="2">
        <v>0</v>
      </c>
      <c r="AG31" s="2">
        <f t="shared" si="2"/>
        <v>50</v>
      </c>
      <c r="AH31" s="2">
        <v>628000</v>
      </c>
      <c r="AI31" s="40">
        <f t="shared" si="3"/>
        <v>48.396705016688387</v>
      </c>
      <c r="AJ31" s="139">
        <v>378.1</v>
      </c>
      <c r="AK31" s="2">
        <v>3781000</v>
      </c>
      <c r="AL31" s="36">
        <f t="shared" si="4"/>
        <v>291.38207271990251</v>
      </c>
      <c r="AM31" s="6"/>
    </row>
    <row r="32" spans="1:39" x14ac:dyDescent="0.35">
      <c r="A32" s="32"/>
      <c r="B32" s="55">
        <v>21</v>
      </c>
      <c r="C32" s="146">
        <v>0</v>
      </c>
      <c r="D32" s="148">
        <v>4</v>
      </c>
      <c r="E32" s="103">
        <v>9011</v>
      </c>
      <c r="F32" s="2">
        <v>9800084.2589999996</v>
      </c>
      <c r="G32" s="34">
        <v>1960.0000000000364</v>
      </c>
      <c r="H32" s="2">
        <v>3197452.8600000595</v>
      </c>
      <c r="I32" s="100">
        <f t="shared" si="5"/>
        <v>12997537.119000059</v>
      </c>
      <c r="J32" s="103">
        <v>1230</v>
      </c>
      <c r="K32" s="2">
        <v>1337709.8699999999</v>
      </c>
      <c r="L32" s="183">
        <v>347.99999999999318</v>
      </c>
      <c r="M32" s="184">
        <v>567711.01799998898</v>
      </c>
      <c r="N32" s="91">
        <f>+K32+M32</f>
        <v>1905420.8879999889</v>
      </c>
      <c r="O32" s="105">
        <f t="shared" si="7"/>
        <v>14902958.007000048</v>
      </c>
      <c r="P32" s="108">
        <f t="shared" si="8"/>
        <v>12549.000000000029</v>
      </c>
      <c r="Q32" s="188"/>
      <c r="R32" s="200"/>
      <c r="S32" s="212"/>
      <c r="T32" s="209"/>
      <c r="U32" s="207">
        <v>0</v>
      </c>
      <c r="V32" s="185">
        <f t="shared" si="9"/>
        <v>673</v>
      </c>
      <c r="W32" s="2">
        <v>293</v>
      </c>
      <c r="X32" s="2">
        <v>5265302.3075549509</v>
      </c>
      <c r="Y32" s="30">
        <v>380</v>
      </c>
      <c r="Z32" s="30">
        <v>1796688.7321020958</v>
      </c>
      <c r="AA32" s="30">
        <f t="shared" si="0"/>
        <v>7061991.039657047</v>
      </c>
      <c r="AB32" s="125">
        <f t="shared" si="1"/>
        <v>544.23104645983858</v>
      </c>
      <c r="AC32" s="131">
        <v>0</v>
      </c>
      <c r="AD32" s="2">
        <v>0</v>
      </c>
      <c r="AE32" s="2">
        <v>50</v>
      </c>
      <c r="AF32" s="2">
        <v>0</v>
      </c>
      <c r="AG32" s="2">
        <f t="shared" ref="AG32:AG40" si="10">+AE32+AF32</f>
        <v>50</v>
      </c>
      <c r="AH32" s="2">
        <v>628000</v>
      </c>
      <c r="AI32" s="40">
        <f t="shared" si="3"/>
        <v>48.396705016688387</v>
      </c>
      <c r="AJ32" s="139">
        <v>317.81999999999971</v>
      </c>
      <c r="AK32" s="2">
        <v>3178199.9999999972</v>
      </c>
      <c r="AL32" s="36">
        <f t="shared" si="4"/>
        <v>244.92740108923391</v>
      </c>
      <c r="AM32" s="6"/>
    </row>
    <row r="33" spans="1:39" x14ac:dyDescent="0.35">
      <c r="A33" s="32"/>
      <c r="B33" s="55">
        <v>22</v>
      </c>
      <c r="C33" s="146">
        <v>1</v>
      </c>
      <c r="D33" s="148">
        <v>8</v>
      </c>
      <c r="E33" s="103">
        <v>9611</v>
      </c>
      <c r="F33" s="2">
        <v>10452625.659</v>
      </c>
      <c r="G33" s="34">
        <v>1799.9999999999545</v>
      </c>
      <c r="H33" s="2">
        <v>2936436.2999999262</v>
      </c>
      <c r="I33" s="100">
        <f t="shared" si="5"/>
        <v>13389061.958999926</v>
      </c>
      <c r="J33" s="103">
        <v>1310</v>
      </c>
      <c r="K33" s="2">
        <v>1424715.3900000001</v>
      </c>
      <c r="L33" s="183">
        <v>328.00000000001137</v>
      </c>
      <c r="M33" s="184">
        <v>535083.9480000186</v>
      </c>
      <c r="N33" s="91">
        <f t="shared" si="6"/>
        <v>1959799.3380000186</v>
      </c>
      <c r="O33" s="105">
        <f t="shared" si="7"/>
        <v>15348861.296999944</v>
      </c>
      <c r="P33" s="108">
        <f t="shared" si="8"/>
        <v>13048.999999999965</v>
      </c>
      <c r="Q33" s="188"/>
      <c r="R33" s="201"/>
      <c r="S33" s="212"/>
      <c r="T33" s="209"/>
      <c r="U33" s="207">
        <v>0</v>
      </c>
      <c r="V33" s="185">
        <f t="shared" si="9"/>
        <v>564</v>
      </c>
      <c r="W33" s="2">
        <v>225</v>
      </c>
      <c r="X33" s="2">
        <v>4043320.8846411742</v>
      </c>
      <c r="Y33" s="30">
        <v>339</v>
      </c>
      <c r="Z33" s="30">
        <v>1602835.4741647646</v>
      </c>
      <c r="AA33" s="30">
        <f t="shared" si="0"/>
        <v>5646156.3588059386</v>
      </c>
      <c r="AB33" s="125">
        <f t="shared" si="1"/>
        <v>435.1200060115134</v>
      </c>
      <c r="AC33" s="131">
        <v>0</v>
      </c>
      <c r="AD33" s="2">
        <v>0</v>
      </c>
      <c r="AE33" s="2">
        <v>50</v>
      </c>
      <c r="AF33" s="2">
        <v>0</v>
      </c>
      <c r="AG33" s="2">
        <f t="shared" si="10"/>
        <v>50</v>
      </c>
      <c r="AH33" s="2">
        <v>628000</v>
      </c>
      <c r="AI33" s="40">
        <f t="shared" si="3"/>
        <v>48.396705016688387</v>
      </c>
      <c r="AJ33" s="139">
        <v>280.60000000000002</v>
      </c>
      <c r="AK33" s="2">
        <v>2806000</v>
      </c>
      <c r="AL33" s="36">
        <f t="shared" si="4"/>
        <v>216.24387623698664</v>
      </c>
      <c r="AM33" s="6"/>
    </row>
    <row r="34" spans="1:39" x14ac:dyDescent="0.35">
      <c r="A34" s="32"/>
      <c r="B34" s="55">
        <v>23</v>
      </c>
      <c r="C34" s="146">
        <v>2</v>
      </c>
      <c r="D34" s="148">
        <v>18</v>
      </c>
      <c r="E34" s="103">
        <v>10051</v>
      </c>
      <c r="F34" s="2">
        <v>10931156.018999999</v>
      </c>
      <c r="G34" s="34">
        <v>1920.0000000000728</v>
      </c>
      <c r="H34" s="2">
        <v>3132198.7200001189</v>
      </c>
      <c r="I34" s="100">
        <f t="shared" si="5"/>
        <v>14063354.739000119</v>
      </c>
      <c r="J34" s="103">
        <v>1315</v>
      </c>
      <c r="K34" s="2">
        <v>1430153.2350000001</v>
      </c>
      <c r="L34" s="183">
        <v>308.00000000000114</v>
      </c>
      <c r="M34" s="184">
        <v>502456.87800000189</v>
      </c>
      <c r="N34" s="91">
        <f t="shared" si="6"/>
        <v>1932610.113000002</v>
      </c>
      <c r="O34" s="105">
        <f t="shared" si="7"/>
        <v>15995964.852000121</v>
      </c>
      <c r="P34" s="108">
        <f t="shared" si="8"/>
        <v>13594.000000000073</v>
      </c>
      <c r="Q34" s="189"/>
      <c r="R34" s="202"/>
      <c r="S34" s="212"/>
      <c r="T34" s="209"/>
      <c r="U34" s="207">
        <v>0</v>
      </c>
      <c r="V34" s="185">
        <f t="shared" si="9"/>
        <v>575</v>
      </c>
      <c r="W34" s="2">
        <v>224</v>
      </c>
      <c r="X34" s="2">
        <v>4025350.5695983246</v>
      </c>
      <c r="Y34" s="30">
        <v>351</v>
      </c>
      <c r="Z34" s="30">
        <v>1659573.0130732518</v>
      </c>
      <c r="AA34" s="30">
        <f t="shared" si="0"/>
        <v>5684923.5826715762</v>
      </c>
      <c r="AB34" s="125">
        <f t="shared" si="1"/>
        <v>438.10759502065537</v>
      </c>
      <c r="AC34" s="131">
        <v>0</v>
      </c>
      <c r="AD34" s="2">
        <v>0</v>
      </c>
      <c r="AE34" s="2">
        <v>50</v>
      </c>
      <c r="AF34" s="2">
        <v>0</v>
      </c>
      <c r="AG34" s="2">
        <f t="shared" si="10"/>
        <v>50</v>
      </c>
      <c r="AH34" s="2">
        <v>628000</v>
      </c>
      <c r="AI34" s="40">
        <f t="shared" si="3"/>
        <v>48.396705016688387</v>
      </c>
      <c r="AJ34" s="139">
        <v>294.23999999999796</v>
      </c>
      <c r="AK34" s="2">
        <v>2942399.9999999795</v>
      </c>
      <c r="AL34" s="36">
        <f t="shared" si="4"/>
        <v>226.75551726290274</v>
      </c>
      <c r="AM34" s="6"/>
    </row>
    <row r="35" spans="1:39" x14ac:dyDescent="0.35">
      <c r="A35" s="32"/>
      <c r="B35" s="55">
        <v>24</v>
      </c>
      <c r="C35" s="146">
        <v>2</v>
      </c>
      <c r="D35" s="148">
        <v>21</v>
      </c>
      <c r="E35" s="103">
        <v>9212</v>
      </c>
      <c r="F35" s="2">
        <v>10018685.628</v>
      </c>
      <c r="G35" s="34">
        <v>1919.9999999999591</v>
      </c>
      <c r="H35" s="2">
        <v>3132198.7199999336</v>
      </c>
      <c r="I35" s="100">
        <f t="shared" si="5"/>
        <v>13150884.347999934</v>
      </c>
      <c r="J35" s="103">
        <v>1315</v>
      </c>
      <c r="K35" s="2">
        <v>1430153.2350000001</v>
      </c>
      <c r="L35" s="183">
        <v>427.99999999999147</v>
      </c>
      <c r="M35" s="184">
        <v>698219.2979999861</v>
      </c>
      <c r="N35" s="91">
        <f t="shared" si="6"/>
        <v>2128372.5329999863</v>
      </c>
      <c r="O35" s="105">
        <f t="shared" si="7"/>
        <v>15279256.880999921</v>
      </c>
      <c r="P35" s="108">
        <f t="shared" si="8"/>
        <v>12874.999999999951</v>
      </c>
      <c r="Q35" s="188"/>
      <c r="R35" s="200"/>
      <c r="S35" s="212"/>
      <c r="T35" s="209"/>
      <c r="U35" s="207">
        <v>0</v>
      </c>
      <c r="V35" s="185">
        <f t="shared" si="9"/>
        <v>715</v>
      </c>
      <c r="W35" s="2">
        <v>180</v>
      </c>
      <c r="X35" s="2">
        <v>3234656.7077129395</v>
      </c>
      <c r="Y35" s="30">
        <v>535</v>
      </c>
      <c r="Z35" s="30">
        <v>2529548.609670056</v>
      </c>
      <c r="AA35" s="30">
        <f t="shared" si="0"/>
        <v>5764205.317382995</v>
      </c>
      <c r="AB35" s="125">
        <f t="shared" si="1"/>
        <v>444.21742739014564</v>
      </c>
      <c r="AC35" s="131">
        <v>0</v>
      </c>
      <c r="AD35" s="2">
        <v>0</v>
      </c>
      <c r="AE35" s="2">
        <v>100</v>
      </c>
      <c r="AF35" s="2">
        <v>12</v>
      </c>
      <c r="AG35" s="2">
        <f t="shared" si="10"/>
        <v>112</v>
      </c>
      <c r="AH35" s="2">
        <v>1393500</v>
      </c>
      <c r="AI35" s="40">
        <f t="shared" si="3"/>
        <v>107.38982235789055</v>
      </c>
      <c r="AJ35" s="139">
        <v>80.510000000002037</v>
      </c>
      <c r="AK35" s="2">
        <v>805100.00000002037</v>
      </c>
      <c r="AL35" s="36">
        <f t="shared" si="4"/>
        <v>62.0448840906637</v>
      </c>
      <c r="AM35" s="6"/>
    </row>
    <row r="36" spans="1:39" x14ac:dyDescent="0.35">
      <c r="A36" s="32"/>
      <c r="B36" s="55">
        <v>25</v>
      </c>
      <c r="C36" s="146">
        <v>3</v>
      </c>
      <c r="D36" s="148">
        <v>17</v>
      </c>
      <c r="E36" s="103">
        <v>9212</v>
      </c>
      <c r="F36" s="2">
        <v>10018685.628</v>
      </c>
      <c r="G36" s="34">
        <v>1879.9999999999955</v>
      </c>
      <c r="H36" s="2">
        <v>3066944.5799999931</v>
      </c>
      <c r="I36" s="100">
        <f t="shared" si="5"/>
        <v>13085630.207999993</v>
      </c>
      <c r="J36" s="103">
        <v>1310</v>
      </c>
      <c r="K36" s="2">
        <v>1424715.3900000001</v>
      </c>
      <c r="L36" s="183">
        <v>348.00000000000739</v>
      </c>
      <c r="M36" s="184">
        <v>567711.01800001215</v>
      </c>
      <c r="N36" s="91">
        <f t="shared" si="6"/>
        <v>1992426.4080000124</v>
      </c>
      <c r="O36" s="105">
        <f t="shared" si="7"/>
        <v>15078056.616000006</v>
      </c>
      <c r="P36" s="108">
        <f t="shared" si="8"/>
        <v>12750.000000000004</v>
      </c>
      <c r="Q36" s="188"/>
      <c r="R36" s="200"/>
      <c r="S36" s="212"/>
      <c r="T36" s="209"/>
      <c r="U36" s="207">
        <v>0</v>
      </c>
      <c r="V36" s="185">
        <f t="shared" si="9"/>
        <v>667</v>
      </c>
      <c r="W36" s="2">
        <v>177</v>
      </c>
      <c r="X36" s="2">
        <v>3180745.7625843901</v>
      </c>
      <c r="Y36" s="30">
        <v>490</v>
      </c>
      <c r="Z36" s="30">
        <v>2316782.8387632291</v>
      </c>
      <c r="AA36" s="30">
        <f t="shared" si="0"/>
        <v>5497528.6013476197</v>
      </c>
      <c r="AB36" s="125">
        <f t="shared" si="1"/>
        <v>423.66603509590482</v>
      </c>
      <c r="AC36" s="131">
        <v>0</v>
      </c>
      <c r="AD36" s="2">
        <v>0</v>
      </c>
      <c r="AE36" s="2">
        <v>50</v>
      </c>
      <c r="AF36" s="2">
        <v>12</v>
      </c>
      <c r="AG36" s="2">
        <f t="shared" si="10"/>
        <v>62</v>
      </c>
      <c r="AH36" s="2">
        <v>765500</v>
      </c>
      <c r="AI36" s="40">
        <f t="shared" si="3"/>
        <v>58.993117341202165</v>
      </c>
      <c r="AJ36" s="139">
        <v>92.709999999999127</v>
      </c>
      <c r="AK36" s="2">
        <v>927099.99999999127</v>
      </c>
      <c r="AL36" s="36">
        <f t="shared" si="4"/>
        <v>71.446791753139138</v>
      </c>
      <c r="AM36" s="6"/>
    </row>
    <row r="37" spans="1:39" x14ac:dyDescent="0.35">
      <c r="A37" s="32"/>
      <c r="B37" s="55">
        <v>26</v>
      </c>
      <c r="C37" s="146">
        <v>3</v>
      </c>
      <c r="D37" s="148">
        <v>34</v>
      </c>
      <c r="E37" s="103">
        <v>9651</v>
      </c>
      <c r="F37" s="2">
        <v>10496128.419</v>
      </c>
      <c r="G37" s="34">
        <v>1879.9999999999955</v>
      </c>
      <c r="H37" s="2">
        <v>3066944.5799999931</v>
      </c>
      <c r="I37" s="100">
        <f t="shared" si="5"/>
        <v>13563072.998999992</v>
      </c>
      <c r="J37" s="103">
        <v>1329</v>
      </c>
      <c r="K37" s="2">
        <v>1445379.2009999999</v>
      </c>
      <c r="L37" s="183">
        <v>347.99999999999318</v>
      </c>
      <c r="M37" s="184">
        <v>567711.01799998898</v>
      </c>
      <c r="N37" s="91">
        <f t="shared" si="6"/>
        <v>2013090.2189999889</v>
      </c>
      <c r="O37" s="105">
        <f t="shared" si="7"/>
        <v>15576163.217999982</v>
      </c>
      <c r="P37" s="108">
        <f t="shared" si="8"/>
        <v>13207.999999999989</v>
      </c>
      <c r="Q37" s="188"/>
      <c r="R37" s="200"/>
      <c r="S37" s="212"/>
      <c r="T37" s="209"/>
      <c r="U37" s="207">
        <v>0</v>
      </c>
      <c r="V37" s="185">
        <f t="shared" si="9"/>
        <v>588</v>
      </c>
      <c r="W37" s="2">
        <v>197</v>
      </c>
      <c r="X37" s="2">
        <v>3540152.0634413837</v>
      </c>
      <c r="Y37" s="30">
        <v>391</v>
      </c>
      <c r="Z37" s="30">
        <v>1848698.1427682093</v>
      </c>
      <c r="AA37" s="30">
        <f t="shared" si="0"/>
        <v>5388850.2062095925</v>
      </c>
      <c r="AB37" s="125">
        <f t="shared" si="1"/>
        <v>415.29075447300323</v>
      </c>
      <c r="AC37" s="131">
        <v>0</v>
      </c>
      <c r="AD37" s="2">
        <v>0</v>
      </c>
      <c r="AE37" s="2">
        <v>100</v>
      </c>
      <c r="AF37" s="2">
        <v>12</v>
      </c>
      <c r="AG37" s="2">
        <f t="shared" si="10"/>
        <v>112</v>
      </c>
      <c r="AH37" s="2">
        <v>1393500</v>
      </c>
      <c r="AI37" s="40">
        <f t="shared" si="3"/>
        <v>107.38982235789055</v>
      </c>
      <c r="AJ37" s="139">
        <v>416.06000000002678</v>
      </c>
      <c r="AK37" s="2">
        <v>4160600.0000002678</v>
      </c>
      <c r="AL37" s="36">
        <f t="shared" si="4"/>
        <v>320.63587721727174</v>
      </c>
      <c r="AM37" s="6"/>
    </row>
    <row r="38" spans="1:39" x14ac:dyDescent="0.35">
      <c r="A38" s="32"/>
      <c r="B38" s="55">
        <v>27</v>
      </c>
      <c r="C38" s="146">
        <v>3</v>
      </c>
      <c r="D38" s="148">
        <v>55</v>
      </c>
      <c r="E38" s="103">
        <v>9171</v>
      </c>
      <c r="F38" s="2">
        <v>9974095.2989999987</v>
      </c>
      <c r="G38" s="34">
        <v>1800.0000000000682</v>
      </c>
      <c r="H38" s="2">
        <v>2936436.3000001116</v>
      </c>
      <c r="I38" s="100">
        <f t="shared" si="5"/>
        <v>12910531.599000111</v>
      </c>
      <c r="J38" s="103">
        <v>1289</v>
      </c>
      <c r="K38" s="2">
        <v>1401876.4409999999</v>
      </c>
      <c r="L38" s="183">
        <v>348.00000000000739</v>
      </c>
      <c r="M38" s="184">
        <v>567711.01800001215</v>
      </c>
      <c r="N38" s="91">
        <f t="shared" si="6"/>
        <v>1969587.4590000119</v>
      </c>
      <c r="O38" s="105">
        <f t="shared" si="7"/>
        <v>14880119.058000123</v>
      </c>
      <c r="P38" s="108">
        <f t="shared" si="8"/>
        <v>12608.000000000076</v>
      </c>
      <c r="Q38" s="188"/>
      <c r="R38" s="200"/>
      <c r="S38" s="212"/>
      <c r="T38" s="209"/>
      <c r="U38" s="207">
        <v>0</v>
      </c>
      <c r="V38" s="185">
        <f t="shared" si="9"/>
        <v>743</v>
      </c>
      <c r="W38" s="2">
        <v>178</v>
      </c>
      <c r="X38" s="2">
        <v>3198716.0776272402</v>
      </c>
      <c r="Y38" s="30">
        <v>565</v>
      </c>
      <c r="Z38" s="30">
        <v>2671392.4569412745</v>
      </c>
      <c r="AA38" s="30">
        <f t="shared" si="0"/>
        <v>5870108.5345685147</v>
      </c>
      <c r="AB38" s="125">
        <f t="shared" si="1"/>
        <v>452.37883943225694</v>
      </c>
      <c r="AC38" s="131">
        <v>0</v>
      </c>
      <c r="AD38" s="2">
        <v>0</v>
      </c>
      <c r="AE38" s="2">
        <v>100</v>
      </c>
      <c r="AF38" s="2">
        <v>12</v>
      </c>
      <c r="AG38" s="2">
        <f t="shared" si="10"/>
        <v>112</v>
      </c>
      <c r="AH38" s="2">
        <v>1393500</v>
      </c>
      <c r="AI38" s="40">
        <f t="shared" si="3"/>
        <v>107.38982235789055</v>
      </c>
      <c r="AJ38" s="139">
        <v>105.34000000000378</v>
      </c>
      <c r="AK38" s="2">
        <v>1053400.0000000377</v>
      </c>
      <c r="AL38" s="36">
        <f t="shared" si="4"/>
        <v>81.180078128314278</v>
      </c>
      <c r="AM38" s="6"/>
    </row>
    <row r="39" spans="1:39" x14ac:dyDescent="0.35">
      <c r="A39" s="32"/>
      <c r="B39" s="55">
        <v>28</v>
      </c>
      <c r="C39" s="146">
        <v>3</v>
      </c>
      <c r="D39" s="148">
        <v>50</v>
      </c>
      <c r="E39" s="103">
        <v>9691</v>
      </c>
      <c r="F39" s="2">
        <v>10539631.179000001</v>
      </c>
      <c r="G39" s="34">
        <v>1879.9999999999955</v>
      </c>
      <c r="H39" s="2">
        <v>3066944.5799999931</v>
      </c>
      <c r="I39" s="100">
        <f t="shared" si="5"/>
        <v>13606575.758999994</v>
      </c>
      <c r="J39" s="103">
        <v>1349</v>
      </c>
      <c r="K39" s="2">
        <v>1467130.581</v>
      </c>
      <c r="L39" s="183">
        <v>347.99999999999318</v>
      </c>
      <c r="M39" s="184">
        <v>567711.01799998898</v>
      </c>
      <c r="N39" s="91">
        <f t="shared" si="6"/>
        <v>2034841.598999989</v>
      </c>
      <c r="O39" s="105">
        <f t="shared" si="7"/>
        <v>15641417.357999982</v>
      </c>
      <c r="P39" s="108">
        <f t="shared" si="8"/>
        <v>13267.999999999989</v>
      </c>
      <c r="Q39" s="188"/>
      <c r="R39" s="203"/>
      <c r="S39" s="212"/>
      <c r="T39" s="209"/>
      <c r="U39" s="207">
        <v>0</v>
      </c>
      <c r="V39" s="185">
        <f t="shared" si="9"/>
        <v>691</v>
      </c>
      <c r="W39" s="2">
        <v>190</v>
      </c>
      <c r="X39" s="2">
        <v>3414359.8581414358</v>
      </c>
      <c r="Y39" s="30">
        <v>501</v>
      </c>
      <c r="Z39" s="30">
        <v>2368792.2494293423</v>
      </c>
      <c r="AA39" s="30">
        <f t="shared" si="0"/>
        <v>5783152.1075707786</v>
      </c>
      <c r="AB39" s="125">
        <f t="shared" si="1"/>
        <v>445.67755830691516</v>
      </c>
      <c r="AC39" s="131">
        <v>0</v>
      </c>
      <c r="AD39" s="2">
        <v>0</v>
      </c>
      <c r="AE39" s="2">
        <v>100</v>
      </c>
      <c r="AF39" s="2">
        <v>12</v>
      </c>
      <c r="AG39" s="2">
        <f t="shared" si="10"/>
        <v>112</v>
      </c>
      <c r="AH39" s="2">
        <v>1393500</v>
      </c>
      <c r="AI39" s="40">
        <f t="shared" si="3"/>
        <v>107.38982235789055</v>
      </c>
      <c r="AJ39" s="139">
        <v>472.6</v>
      </c>
      <c r="AK39" s="2">
        <v>4726000</v>
      </c>
      <c r="AL39" s="36">
        <f t="shared" si="4"/>
        <v>364.20832469565175</v>
      </c>
      <c r="AM39" s="6"/>
    </row>
    <row r="40" spans="1:39" x14ac:dyDescent="0.35">
      <c r="A40" s="32"/>
      <c r="B40" s="55">
        <v>29</v>
      </c>
      <c r="C40" s="146">
        <v>3</v>
      </c>
      <c r="D40" s="148">
        <v>55</v>
      </c>
      <c r="E40" s="103">
        <v>9891</v>
      </c>
      <c r="F40" s="2">
        <v>10757144.979</v>
      </c>
      <c r="G40" s="34">
        <v>2120.0000000000045</v>
      </c>
      <c r="H40" s="2">
        <v>3458469.4200000078</v>
      </c>
      <c r="I40" s="100">
        <f t="shared" si="5"/>
        <v>14215614.399000008</v>
      </c>
      <c r="J40" s="103">
        <v>1429</v>
      </c>
      <c r="K40" s="2">
        <v>1554136.101</v>
      </c>
      <c r="L40" s="183">
        <v>387.99999999999943</v>
      </c>
      <c r="M40" s="184">
        <v>632965.15799999912</v>
      </c>
      <c r="N40" s="91">
        <f t="shared" si="6"/>
        <v>2187101.2589999991</v>
      </c>
      <c r="O40" s="105">
        <f t="shared" ref="O40:O41" si="11">N40+I40</f>
        <v>16402715.658000007</v>
      </c>
      <c r="P40" s="108">
        <f t="shared" ref="P40:P41" si="12">L40+J40+G40+E40</f>
        <v>13828.000000000004</v>
      </c>
      <c r="Q40" s="189"/>
      <c r="R40" s="204"/>
      <c r="S40" s="212"/>
      <c r="T40" s="209"/>
      <c r="U40" s="207">
        <v>0</v>
      </c>
      <c r="V40" s="185">
        <f t="shared" si="9"/>
        <v>642</v>
      </c>
      <c r="W40" s="2">
        <v>180</v>
      </c>
      <c r="X40" s="2">
        <v>3234656.7077129395</v>
      </c>
      <c r="Y40" s="30">
        <v>462</v>
      </c>
      <c r="Z40" s="30">
        <v>2184395.247976759</v>
      </c>
      <c r="AA40" s="30">
        <f t="shared" ref="AA40:AA41" si="13">Z40+X40</f>
        <v>5419051.9556896985</v>
      </c>
      <c r="AB40" s="125">
        <f t="shared" ref="AB40:AB41" si="14">AA40/$AL$48</f>
        <v>417.61824676691504</v>
      </c>
      <c r="AC40" s="131">
        <v>0</v>
      </c>
      <c r="AD40" s="2">
        <v>0</v>
      </c>
      <c r="AE40" s="2">
        <v>100</v>
      </c>
      <c r="AF40" s="2">
        <v>12</v>
      </c>
      <c r="AG40" s="2">
        <f t="shared" si="10"/>
        <v>112</v>
      </c>
      <c r="AH40" s="2">
        <v>1393500</v>
      </c>
      <c r="AI40" s="40">
        <f t="shared" ref="AI40:AI42" si="15">AH40/$AL$48</f>
        <v>107.38982235789055</v>
      </c>
      <c r="AJ40" s="139">
        <v>293.86999999999534</v>
      </c>
      <c r="AK40" s="2">
        <v>2938699.9999999534</v>
      </c>
      <c r="AL40" s="36">
        <f t="shared" si="4"/>
        <v>226.47037744035018</v>
      </c>
      <c r="AM40" s="6"/>
    </row>
    <row r="41" spans="1:39" ht="17.25" customHeight="1" x14ac:dyDescent="0.35">
      <c r="A41" s="32"/>
      <c r="B41" s="55">
        <v>30</v>
      </c>
      <c r="C41" s="146">
        <v>5</v>
      </c>
      <c r="D41" s="148">
        <v>74</v>
      </c>
      <c r="E41" s="103">
        <v>9731</v>
      </c>
      <c r="F41" s="2">
        <v>10583133.938999999</v>
      </c>
      <c r="G41" s="34">
        <v>1919.9999999999591</v>
      </c>
      <c r="H41" s="2">
        <v>3132198.7199999336</v>
      </c>
      <c r="I41" s="100">
        <f t="shared" si="5"/>
        <v>13715332.658999933</v>
      </c>
      <c r="J41" s="103">
        <v>1589</v>
      </c>
      <c r="K41" s="2">
        <v>1728147.1410000001</v>
      </c>
      <c r="L41" s="183">
        <v>387.99999999999943</v>
      </c>
      <c r="M41" s="184">
        <v>632965.15799999912</v>
      </c>
      <c r="N41" s="91">
        <f t="shared" si="6"/>
        <v>2361112.2989999992</v>
      </c>
      <c r="O41" s="105">
        <f t="shared" si="11"/>
        <v>16076444.957999932</v>
      </c>
      <c r="P41" s="108">
        <f t="shared" si="12"/>
        <v>13627.999999999958</v>
      </c>
      <c r="Q41" s="188"/>
      <c r="R41" s="205"/>
      <c r="S41" s="212"/>
      <c r="T41" s="209"/>
      <c r="U41" s="207">
        <v>0</v>
      </c>
      <c r="V41" s="185">
        <f t="shared" si="9"/>
        <v>550</v>
      </c>
      <c r="W41" s="2">
        <v>165</v>
      </c>
      <c r="X41" s="2">
        <v>2940754.9820701946</v>
      </c>
      <c r="Y41" s="30">
        <v>385</v>
      </c>
      <c r="Z41" s="30">
        <v>1820329.3733139657</v>
      </c>
      <c r="AA41" s="30">
        <f t="shared" si="13"/>
        <v>4761084.3553841598</v>
      </c>
      <c r="AB41" s="125">
        <f t="shared" si="14"/>
        <v>366.91209411958147</v>
      </c>
      <c r="AC41" s="131">
        <v>0</v>
      </c>
      <c r="AD41" s="2">
        <v>0</v>
      </c>
      <c r="AE41" s="2">
        <v>100</v>
      </c>
      <c r="AF41" s="2">
        <v>12</v>
      </c>
      <c r="AG41" s="2">
        <f>+AE41+AF41</f>
        <v>112</v>
      </c>
      <c r="AH41" s="2">
        <v>1393500</v>
      </c>
      <c r="AI41" s="40">
        <f t="shared" si="15"/>
        <v>107.38982235789055</v>
      </c>
      <c r="AJ41" s="139">
        <v>324.40000000000146</v>
      </c>
      <c r="AK41" s="2">
        <v>3244000.0000000144</v>
      </c>
      <c r="AL41" s="36">
        <f t="shared" si="4"/>
        <v>249.99826604162072</v>
      </c>
      <c r="AM41" s="6"/>
    </row>
    <row r="42" spans="1:39" x14ac:dyDescent="0.35">
      <c r="A42" s="32"/>
      <c r="B42" s="55">
        <v>31</v>
      </c>
      <c r="C42" s="172">
        <v>6</v>
      </c>
      <c r="D42" s="173">
        <v>81</v>
      </c>
      <c r="E42" s="103">
        <v>9771</v>
      </c>
      <c r="F42" s="2">
        <v>10626636.698999999</v>
      </c>
      <c r="G42" s="34">
        <v>1919.9999999999591</v>
      </c>
      <c r="H42" s="2">
        <v>3132198.7199999336</v>
      </c>
      <c r="I42" s="100">
        <f t="shared" si="5"/>
        <v>13758835.418999933</v>
      </c>
      <c r="J42" s="103">
        <v>1415</v>
      </c>
      <c r="K42" s="2">
        <v>1538910.135</v>
      </c>
      <c r="L42" s="183">
        <v>399.99999999999545</v>
      </c>
      <c r="M42" s="184">
        <v>652541.39999999269</v>
      </c>
      <c r="N42" s="91">
        <f t="shared" ref="N42" si="16">+K42+M42</f>
        <v>2191451.5349999927</v>
      </c>
      <c r="O42" s="105">
        <f t="shared" ref="O42" si="17">N42+I42</f>
        <v>15950286.953999925</v>
      </c>
      <c r="P42" s="108">
        <f t="shared" ref="P42" si="18">L42+J42+G42+E42</f>
        <v>13505.999999999955</v>
      </c>
      <c r="Q42" s="188"/>
      <c r="R42" s="205"/>
      <c r="S42" s="212"/>
      <c r="T42" s="209"/>
      <c r="U42" s="207">
        <v>1</v>
      </c>
      <c r="V42" s="185">
        <f t="shared" ref="V42" si="19">Y42+W42</f>
        <v>589</v>
      </c>
      <c r="W42" s="2">
        <v>89</v>
      </c>
      <c r="X42" s="2">
        <v>1599358.0388136201</v>
      </c>
      <c r="Y42" s="30">
        <v>500</v>
      </c>
      <c r="Z42" s="30">
        <v>2364064.1211869684</v>
      </c>
      <c r="AA42" s="30">
        <f t="shared" ref="AA42" si="20">Z42+X42</f>
        <v>3963422.1600005887</v>
      </c>
      <c r="AB42" s="125">
        <f t="shared" ref="AB42" si="21">AA42/$AL$48</f>
        <v>305.4404030798637</v>
      </c>
      <c r="AC42" s="131">
        <v>0</v>
      </c>
      <c r="AD42" s="2">
        <v>0</v>
      </c>
      <c r="AE42" s="2">
        <v>100</v>
      </c>
      <c r="AF42" s="2">
        <v>12</v>
      </c>
      <c r="AG42" s="2">
        <f>+AE42+AF42</f>
        <v>112</v>
      </c>
      <c r="AH42" s="2">
        <v>1393500</v>
      </c>
      <c r="AI42" s="40">
        <f t="shared" si="15"/>
        <v>107.38982235789055</v>
      </c>
      <c r="AJ42" s="139">
        <v>202.08000000000175</v>
      </c>
      <c r="AK42" s="2">
        <v>2020800.0000000175</v>
      </c>
      <c r="AL42" s="36">
        <f t="shared" si="4"/>
        <v>155.7325820027464</v>
      </c>
      <c r="AM42" s="6"/>
    </row>
    <row r="43" spans="1:39" ht="16" thickBot="1" x14ac:dyDescent="0.4">
      <c r="A43" s="32"/>
      <c r="B43" s="119"/>
      <c r="C43" s="147"/>
      <c r="D43" s="149"/>
      <c r="E43" s="101"/>
      <c r="F43" s="101"/>
      <c r="G43" s="92"/>
      <c r="H43" s="93"/>
      <c r="I43" s="102"/>
      <c r="J43" s="104"/>
      <c r="K43" s="92"/>
      <c r="L43" s="93"/>
      <c r="M43" s="94"/>
      <c r="N43" s="95"/>
      <c r="O43" s="106"/>
      <c r="P43" s="109"/>
      <c r="Q43" s="174"/>
      <c r="R43" s="206"/>
      <c r="S43" s="213"/>
      <c r="T43" s="213"/>
      <c r="U43" s="208"/>
      <c r="V43" s="185"/>
      <c r="W43" s="2"/>
      <c r="X43" s="2"/>
      <c r="Y43" s="30"/>
      <c r="Z43" s="30"/>
      <c r="AA43" s="16"/>
      <c r="AB43" s="126"/>
      <c r="AC43" s="124"/>
      <c r="AD43" s="2"/>
      <c r="AE43" s="1"/>
      <c r="AF43" s="1"/>
      <c r="AG43" s="1"/>
      <c r="AH43" s="2"/>
      <c r="AI43" s="40"/>
      <c r="AJ43" s="139"/>
      <c r="AK43" s="2"/>
      <c r="AL43" s="36"/>
      <c r="AM43" s="6"/>
    </row>
    <row r="44" spans="1:39" s="7" customFormat="1" ht="4.5" customHeight="1" x14ac:dyDescent="0.35">
      <c r="B44" s="114"/>
      <c r="C44" s="115"/>
      <c r="D44" s="115"/>
      <c r="E44" s="113"/>
      <c r="F44" s="6"/>
      <c r="H44" s="6"/>
      <c r="L44" s="6"/>
      <c r="M44" s="59"/>
      <c r="N44" s="63"/>
      <c r="P44" s="63"/>
      <c r="R44" s="83"/>
      <c r="S44" s="6"/>
      <c r="U44" s="31"/>
      <c r="V44" s="127"/>
      <c r="AB44" s="31"/>
      <c r="AD44" s="6"/>
      <c r="AJ44" s="83"/>
      <c r="AL44" s="31"/>
    </row>
    <row r="45" spans="1:39" s="7" customFormat="1" ht="6" customHeight="1" x14ac:dyDescent="0.35">
      <c r="B45" s="114"/>
      <c r="C45" s="115"/>
      <c r="D45" s="115"/>
      <c r="E45" s="113"/>
      <c r="F45" s="6"/>
      <c r="H45" s="6"/>
      <c r="L45" s="6"/>
      <c r="M45" s="59"/>
      <c r="N45" s="63"/>
      <c r="P45" s="63"/>
      <c r="R45" s="83"/>
      <c r="S45" s="14"/>
      <c r="T45" s="14"/>
      <c r="U45" s="31"/>
      <c r="V45" s="127"/>
      <c r="AB45" s="128"/>
      <c r="AD45" s="6"/>
      <c r="AH45" s="6"/>
      <c r="AJ45" s="85"/>
      <c r="AK45" s="4"/>
      <c r="AL45" s="37"/>
    </row>
    <row r="46" spans="1:39" s="7" customFormat="1" ht="16" thickBot="1" x14ac:dyDescent="0.4">
      <c r="B46" s="116"/>
      <c r="C46" s="117"/>
      <c r="D46" s="117"/>
      <c r="E46" s="118"/>
      <c r="F46" s="69"/>
      <c r="G46" s="68"/>
      <c r="H46" s="69"/>
      <c r="I46" s="68"/>
      <c r="J46" s="68"/>
      <c r="K46" s="68"/>
      <c r="L46" s="69"/>
      <c r="M46" s="70"/>
      <c r="N46" s="71"/>
      <c r="O46" s="68"/>
      <c r="P46" s="71"/>
      <c r="Q46" s="68"/>
      <c r="R46" s="84"/>
      <c r="S46" s="72"/>
      <c r="T46" s="68"/>
      <c r="U46" s="186"/>
      <c r="V46" s="129"/>
      <c r="W46" s="74"/>
      <c r="X46" s="68"/>
      <c r="Y46" s="68"/>
      <c r="Z46" s="68"/>
      <c r="AA46" s="68"/>
      <c r="AB46" s="73"/>
      <c r="AC46" s="75"/>
      <c r="AD46" s="69"/>
      <c r="AE46" s="75"/>
      <c r="AF46" s="75"/>
      <c r="AG46" s="75"/>
      <c r="AH46" s="69"/>
      <c r="AI46" s="68"/>
      <c r="AJ46" s="140"/>
      <c r="AK46" s="76"/>
      <c r="AL46" s="77"/>
    </row>
    <row r="47" spans="1:39" ht="16.5" thickTop="1" thickBot="1" x14ac:dyDescent="0.4">
      <c r="A47" s="24"/>
      <c r="B47" s="66"/>
      <c r="C47" s="67">
        <f>SUM(C12:C43)</f>
        <v>120</v>
      </c>
      <c r="D47" s="67">
        <f>SUM(D12:D43)</f>
        <v>1374</v>
      </c>
      <c r="E47" s="67">
        <f>SUM(E12:E43)</f>
        <v>309240</v>
      </c>
      <c r="F47" s="67">
        <f>SUM(F12:F43)</f>
        <v>336319837.56000006</v>
      </c>
      <c r="G47" s="67">
        <f>SUM(G12:G43)</f>
        <v>62039.999999999949</v>
      </c>
      <c r="H47" s="67">
        <f t="shared" ref="H47:O47" si="22">SUM(H12:H43)</f>
        <v>101209171.13999997</v>
      </c>
      <c r="I47" s="67">
        <f t="shared" si="22"/>
        <v>437529008.69999999</v>
      </c>
      <c r="J47" s="67">
        <f t="shared" si="22"/>
        <v>43900</v>
      </c>
      <c r="K47" s="67">
        <f t="shared" si="22"/>
        <v>47744279.100000001</v>
      </c>
      <c r="L47" s="67">
        <f t="shared" si="22"/>
        <v>11679.999999999993</v>
      </c>
      <c r="M47" s="67">
        <f t="shared" si="22"/>
        <v>19054208.879999992</v>
      </c>
      <c r="N47" s="67">
        <f t="shared" si="22"/>
        <v>66798487.980000004</v>
      </c>
      <c r="O47" s="67">
        <f t="shared" si="22"/>
        <v>504327496.67999989</v>
      </c>
      <c r="P47" s="79">
        <f>SUM(P12:P43)</f>
        <v>426859.99999999988</v>
      </c>
      <c r="Q47" s="187" t="e">
        <f>+#REF!</f>
        <v>#REF!</v>
      </c>
      <c r="R47" s="120" t="e">
        <f>+#REF!</f>
        <v>#REF!</v>
      </c>
      <c r="S47" s="112" t="e">
        <f>Q47+P47</f>
        <v>#REF!</v>
      </c>
      <c r="T47" s="112" t="e">
        <f>R47+O47</f>
        <v>#REF!</v>
      </c>
      <c r="U47" s="134" t="e">
        <f>T47/AL48</f>
        <v>#REF!</v>
      </c>
      <c r="V47" s="175">
        <f>SUM(V12:V42)</f>
        <v>24504</v>
      </c>
      <c r="W47" s="49">
        <f>SUM(W12:W42)</f>
        <v>10047</v>
      </c>
      <c r="X47" s="49">
        <f t="shared" ref="X47:Z47" si="23">SUM(X12:X42)</f>
        <v>180523408.23551062</v>
      </c>
      <c r="Y47" s="49">
        <f t="shared" si="23"/>
        <v>14457</v>
      </c>
      <c r="Z47" s="49">
        <f t="shared" si="23"/>
        <v>68354550</v>
      </c>
      <c r="AA47" s="133">
        <f>SUM(AA12:AA42)</f>
        <v>248877958.23551056</v>
      </c>
      <c r="AB47" s="121">
        <f>AA47/$AL$48</f>
        <v>19179.734283247923</v>
      </c>
      <c r="AC47" s="41">
        <f>SUM(AC12:AC41)</f>
        <v>0</v>
      </c>
      <c r="AD47" s="135">
        <f>SUM(AD12:AD41)</f>
        <v>0</v>
      </c>
      <c r="AE47" s="41">
        <f>SUM(AE12:AE42)</f>
        <v>2800</v>
      </c>
      <c r="AF47" s="41">
        <f>SUM(AF12:AF42)</f>
        <v>288</v>
      </c>
      <c r="AG47" s="211">
        <f>SUM(AG12:AG42)</f>
        <v>3088</v>
      </c>
      <c r="AH47" s="143">
        <f>SUM(AH12:AH43)</f>
        <v>38468000</v>
      </c>
      <c r="AI47" s="144">
        <f>AH47/$AL$48</f>
        <v>2964.5293767228804</v>
      </c>
      <c r="AJ47" s="210">
        <f>SUM(AJ12:AJ43)</f>
        <v>9523.7200000000139</v>
      </c>
      <c r="AK47" s="141">
        <f>SUM(AK12:AK43)</f>
        <v>95237200.000000119</v>
      </c>
      <c r="AL47" s="142">
        <f>AK47/AL48</f>
        <v>7339.4373805977084</v>
      </c>
      <c r="AM47" s="24"/>
    </row>
    <row r="48" spans="1:39" x14ac:dyDescent="0.35">
      <c r="A48" s="24"/>
      <c r="B48" s="24"/>
      <c r="C48" s="4"/>
      <c r="D48" s="10"/>
      <c r="E48" s="4"/>
      <c r="F48" s="4"/>
      <c r="G48" s="10"/>
      <c r="H48" s="4"/>
      <c r="I48" s="8"/>
      <c r="J48" s="8"/>
      <c r="K48" s="8"/>
      <c r="L48" s="15"/>
      <c r="M48" s="60"/>
      <c r="N48" s="64"/>
      <c r="O48" s="9"/>
      <c r="P48" s="64"/>
      <c r="Q48" s="9"/>
      <c r="R48" s="111"/>
      <c r="S48" s="13"/>
      <c r="T48" s="78" t="s">
        <v>52</v>
      </c>
      <c r="U48" s="150" t="e">
        <f>U47/S47</f>
        <v>#REF!</v>
      </c>
      <c r="V48" s="190" t="s">
        <v>53</v>
      </c>
      <c r="W48" s="10"/>
      <c r="X48" s="10"/>
      <c r="Y48" s="136"/>
      <c r="Z48" s="10"/>
      <c r="AA48" s="10"/>
      <c r="AB48" s="10"/>
      <c r="AC48" s="14"/>
      <c r="AD48" s="6"/>
      <c r="AE48" s="14"/>
      <c r="AF48" s="14"/>
      <c r="AG48" s="6"/>
      <c r="AH48" s="4"/>
      <c r="AI48" s="10"/>
      <c r="AJ48" s="85"/>
      <c r="AK48" s="10"/>
      <c r="AL48" s="145">
        <v>12976.09</v>
      </c>
      <c r="AM48" s="24"/>
    </row>
    <row r="49" spans="1:39" x14ac:dyDescent="0.35">
      <c r="A49" s="24"/>
      <c r="B49" s="24"/>
      <c r="C49" s="4"/>
      <c r="D49" s="10"/>
      <c r="E49" s="4"/>
      <c r="F49" s="4"/>
      <c r="G49" s="10"/>
      <c r="H49" s="4"/>
      <c r="I49" s="8"/>
      <c r="J49" s="8"/>
      <c r="K49" s="8"/>
      <c r="L49" s="15"/>
      <c r="M49" s="60"/>
      <c r="N49" s="64"/>
      <c r="O49" s="9"/>
      <c r="P49" s="64"/>
      <c r="Q49" s="9"/>
      <c r="R49" s="111"/>
      <c r="S49" s="13"/>
      <c r="T49" s="78"/>
      <c r="U49" s="150"/>
      <c r="V49" s="190"/>
      <c r="W49" s="10"/>
      <c r="X49" s="215"/>
      <c r="Y49" s="136"/>
      <c r="Z49" s="215"/>
      <c r="AA49" s="10"/>
      <c r="AB49" s="10"/>
      <c r="AC49" s="14"/>
      <c r="AD49" s="6"/>
      <c r="AE49" s="14"/>
      <c r="AF49" s="14"/>
      <c r="AG49" s="6"/>
      <c r="AH49" s="4"/>
      <c r="AI49" s="10"/>
      <c r="AJ49" s="85"/>
      <c r="AK49" s="10"/>
      <c r="AL49" s="145"/>
      <c r="AM49" s="24"/>
    </row>
    <row r="50" spans="1:39" x14ac:dyDescent="0.35">
      <c r="A50" s="24"/>
      <c r="B50" s="24"/>
      <c r="C50" s="4"/>
      <c r="D50" s="10"/>
      <c r="E50" s="4"/>
      <c r="F50" s="4"/>
      <c r="G50" s="10"/>
      <c r="H50" s="4"/>
      <c r="I50" s="8"/>
      <c r="J50" s="8"/>
      <c r="K50" s="8"/>
      <c r="L50" s="15"/>
      <c r="M50" s="60"/>
      <c r="N50" s="64"/>
      <c r="O50" s="9"/>
      <c r="P50" s="64"/>
      <c r="Q50" s="9"/>
      <c r="R50" s="111"/>
      <c r="S50" s="13"/>
      <c r="T50" s="78"/>
      <c r="U50" s="150"/>
      <c r="V50" s="190"/>
      <c r="W50" s="10"/>
      <c r="X50" s="10"/>
      <c r="Y50" s="136"/>
      <c r="Z50" s="10"/>
      <c r="AA50" s="10"/>
      <c r="AB50" s="10"/>
      <c r="AC50" s="14"/>
      <c r="AD50" s="6"/>
      <c r="AE50" s="14"/>
      <c r="AF50" s="14"/>
      <c r="AG50" s="6"/>
      <c r="AH50" s="216"/>
      <c r="AI50" s="10"/>
      <c r="AJ50" s="85"/>
      <c r="AK50" s="10"/>
      <c r="AL50" s="145"/>
      <c r="AM50" s="24"/>
    </row>
    <row r="51" spans="1:39" s="193" customFormat="1" x14ac:dyDescent="0.35">
      <c r="A51" s="191"/>
      <c r="B51" s="191"/>
      <c r="C51" s="192"/>
      <c r="E51" s="192"/>
      <c r="F51" s="192"/>
      <c r="H51" s="192"/>
      <c r="L51" s="192"/>
      <c r="M51" s="194"/>
      <c r="N51" s="195"/>
      <c r="P51" s="195"/>
      <c r="R51" s="196"/>
      <c r="T51" s="214"/>
      <c r="AD51" s="192"/>
      <c r="AH51" s="192"/>
      <c r="AJ51" s="196"/>
      <c r="AL51" s="197"/>
      <c r="AM51" s="191"/>
    </row>
    <row r="52" spans="1:39" s="193" customFormat="1" x14ac:dyDescent="0.35">
      <c r="A52" s="191"/>
      <c r="B52" s="191"/>
      <c r="C52" s="192"/>
      <c r="E52" s="192"/>
      <c r="F52" s="192"/>
      <c r="H52" s="192"/>
      <c r="L52" s="192"/>
      <c r="M52" s="194"/>
      <c r="N52" s="195"/>
      <c r="P52" s="195"/>
      <c r="R52" s="196"/>
      <c r="W52" s="217">
        <f>W47/V47</f>
        <v>0.41001469147894221</v>
      </c>
      <c r="AD52" s="192"/>
      <c r="AH52" s="192"/>
      <c r="AJ52" s="196"/>
      <c r="AL52" s="197"/>
      <c r="AM52" s="191"/>
    </row>
    <row r="53" spans="1:39" s="193" customFormat="1" x14ac:dyDescent="0.35">
      <c r="A53" s="191"/>
      <c r="B53" s="191"/>
      <c r="C53" s="192"/>
      <c r="E53" s="192"/>
      <c r="F53" s="192"/>
      <c r="H53" s="192"/>
      <c r="L53" s="192"/>
      <c r="M53" s="194"/>
      <c r="N53" s="195"/>
      <c r="P53" s="195"/>
      <c r="R53" s="196"/>
      <c r="AD53" s="192"/>
      <c r="AH53" s="192"/>
      <c r="AJ53" s="196"/>
      <c r="AL53" s="197"/>
      <c r="AM53" s="191"/>
    </row>
    <row r="54" spans="1:39" s="193" customFormat="1" x14ac:dyDescent="0.35">
      <c r="A54" s="191"/>
      <c r="B54" s="191"/>
      <c r="C54" s="192"/>
      <c r="E54" s="192"/>
      <c r="F54" s="192"/>
      <c r="H54" s="192"/>
      <c r="L54" s="192"/>
      <c r="M54" s="194"/>
      <c r="N54" s="195"/>
      <c r="P54" s="195"/>
      <c r="R54" s="196"/>
      <c r="AD54" s="192"/>
      <c r="AH54" s="192"/>
      <c r="AJ54" s="196"/>
      <c r="AL54" s="197"/>
      <c r="AM54" s="191"/>
    </row>
    <row r="55" spans="1:39" s="193" customFormat="1" x14ac:dyDescent="0.35">
      <c r="A55" s="191"/>
      <c r="B55" s="191"/>
      <c r="C55" s="192"/>
      <c r="E55" s="192"/>
      <c r="F55" s="192"/>
      <c r="H55" s="192"/>
      <c r="L55" s="192"/>
      <c r="M55" s="194"/>
      <c r="N55" s="195"/>
      <c r="P55" s="195"/>
      <c r="R55" s="196"/>
      <c r="AD55" s="192"/>
      <c r="AH55" s="192"/>
      <c r="AJ55" s="196"/>
      <c r="AL55" s="197"/>
      <c r="AM55" s="191"/>
    </row>
    <row r="56" spans="1:39" s="193" customFormat="1" x14ac:dyDescent="0.35">
      <c r="A56" s="191"/>
      <c r="B56" s="191"/>
      <c r="C56" s="192"/>
      <c r="E56" s="192"/>
      <c r="F56" s="192"/>
      <c r="H56" s="192"/>
      <c r="L56" s="192"/>
      <c r="M56" s="194"/>
      <c r="N56" s="195"/>
      <c r="P56" s="195"/>
      <c r="R56" s="196"/>
      <c r="AD56" s="192"/>
      <c r="AH56" s="192"/>
      <c r="AJ56" s="196"/>
      <c r="AL56" s="197"/>
      <c r="AM56" s="191"/>
    </row>
    <row r="57" spans="1:39" s="193" customFormat="1" x14ac:dyDescent="0.35">
      <c r="A57" s="191"/>
      <c r="B57" s="191"/>
      <c r="C57" s="192"/>
      <c r="E57" s="192"/>
      <c r="F57" s="192"/>
      <c r="H57" s="192"/>
      <c r="L57" s="192"/>
      <c r="M57" s="194"/>
      <c r="N57" s="195"/>
      <c r="P57" s="195"/>
      <c r="R57" s="196"/>
      <c r="AD57" s="192"/>
      <c r="AH57" s="192"/>
      <c r="AJ57" s="196"/>
      <c r="AL57" s="197"/>
      <c r="AM57" s="191"/>
    </row>
    <row r="58" spans="1:39" s="193" customFormat="1" x14ac:dyDescent="0.35">
      <c r="A58" s="191"/>
      <c r="B58" s="191"/>
      <c r="C58" s="192"/>
      <c r="E58" s="192"/>
      <c r="F58" s="192"/>
      <c r="H58" s="192"/>
      <c r="L58" s="192"/>
      <c r="M58" s="194"/>
      <c r="N58" s="195"/>
      <c r="P58" s="195"/>
      <c r="R58" s="196"/>
      <c r="AD58" s="192"/>
      <c r="AH58" s="192"/>
      <c r="AJ58" s="196"/>
      <c r="AL58" s="197"/>
      <c r="AM58" s="191"/>
    </row>
    <row r="59" spans="1:39" s="193" customFormat="1" x14ac:dyDescent="0.35">
      <c r="A59" s="191"/>
      <c r="B59" s="191"/>
      <c r="C59" s="192"/>
      <c r="E59" s="192"/>
      <c r="F59" s="192"/>
      <c r="H59" s="192"/>
      <c r="L59" s="192"/>
      <c r="M59" s="194"/>
      <c r="N59" s="195"/>
      <c r="P59" s="195"/>
      <c r="R59" s="196"/>
      <c r="AD59" s="192"/>
      <c r="AH59" s="192"/>
      <c r="AJ59" s="196"/>
      <c r="AL59" s="197"/>
      <c r="AM59" s="191"/>
    </row>
    <row r="60" spans="1:39" s="193" customFormat="1" x14ac:dyDescent="0.35">
      <c r="A60" s="191"/>
      <c r="B60" s="191"/>
      <c r="C60" s="192"/>
      <c r="E60" s="192"/>
      <c r="F60" s="192"/>
      <c r="H60" s="192"/>
      <c r="L60" s="192"/>
      <c r="M60" s="194"/>
      <c r="N60" s="195"/>
      <c r="P60" s="195"/>
      <c r="R60" s="196"/>
      <c r="AD60" s="192"/>
      <c r="AH60" s="192"/>
      <c r="AJ60" s="196"/>
      <c r="AL60" s="197"/>
      <c r="AM60" s="191"/>
    </row>
    <row r="61" spans="1:39" s="193" customFormat="1" x14ac:dyDescent="0.35">
      <c r="A61" s="191"/>
      <c r="B61" s="191"/>
      <c r="C61" s="192"/>
      <c r="E61" s="192"/>
      <c r="F61" s="192"/>
      <c r="H61" s="192"/>
      <c r="L61" s="192"/>
      <c r="M61" s="194"/>
      <c r="N61" s="195"/>
      <c r="P61" s="195"/>
      <c r="R61" s="196"/>
      <c r="AD61" s="192"/>
      <c r="AH61" s="192"/>
      <c r="AJ61" s="196"/>
      <c r="AL61" s="197"/>
      <c r="AM61" s="191"/>
    </row>
    <row r="62" spans="1:39" s="193" customFormat="1" x14ac:dyDescent="0.35">
      <c r="A62" s="191"/>
      <c r="B62" s="191"/>
      <c r="C62" s="192"/>
      <c r="E62" s="192"/>
      <c r="F62" s="192"/>
      <c r="H62" s="192"/>
      <c r="L62" s="192"/>
      <c r="M62" s="194"/>
      <c r="N62" s="195"/>
      <c r="P62" s="195"/>
      <c r="R62" s="196"/>
      <c r="AD62" s="192"/>
      <c r="AH62" s="192"/>
      <c r="AJ62" s="196"/>
      <c r="AL62" s="197"/>
      <c r="AM62" s="191"/>
    </row>
    <row r="63" spans="1:39" s="193" customFormat="1" x14ac:dyDescent="0.35">
      <c r="A63" s="191"/>
      <c r="B63" s="191"/>
      <c r="C63" s="192"/>
      <c r="E63" s="192"/>
      <c r="F63" s="192"/>
      <c r="H63" s="192"/>
      <c r="L63" s="192"/>
      <c r="M63" s="194"/>
      <c r="N63" s="195"/>
      <c r="P63" s="195"/>
      <c r="R63" s="196"/>
      <c r="AD63" s="192"/>
      <c r="AH63" s="192"/>
      <c r="AJ63" s="196"/>
      <c r="AL63" s="197"/>
      <c r="AM63" s="191"/>
    </row>
    <row r="64" spans="1:39" s="193" customFormat="1" x14ac:dyDescent="0.35">
      <c r="A64" s="191"/>
      <c r="B64" s="191"/>
      <c r="C64" s="192"/>
      <c r="E64" s="192"/>
      <c r="F64" s="192"/>
      <c r="H64" s="192"/>
      <c r="L64" s="192"/>
      <c r="M64" s="194"/>
      <c r="N64" s="195"/>
      <c r="P64" s="195"/>
      <c r="R64" s="196"/>
      <c r="AD64" s="192"/>
      <c r="AH64" s="192"/>
      <c r="AJ64" s="196"/>
      <c r="AL64" s="197"/>
      <c r="AM64" s="191"/>
    </row>
    <row r="65" spans="1:39" s="193" customFormat="1" x14ac:dyDescent="0.35">
      <c r="A65" s="191"/>
      <c r="B65" s="191"/>
      <c r="C65" s="192"/>
      <c r="E65" s="192"/>
      <c r="F65" s="192"/>
      <c r="H65" s="192"/>
      <c r="L65" s="192"/>
      <c r="M65" s="194"/>
      <c r="N65" s="195"/>
      <c r="P65" s="195"/>
      <c r="R65" s="196"/>
      <c r="AD65" s="192"/>
      <c r="AH65" s="192"/>
      <c r="AJ65" s="196"/>
      <c r="AL65" s="197"/>
      <c r="AM65" s="191"/>
    </row>
    <row r="66" spans="1:39" s="193" customFormat="1" x14ac:dyDescent="0.35">
      <c r="A66" s="191"/>
      <c r="B66" s="191"/>
      <c r="C66" s="192"/>
      <c r="E66" s="192"/>
      <c r="F66" s="192"/>
      <c r="H66" s="192"/>
      <c r="L66" s="192"/>
      <c r="M66" s="194"/>
      <c r="N66" s="195"/>
      <c r="P66" s="195"/>
      <c r="R66" s="196"/>
      <c r="AD66" s="192"/>
      <c r="AH66" s="192"/>
      <c r="AJ66" s="196"/>
      <c r="AL66" s="197"/>
      <c r="AM66" s="191"/>
    </row>
    <row r="67" spans="1:39" s="193" customFormat="1" x14ac:dyDescent="0.35">
      <c r="A67" s="191"/>
      <c r="B67" s="191"/>
      <c r="C67" s="192"/>
      <c r="E67" s="192"/>
      <c r="F67" s="192"/>
      <c r="H67" s="192"/>
      <c r="L67" s="192"/>
      <c r="M67" s="194"/>
      <c r="N67" s="195"/>
      <c r="P67" s="195"/>
      <c r="R67" s="196"/>
      <c r="AD67" s="192"/>
      <c r="AH67" s="192"/>
      <c r="AJ67" s="196"/>
      <c r="AL67" s="197"/>
      <c r="AM67" s="191"/>
    </row>
    <row r="68" spans="1:39" s="193" customFormat="1" x14ac:dyDescent="0.35">
      <c r="A68" s="191"/>
      <c r="B68" s="191"/>
      <c r="C68" s="192"/>
      <c r="E68" s="192"/>
      <c r="F68" s="192"/>
      <c r="H68" s="192"/>
      <c r="L68" s="192"/>
      <c r="M68" s="194"/>
      <c r="N68" s="195"/>
      <c r="P68" s="195"/>
      <c r="R68" s="196"/>
      <c r="AD68" s="192"/>
      <c r="AH68" s="192"/>
      <c r="AJ68" s="196"/>
      <c r="AL68" s="197"/>
      <c r="AM68" s="191"/>
    </row>
    <row r="69" spans="1:39" s="193" customFormat="1" x14ac:dyDescent="0.35">
      <c r="A69" s="191"/>
      <c r="B69" s="191"/>
      <c r="C69" s="192"/>
      <c r="E69" s="192"/>
      <c r="F69" s="192"/>
      <c r="H69" s="192"/>
      <c r="L69" s="192"/>
      <c r="M69" s="194"/>
      <c r="N69" s="195"/>
      <c r="P69" s="195"/>
      <c r="R69" s="196"/>
      <c r="AD69" s="192"/>
      <c r="AH69" s="192"/>
      <c r="AJ69" s="196"/>
      <c r="AL69" s="197"/>
      <c r="AM69" s="191"/>
    </row>
    <row r="70" spans="1:39" s="193" customFormat="1" x14ac:dyDescent="0.35">
      <c r="A70" s="191"/>
      <c r="B70" s="191"/>
      <c r="C70" s="192"/>
      <c r="E70" s="192"/>
      <c r="F70" s="192"/>
      <c r="H70" s="192"/>
      <c r="L70" s="192"/>
      <c r="M70" s="194"/>
      <c r="N70" s="195"/>
      <c r="P70" s="195"/>
      <c r="R70" s="196"/>
      <c r="AD70" s="192"/>
      <c r="AH70" s="192"/>
      <c r="AJ70" s="196"/>
      <c r="AL70" s="197"/>
      <c r="AM70" s="191"/>
    </row>
  </sheetData>
  <mergeCells count="18"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AJ9:AL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G15" sqref="G15"/>
    </sheetView>
  </sheetViews>
  <sheetFormatPr defaultRowHeight="14.5" x14ac:dyDescent="0.35"/>
  <cols>
    <col min="1" max="1" width="9.54296875" bestFit="1" customWidth="1"/>
    <col min="2" max="2" width="9.26953125" bestFit="1" customWidth="1"/>
    <col min="3" max="3" width="9.54296875" bestFit="1" customWidth="1"/>
  </cols>
  <sheetData>
    <row r="1" spans="1:3" ht="18.5" x14ac:dyDescent="0.45">
      <c r="A1" s="25" t="s">
        <v>15</v>
      </c>
    </row>
    <row r="2" spans="1:3" ht="18.5" x14ac:dyDescent="0.45">
      <c r="A2" s="257">
        <v>44378</v>
      </c>
      <c r="B2" s="258"/>
      <c r="C2" s="258"/>
    </row>
    <row r="3" spans="1:3" x14ac:dyDescent="0.35">
      <c r="A3" s="260" t="s">
        <v>17</v>
      </c>
      <c r="B3" s="259" t="s">
        <v>18</v>
      </c>
      <c r="C3" s="259" t="s">
        <v>12</v>
      </c>
    </row>
    <row r="4" spans="1:3" x14ac:dyDescent="0.35">
      <c r="A4" s="260"/>
      <c r="B4" s="259"/>
      <c r="C4" s="259"/>
    </row>
    <row r="5" spans="1:3" x14ac:dyDescent="0.35">
      <c r="A5" s="260"/>
      <c r="B5" s="259"/>
      <c r="C5" s="259"/>
    </row>
    <row r="6" spans="1:3" x14ac:dyDescent="0.35">
      <c r="A6" s="1">
        <v>1</v>
      </c>
      <c r="B6" s="1">
        <v>4</v>
      </c>
      <c r="C6" s="1">
        <v>84</v>
      </c>
    </row>
    <row r="7" spans="1:3" x14ac:dyDescent="0.35">
      <c r="A7" s="1">
        <v>2</v>
      </c>
      <c r="B7" s="1">
        <v>6</v>
      </c>
      <c r="C7" s="1">
        <v>102</v>
      </c>
    </row>
    <row r="8" spans="1:3" x14ac:dyDescent="0.35">
      <c r="A8" s="1">
        <f>A7+1</f>
        <v>3</v>
      </c>
      <c r="B8" s="1">
        <v>8</v>
      </c>
      <c r="C8" s="1">
        <v>102</v>
      </c>
    </row>
    <row r="9" spans="1:3" x14ac:dyDescent="0.35">
      <c r="A9" s="1">
        <f>A8+1</f>
        <v>4</v>
      </c>
      <c r="B9" s="1">
        <v>6</v>
      </c>
      <c r="C9" s="1">
        <v>83</v>
      </c>
    </row>
    <row r="10" spans="1:3" x14ac:dyDescent="0.35">
      <c r="A10" s="1">
        <f t="shared" ref="A10:A35" si="0">A9+1</f>
        <v>5</v>
      </c>
      <c r="B10" s="1">
        <v>5</v>
      </c>
      <c r="C10" s="1">
        <v>50</v>
      </c>
    </row>
    <row r="11" spans="1:3" x14ac:dyDescent="0.35">
      <c r="A11" s="1">
        <f t="shared" si="0"/>
        <v>6</v>
      </c>
      <c r="B11" s="1">
        <v>7</v>
      </c>
      <c r="C11" s="1">
        <v>63</v>
      </c>
    </row>
    <row r="12" spans="1:3" x14ac:dyDescent="0.35">
      <c r="A12" s="1">
        <f t="shared" si="0"/>
        <v>7</v>
      </c>
      <c r="B12" s="1">
        <v>7</v>
      </c>
      <c r="C12" s="1">
        <v>52</v>
      </c>
    </row>
    <row r="13" spans="1:3" x14ac:dyDescent="0.35">
      <c r="A13" s="1">
        <f t="shared" si="0"/>
        <v>8</v>
      </c>
      <c r="B13" s="1">
        <v>5</v>
      </c>
      <c r="C13" s="1">
        <v>47</v>
      </c>
    </row>
    <row r="14" spans="1:3" x14ac:dyDescent="0.35">
      <c r="A14" s="1">
        <f t="shared" si="0"/>
        <v>9</v>
      </c>
      <c r="B14" s="1">
        <v>5</v>
      </c>
      <c r="C14" s="1">
        <v>47</v>
      </c>
    </row>
    <row r="15" spans="1:3" x14ac:dyDescent="0.35">
      <c r="A15" s="1">
        <f t="shared" si="0"/>
        <v>10</v>
      </c>
      <c r="B15" s="1">
        <v>3</v>
      </c>
      <c r="C15" s="1">
        <v>34</v>
      </c>
    </row>
    <row r="16" spans="1:3" x14ac:dyDescent="0.35">
      <c r="A16" s="1">
        <f t="shared" si="0"/>
        <v>11</v>
      </c>
      <c r="B16" s="1">
        <v>3</v>
      </c>
      <c r="C16" s="1">
        <v>39</v>
      </c>
    </row>
    <row r="17" spans="1:3" x14ac:dyDescent="0.35">
      <c r="A17" s="1">
        <f t="shared" si="0"/>
        <v>12</v>
      </c>
      <c r="B17" s="1">
        <v>3</v>
      </c>
      <c r="C17" s="1">
        <v>39</v>
      </c>
    </row>
    <row r="18" spans="1:3" x14ac:dyDescent="0.35">
      <c r="A18" s="1">
        <f t="shared" si="0"/>
        <v>13</v>
      </c>
      <c r="B18" s="1">
        <v>2</v>
      </c>
      <c r="C18" s="1">
        <v>29</v>
      </c>
    </row>
    <row r="19" spans="1:3" x14ac:dyDescent="0.35">
      <c r="A19" s="1">
        <f t="shared" si="0"/>
        <v>14</v>
      </c>
      <c r="B19" s="1">
        <v>3</v>
      </c>
      <c r="C19" s="1">
        <v>20</v>
      </c>
    </row>
    <row r="20" spans="1:3" x14ac:dyDescent="0.35">
      <c r="A20" s="1">
        <f t="shared" si="0"/>
        <v>15</v>
      </c>
      <c r="B20" s="1">
        <v>3</v>
      </c>
      <c r="C20" s="1">
        <v>22</v>
      </c>
    </row>
    <row r="21" spans="1:3" x14ac:dyDescent="0.35">
      <c r="A21" s="1">
        <f t="shared" si="0"/>
        <v>16</v>
      </c>
      <c r="B21" s="1">
        <v>5</v>
      </c>
      <c r="C21" s="1">
        <v>28</v>
      </c>
    </row>
    <row r="22" spans="1:3" x14ac:dyDescent="0.35">
      <c r="A22" s="1">
        <f t="shared" si="0"/>
        <v>17</v>
      </c>
      <c r="B22" s="1">
        <v>6</v>
      </c>
      <c r="C22" s="1">
        <v>38</v>
      </c>
    </row>
    <row r="23" spans="1:3" x14ac:dyDescent="0.35">
      <c r="A23" s="1">
        <f t="shared" si="0"/>
        <v>18</v>
      </c>
      <c r="B23" s="1">
        <v>5</v>
      </c>
      <c r="C23" s="1">
        <v>46</v>
      </c>
    </row>
    <row r="24" spans="1:3" x14ac:dyDescent="0.35">
      <c r="A24" s="1">
        <f t="shared" si="0"/>
        <v>19</v>
      </c>
      <c r="B24" s="1">
        <v>2</v>
      </c>
      <c r="C24" s="1">
        <v>22</v>
      </c>
    </row>
    <row r="25" spans="1:3" x14ac:dyDescent="0.35">
      <c r="A25" s="1">
        <f t="shared" si="0"/>
        <v>20</v>
      </c>
      <c r="B25" s="1">
        <v>1</v>
      </c>
      <c r="C25" s="1">
        <v>10</v>
      </c>
    </row>
    <row r="26" spans="1:3" x14ac:dyDescent="0.35">
      <c r="A26" s="1">
        <f t="shared" si="0"/>
        <v>21</v>
      </c>
      <c r="B26" s="1">
        <v>0</v>
      </c>
      <c r="C26" s="1">
        <v>4</v>
      </c>
    </row>
    <row r="27" spans="1:3" x14ac:dyDescent="0.35">
      <c r="A27" s="1">
        <f t="shared" si="0"/>
        <v>22</v>
      </c>
      <c r="B27" s="1">
        <v>1</v>
      </c>
      <c r="C27" s="1">
        <v>8</v>
      </c>
    </row>
    <row r="28" spans="1:3" x14ac:dyDescent="0.35">
      <c r="A28" s="1">
        <f t="shared" si="0"/>
        <v>23</v>
      </c>
      <c r="B28" s="1">
        <v>2</v>
      </c>
      <c r="C28" s="1">
        <v>18</v>
      </c>
    </row>
    <row r="29" spans="1:3" x14ac:dyDescent="0.35">
      <c r="A29" s="1">
        <f t="shared" si="0"/>
        <v>24</v>
      </c>
      <c r="B29" s="1">
        <v>2</v>
      </c>
      <c r="C29" s="1">
        <v>21</v>
      </c>
    </row>
    <row r="30" spans="1:3" x14ac:dyDescent="0.35">
      <c r="A30" s="1">
        <f t="shared" si="0"/>
        <v>25</v>
      </c>
      <c r="B30" s="1">
        <v>3</v>
      </c>
      <c r="C30" s="1">
        <v>17</v>
      </c>
    </row>
    <row r="31" spans="1:3" x14ac:dyDescent="0.35">
      <c r="A31" s="1">
        <f t="shared" si="0"/>
        <v>26</v>
      </c>
      <c r="B31" s="1">
        <v>3</v>
      </c>
      <c r="C31" s="1">
        <v>34</v>
      </c>
    </row>
    <row r="32" spans="1:3" x14ac:dyDescent="0.35">
      <c r="A32" s="1">
        <f t="shared" si="0"/>
        <v>27</v>
      </c>
      <c r="B32" s="1">
        <v>3</v>
      </c>
      <c r="C32" s="1">
        <v>55</v>
      </c>
    </row>
    <row r="33" spans="1:3" x14ac:dyDescent="0.35">
      <c r="A33" s="1">
        <f t="shared" si="0"/>
        <v>28</v>
      </c>
      <c r="B33" s="1">
        <v>3</v>
      </c>
      <c r="C33" s="1">
        <v>50</v>
      </c>
    </row>
    <row r="34" spans="1:3" x14ac:dyDescent="0.35">
      <c r="A34" s="1">
        <f t="shared" si="0"/>
        <v>29</v>
      </c>
      <c r="B34" s="1">
        <v>3</v>
      </c>
      <c r="C34" s="1">
        <v>55</v>
      </c>
    </row>
    <row r="35" spans="1:3" x14ac:dyDescent="0.35">
      <c r="A35" s="1">
        <f t="shared" si="0"/>
        <v>30</v>
      </c>
      <c r="B35" s="1">
        <v>5</v>
      </c>
      <c r="C35" s="1">
        <v>74</v>
      </c>
    </row>
    <row r="36" spans="1:3" x14ac:dyDescent="0.35">
      <c r="A36" s="1">
        <v>31</v>
      </c>
      <c r="B36" s="1">
        <v>6</v>
      </c>
      <c r="C36" s="1">
        <v>81</v>
      </c>
    </row>
    <row r="38" spans="1:3" x14ac:dyDescent="0.35">
      <c r="B38" s="5">
        <f>SUM(B6:B36)</f>
        <v>120</v>
      </c>
      <c r="C38" s="5">
        <f>SUM(C6:C36)</f>
        <v>1374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  <_Flow_SignoffStatu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4FC630-9A6A-4D9C-A932-96A45AFA44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http://schemas.microsoft.com/office/2006/metadata/properties"/>
    <ds:schemaRef ds:uri="http://schemas.microsoft.com/office/infopath/2007/PartnerControls"/>
    <ds:schemaRef ds:uri="a2b08d59-ce98-408b-b7f1-7ea559ce0d50"/>
    <ds:schemaRef ds:uri="2e11796f-5f26-4c51-a1e5-22e0f1616a71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July 2021</vt:lpstr>
      <vt:lpstr>RNs &amp; Covers July 2021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ASUS</cp:lastModifiedBy>
  <cp:revision/>
  <dcterms:created xsi:type="dcterms:W3CDTF">2020-09-16T08:52:25Z</dcterms:created>
  <dcterms:modified xsi:type="dcterms:W3CDTF">2023-02-18T04:14:07Z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1894700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