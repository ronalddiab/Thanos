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/>
  <c r="G24" i="5"/>
  <c r="AV30" i="7"/>
  <c r="R25" i="9" s="1"/>
  <c r="G25" i="5" s="1"/>
  <c r="AV31" i="7"/>
  <c r="AW31" i="7" s="1"/>
  <c r="AV32" i="7"/>
  <c r="AW32" i="7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/>
  <c r="AB36" i="7"/>
  <c r="AQ36" i="7" s="1"/>
  <c r="AA36" i="7"/>
  <c r="O31" i="9"/>
  <c r="Z36" i="7"/>
  <c r="N31" i="9" s="1"/>
  <c r="Y36" i="7"/>
  <c r="M31" i="9"/>
  <c r="X36" i="7"/>
  <c r="W36" i="7"/>
  <c r="K31" i="9"/>
  <c r="AL36" i="7"/>
  <c r="V36" i="7"/>
  <c r="AK36" i="7" s="1"/>
  <c r="U36" i="7"/>
  <c r="I31" i="9"/>
  <c r="T36" i="7"/>
  <c r="S36" i="7"/>
  <c r="AH36" i="7"/>
  <c r="R36" i="7"/>
  <c r="AG36" i="7" s="1"/>
  <c r="Q36" i="7"/>
  <c r="AF36" i="7"/>
  <c r="S8" i="7"/>
  <c r="G3" i="9"/>
  <c r="S9" i="7"/>
  <c r="AH9" i="7"/>
  <c r="S10" i="7"/>
  <c r="AH10" i="7"/>
  <c r="S11" i="7"/>
  <c r="AH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K23" i="9"/>
  <c r="X28" i="7"/>
  <c r="L23" i="9" s="1"/>
  <c r="Y28" i="7"/>
  <c r="AN28" i="7"/>
  <c r="Z28" i="7"/>
  <c r="AO28" i="7"/>
  <c r="AA28" i="7"/>
  <c r="AB28" i="7"/>
  <c r="AC28" i="7"/>
  <c r="AR28" i="7" s="1"/>
  <c r="R29" i="7"/>
  <c r="AG29" i="7"/>
  <c r="S29" i="7"/>
  <c r="G24" i="9"/>
  <c r="T29" i="7"/>
  <c r="AI29" i="7"/>
  <c r="U29" i="7"/>
  <c r="I24" i="9"/>
  <c r="V29" i="7"/>
  <c r="AK29" i="7"/>
  <c r="W29" i="7"/>
  <c r="K24" i="9"/>
  <c r="X29" i="7"/>
  <c r="AM29" i="7"/>
  <c r="Y29" i="7"/>
  <c r="M24" i="9"/>
  <c r="Z29" i="7"/>
  <c r="AA29" i="7"/>
  <c r="AB29" i="7"/>
  <c r="P24" i="9"/>
  <c r="AC29" i="7"/>
  <c r="AR29" i="7"/>
  <c r="R30" i="7"/>
  <c r="AG30" i="7"/>
  <c r="AS30" i="7" s="1"/>
  <c r="S30" i="7"/>
  <c r="G25" i="9"/>
  <c r="T30" i="7"/>
  <c r="AI30" i="7"/>
  <c r="U30" i="7"/>
  <c r="I25" i="9"/>
  <c r="V30" i="7"/>
  <c r="J25" i="9"/>
  <c r="W30" i="7"/>
  <c r="AL30" i="7"/>
  <c r="X30" i="7"/>
  <c r="L25" i="9"/>
  <c r="Y30" i="7"/>
  <c r="Z30" i="7"/>
  <c r="AO30" i="7"/>
  <c r="AA30" i="7"/>
  <c r="AD30" i="7" s="1"/>
  <c r="AB30" i="7"/>
  <c r="AQ30" i="7"/>
  <c r="AC30" i="7"/>
  <c r="Q25" i="9" s="1"/>
  <c r="AR30" i="7"/>
  <c r="R31" i="7"/>
  <c r="F26" i="9"/>
  <c r="S31" i="7"/>
  <c r="AH31" i="7" s="1"/>
  <c r="T31" i="7"/>
  <c r="U31" i="7"/>
  <c r="V31" i="7"/>
  <c r="AK31" i="7"/>
  <c r="W31" i="7"/>
  <c r="X31" i="7"/>
  <c r="L26" i="9"/>
  <c r="Y31" i="7"/>
  <c r="M26" i="9" s="1"/>
  <c r="Z31" i="7"/>
  <c r="N26" i="9"/>
  <c r="AA31" i="7"/>
  <c r="AB31" i="7"/>
  <c r="AQ31" i="7"/>
  <c r="AC31" i="7"/>
  <c r="Q26" i="9" s="1"/>
  <c r="R32" i="7"/>
  <c r="AG32" i="7"/>
  <c r="S32" i="7"/>
  <c r="G27" i="9" s="1"/>
  <c r="T32" i="7"/>
  <c r="AI32" i="7"/>
  <c r="U32" i="7"/>
  <c r="V32" i="7"/>
  <c r="J27" i="9"/>
  <c r="W32" i="7"/>
  <c r="K27" i="9"/>
  <c r="X32" i="7"/>
  <c r="L27" i="9"/>
  <c r="Y32" i="7"/>
  <c r="AN32" i="7" s="1"/>
  <c r="M27" i="9"/>
  <c r="Z32" i="7"/>
  <c r="AO32" i="7"/>
  <c r="AA32" i="7"/>
  <c r="O27" i="9" s="1"/>
  <c r="AP32" i="7"/>
  <c r="AB32" i="7"/>
  <c r="AQ32" i="7"/>
  <c r="AC32" i="7"/>
  <c r="AR32" i="7"/>
  <c r="R33" i="7"/>
  <c r="F28" i="9"/>
  <c r="S33" i="7"/>
  <c r="G28" i="9" s="1"/>
  <c r="T33" i="7"/>
  <c r="U33" i="7"/>
  <c r="I28" i="9"/>
  <c r="V33" i="7"/>
  <c r="J28" i="9" s="1"/>
  <c r="W33" i="7"/>
  <c r="K28" i="9"/>
  <c r="X33" i="7"/>
  <c r="AM33" i="7" s="1"/>
  <c r="Y33" i="7"/>
  <c r="AN33" i="7"/>
  <c r="Z33" i="7"/>
  <c r="AO33" i="7" s="1"/>
  <c r="AA33" i="7"/>
  <c r="AP33" i="7"/>
  <c r="AB33" i="7"/>
  <c r="P28" i="9" s="1"/>
  <c r="AC33" i="7"/>
  <c r="AR33" i="7"/>
  <c r="R34" i="7"/>
  <c r="F29" i="9" s="1"/>
  <c r="E29" i="5" s="1"/>
  <c r="S34" i="7"/>
  <c r="AH34" i="7"/>
  <c r="T34" i="7"/>
  <c r="AI34" i="7"/>
  <c r="U34" i="7"/>
  <c r="AJ34" i="7"/>
  <c r="V34" i="7"/>
  <c r="AK34" i="7"/>
  <c r="W34" i="7"/>
  <c r="AL34" i="7"/>
  <c r="X34" i="7"/>
  <c r="AM34" i="7"/>
  <c r="Y34" i="7"/>
  <c r="M29" i="9"/>
  <c r="Z34" i="7"/>
  <c r="AO34" i="7"/>
  <c r="AA34" i="7"/>
  <c r="O29" i="9" s="1"/>
  <c r="AB34" i="7"/>
  <c r="P29" i="9"/>
  <c r="AC34" i="7"/>
  <c r="R35" i="7"/>
  <c r="AG35" i="7"/>
  <c r="S35" i="7"/>
  <c r="G30" i="9" s="1"/>
  <c r="T35" i="7"/>
  <c r="H30" i="9"/>
  <c r="U35" i="7"/>
  <c r="I30" i="9" s="1"/>
  <c r="V35" i="7"/>
  <c r="J30" i="9"/>
  <c r="W35" i="7"/>
  <c r="K30" i="9"/>
  <c r="X35" i="7"/>
  <c r="AM35" i="7"/>
  <c r="Y35" i="7"/>
  <c r="AN35" i="7"/>
  <c r="Z35" i="7"/>
  <c r="N30" i="9"/>
  <c r="AA35" i="7"/>
  <c r="O30" i="9"/>
  <c r="AB35" i="7"/>
  <c r="P30" i="9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/>
  <c r="Q30" i="7"/>
  <c r="E25" i="9"/>
  <c r="Q31" i="7"/>
  <c r="E26" i="9"/>
  <c r="Q32" i="7"/>
  <c r="Q33" i="7"/>
  <c r="AF33" i="7"/>
  <c r="Q34" i="7"/>
  <c r="E29" i="9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H32" i="7"/>
  <c r="AC22" i="7"/>
  <c r="Q17" i="9"/>
  <c r="AC23" i="7"/>
  <c r="Q18" i="9" s="1"/>
  <c r="X22" i="7"/>
  <c r="L17" i="9"/>
  <c r="AK20" i="7"/>
  <c r="AH22" i="7"/>
  <c r="P27" i="9"/>
  <c r="AI25" i="7"/>
  <c r="R28" i="9"/>
  <c r="G28" i="5"/>
  <c r="F20" i="9"/>
  <c r="N23" i="9"/>
  <c r="N28" i="9"/>
  <c r="AO36" i="7"/>
  <c r="T20" i="7"/>
  <c r="T21" i="7"/>
  <c r="AI21" i="7" s="1"/>
  <c r="F22" i="9"/>
  <c r="AP27" i="7"/>
  <c r="AW17" i="7"/>
  <c r="G18" i="9"/>
  <c r="AR22" i="7"/>
  <c r="F25" i="9"/>
  <c r="AG21" i="7"/>
  <c r="AN20" i="7"/>
  <c r="L4" i="9"/>
  <c r="K21" i="9"/>
  <c r="AG19" i="7"/>
  <c r="I27" i="9"/>
  <c r="AG31" i="7"/>
  <c r="K29" i="9"/>
  <c r="J29" i="9"/>
  <c r="Q30" i="9"/>
  <c r="O6" i="9"/>
  <c r="AP20" i="7"/>
  <c r="AW25" i="7"/>
  <c r="J24" i="9"/>
  <c r="H29" i="9"/>
  <c r="AJ35" i="7"/>
  <c r="AO31" i="7"/>
  <c r="AH21" i="7"/>
  <c r="AO11" i="7"/>
  <c r="AL10" i="7"/>
  <c r="H26" i="9"/>
  <c r="AI31" i="7"/>
  <c r="N19" i="9"/>
  <c r="AO24" i="7"/>
  <c r="AL21" i="7"/>
  <c r="M23" i="9"/>
  <c r="AQ24" i="7"/>
  <c r="R19" i="9"/>
  <c r="G19" i="5" s="1"/>
  <c r="K26" i="9"/>
  <c r="AL31" i="7"/>
  <c r="AJ30" i="7"/>
  <c r="I15" i="9"/>
  <c r="K7" i="9"/>
  <c r="AN27" i="7"/>
  <c r="AM7" i="7"/>
  <c r="R27" i="9"/>
  <c r="G27" i="5"/>
  <c r="R22" i="9"/>
  <c r="G22" i="5" s="1"/>
  <c r="R29" i="9"/>
  <c r="G29" i="5"/>
  <c r="N25" i="9"/>
  <c r="L29" i="9"/>
  <c r="AG15" i="7"/>
  <c r="AL19" i="7"/>
  <c r="AF30" i="7"/>
  <c r="F14" i="9"/>
  <c r="O28" i="9"/>
  <c r="AM22" i="7"/>
  <c r="AL28" i="7"/>
  <c r="F19" i="9"/>
  <c r="AN9" i="7"/>
  <c r="AN36" i="7"/>
  <c r="AN25" i="7"/>
  <c r="F31" i="9"/>
  <c r="I29" i="9"/>
  <c r="AO29" i="7"/>
  <c r="AN21" i="7"/>
  <c r="AI14" i="7"/>
  <c r="L5" i="9"/>
  <c r="AP10" i="7"/>
  <c r="AR12" i="7"/>
  <c r="AN14" i="7"/>
  <c r="H9" i="9"/>
  <c r="N12" i="9"/>
  <c r="K12" i="9"/>
  <c r="AK17" i="7"/>
  <c r="AR34" i="7"/>
  <c r="Q29" i="9"/>
  <c r="P17" i="9"/>
  <c r="R10" i="9"/>
  <c r="G10" i="5" s="1"/>
  <c r="AW15" i="7"/>
  <c r="AK30" i="7"/>
  <c r="AL29" i="7"/>
  <c r="J22" i="9"/>
  <c r="K20" i="9"/>
  <c r="K11" i="9"/>
  <c r="AL16" i="7"/>
  <c r="AP13" i="7"/>
  <c r="AH30" i="7"/>
  <c r="AN30" i="7"/>
  <c r="M25" i="9"/>
  <c r="H21" i="9"/>
  <c r="AP36" i="7"/>
  <c r="AH15" i="7"/>
  <c r="AN11" i="7"/>
  <c r="L28" i="9"/>
  <c r="AP35" i="7"/>
  <c r="AG34" i="7"/>
  <c r="AS34" i="7" s="1"/>
  <c r="I17" i="9"/>
  <c r="I9" i="9"/>
  <c r="H5" i="9"/>
  <c r="AQ9" i="7"/>
  <c r="J13" i="9"/>
  <c r="AO19" i="7"/>
  <c r="K14" i="9"/>
  <c r="AI19" i="7"/>
  <c r="AR20" i="7"/>
  <c r="AK19" i="7"/>
  <c r="AQ21" i="7"/>
  <c r="N15" i="9"/>
  <c r="F15" i="9"/>
  <c r="R17" i="9"/>
  <c r="G17" i="5"/>
  <c r="L16" i="9"/>
  <c r="P18" i="9"/>
  <c r="H18" i="9"/>
  <c r="F17" i="9"/>
  <c r="AN23" i="7"/>
  <c r="Q20" i="9"/>
  <c r="Q19" i="9"/>
  <c r="AP24" i="7"/>
  <c r="AK24" i="7"/>
  <c r="AJ24" i="7"/>
  <c r="G19" i="9"/>
  <c r="Q21" i="9"/>
  <c r="AI26" i="7"/>
  <c r="P21" i="9"/>
  <c r="AM28" i="7"/>
  <c r="Q24" i="9"/>
  <c r="O23" i="9"/>
  <c r="AP28" i="7"/>
  <c r="O24" i="9"/>
  <c r="AJ29" i="7"/>
  <c r="H24" i="9"/>
  <c r="AH29" i="7"/>
  <c r="AS29" i="7" s="1"/>
  <c r="E24" i="9"/>
  <c r="AQ29" i="7"/>
  <c r="AP29" i="7"/>
  <c r="N24" i="9"/>
  <c r="AN29" i="7"/>
  <c r="H25" i="9"/>
  <c r="F24" i="9"/>
  <c r="AD29" i="7"/>
  <c r="R26" i="9"/>
  <c r="G26" i="5" s="1"/>
  <c r="Q27" i="9"/>
  <c r="AR31" i="7"/>
  <c r="AP30" i="7"/>
  <c r="N27" i="9"/>
  <c r="AM32" i="7"/>
  <c r="AM30" i="7"/>
  <c r="AK32" i="7"/>
  <c r="J26" i="9"/>
  <c r="AJ32" i="7"/>
  <c r="G26" i="9"/>
  <c r="AF31" i="7"/>
  <c r="Q28" i="9"/>
  <c r="AL32" i="7"/>
  <c r="AS32" i="7" s="1"/>
  <c r="AL33" i="7"/>
  <c r="AK33" i="7"/>
  <c r="AG33" i="7"/>
  <c r="F27" i="9"/>
  <c r="E27" i="5" s="1"/>
  <c r="E27" i="9"/>
  <c r="AF32" i="7"/>
  <c r="AQ34" i="7"/>
  <c r="AQ33" i="7"/>
  <c r="M28" i="9"/>
  <c r="AJ33" i="7"/>
  <c r="E28" i="9"/>
  <c r="AP34" i="7"/>
  <c r="AO35" i="7"/>
  <c r="N29" i="9"/>
  <c r="L30" i="9"/>
  <c r="AH35" i="7"/>
  <c r="G29" i="9"/>
  <c r="F30" i="9"/>
  <c r="R30" i="9"/>
  <c r="G30" i="5" s="1"/>
  <c r="AR36" i="7"/>
  <c r="M30" i="9"/>
  <c r="AL35" i="7"/>
  <c r="AK35" i="7"/>
  <c r="J31" i="9"/>
  <c r="E31" i="9"/>
  <c r="P31" i="9"/>
  <c r="G31" i="9"/>
  <c r="AW29" i="7"/>
  <c r="AW10" i="7"/>
  <c r="R21" i="9"/>
  <c r="G21" i="5" s="1"/>
  <c r="AO18" i="7"/>
  <c r="AJ36" i="7"/>
  <c r="AQ35" i="7"/>
  <c r="P26" i="9"/>
  <c r="AN34" i="7"/>
  <c r="K25" i="9"/>
  <c r="AG10" i="7"/>
  <c r="I23" i="9"/>
  <c r="G5" i="9"/>
  <c r="P22" i="9"/>
  <c r="AQ28" i="7"/>
  <c r="P23" i="9"/>
  <c r="AD34" i="7"/>
  <c r="AI35" i="7"/>
  <c r="AF34" i="7"/>
  <c r="AD32" i="7"/>
  <c r="AM31" i="7"/>
  <c r="AN8" i="7"/>
  <c r="L24" i="9"/>
  <c r="E24" i="5"/>
  <c r="P25" i="9"/>
  <c r="H27" i="9"/>
  <c r="M10" i="9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O9" i="9"/>
  <c r="AK15" i="7"/>
  <c r="J10" i="9"/>
  <c r="E9" i="9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K2" i="9"/>
  <c r="AG18" i="7"/>
  <c r="AM12" i="7"/>
  <c r="AQ17" i="7"/>
  <c r="P10" i="9"/>
  <c r="AN7" i="7"/>
  <c r="AL9" i="7"/>
  <c r="AR18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R23" i="9" l="1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S24" i="7" s="1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AJ19" i="7"/>
  <c r="AJ38" i="7" s="1"/>
  <c r="AJ18" i="7"/>
  <c r="E14" i="5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AG38" i="7" s="1"/>
  <c r="F7" i="9"/>
  <c r="AS13" i="7"/>
  <c r="E8" i="9"/>
  <c r="E8" i="5" s="1"/>
  <c r="AD13" i="7"/>
  <c r="AN38" i="7"/>
  <c r="AS31" i="7"/>
  <c r="E2" i="5"/>
  <c r="AS26" i="7"/>
  <c r="AS14" i="7"/>
  <c r="AJ31" i="7"/>
  <c r="I26" i="9"/>
  <c r="AM25" i="7"/>
  <c r="L20" i="9"/>
  <c r="H10" i="9"/>
  <c r="AI15" i="7"/>
  <c r="H31" i="9"/>
  <c r="AI36" i="7"/>
  <c r="AS36" i="7" s="1"/>
  <c r="U38" i="7"/>
  <c r="AA38" i="7"/>
  <c r="Y38" i="7"/>
  <c r="AD23" i="7"/>
  <c r="AD36" i="7"/>
  <c r="AP26" i="7"/>
  <c r="AI33" i="7"/>
  <c r="H28" i="9"/>
  <c r="E28" i="5" s="1"/>
  <c r="J23" i="9"/>
  <c r="E23" i="5" s="1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E30" i="5" s="1"/>
  <c r="AD35" i="7"/>
  <c r="O26" i="9"/>
  <c r="AP31" i="7"/>
  <c r="AO22" i="7"/>
  <c r="AS22" i="7" s="1"/>
  <c r="N17" i="9"/>
  <c r="K13" i="9"/>
  <c r="E13" i="5" s="1"/>
  <c r="AL18" i="7"/>
  <c r="AO16" i="7"/>
  <c r="N11" i="9"/>
  <c r="AR17" i="7"/>
  <c r="Q12" i="9"/>
  <c r="AH7" i="7"/>
  <c r="G2" i="9"/>
  <c r="AW18" i="7"/>
  <c r="AW38" i="7" s="1"/>
  <c r="R13" i="9"/>
  <c r="G13" i="5" s="1"/>
  <c r="S38" i="7"/>
  <c r="AV38" i="7"/>
  <c r="Z38" i="7"/>
  <c r="AD19" i="7"/>
  <c r="AO25" i="7"/>
  <c r="N20" i="9"/>
  <c r="AH20" i="7"/>
  <c r="G15" i="9"/>
  <c r="Q38" i="7"/>
  <c r="E5" i="9"/>
  <c r="E5" i="5" s="1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AS33" i="7" s="1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E22" i="5" l="1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<sst xmlns="http://schemas.openxmlformats.org/spreadsheetml/2006/main" count="127" uniqueCount="49">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</sst>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84190</v>
      </c>
      <c r="F11" s="11">
        <v>5.0000000000000001E-3</v>
      </c>
      <c r="G11" s="12">
        <f>Submetering!R11</f>
        <v>1179.9122969999999</v>
      </c>
      <c r="H11" s="11">
        <v>0.52800000000000002</v>
      </c>
      <c r="I11" s="12">
        <f>Hotel!B16</f>
        <v>279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83780</v>
      </c>
      <c r="F12" s="11">
        <v>5.0000000000000001E-3</v>
      </c>
      <c r="G12" s="12">
        <f>Submetering!R12</f>
        <v>677.20984899999996</v>
      </c>
      <c r="H12" s="11">
        <v>0.52800000000000002</v>
      </c>
      <c r="I12" s="12">
        <f>Hotel!B17</f>
        <v>280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85830</v>
      </c>
      <c r="F13" s="11">
        <v>5.0000000000000001E-3</v>
      </c>
      <c r="G13" s="12">
        <f>Submetering!R13</f>
        <v>1257.5132020000001</v>
      </c>
      <c r="H13" s="11">
        <v>0.52800000000000002</v>
      </c>
      <c r="I13" s="12">
        <f>Hotel!B18</f>
        <v>139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80510</v>
      </c>
      <c r="F14" s="11">
        <v>5.0000000000000001E-3</v>
      </c>
      <c r="G14" s="12">
        <f>Submetering!R14</f>
        <v>917.96192499999995</v>
      </c>
      <c r="H14" s="11">
        <v>0.52800000000000002</v>
      </c>
      <c r="I14" s="12">
        <f>Hotel!B19</f>
        <v>122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75340</v>
      </c>
      <c r="F15" s="11">
        <v>5.0000000000000001E-3</v>
      </c>
      <c r="G15" s="12">
        <f>Submetering!R15</f>
        <v>853.6099549999999</v>
      </c>
      <c r="H15" s="11">
        <v>0.52800000000000002</v>
      </c>
      <c r="I15" s="12">
        <f>Hotel!B20</f>
        <v>168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80340</v>
      </c>
      <c r="F16" s="11">
        <v>5.0000000000000001E-3</v>
      </c>
      <c r="G16" s="12">
        <f>Submetering!R16</f>
        <v>1082.62726</v>
      </c>
      <c r="H16" s="11">
        <v>0.52800000000000002</v>
      </c>
      <c r="I16" s="12">
        <f>Hotel!B21</f>
        <v>176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78540</v>
      </c>
      <c r="F17" s="11">
        <v>5.0000000000000001E-3</v>
      </c>
      <c r="G17" s="12">
        <f>Submetering!R17</f>
        <v>945.97395900000004</v>
      </c>
      <c r="H17" s="11">
        <v>0.52800000000000002</v>
      </c>
      <c r="I17" s="12">
        <f>Hotel!B22</f>
        <v>190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79000</v>
      </c>
      <c r="F18" s="11">
        <v>5.0000000000000001E-3</v>
      </c>
      <c r="G18" s="12">
        <f>Submetering!R18</f>
        <v>973.98599300000001</v>
      </c>
      <c r="H18" s="11">
        <v>0.52800000000000002</v>
      </c>
      <c r="I18" s="12">
        <f>Hotel!B23</f>
        <v>216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77580</v>
      </c>
      <c r="F19" s="11">
        <v>5.0000000000000001E-3</v>
      </c>
      <c r="G19" s="12">
        <f>Submetering!R19</f>
        <v>758.217623</v>
      </c>
      <c r="H19" s="11">
        <v>0.52800000000000002</v>
      </c>
      <c r="I19" s="12">
        <f>Hotel!B24</f>
        <v>179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77060</v>
      </c>
      <c r="F20" s="11">
        <v>5.0000000000000001E-3</v>
      </c>
      <c r="G20" s="12">
        <f>Submetering!R20</f>
        <v>800.23567400000002</v>
      </c>
      <c r="H20" s="11">
        <v>0.52800000000000002</v>
      </c>
      <c r="I20" s="12">
        <f>Hotel!B25</f>
        <v>83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869.88721800000008</v>
      </c>
      <c r="H21" s="11">
        <v>0.52800000000000002</v>
      </c>
      <c r="I21" s="12">
        <f>Hotel!B26</f>
        <v>100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76130</v>
      </c>
      <c r="F22" s="11">
        <v>5.0000000000000001E-3</v>
      </c>
      <c r="G22" s="12">
        <f>Submetering!R22</f>
        <v>916.82630199999994</v>
      </c>
      <c r="H22" s="11">
        <v>0.52800000000000002</v>
      </c>
      <c r="I22" s="12">
        <f>Hotel!B27</f>
        <v>115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11510</v>
      </c>
      <c r="F11" s="4">
        <f>Hotel!R16</f>
        <v>15720</v>
      </c>
      <c r="G11" s="4">
        <f>Hotel!S16</f>
        <v>260</v>
      </c>
      <c r="H11" s="4">
        <f>Hotel!T16</f>
        <v>5290</v>
      </c>
      <c r="I11" s="4">
        <f>Hotel!U16</f>
        <v>5470</v>
      </c>
      <c r="J11" s="4">
        <f>Hotel!V16</f>
        <v>4350</v>
      </c>
      <c r="K11" s="4">
        <f>Hotel!W16</f>
        <v>3700</v>
      </c>
      <c r="L11" s="4">
        <f>Hotel!X16</f>
        <v>4900</v>
      </c>
      <c r="M11" s="4">
        <f>Hotel!Y16</f>
        <v>6240</v>
      </c>
      <c r="N11" s="4">
        <f>Hotel!Z16</f>
        <v>3110</v>
      </c>
      <c r="O11" s="4">
        <f>Hotel!AA16</f>
        <v>3580</v>
      </c>
      <c r="P11" s="4">
        <f>Hotel!AB16</f>
        <v>7350</v>
      </c>
      <c r="Q11" s="4">
        <f>Hotel!AC16</f>
        <v>12710</v>
      </c>
      <c r="R11" s="4">
        <f>Hotel!AV16*0.00378541*100</f>
        <v>1179.9122969999999</v>
      </c>
      <c r="S11" s="4">
        <f>Hotel!B16</f>
        <v>279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10820</v>
      </c>
      <c r="F12" s="4">
        <f>Hotel!R17</f>
        <v>15100</v>
      </c>
      <c r="G12" s="4">
        <f>Hotel!S17</f>
        <v>1710</v>
      </c>
      <c r="H12" s="4">
        <f>Hotel!T17</f>
        <v>5460</v>
      </c>
      <c r="I12" s="4">
        <f>Hotel!U17</f>
        <v>5570</v>
      </c>
      <c r="J12" s="4">
        <f>Hotel!V17</f>
        <v>4410</v>
      </c>
      <c r="K12" s="4">
        <f>Hotel!W17</f>
        <v>3700</v>
      </c>
      <c r="L12" s="4">
        <f>Hotel!X17</f>
        <v>4910</v>
      </c>
      <c r="M12" s="4">
        <f>Hotel!Y17</f>
        <v>6430</v>
      </c>
      <c r="N12" s="4">
        <f>Hotel!Z17</f>
        <v>3120</v>
      </c>
      <c r="O12" s="4">
        <f>Hotel!AA17</f>
        <v>3520</v>
      </c>
      <c r="P12" s="4">
        <f>Hotel!AB17</f>
        <v>7240</v>
      </c>
      <c r="Q12" s="4">
        <f>Hotel!AC17</f>
        <v>11790</v>
      </c>
      <c r="R12" s="4">
        <f>Hotel!AV17*0.00378541*100</f>
        <v>677.20984899999996</v>
      </c>
      <c r="S12" s="4">
        <f>Hotel!B17</f>
        <v>280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10510</v>
      </c>
      <c r="F13" s="4">
        <f>Hotel!R18</f>
        <v>14720</v>
      </c>
      <c r="G13" s="4">
        <f>Hotel!S18</f>
        <v>3560</v>
      </c>
      <c r="H13" s="4">
        <f>Hotel!T18</f>
        <v>5770</v>
      </c>
      <c r="I13" s="4">
        <f>Hotel!U18</f>
        <v>5580</v>
      </c>
      <c r="J13" s="4">
        <f>Hotel!V18</f>
        <v>4410</v>
      </c>
      <c r="K13" s="4">
        <f>Hotel!W18</f>
        <v>3760</v>
      </c>
      <c r="L13" s="4">
        <f>Hotel!X18</f>
        <v>5090</v>
      </c>
      <c r="M13" s="4">
        <f>Hotel!Y18</f>
        <v>6460</v>
      </c>
      <c r="N13" s="4">
        <f>Hotel!Z18</f>
        <v>3010</v>
      </c>
      <c r="O13" s="4">
        <f>Hotel!AA18</f>
        <v>3720</v>
      </c>
      <c r="P13" s="4">
        <f>Hotel!AB18</f>
        <v>7490</v>
      </c>
      <c r="Q13" s="4">
        <f>Hotel!AC18</f>
        <v>11750</v>
      </c>
      <c r="R13" s="4">
        <f>Hotel!AV18*0.00378541*100</f>
        <v>1257.5132020000001</v>
      </c>
      <c r="S13" s="4">
        <f>Hotel!B18</f>
        <v>139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10180</v>
      </c>
      <c r="F14" s="4">
        <f>Hotel!R19</f>
        <v>14340</v>
      </c>
      <c r="G14" s="4">
        <f>Hotel!S19</f>
        <v>3400</v>
      </c>
      <c r="H14" s="4">
        <f>Hotel!T19</f>
        <v>3590</v>
      </c>
      <c r="I14" s="4">
        <f>Hotel!U19</f>
        <v>5200</v>
      </c>
      <c r="J14" s="4">
        <f>Hotel!V19</f>
        <v>4320</v>
      </c>
      <c r="K14" s="4">
        <f>Hotel!W19</f>
        <v>3760</v>
      </c>
      <c r="L14" s="4">
        <f>Hotel!X19</f>
        <v>4990</v>
      </c>
      <c r="M14" s="4">
        <f>Hotel!Y19</f>
        <v>5980</v>
      </c>
      <c r="N14" s="4">
        <f>Hotel!Z19</f>
        <v>2720</v>
      </c>
      <c r="O14" s="4">
        <f>Hotel!AA19</f>
        <v>3460</v>
      </c>
      <c r="P14" s="4">
        <f>Hotel!AB19</f>
        <v>7500</v>
      </c>
      <c r="Q14" s="4">
        <f>Hotel!AC19</f>
        <v>11070</v>
      </c>
      <c r="R14" s="4">
        <f>Hotel!AV19*0.00378541*100</f>
        <v>917.96192499999995</v>
      </c>
      <c r="S14" s="4">
        <f>Hotel!B19</f>
        <v>122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8990</v>
      </c>
      <c r="F15" s="4">
        <f>Hotel!R20</f>
        <v>14790</v>
      </c>
      <c r="G15" s="4">
        <f>Hotel!S20</f>
        <v>560</v>
      </c>
      <c r="H15" s="4">
        <f>Hotel!T20</f>
        <v>1730</v>
      </c>
      <c r="I15" s="4">
        <f>Hotel!U20</f>
        <v>5180</v>
      </c>
      <c r="J15" s="4">
        <f>Hotel!V20</f>
        <v>4220</v>
      </c>
      <c r="K15" s="4">
        <f>Hotel!W20</f>
        <v>3500</v>
      </c>
      <c r="L15" s="4">
        <f>Hotel!X20</f>
        <v>5060</v>
      </c>
      <c r="M15" s="4">
        <f>Hotel!Y20</f>
        <v>6090</v>
      </c>
      <c r="N15" s="4">
        <f>Hotel!Z20</f>
        <v>2840</v>
      </c>
      <c r="O15" s="4">
        <f>Hotel!AA20</f>
        <v>3390</v>
      </c>
      <c r="P15" s="4">
        <f>Hotel!AB20</f>
        <v>7460</v>
      </c>
      <c r="Q15" s="4">
        <f>Hotel!AC20</f>
        <v>11530</v>
      </c>
      <c r="R15" s="4">
        <f>Hotel!AV20*0.00378541*100</f>
        <v>853.6099549999999</v>
      </c>
      <c r="S15" s="4">
        <f>Hotel!B20</f>
        <v>168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13010</v>
      </c>
      <c r="F16" s="4">
        <f>Hotel!R21</f>
        <v>15450</v>
      </c>
      <c r="G16" s="4">
        <f>Hotel!S21</f>
        <v>230</v>
      </c>
      <c r="H16" s="4">
        <f>Hotel!T21</f>
        <v>1760</v>
      </c>
      <c r="I16" s="4">
        <f>Hotel!U21</f>
        <v>5100</v>
      </c>
      <c r="J16" s="4">
        <f>Hotel!V21</f>
        <v>4280</v>
      </c>
      <c r="K16" s="4">
        <f>Hotel!W21</f>
        <v>3390</v>
      </c>
      <c r="L16" s="4">
        <f>Hotel!X21</f>
        <v>5140</v>
      </c>
      <c r="M16" s="4">
        <f>Hotel!Y21</f>
        <v>6400</v>
      </c>
      <c r="N16" s="4">
        <f>Hotel!Z21</f>
        <v>2910</v>
      </c>
      <c r="O16" s="4">
        <f>Hotel!AA21</f>
        <v>3380</v>
      </c>
      <c r="P16" s="4">
        <f>Hotel!AB21</f>
        <v>7560</v>
      </c>
      <c r="Q16" s="4">
        <f>Hotel!AC21</f>
        <v>11730</v>
      </c>
      <c r="R16" s="4">
        <f>Hotel!AV21*0.00378541*100</f>
        <v>1082.62726</v>
      </c>
      <c r="S16" s="4">
        <f>Hotel!B21</f>
        <v>176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10380</v>
      </c>
      <c r="F17" s="4">
        <f>Hotel!R22</f>
        <v>14870</v>
      </c>
      <c r="G17" s="4">
        <f>Hotel!S22</f>
        <v>190</v>
      </c>
      <c r="H17" s="4">
        <f>Hotel!T22</f>
        <v>1700</v>
      </c>
      <c r="I17" s="4">
        <f>Hotel!U22</f>
        <v>5420</v>
      </c>
      <c r="J17" s="4">
        <f>Hotel!V22</f>
        <v>4410</v>
      </c>
      <c r="K17" s="4">
        <f>Hotel!W22</f>
        <v>4010</v>
      </c>
      <c r="L17" s="4">
        <f>Hotel!X22</f>
        <v>5240</v>
      </c>
      <c r="M17" s="4">
        <f>Hotel!Y22</f>
        <v>6530</v>
      </c>
      <c r="N17" s="4">
        <f>Hotel!Z22</f>
        <v>2910</v>
      </c>
      <c r="O17" s="4">
        <f>Hotel!AA22</f>
        <v>3500</v>
      </c>
      <c r="P17" s="4">
        <f>Hotel!AB22</f>
        <v>7480</v>
      </c>
      <c r="Q17" s="4">
        <f>Hotel!AC22</f>
        <v>11900</v>
      </c>
      <c r="R17" s="4">
        <f>Hotel!AV22*0.00378541*100</f>
        <v>945.97395900000004</v>
      </c>
      <c r="S17" s="4">
        <f>Hotel!B22</f>
        <v>190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10260</v>
      </c>
      <c r="F18" s="4">
        <f>Hotel!R23</f>
        <v>14800</v>
      </c>
      <c r="G18" s="4">
        <f>Hotel!S23</f>
        <v>170</v>
      </c>
      <c r="H18" s="4">
        <f>Hotel!T23</f>
        <v>1720</v>
      </c>
      <c r="I18" s="4">
        <f>Hotel!U23</f>
        <v>5470</v>
      </c>
      <c r="J18" s="4">
        <f>Hotel!V23</f>
        <v>4370</v>
      </c>
      <c r="K18" s="4">
        <f>Hotel!W23</f>
        <v>4050</v>
      </c>
      <c r="L18" s="4">
        <f>Hotel!X23</f>
        <v>5230</v>
      </c>
      <c r="M18" s="4">
        <f>Hotel!Y23</f>
        <v>6500</v>
      </c>
      <c r="N18" s="4">
        <f>Hotel!Z23</f>
        <v>2990</v>
      </c>
      <c r="O18" s="4">
        <f>Hotel!AA23</f>
        <v>3690</v>
      </c>
      <c r="P18" s="4">
        <f>Hotel!AB23</f>
        <v>7610</v>
      </c>
      <c r="Q18" s="4">
        <f>Hotel!AC23</f>
        <v>12140</v>
      </c>
      <c r="R18" s="4">
        <f>Hotel!AV23*0.00378541*100</f>
        <v>973.98599300000001</v>
      </c>
      <c r="S18" s="4">
        <f>Hotel!B23</f>
        <v>216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9980</v>
      </c>
      <c r="F19" s="4">
        <f>Hotel!R24</f>
        <v>14440</v>
      </c>
      <c r="G19" s="4">
        <f>Hotel!S24</f>
        <v>170</v>
      </c>
      <c r="H19" s="4">
        <f>Hotel!T24</f>
        <v>1690</v>
      </c>
      <c r="I19" s="4">
        <f>Hotel!U24</f>
        <v>5550</v>
      </c>
      <c r="J19" s="4">
        <f>Hotel!V24</f>
        <v>4240</v>
      </c>
      <c r="K19" s="4">
        <f>Hotel!W24</f>
        <v>3270</v>
      </c>
      <c r="L19" s="4">
        <f>Hotel!X24</f>
        <v>5140</v>
      </c>
      <c r="M19" s="4">
        <f>Hotel!Y24</f>
        <v>6370</v>
      </c>
      <c r="N19" s="4">
        <f>Hotel!Z24</f>
        <v>2880</v>
      </c>
      <c r="O19" s="4">
        <f>Hotel!AA24</f>
        <v>3480</v>
      </c>
      <c r="P19" s="4">
        <f>Hotel!AB24</f>
        <v>7400</v>
      </c>
      <c r="Q19" s="4">
        <f>Hotel!AC24</f>
        <v>12970</v>
      </c>
      <c r="R19" s="4">
        <f>Hotel!AV24*0.00378541*100</f>
        <v>758.217623</v>
      </c>
      <c r="S19" s="4">
        <f>Hotel!B24</f>
        <v>179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10250</v>
      </c>
      <c r="F20" s="4">
        <f>Hotel!R25</f>
        <v>14720</v>
      </c>
      <c r="G20" s="4">
        <f>Hotel!S25</f>
        <v>180</v>
      </c>
      <c r="H20" s="4">
        <f>Hotel!T25</f>
        <v>1690</v>
      </c>
      <c r="I20" s="4">
        <f>Hotel!U25</f>
        <v>5360</v>
      </c>
      <c r="J20" s="4">
        <f>Hotel!V25</f>
        <v>4340</v>
      </c>
      <c r="K20" s="4">
        <f>Hotel!W25</f>
        <v>3400</v>
      </c>
      <c r="L20" s="4">
        <f>Hotel!X25</f>
        <v>4970</v>
      </c>
      <c r="M20" s="4">
        <f>Hotel!Y25</f>
        <v>6430</v>
      </c>
      <c r="N20" s="4">
        <f>Hotel!Z25</f>
        <v>2800</v>
      </c>
      <c r="O20" s="4">
        <f>Hotel!AA25</f>
        <v>3260</v>
      </c>
      <c r="P20" s="4">
        <f>Hotel!AB25</f>
        <v>7460</v>
      </c>
      <c r="Q20" s="4">
        <f>Hotel!AC25</f>
        <v>12200</v>
      </c>
      <c r="R20" s="4">
        <f>Hotel!AV25*0.00378541*100</f>
        <v>800.23567400000002</v>
      </c>
      <c r="S20" s="4">
        <f>Hotel!B25</f>
        <v>83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10060</v>
      </c>
      <c r="F21" s="4">
        <f>Hotel!R26</f>
        <v>14440</v>
      </c>
      <c r="G21" s="4">
        <f>Hotel!S26</f>
        <v>180</v>
      </c>
      <c r="H21" s="4">
        <f>Hotel!T26</f>
        <v>1660</v>
      </c>
      <c r="I21" s="4">
        <f>Hotel!U26</f>
        <v>4940</v>
      </c>
      <c r="J21" s="4">
        <f>Hotel!V26</f>
        <v>4190</v>
      </c>
      <c r="K21" s="4">
        <f>Hotel!W26</f>
        <v>3070</v>
      </c>
      <c r="L21" s="4">
        <f>Hotel!X26</f>
        <v>4840</v>
      </c>
      <c r="M21" s="4">
        <f>Hotel!Y26</f>
        <v>6080</v>
      </c>
      <c r="N21" s="4">
        <f>Hotel!Z26</f>
        <v>2590</v>
      </c>
      <c r="O21" s="4">
        <f>Hotel!AA26</f>
        <v>3190</v>
      </c>
      <c r="P21" s="4">
        <f>Hotel!AB26</f>
        <v>7310</v>
      </c>
      <c r="Q21" s="4">
        <f>Hotel!AC26</f>
        <v>12530</v>
      </c>
      <c r="R21" s="4">
        <f>Hotel!AV26*0.00378541*100</f>
        <v>869.88721800000008</v>
      </c>
      <c r="S21" s="4">
        <f>Hotel!B26</f>
        <v>100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10640</v>
      </c>
      <c r="F22" s="4">
        <f>Hotel!R27</f>
        <v>15010</v>
      </c>
      <c r="G22" s="4">
        <f>Hotel!S27</f>
        <v>250</v>
      </c>
      <c r="H22" s="4">
        <f>Hotel!T27</f>
        <v>1650</v>
      </c>
      <c r="I22" s="4">
        <f>Hotel!U27</f>
        <v>4900</v>
      </c>
      <c r="J22" s="4">
        <f>Hotel!V27</f>
        <v>4220</v>
      </c>
      <c r="K22" s="4">
        <f>Hotel!W27</f>
        <v>3060</v>
      </c>
      <c r="L22" s="4">
        <f>Hotel!X27</f>
        <v>4870</v>
      </c>
      <c r="M22" s="4">
        <f>Hotel!Y27</f>
        <v>6270</v>
      </c>
      <c r="N22" s="4">
        <f>Hotel!Z27</f>
        <v>2530</v>
      </c>
      <c r="O22" s="4">
        <f>Hotel!AA27</f>
        <v>2990</v>
      </c>
      <c r="P22" s="4">
        <f>Hotel!AB27</f>
        <v>7430</v>
      </c>
      <c r="Q22" s="4">
        <f>Hotel!AC27</f>
        <v>12310</v>
      </c>
      <c r="R22" s="4">
        <f>Hotel!AV27*0.00378541*100</f>
        <v>916.82630199999994</v>
      </c>
      <c r="S22" s="4">
        <f>Hotel!B27</f>
        <v>115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AU28" sqref="AU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>
        <v>279</v>
      </c>
      <c r="C16" s="24">
        <v>5551940</v>
      </c>
      <c r="D16" s="24">
        <v>11556840</v>
      </c>
      <c r="E16" s="24">
        <v>1402970</v>
      </c>
      <c r="F16" s="24">
        <v>2507620</v>
      </c>
      <c r="G16" s="24">
        <v>7600240</v>
      </c>
      <c r="H16" s="24">
        <v>3508380</v>
      </c>
      <c r="I16" s="24">
        <v>3553170</v>
      </c>
      <c r="J16" s="24">
        <v>3964670</v>
      </c>
      <c r="K16" s="24">
        <v>6529270</v>
      </c>
      <c r="L16" s="24">
        <v>2280890</v>
      </c>
      <c r="M16" s="24">
        <v>6126720</v>
      </c>
      <c r="N16" s="24">
        <v>8217490</v>
      </c>
      <c r="O16" s="24">
        <v>10559990</v>
      </c>
      <c r="Q16" s="37">
        <f t="shared" si="16"/>
        <v>11510</v>
      </c>
      <c r="R16" s="37">
        <f t="shared" si="17"/>
        <v>15720</v>
      </c>
      <c r="S16" s="37">
        <f t="shared" si="15"/>
        <v>260</v>
      </c>
      <c r="T16" s="37">
        <f t="shared" si="18"/>
        <v>5290</v>
      </c>
      <c r="U16" s="37">
        <f t="shared" si="19"/>
        <v>5470</v>
      </c>
      <c r="V16" s="37">
        <f t="shared" si="20"/>
        <v>4350</v>
      </c>
      <c r="W16" s="37">
        <f t="shared" si="21"/>
        <v>3700</v>
      </c>
      <c r="X16" s="37">
        <f t="shared" si="22"/>
        <v>4900</v>
      </c>
      <c r="Y16" s="37">
        <f t="shared" si="23"/>
        <v>6240</v>
      </c>
      <c r="Z16" s="37">
        <f t="shared" si="24"/>
        <v>3110</v>
      </c>
      <c r="AA16" s="37">
        <f t="shared" si="25"/>
        <v>3580</v>
      </c>
      <c r="AB16" s="37">
        <f t="shared" si="26"/>
        <v>7350</v>
      </c>
      <c r="AC16" s="37">
        <f t="shared" si="27"/>
        <v>12710</v>
      </c>
      <c r="AD16" s="35">
        <f t="shared" si="28"/>
        <v>84190</v>
      </c>
      <c r="AF16" s="20">
        <f t="shared" si="1"/>
        <v>57.550000000000004</v>
      </c>
      <c r="AG16" s="20">
        <f t="shared" si="2"/>
        <v>78.600000000000009</v>
      </c>
      <c r="AH16" s="20">
        <f t="shared" si="3"/>
        <v>1.3</v>
      </c>
      <c r="AI16" s="20">
        <f t="shared" si="4"/>
        <v>26.45</v>
      </c>
      <c r="AJ16" s="20">
        <f t="shared" si="5"/>
        <v>27.35</v>
      </c>
      <c r="AK16" s="20">
        <f t="shared" si="6"/>
        <v>21.75</v>
      </c>
      <c r="AL16" s="20">
        <f t="shared" si="7"/>
        <v>18.5</v>
      </c>
      <c r="AM16" s="20">
        <f t="shared" si="8"/>
        <v>24.5</v>
      </c>
      <c r="AN16" s="20">
        <f t="shared" si="9"/>
        <v>31.2</v>
      </c>
      <c r="AO16" s="20">
        <f t="shared" si="10"/>
        <v>15.55</v>
      </c>
      <c r="AP16" s="20">
        <f t="shared" si="11"/>
        <v>17.900000000000002</v>
      </c>
      <c r="AQ16" s="20">
        <f t="shared" si="12"/>
        <v>36.75</v>
      </c>
      <c r="AR16" s="20">
        <f t="shared" si="13"/>
        <v>63.550000000000004</v>
      </c>
      <c r="AS16" s="35">
        <f t="shared" si="29"/>
        <v>420.95</v>
      </c>
      <c r="AU16" s="47">
        <v>560014</v>
      </c>
      <c r="AV16" s="37">
        <f t="shared" si="31"/>
        <v>3117</v>
      </c>
      <c r="AW16" s="35">
        <f t="shared" si="30"/>
        <v>6.234</v>
      </c>
    </row>
    <row r="17" spans="1:49" x14ac:dyDescent="0.25">
      <c r="A17" s="23">
        <v>43749</v>
      </c>
      <c r="B17" s="40">
        <v>280</v>
      </c>
      <c r="C17" s="24">
        <v>5562760</v>
      </c>
      <c r="D17" s="24">
        <v>11571940</v>
      </c>
      <c r="E17" s="24">
        <v>1404680</v>
      </c>
      <c r="F17" s="24">
        <v>2513080</v>
      </c>
      <c r="G17" s="24">
        <v>7605810</v>
      </c>
      <c r="H17" s="24">
        <v>3512790</v>
      </c>
      <c r="I17" s="24">
        <v>3556870</v>
      </c>
      <c r="J17" s="24">
        <v>3969580</v>
      </c>
      <c r="K17" s="24">
        <v>6535700</v>
      </c>
      <c r="L17" s="24">
        <v>2284010</v>
      </c>
      <c r="M17" s="24">
        <v>6130240</v>
      </c>
      <c r="N17" s="24">
        <v>8224730</v>
      </c>
      <c r="O17" s="24">
        <v>10571780</v>
      </c>
      <c r="Q17" s="37">
        <f t="shared" si="16"/>
        <v>10820</v>
      </c>
      <c r="R17" s="37">
        <f t="shared" si="17"/>
        <v>15100</v>
      </c>
      <c r="S17" s="37">
        <f t="shared" si="15"/>
        <v>1710</v>
      </c>
      <c r="T17" s="37">
        <f t="shared" si="18"/>
        <v>5460</v>
      </c>
      <c r="U17" s="37">
        <f t="shared" si="19"/>
        <v>5570</v>
      </c>
      <c r="V17" s="37">
        <f t="shared" si="20"/>
        <v>4410</v>
      </c>
      <c r="W17" s="37">
        <f t="shared" si="21"/>
        <v>3700</v>
      </c>
      <c r="X17" s="37">
        <f t="shared" si="22"/>
        <v>4910</v>
      </c>
      <c r="Y17" s="37">
        <f t="shared" si="23"/>
        <v>6430</v>
      </c>
      <c r="Z17" s="37">
        <f t="shared" si="24"/>
        <v>3120</v>
      </c>
      <c r="AA17" s="37">
        <f t="shared" si="25"/>
        <v>3520</v>
      </c>
      <c r="AB17" s="37">
        <f t="shared" si="26"/>
        <v>7240</v>
      </c>
      <c r="AC17" s="37">
        <f t="shared" si="27"/>
        <v>11790</v>
      </c>
      <c r="AD17" s="35">
        <f t="shared" si="28"/>
        <v>83780</v>
      </c>
      <c r="AF17" s="20">
        <f t="shared" si="1"/>
        <v>54.1</v>
      </c>
      <c r="AG17" s="20">
        <f t="shared" si="2"/>
        <v>75.5</v>
      </c>
      <c r="AH17" s="20">
        <f t="shared" si="3"/>
        <v>8.5500000000000007</v>
      </c>
      <c r="AI17" s="20">
        <f t="shared" si="4"/>
        <v>27.3</v>
      </c>
      <c r="AJ17" s="20">
        <f t="shared" si="5"/>
        <v>27.85</v>
      </c>
      <c r="AK17" s="20">
        <f t="shared" si="6"/>
        <v>22.05</v>
      </c>
      <c r="AL17" s="20">
        <f t="shared" si="7"/>
        <v>18.5</v>
      </c>
      <c r="AM17" s="20">
        <f t="shared" si="8"/>
        <v>24.55</v>
      </c>
      <c r="AN17" s="20">
        <f t="shared" si="9"/>
        <v>32.15</v>
      </c>
      <c r="AO17" s="20">
        <f t="shared" si="10"/>
        <v>15.6</v>
      </c>
      <c r="AP17" s="20">
        <f t="shared" si="11"/>
        <v>17.600000000000001</v>
      </c>
      <c r="AQ17" s="20">
        <f t="shared" si="12"/>
        <v>36.200000000000003</v>
      </c>
      <c r="AR17" s="20">
        <f t="shared" si="13"/>
        <v>58.95</v>
      </c>
      <c r="AS17" s="35">
        <f t="shared" si="29"/>
        <v>418.90000000000003</v>
      </c>
      <c r="AU17" s="47">
        <v>561803</v>
      </c>
      <c r="AV17" s="37">
        <f t="shared" si="31"/>
        <v>1789</v>
      </c>
      <c r="AW17" s="35">
        <f t="shared" si="30"/>
        <v>3.5780000000000003</v>
      </c>
    </row>
    <row r="18" spans="1:49" x14ac:dyDescent="0.25">
      <c r="A18" s="23">
        <v>43750</v>
      </c>
      <c r="B18" s="40">
        <v>139</v>
      </c>
      <c r="C18" s="24">
        <v>5573270</v>
      </c>
      <c r="D18" s="24">
        <v>11586660</v>
      </c>
      <c r="E18" s="24">
        <v>1408240</v>
      </c>
      <c r="F18" s="24">
        <v>2518850</v>
      </c>
      <c r="G18" s="24">
        <v>7611390</v>
      </c>
      <c r="H18" s="24">
        <v>3517200</v>
      </c>
      <c r="I18" s="24">
        <v>3560630</v>
      </c>
      <c r="J18" s="24">
        <v>3974670</v>
      </c>
      <c r="K18" s="24">
        <v>6542160</v>
      </c>
      <c r="L18" s="24">
        <v>2287020</v>
      </c>
      <c r="M18" s="24">
        <v>6133960</v>
      </c>
      <c r="N18" s="24">
        <v>8232220</v>
      </c>
      <c r="O18" s="24">
        <v>10583530</v>
      </c>
      <c r="Q18" s="37">
        <f t="shared" si="16"/>
        <v>10510</v>
      </c>
      <c r="R18" s="37">
        <f t="shared" si="17"/>
        <v>14720</v>
      </c>
      <c r="S18" s="37">
        <f t="shared" si="15"/>
        <v>3560</v>
      </c>
      <c r="T18" s="37">
        <f t="shared" si="18"/>
        <v>5770</v>
      </c>
      <c r="U18" s="37">
        <f t="shared" si="19"/>
        <v>5580</v>
      </c>
      <c r="V18" s="37">
        <f t="shared" si="20"/>
        <v>4410</v>
      </c>
      <c r="W18" s="37">
        <f t="shared" si="21"/>
        <v>3760</v>
      </c>
      <c r="X18" s="37">
        <f t="shared" si="22"/>
        <v>5090</v>
      </c>
      <c r="Y18" s="37">
        <f t="shared" si="23"/>
        <v>6460</v>
      </c>
      <c r="Z18" s="37">
        <f t="shared" si="24"/>
        <v>3010</v>
      </c>
      <c r="AA18" s="37">
        <f t="shared" si="25"/>
        <v>3720</v>
      </c>
      <c r="AB18" s="37">
        <f t="shared" si="26"/>
        <v>7490</v>
      </c>
      <c r="AC18" s="37">
        <f t="shared" si="27"/>
        <v>11750</v>
      </c>
      <c r="AD18" s="35">
        <f t="shared" si="28"/>
        <v>85830</v>
      </c>
      <c r="AF18" s="20">
        <f t="shared" si="1"/>
        <v>52.550000000000004</v>
      </c>
      <c r="AG18" s="20">
        <f t="shared" si="2"/>
        <v>73.600000000000009</v>
      </c>
      <c r="AH18" s="20">
        <f t="shared" si="3"/>
        <v>17.8</v>
      </c>
      <c r="AI18" s="20">
        <f t="shared" si="4"/>
        <v>28.85</v>
      </c>
      <c r="AJ18" s="20">
        <f t="shared" si="5"/>
        <v>27.900000000000002</v>
      </c>
      <c r="AK18" s="20">
        <f t="shared" si="6"/>
        <v>22.05</v>
      </c>
      <c r="AL18" s="20">
        <f t="shared" si="7"/>
        <v>18.8</v>
      </c>
      <c r="AM18" s="20">
        <f t="shared" si="8"/>
        <v>25.45</v>
      </c>
      <c r="AN18" s="20">
        <f t="shared" si="9"/>
        <v>32.299999999999997</v>
      </c>
      <c r="AO18" s="20">
        <f t="shared" si="10"/>
        <v>15.05</v>
      </c>
      <c r="AP18" s="20">
        <f t="shared" si="11"/>
        <v>18.600000000000001</v>
      </c>
      <c r="AQ18" s="20">
        <f t="shared" si="12"/>
        <v>37.450000000000003</v>
      </c>
      <c r="AR18" s="20">
        <f t="shared" si="13"/>
        <v>58.75</v>
      </c>
      <c r="AS18" s="35">
        <f t="shared" si="29"/>
        <v>429.15000000000009</v>
      </c>
      <c r="AU18" s="47">
        <v>565125</v>
      </c>
      <c r="AV18" s="37">
        <f t="shared" si="31"/>
        <v>3322</v>
      </c>
      <c r="AW18" s="35">
        <f t="shared" si="30"/>
        <v>6.6440000000000001</v>
      </c>
    </row>
    <row r="19" spans="1:49" x14ac:dyDescent="0.25">
      <c r="A19" s="23">
        <v>43751</v>
      </c>
      <c r="B19" s="40">
        <v>122</v>
      </c>
      <c r="C19" s="24">
        <v>5583450</v>
      </c>
      <c r="D19" s="24">
        <v>11601000</v>
      </c>
      <c r="E19" s="24">
        <v>1411640</v>
      </c>
      <c r="F19" s="24">
        <v>2522440</v>
      </c>
      <c r="G19" s="24">
        <v>7616590</v>
      </c>
      <c r="H19" s="24">
        <v>3521520</v>
      </c>
      <c r="I19" s="24">
        <v>3564390</v>
      </c>
      <c r="J19" s="24">
        <v>3979660</v>
      </c>
      <c r="K19" s="24">
        <v>6548140</v>
      </c>
      <c r="L19" s="24">
        <v>2289740</v>
      </c>
      <c r="M19" s="24">
        <v>6137420</v>
      </c>
      <c r="N19" s="24">
        <v>8239720</v>
      </c>
      <c r="O19" s="24">
        <v>10594600</v>
      </c>
      <c r="Q19" s="37">
        <f t="shared" si="16"/>
        <v>10180</v>
      </c>
      <c r="R19" s="37">
        <f t="shared" si="17"/>
        <v>14340</v>
      </c>
      <c r="S19" s="37">
        <f t="shared" si="15"/>
        <v>3400</v>
      </c>
      <c r="T19" s="37">
        <f t="shared" si="18"/>
        <v>3590</v>
      </c>
      <c r="U19" s="37">
        <f t="shared" si="19"/>
        <v>5200</v>
      </c>
      <c r="V19" s="37">
        <f t="shared" si="20"/>
        <v>4320</v>
      </c>
      <c r="W19" s="37">
        <f t="shared" si="21"/>
        <v>3760</v>
      </c>
      <c r="X19" s="37">
        <f t="shared" si="22"/>
        <v>4990</v>
      </c>
      <c r="Y19" s="37">
        <f t="shared" si="23"/>
        <v>5980</v>
      </c>
      <c r="Z19" s="37">
        <f t="shared" si="24"/>
        <v>2720</v>
      </c>
      <c r="AA19" s="37">
        <f t="shared" si="25"/>
        <v>3460</v>
      </c>
      <c r="AB19" s="37">
        <f t="shared" si="26"/>
        <v>7500</v>
      </c>
      <c r="AC19" s="37">
        <f t="shared" si="27"/>
        <v>11070</v>
      </c>
      <c r="AD19" s="35">
        <f t="shared" si="28"/>
        <v>80510</v>
      </c>
      <c r="AF19" s="20">
        <f t="shared" si="1"/>
        <v>50.9</v>
      </c>
      <c r="AG19" s="20">
        <f t="shared" si="2"/>
        <v>71.7</v>
      </c>
      <c r="AH19" s="20">
        <f t="shared" si="3"/>
        <v>17</v>
      </c>
      <c r="AI19" s="20">
        <f t="shared" si="4"/>
        <v>17.95</v>
      </c>
      <c r="AJ19" s="20">
        <f t="shared" si="5"/>
        <v>26</v>
      </c>
      <c r="AK19" s="20">
        <f t="shared" si="6"/>
        <v>21.6</v>
      </c>
      <c r="AL19" s="20">
        <f t="shared" si="7"/>
        <v>18.8</v>
      </c>
      <c r="AM19" s="20">
        <f t="shared" si="8"/>
        <v>24.95</v>
      </c>
      <c r="AN19" s="20">
        <f t="shared" si="9"/>
        <v>29.900000000000002</v>
      </c>
      <c r="AO19" s="20">
        <f t="shared" si="10"/>
        <v>13.6</v>
      </c>
      <c r="AP19" s="20">
        <f t="shared" si="11"/>
        <v>17.3</v>
      </c>
      <c r="AQ19" s="20">
        <f t="shared" si="12"/>
        <v>37.5</v>
      </c>
      <c r="AR19" s="20">
        <f t="shared" si="13"/>
        <v>55.35</v>
      </c>
      <c r="AS19" s="35">
        <f t="shared" si="29"/>
        <v>402.55</v>
      </c>
      <c r="AU19" s="47">
        <v>567550</v>
      </c>
      <c r="AV19" s="37">
        <f t="shared" si="31"/>
        <v>2425</v>
      </c>
      <c r="AW19" s="35">
        <f t="shared" si="30"/>
        <v>4.8500000000000005</v>
      </c>
    </row>
    <row r="20" spans="1:49" x14ac:dyDescent="0.25">
      <c r="A20" s="23">
        <v>43752</v>
      </c>
      <c r="B20" s="40">
        <v>168</v>
      </c>
      <c r="C20" s="24">
        <v>5592440</v>
      </c>
      <c r="D20" s="24">
        <v>11615790</v>
      </c>
      <c r="E20" s="24">
        <v>1412200</v>
      </c>
      <c r="F20" s="24">
        <v>2524170</v>
      </c>
      <c r="G20" s="24">
        <v>7621770</v>
      </c>
      <c r="H20" s="24">
        <v>3525740</v>
      </c>
      <c r="I20" s="24">
        <v>3567890</v>
      </c>
      <c r="J20" s="24">
        <v>3984720</v>
      </c>
      <c r="K20" s="24">
        <v>6554230</v>
      </c>
      <c r="L20" s="24">
        <v>2292580</v>
      </c>
      <c r="M20" s="24">
        <v>6140810</v>
      </c>
      <c r="N20" s="24">
        <v>8247180</v>
      </c>
      <c r="O20" s="24">
        <v>10606130</v>
      </c>
      <c r="Q20" s="37">
        <f t="shared" si="16"/>
        <v>8990</v>
      </c>
      <c r="R20" s="37">
        <f t="shared" si="17"/>
        <v>14790</v>
      </c>
      <c r="S20" s="37">
        <f t="shared" si="15"/>
        <v>560</v>
      </c>
      <c r="T20" s="37">
        <f t="shared" si="18"/>
        <v>1730</v>
      </c>
      <c r="U20" s="37">
        <f t="shared" si="19"/>
        <v>5180</v>
      </c>
      <c r="V20" s="37">
        <f t="shared" si="20"/>
        <v>4220</v>
      </c>
      <c r="W20" s="37">
        <f t="shared" si="21"/>
        <v>3500</v>
      </c>
      <c r="X20" s="37">
        <f t="shared" si="22"/>
        <v>5060</v>
      </c>
      <c r="Y20" s="37">
        <f t="shared" si="23"/>
        <v>6090</v>
      </c>
      <c r="Z20" s="37">
        <f t="shared" si="24"/>
        <v>2840</v>
      </c>
      <c r="AA20" s="37">
        <f t="shared" si="25"/>
        <v>3390</v>
      </c>
      <c r="AB20" s="37">
        <f t="shared" si="26"/>
        <v>7460</v>
      </c>
      <c r="AC20" s="37">
        <f t="shared" si="27"/>
        <v>11530</v>
      </c>
      <c r="AD20" s="35">
        <f t="shared" si="28"/>
        <v>75340</v>
      </c>
      <c r="AF20" s="20">
        <f t="shared" si="1"/>
        <v>44.95</v>
      </c>
      <c r="AG20" s="20">
        <f t="shared" si="2"/>
        <v>73.95</v>
      </c>
      <c r="AH20" s="20">
        <f t="shared" si="3"/>
        <v>2.8000000000000003</v>
      </c>
      <c r="AI20" s="20">
        <f t="shared" si="4"/>
        <v>8.65</v>
      </c>
      <c r="AJ20" s="20">
        <f t="shared" si="5"/>
        <v>25.900000000000002</v>
      </c>
      <c r="AK20" s="20">
        <f t="shared" si="6"/>
        <v>21.1</v>
      </c>
      <c r="AL20" s="20">
        <f t="shared" si="7"/>
        <v>17.5</v>
      </c>
      <c r="AM20" s="20">
        <f t="shared" si="8"/>
        <v>25.3</v>
      </c>
      <c r="AN20" s="20">
        <f t="shared" si="9"/>
        <v>30.45</v>
      </c>
      <c r="AO20" s="20">
        <f t="shared" si="10"/>
        <v>14.200000000000001</v>
      </c>
      <c r="AP20" s="20">
        <f t="shared" si="11"/>
        <v>16.95</v>
      </c>
      <c r="AQ20" s="20">
        <f t="shared" si="12"/>
        <v>37.300000000000004</v>
      </c>
      <c r="AR20" s="20">
        <f t="shared" si="13"/>
        <v>57.65</v>
      </c>
      <c r="AS20" s="35">
        <f t="shared" si="29"/>
        <v>376.7</v>
      </c>
      <c r="AU20" s="47">
        <v>569805</v>
      </c>
      <c r="AV20" s="37">
        <f t="shared" si="31"/>
        <v>2255</v>
      </c>
      <c r="AW20" s="35">
        <f t="shared" si="30"/>
        <v>4.51</v>
      </c>
    </row>
    <row r="21" spans="1:49" x14ac:dyDescent="0.25">
      <c r="A21" s="23">
        <v>43753</v>
      </c>
      <c r="B21" s="40">
        <v>176</v>
      </c>
      <c r="C21" s="24">
        <v>5605450</v>
      </c>
      <c r="D21" s="24">
        <v>11631240</v>
      </c>
      <c r="E21" s="24">
        <v>1412430</v>
      </c>
      <c r="F21" s="24">
        <v>2525930</v>
      </c>
      <c r="G21" s="24">
        <v>7626870</v>
      </c>
      <c r="H21" s="24">
        <v>3530020</v>
      </c>
      <c r="I21" s="24">
        <v>3571280</v>
      </c>
      <c r="J21" s="24">
        <v>3989860</v>
      </c>
      <c r="K21" s="24">
        <v>6560630</v>
      </c>
      <c r="L21" s="24">
        <v>2295490</v>
      </c>
      <c r="M21" s="24">
        <v>6144190</v>
      </c>
      <c r="N21" s="24">
        <v>8254740</v>
      </c>
      <c r="O21" s="24">
        <v>10617860</v>
      </c>
      <c r="Q21" s="37">
        <f t="shared" si="16"/>
        <v>13010</v>
      </c>
      <c r="R21" s="37">
        <f t="shared" si="17"/>
        <v>15450</v>
      </c>
      <c r="S21" s="37">
        <f t="shared" si="15"/>
        <v>230</v>
      </c>
      <c r="T21" s="37">
        <f t="shared" si="18"/>
        <v>1760</v>
      </c>
      <c r="U21" s="37">
        <f t="shared" si="19"/>
        <v>5100</v>
      </c>
      <c r="V21" s="37">
        <f t="shared" si="20"/>
        <v>4280</v>
      </c>
      <c r="W21" s="37">
        <f t="shared" si="21"/>
        <v>3390</v>
      </c>
      <c r="X21" s="37">
        <f t="shared" si="22"/>
        <v>5140</v>
      </c>
      <c r="Y21" s="37">
        <f t="shared" si="23"/>
        <v>6400</v>
      </c>
      <c r="Z21" s="37">
        <f t="shared" si="24"/>
        <v>2910</v>
      </c>
      <c r="AA21" s="37">
        <f t="shared" si="25"/>
        <v>3380</v>
      </c>
      <c r="AB21" s="37">
        <f t="shared" si="26"/>
        <v>7560</v>
      </c>
      <c r="AC21" s="37">
        <f t="shared" si="27"/>
        <v>11730</v>
      </c>
      <c r="AD21" s="35">
        <f t="shared" si="28"/>
        <v>80340</v>
      </c>
      <c r="AF21" s="20">
        <f t="shared" si="1"/>
        <v>65.05</v>
      </c>
      <c r="AG21" s="20">
        <f t="shared" si="2"/>
        <v>77.25</v>
      </c>
      <c r="AH21" s="20">
        <f t="shared" si="3"/>
        <v>1.1500000000000001</v>
      </c>
      <c r="AI21" s="20">
        <f t="shared" si="4"/>
        <v>8.8000000000000007</v>
      </c>
      <c r="AJ21" s="20">
        <f t="shared" si="5"/>
        <v>25.5</v>
      </c>
      <c r="AK21" s="20">
        <f t="shared" si="6"/>
        <v>21.400000000000002</v>
      </c>
      <c r="AL21" s="20">
        <f t="shared" si="7"/>
        <v>16.95</v>
      </c>
      <c r="AM21" s="20">
        <f t="shared" si="8"/>
        <v>25.7</v>
      </c>
      <c r="AN21" s="20">
        <f t="shared" si="9"/>
        <v>32</v>
      </c>
      <c r="AO21" s="20">
        <f t="shared" si="10"/>
        <v>14.55</v>
      </c>
      <c r="AP21" s="20">
        <f t="shared" si="11"/>
        <v>16.899999999999999</v>
      </c>
      <c r="AQ21" s="20">
        <f t="shared" si="12"/>
        <v>37.800000000000004</v>
      </c>
      <c r="AR21" s="20">
        <f t="shared" si="13"/>
        <v>58.65</v>
      </c>
      <c r="AS21" s="35">
        <f t="shared" si="29"/>
        <v>401.7</v>
      </c>
      <c r="AU21" s="47">
        <v>572665</v>
      </c>
      <c r="AV21" s="37">
        <f t="shared" si="31"/>
        <v>2860</v>
      </c>
      <c r="AW21" s="35">
        <f t="shared" si="30"/>
        <v>5.72</v>
      </c>
    </row>
    <row r="22" spans="1:49" x14ac:dyDescent="0.25">
      <c r="A22" s="23">
        <v>43754</v>
      </c>
      <c r="B22" s="40">
        <v>190</v>
      </c>
      <c r="C22" s="24">
        <v>5615830</v>
      </c>
      <c r="D22" s="24">
        <v>11646110</v>
      </c>
      <c r="E22" s="24">
        <v>1412620</v>
      </c>
      <c r="F22" s="24">
        <v>2527630</v>
      </c>
      <c r="G22" s="24">
        <v>7632290</v>
      </c>
      <c r="H22" s="24">
        <v>3534430</v>
      </c>
      <c r="I22" s="24">
        <v>3575290</v>
      </c>
      <c r="J22" s="44">
        <v>3995100</v>
      </c>
      <c r="K22" s="24">
        <v>6567160</v>
      </c>
      <c r="L22" s="24">
        <v>2298400</v>
      </c>
      <c r="M22" s="24">
        <v>6147690</v>
      </c>
      <c r="N22" s="24">
        <v>8262220</v>
      </c>
      <c r="O22" s="44">
        <v>10629760</v>
      </c>
      <c r="Q22" s="37">
        <f t="shared" si="16"/>
        <v>10380</v>
      </c>
      <c r="R22" s="37">
        <f t="shared" si="17"/>
        <v>14870</v>
      </c>
      <c r="S22" s="37">
        <f t="shared" si="15"/>
        <v>190</v>
      </c>
      <c r="T22" s="37">
        <f t="shared" si="18"/>
        <v>1700</v>
      </c>
      <c r="U22" s="37">
        <f t="shared" si="19"/>
        <v>5420</v>
      </c>
      <c r="V22" s="37">
        <f t="shared" si="20"/>
        <v>4410</v>
      </c>
      <c r="W22" s="37">
        <f t="shared" si="21"/>
        <v>4010</v>
      </c>
      <c r="X22" s="37">
        <f t="shared" si="22"/>
        <v>5240</v>
      </c>
      <c r="Y22" s="37">
        <f t="shared" si="23"/>
        <v>6530</v>
      </c>
      <c r="Z22" s="37">
        <f t="shared" si="24"/>
        <v>2910</v>
      </c>
      <c r="AA22" s="37">
        <f t="shared" si="25"/>
        <v>3500</v>
      </c>
      <c r="AB22" s="37">
        <f t="shared" si="26"/>
        <v>7480</v>
      </c>
      <c r="AC22" s="37">
        <f t="shared" si="27"/>
        <v>11900</v>
      </c>
      <c r="AD22" s="35">
        <f t="shared" si="28"/>
        <v>78540</v>
      </c>
      <c r="AF22" s="20">
        <f t="shared" si="1"/>
        <v>51.9</v>
      </c>
      <c r="AG22" s="20">
        <f t="shared" si="2"/>
        <v>74.350000000000009</v>
      </c>
      <c r="AH22" s="20">
        <f t="shared" si="3"/>
        <v>0.95000000000000007</v>
      </c>
      <c r="AI22" s="20">
        <f t="shared" si="4"/>
        <v>8.5</v>
      </c>
      <c r="AJ22" s="20">
        <f t="shared" si="5"/>
        <v>27.1</v>
      </c>
      <c r="AK22" s="20">
        <f t="shared" si="6"/>
        <v>22.05</v>
      </c>
      <c r="AL22" s="20">
        <f t="shared" si="7"/>
        <v>20.05</v>
      </c>
      <c r="AM22" s="20">
        <f t="shared" si="8"/>
        <v>26.2</v>
      </c>
      <c r="AN22" s="20">
        <f t="shared" si="9"/>
        <v>32.65</v>
      </c>
      <c r="AO22" s="20">
        <f t="shared" si="10"/>
        <v>14.55</v>
      </c>
      <c r="AP22" s="20">
        <f t="shared" si="11"/>
        <v>17.5</v>
      </c>
      <c r="AQ22" s="20">
        <f t="shared" si="12"/>
        <v>37.4</v>
      </c>
      <c r="AR22" s="20">
        <f t="shared" si="13"/>
        <v>59.5</v>
      </c>
      <c r="AS22" s="35">
        <f t="shared" si="29"/>
        <v>392.7</v>
      </c>
      <c r="AU22" s="47">
        <v>575164</v>
      </c>
      <c r="AV22" s="37">
        <f t="shared" si="31"/>
        <v>2499</v>
      </c>
      <c r="AW22" s="35">
        <f t="shared" si="30"/>
        <v>4.9980000000000002</v>
      </c>
    </row>
    <row r="23" spans="1:49" x14ac:dyDescent="0.25">
      <c r="A23" s="23">
        <v>43755</v>
      </c>
      <c r="B23" s="40">
        <v>216</v>
      </c>
      <c r="C23" s="24">
        <v>5626090</v>
      </c>
      <c r="D23" s="24">
        <v>11660910</v>
      </c>
      <c r="E23" s="24">
        <v>1412790</v>
      </c>
      <c r="F23" s="24">
        <v>2529350</v>
      </c>
      <c r="G23" s="24">
        <v>7637760</v>
      </c>
      <c r="H23" s="24">
        <v>3538800</v>
      </c>
      <c r="I23" s="24">
        <v>3579340</v>
      </c>
      <c r="J23" s="24">
        <v>4000330</v>
      </c>
      <c r="K23" s="24">
        <v>6573660</v>
      </c>
      <c r="L23" s="24">
        <v>2301390</v>
      </c>
      <c r="M23" s="24">
        <v>6151380</v>
      </c>
      <c r="N23" s="24">
        <v>8269830</v>
      </c>
      <c r="O23" s="24">
        <v>10641900</v>
      </c>
      <c r="Q23" s="37">
        <f t="shared" si="16"/>
        <v>10260</v>
      </c>
      <c r="R23" s="37">
        <f t="shared" si="17"/>
        <v>14800</v>
      </c>
      <c r="S23" s="37">
        <f t="shared" si="15"/>
        <v>170</v>
      </c>
      <c r="T23" s="37">
        <f t="shared" si="18"/>
        <v>1720</v>
      </c>
      <c r="U23" s="37">
        <f t="shared" si="19"/>
        <v>5470</v>
      </c>
      <c r="V23" s="37">
        <f t="shared" si="20"/>
        <v>4370</v>
      </c>
      <c r="W23" s="37">
        <f t="shared" si="21"/>
        <v>4050</v>
      </c>
      <c r="X23" s="37">
        <f t="shared" si="22"/>
        <v>5230</v>
      </c>
      <c r="Y23" s="37">
        <f t="shared" si="23"/>
        <v>6500</v>
      </c>
      <c r="Z23" s="37">
        <f t="shared" si="24"/>
        <v>2990</v>
      </c>
      <c r="AA23" s="37">
        <f t="shared" si="25"/>
        <v>3690</v>
      </c>
      <c r="AB23" s="37">
        <f t="shared" si="26"/>
        <v>7610</v>
      </c>
      <c r="AC23" s="37">
        <f t="shared" si="27"/>
        <v>12140</v>
      </c>
      <c r="AD23" s="35">
        <f t="shared" si="28"/>
        <v>79000</v>
      </c>
      <c r="AF23" s="20">
        <f t="shared" si="1"/>
        <v>51.300000000000004</v>
      </c>
      <c r="AG23" s="20">
        <f t="shared" si="2"/>
        <v>74</v>
      </c>
      <c r="AH23" s="20">
        <f t="shared" si="3"/>
        <v>0.85</v>
      </c>
      <c r="AI23" s="20">
        <f t="shared" si="4"/>
        <v>8.6</v>
      </c>
      <c r="AJ23" s="20">
        <f t="shared" si="5"/>
        <v>27.35</v>
      </c>
      <c r="AK23" s="20">
        <f t="shared" si="6"/>
        <v>21.85</v>
      </c>
      <c r="AL23" s="20">
        <f t="shared" si="7"/>
        <v>20.25</v>
      </c>
      <c r="AM23" s="20">
        <f t="shared" si="8"/>
        <v>26.150000000000002</v>
      </c>
      <c r="AN23" s="20">
        <f t="shared" si="9"/>
        <v>32.5</v>
      </c>
      <c r="AO23" s="20">
        <f t="shared" si="10"/>
        <v>14.950000000000001</v>
      </c>
      <c r="AP23" s="20">
        <f t="shared" si="11"/>
        <v>18.45</v>
      </c>
      <c r="AQ23" s="20">
        <f t="shared" si="12"/>
        <v>38.050000000000004</v>
      </c>
      <c r="AR23" s="20">
        <f t="shared" si="13"/>
        <v>60.7</v>
      </c>
      <c r="AS23" s="35">
        <f t="shared" si="29"/>
        <v>395</v>
      </c>
      <c r="AU23" s="47">
        <v>577737</v>
      </c>
      <c r="AV23" s="37">
        <f t="shared" si="31"/>
        <v>2573</v>
      </c>
      <c r="AW23" s="35">
        <f t="shared" si="30"/>
        <v>5.1459999999999999</v>
      </c>
    </row>
    <row r="24" spans="1:49" x14ac:dyDescent="0.25">
      <c r="A24" s="23">
        <v>43756</v>
      </c>
      <c r="B24" s="40">
        <v>179</v>
      </c>
      <c r="C24" s="24">
        <v>5636070</v>
      </c>
      <c r="D24" s="24">
        <v>11675350</v>
      </c>
      <c r="E24" s="24">
        <v>1412960</v>
      </c>
      <c r="F24" s="24">
        <v>2531040</v>
      </c>
      <c r="G24" s="24">
        <v>7643310</v>
      </c>
      <c r="H24" s="24">
        <v>3543040</v>
      </c>
      <c r="I24" s="24">
        <v>3582610</v>
      </c>
      <c r="J24" s="24">
        <v>4005470</v>
      </c>
      <c r="K24" s="24">
        <v>6580030</v>
      </c>
      <c r="L24" s="24">
        <v>2304270</v>
      </c>
      <c r="M24" s="24">
        <v>6154860</v>
      </c>
      <c r="N24" s="24">
        <v>8277230</v>
      </c>
      <c r="O24" s="24">
        <v>10654870</v>
      </c>
      <c r="Q24" s="37">
        <f t="shared" si="16"/>
        <v>9980</v>
      </c>
      <c r="R24" s="37">
        <f t="shared" si="17"/>
        <v>14440</v>
      </c>
      <c r="S24" s="37">
        <f t="shared" si="15"/>
        <v>170</v>
      </c>
      <c r="T24" s="37">
        <f t="shared" si="18"/>
        <v>1690</v>
      </c>
      <c r="U24" s="37">
        <f t="shared" si="19"/>
        <v>5550</v>
      </c>
      <c r="V24" s="37">
        <f t="shared" si="20"/>
        <v>4240</v>
      </c>
      <c r="W24" s="37">
        <f t="shared" si="21"/>
        <v>3270</v>
      </c>
      <c r="X24" s="37">
        <f t="shared" si="22"/>
        <v>5140</v>
      </c>
      <c r="Y24" s="37">
        <f t="shared" si="23"/>
        <v>6370</v>
      </c>
      <c r="Z24" s="37">
        <f t="shared" si="24"/>
        <v>2880</v>
      </c>
      <c r="AA24" s="37">
        <f t="shared" si="25"/>
        <v>3480</v>
      </c>
      <c r="AB24" s="37">
        <f t="shared" si="26"/>
        <v>7400</v>
      </c>
      <c r="AC24" s="37">
        <f t="shared" si="27"/>
        <v>12970</v>
      </c>
      <c r="AD24" s="35">
        <f t="shared" si="28"/>
        <v>77580</v>
      </c>
      <c r="AF24" s="20">
        <f t="shared" si="1"/>
        <v>49.9</v>
      </c>
      <c r="AG24" s="20">
        <f t="shared" si="2"/>
        <v>72.2</v>
      </c>
      <c r="AH24" s="20">
        <f t="shared" si="3"/>
        <v>0.85</v>
      </c>
      <c r="AI24" s="20">
        <f t="shared" si="4"/>
        <v>8.4499999999999993</v>
      </c>
      <c r="AJ24" s="20">
        <f t="shared" si="5"/>
        <v>27.75</v>
      </c>
      <c r="AK24" s="20">
        <f t="shared" si="6"/>
        <v>21.2</v>
      </c>
      <c r="AL24" s="20">
        <f t="shared" si="7"/>
        <v>16.350000000000001</v>
      </c>
      <c r="AM24" s="20">
        <f t="shared" si="8"/>
        <v>25.7</v>
      </c>
      <c r="AN24" s="20">
        <f t="shared" si="9"/>
        <v>31.85</v>
      </c>
      <c r="AO24" s="20">
        <f t="shared" si="10"/>
        <v>14.4</v>
      </c>
      <c r="AP24" s="20">
        <f t="shared" si="11"/>
        <v>17.400000000000002</v>
      </c>
      <c r="AQ24" s="20">
        <f t="shared" si="12"/>
        <v>37</v>
      </c>
      <c r="AR24" s="20">
        <f t="shared" si="13"/>
        <v>64.849999999999994</v>
      </c>
      <c r="AS24" s="35">
        <f t="shared" si="29"/>
        <v>387.89999999999986</v>
      </c>
      <c r="AU24" s="47">
        <v>579740</v>
      </c>
      <c r="AV24" s="37">
        <f t="shared" si="31"/>
        <v>2003</v>
      </c>
      <c r="AW24" s="35">
        <f t="shared" si="30"/>
        <v>4.0060000000000002</v>
      </c>
    </row>
    <row r="25" spans="1:49" x14ac:dyDescent="0.25">
      <c r="A25" s="23">
        <v>43757</v>
      </c>
      <c r="B25" s="40">
        <v>83</v>
      </c>
      <c r="C25" s="24">
        <v>5646320</v>
      </c>
      <c r="D25" s="24">
        <v>11690070</v>
      </c>
      <c r="E25" s="24">
        <v>1413140</v>
      </c>
      <c r="F25" s="24">
        <v>2532730</v>
      </c>
      <c r="G25" s="24">
        <v>7648670</v>
      </c>
      <c r="H25" s="24">
        <v>3547380</v>
      </c>
      <c r="I25" s="24">
        <v>3586010</v>
      </c>
      <c r="J25" s="24">
        <v>4010440</v>
      </c>
      <c r="K25" s="24">
        <v>6586460</v>
      </c>
      <c r="L25" s="24">
        <v>2307070</v>
      </c>
      <c r="M25" s="24">
        <v>6158120</v>
      </c>
      <c r="N25" s="24">
        <v>8284690</v>
      </c>
      <c r="O25" s="24">
        <v>10667070</v>
      </c>
      <c r="Q25" s="37">
        <f t="shared" ref="Q25:AC27" si="32">IF((C25-C24&lt;0), "0",C25-C24)</f>
        <v>10250</v>
      </c>
      <c r="R25" s="37">
        <f t="shared" si="32"/>
        <v>14720</v>
      </c>
      <c r="S25" s="37">
        <f t="shared" si="32"/>
        <v>180</v>
      </c>
      <c r="T25" s="37">
        <f t="shared" si="32"/>
        <v>1690</v>
      </c>
      <c r="U25" s="37">
        <f t="shared" si="32"/>
        <v>5360</v>
      </c>
      <c r="V25" s="37">
        <f t="shared" si="32"/>
        <v>4340</v>
      </c>
      <c r="W25" s="37">
        <f t="shared" si="32"/>
        <v>3400</v>
      </c>
      <c r="X25" s="37">
        <f t="shared" si="32"/>
        <v>4970</v>
      </c>
      <c r="Y25" s="37">
        <f t="shared" si="32"/>
        <v>6430</v>
      </c>
      <c r="Z25" s="37">
        <f t="shared" si="32"/>
        <v>2800</v>
      </c>
      <c r="AA25" s="37">
        <f t="shared" si="32"/>
        <v>3260</v>
      </c>
      <c r="AB25" s="37">
        <f t="shared" si="32"/>
        <v>7460</v>
      </c>
      <c r="AC25" s="37">
        <f t="shared" si="32"/>
        <v>12200</v>
      </c>
      <c r="AD25" s="35">
        <f t="shared" si="28"/>
        <v>77060</v>
      </c>
      <c r="AF25" s="20">
        <f t="shared" si="1"/>
        <v>51.25</v>
      </c>
      <c r="AG25" s="20">
        <f t="shared" si="2"/>
        <v>73.600000000000009</v>
      </c>
      <c r="AH25" s="20">
        <f t="shared" si="3"/>
        <v>0.9</v>
      </c>
      <c r="AI25" s="20">
        <f t="shared" si="4"/>
        <v>8.4499999999999993</v>
      </c>
      <c r="AJ25" s="20">
        <f t="shared" si="5"/>
        <v>26.8</v>
      </c>
      <c r="AK25" s="20">
        <f t="shared" si="6"/>
        <v>21.7</v>
      </c>
      <c r="AL25" s="20">
        <f t="shared" si="7"/>
        <v>17</v>
      </c>
      <c r="AM25" s="20">
        <f t="shared" si="8"/>
        <v>24.85</v>
      </c>
      <c r="AN25" s="20">
        <f t="shared" si="9"/>
        <v>32.15</v>
      </c>
      <c r="AO25" s="20">
        <f t="shared" si="10"/>
        <v>14</v>
      </c>
      <c r="AP25" s="20">
        <f t="shared" si="11"/>
        <v>16.3</v>
      </c>
      <c r="AQ25" s="20">
        <f t="shared" si="12"/>
        <v>37.300000000000004</v>
      </c>
      <c r="AR25" s="20">
        <f t="shared" si="13"/>
        <v>61</v>
      </c>
      <c r="AS25" s="35">
        <f t="shared" si="29"/>
        <v>385.3</v>
      </c>
      <c r="AU25" s="47">
        <v>581854</v>
      </c>
      <c r="AV25" s="37">
        <f t="shared" si="31"/>
        <v>2114</v>
      </c>
      <c r="AW25" s="35">
        <f t="shared" si="30"/>
        <v>4.2279999999999998</v>
      </c>
    </row>
    <row r="26" spans="1:49" x14ac:dyDescent="0.25">
      <c r="A26" s="23">
        <v>43758</v>
      </c>
      <c r="B26" s="40">
        <v>100</v>
      </c>
      <c r="C26" s="24">
        <v>5656380</v>
      </c>
      <c r="D26" s="24">
        <v>11704510</v>
      </c>
      <c r="E26" s="24">
        <v>1413320</v>
      </c>
      <c r="F26" s="24">
        <v>2534390</v>
      </c>
      <c r="G26" s="24">
        <v>7653610</v>
      </c>
      <c r="H26" s="24">
        <v>3551570</v>
      </c>
      <c r="I26" s="24">
        <v>3589080</v>
      </c>
      <c r="J26" s="24">
        <v>4015280</v>
      </c>
      <c r="K26" s="24">
        <v>6592540</v>
      </c>
      <c r="L26" s="24">
        <v>2309660</v>
      </c>
      <c r="M26" s="24">
        <v>6161310</v>
      </c>
      <c r="N26" s="24">
        <v>8292000</v>
      </c>
      <c r="O26" s="24">
        <v>10679600</v>
      </c>
      <c r="Q26" s="37">
        <f t="shared" si="32"/>
        <v>10060</v>
      </c>
      <c r="R26" s="37">
        <f t="shared" si="32"/>
        <v>14440</v>
      </c>
      <c r="S26" s="37">
        <f t="shared" si="32"/>
        <v>180</v>
      </c>
      <c r="T26" s="37">
        <f t="shared" si="32"/>
        <v>1660</v>
      </c>
      <c r="U26" s="37">
        <f t="shared" si="32"/>
        <v>4940</v>
      </c>
      <c r="V26" s="37">
        <f t="shared" si="32"/>
        <v>4190</v>
      </c>
      <c r="W26" s="37">
        <f t="shared" si="32"/>
        <v>3070</v>
      </c>
      <c r="X26" s="37">
        <f t="shared" si="32"/>
        <v>4840</v>
      </c>
      <c r="Y26" s="37">
        <f t="shared" si="32"/>
        <v>6080</v>
      </c>
      <c r="Z26" s="37">
        <f t="shared" si="32"/>
        <v>2590</v>
      </c>
      <c r="AA26" s="37">
        <f t="shared" si="32"/>
        <v>3190</v>
      </c>
      <c r="AB26" s="37">
        <f t="shared" si="32"/>
        <v>7310</v>
      </c>
      <c r="AC26" s="37">
        <f t="shared" si="32"/>
        <v>12530</v>
      </c>
      <c r="AD26" s="35">
        <f t="shared" si="28"/>
        <v>75080</v>
      </c>
      <c r="AF26" s="20">
        <f t="shared" si="1"/>
        <v>50.300000000000004</v>
      </c>
      <c r="AG26" s="20">
        <f t="shared" si="2"/>
        <v>72.2</v>
      </c>
      <c r="AH26" s="20">
        <f t="shared" si="3"/>
        <v>0.9</v>
      </c>
      <c r="AI26" s="20">
        <f t="shared" si="4"/>
        <v>8.3000000000000007</v>
      </c>
      <c r="AJ26" s="20">
        <f t="shared" si="5"/>
        <v>24.7</v>
      </c>
      <c r="AK26" s="20">
        <f t="shared" si="6"/>
        <v>20.95</v>
      </c>
      <c r="AL26" s="20">
        <f t="shared" si="7"/>
        <v>15.35</v>
      </c>
      <c r="AM26" s="20">
        <f t="shared" si="8"/>
        <v>24.2</v>
      </c>
      <c r="AN26" s="20">
        <f t="shared" si="9"/>
        <v>30.400000000000002</v>
      </c>
      <c r="AO26" s="20">
        <f t="shared" si="10"/>
        <v>12.950000000000001</v>
      </c>
      <c r="AP26" s="20">
        <f t="shared" si="11"/>
        <v>15.950000000000001</v>
      </c>
      <c r="AQ26" s="20">
        <f t="shared" si="12"/>
        <v>36.550000000000004</v>
      </c>
      <c r="AR26" s="20">
        <f t="shared" si="13"/>
        <v>62.65</v>
      </c>
      <c r="AS26" s="35">
        <f t="shared" si="29"/>
        <v>375.4</v>
      </c>
      <c r="AU26" s="47">
        <v>584152</v>
      </c>
      <c r="AV26" s="37">
        <f t="shared" si="31"/>
        <v>2298</v>
      </c>
      <c r="AW26" s="35">
        <f t="shared" si="30"/>
        <v>4.5960000000000001</v>
      </c>
    </row>
    <row r="27" spans="1:49" x14ac:dyDescent="0.25">
      <c r="A27" s="23">
        <v>43759</v>
      </c>
      <c r="B27" s="40">
        <v>115</v>
      </c>
      <c r="C27" s="24">
        <v>5667020</v>
      </c>
      <c r="D27" s="24">
        <v>11719520</v>
      </c>
      <c r="E27" s="24">
        <v>1413570</v>
      </c>
      <c r="F27" s="24">
        <v>2536040</v>
      </c>
      <c r="G27" s="24">
        <v>7658510</v>
      </c>
      <c r="H27" s="24">
        <v>3555790</v>
      </c>
      <c r="I27" s="24">
        <v>3592140</v>
      </c>
      <c r="J27" s="24">
        <v>4020150</v>
      </c>
      <c r="K27" s="24">
        <v>6598810</v>
      </c>
      <c r="L27" s="24">
        <v>2312190</v>
      </c>
      <c r="M27" s="24">
        <v>6164300</v>
      </c>
      <c r="N27" s="24">
        <v>8299430</v>
      </c>
      <c r="O27" s="24">
        <v>10691910</v>
      </c>
      <c r="Q27" s="37">
        <f t="shared" si="32"/>
        <v>10640</v>
      </c>
      <c r="R27" s="37">
        <f t="shared" si="32"/>
        <v>15010</v>
      </c>
      <c r="S27" s="37">
        <f t="shared" si="32"/>
        <v>250</v>
      </c>
      <c r="T27" s="37">
        <f t="shared" si="32"/>
        <v>1650</v>
      </c>
      <c r="U27" s="37">
        <f t="shared" si="32"/>
        <v>4900</v>
      </c>
      <c r="V27" s="37">
        <f t="shared" si="32"/>
        <v>4220</v>
      </c>
      <c r="W27" s="37">
        <f t="shared" si="32"/>
        <v>3060</v>
      </c>
      <c r="X27" s="37">
        <f t="shared" si="32"/>
        <v>4870</v>
      </c>
      <c r="Y27" s="37">
        <f t="shared" si="32"/>
        <v>6270</v>
      </c>
      <c r="Z27" s="37">
        <f t="shared" si="32"/>
        <v>2530</v>
      </c>
      <c r="AA27" s="37">
        <f t="shared" si="32"/>
        <v>2990</v>
      </c>
      <c r="AB27" s="37">
        <f t="shared" si="32"/>
        <v>7430</v>
      </c>
      <c r="AC27" s="37">
        <f t="shared" si="32"/>
        <v>12310</v>
      </c>
      <c r="AD27" s="35">
        <f t="shared" si="28"/>
        <v>76130</v>
      </c>
      <c r="AF27" s="20">
        <f t="shared" si="1"/>
        <v>53.2</v>
      </c>
      <c r="AG27" s="20">
        <f t="shared" si="2"/>
        <v>75.05</v>
      </c>
      <c r="AH27" s="20">
        <f t="shared" si="3"/>
        <v>1.25</v>
      </c>
      <c r="AI27" s="20">
        <f t="shared" si="4"/>
        <v>8.25</v>
      </c>
      <c r="AJ27" s="20">
        <f t="shared" si="5"/>
        <v>24.5</v>
      </c>
      <c r="AK27" s="20">
        <f t="shared" si="6"/>
        <v>21.1</v>
      </c>
      <c r="AL27" s="20">
        <f t="shared" si="7"/>
        <v>15.3</v>
      </c>
      <c r="AM27" s="20">
        <f t="shared" si="8"/>
        <v>24.35</v>
      </c>
      <c r="AN27" s="20">
        <f t="shared" si="9"/>
        <v>31.35</v>
      </c>
      <c r="AO27" s="20">
        <f t="shared" si="10"/>
        <v>12.65</v>
      </c>
      <c r="AP27" s="20">
        <f t="shared" si="11"/>
        <v>14.950000000000001</v>
      </c>
      <c r="AQ27" s="20">
        <f t="shared" si="12"/>
        <v>37.15</v>
      </c>
      <c r="AR27" s="20">
        <f t="shared" si="13"/>
        <v>61.550000000000004</v>
      </c>
      <c r="AS27" s="35">
        <f t="shared" si="29"/>
        <v>380.65</v>
      </c>
      <c r="AU27" s="47">
        <v>586574</v>
      </c>
      <c r="AV27" s="37">
        <f>IF((AU27-AU26&lt;0),"0",AU27-AU26)</f>
        <v>2422</v>
      </c>
      <c r="AW27" s="35">
        <f t="shared" si="30"/>
        <v>4.8440000000000003</v>
      </c>
    </row>
    <row r="28" spans="1:49" x14ac:dyDescent="0.25">
      <c r="A28" s="23">
        <v>43760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6"/>
        <v>0</v>
      </c>
      <c r="R28" s="37" t="str">
        <f t="shared" si="17"/>
        <v>0</v>
      </c>
      <c r="S28" s="37" t="str">
        <f t="shared" si="15"/>
        <v>0</v>
      </c>
      <c r="T28" s="37" t="str">
        <f t="shared" si="18"/>
        <v>0</v>
      </c>
      <c r="U28" s="37" t="str">
        <f t="shared" si="19"/>
        <v>0</v>
      </c>
      <c r="V28" s="37" t="str">
        <f t="shared" si="20"/>
        <v>0</v>
      </c>
      <c r="W28" s="37" t="str">
        <f t="shared" si="21"/>
        <v>0</v>
      </c>
      <c r="X28" s="37" t="str">
        <f t="shared" si="22"/>
        <v>0</v>
      </c>
      <c r="Y28" s="37" t="str">
        <f t="shared" si="23"/>
        <v>0</v>
      </c>
      <c r="Z28" s="37" t="str">
        <f t="shared" si="24"/>
        <v>0</v>
      </c>
      <c r="AA28" s="37" t="str">
        <f t="shared" si="25"/>
        <v>0</v>
      </c>
      <c r="AB28" s="37" t="str">
        <f t="shared" si="26"/>
        <v>0</v>
      </c>
      <c r="AC28" s="37" t="str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 t="str">
        <f>IF((AU28-AU27&lt;0),"0",AU28-AU27)</f>
        <v>0</v>
      </c>
      <c r="AW28" s="35">
        <f t="shared" si="30"/>
        <v>0</v>
      </c>
    </row>
    <row r="29" spans="1:49" x14ac:dyDescent="0.25">
      <c r="A29" s="23">
        <v>43761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43762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43763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43764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43765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43766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43767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43768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V36" s="37">
        <f t="shared" si="33"/>
        <v>0</v>
      </c>
      <c r="AW36" s="35">
        <f t="shared" si="30"/>
        <v>0</v>
      </c>
    </row>
    <row r="37" spans="1:49" x14ac:dyDescent="0.25">
      <c r="A37" s="23">
        <v>43769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225490</v>
      </c>
      <c r="R38" s="30">
        <f t="shared" si="35"/>
        <v>313910</v>
      </c>
      <c r="S38" s="30">
        <f t="shared" si="35"/>
        <v>21580</v>
      </c>
      <c r="T38" s="30">
        <f t="shared" si="35"/>
        <v>84850</v>
      </c>
      <c r="U38" s="30">
        <f t="shared" si="35"/>
        <v>110110</v>
      </c>
      <c r="V38" s="30">
        <f t="shared" si="35"/>
        <v>90680</v>
      </c>
      <c r="W38" s="30">
        <f t="shared" si="35"/>
        <v>72080</v>
      </c>
      <c r="X38" s="30">
        <f t="shared" si="35"/>
        <v>104300</v>
      </c>
      <c r="Y38" s="30">
        <f t="shared" si="35"/>
        <v>130560</v>
      </c>
      <c r="Z38" s="30">
        <f t="shared" si="35"/>
        <v>60600</v>
      </c>
      <c r="AA38" s="30">
        <f t="shared" si="35"/>
        <v>70900</v>
      </c>
      <c r="AB38" s="30">
        <f t="shared" si="35"/>
        <v>157320</v>
      </c>
      <c r="AC38" s="30">
        <f t="shared" si="35"/>
        <v>257750</v>
      </c>
      <c r="AD38" s="35">
        <f t="shared" si="35"/>
        <v>1700130</v>
      </c>
      <c r="AF38" s="35">
        <f t="shared" ref="AF38:AS38" si="36">SUM(AF7:AF34)</f>
        <v>1127.4499999999998</v>
      </c>
      <c r="AG38" s="35">
        <f t="shared" si="36"/>
        <v>1569.55</v>
      </c>
      <c r="AH38" s="35">
        <f t="shared" si="36"/>
        <v>107.89999999999999</v>
      </c>
      <c r="AI38" s="35">
        <f t="shared" si="36"/>
        <v>424.25</v>
      </c>
      <c r="AJ38" s="35">
        <f t="shared" si="36"/>
        <v>550.55000000000007</v>
      </c>
      <c r="AK38" s="35">
        <f t="shared" si="36"/>
        <v>453.40000000000003</v>
      </c>
      <c r="AL38" s="35">
        <f t="shared" si="36"/>
        <v>360.40000000000009</v>
      </c>
      <c r="AM38" s="35">
        <f t="shared" si="36"/>
        <v>521.49999999999989</v>
      </c>
      <c r="AN38" s="35">
        <f t="shared" si="36"/>
        <v>652.79999999999995</v>
      </c>
      <c r="AO38" s="35">
        <f t="shared" si="36"/>
        <v>303</v>
      </c>
      <c r="AP38" s="35">
        <f t="shared" si="36"/>
        <v>354.5</v>
      </c>
      <c r="AQ38" s="35">
        <f t="shared" si="36"/>
        <v>786.5999999999998</v>
      </c>
      <c r="AR38" s="35">
        <f t="shared" si="36"/>
        <v>1288.75</v>
      </c>
      <c r="AS38" s="35">
        <f t="shared" si="36"/>
        <v>8500.65</v>
      </c>
      <c r="AU38" s="48"/>
      <c r="AV38" s="35">
        <f>SUM(AV7:AV34)</f>
        <v>52634</v>
      </c>
      <c r="AW38" s="35">
        <f>SUM(AW7:AW34)</f>
        <v>94.335999999999999</v>
      </c>
    </row>
    <row r="39" spans="1:49" x14ac:dyDescent="0.25">
      <c r="D39">
        <v>5.0000000000000001E-3</v>
      </c>
      <c r="AV39" s="36">
        <f>AV38*0.00378541*1000</f>
        <v>199241.26994</v>
      </c>
    </row>
    <row r="40" spans="1:49" x14ac:dyDescent="0.25">
      <c r="D40">
        <v>2E-3</v>
      </c>
      <c r="AV40">
        <f>AV39/31</f>
        <v>6427.1377400000001</v>
      </c>
    </row>
    <row r="41" spans="1:49" x14ac:dyDescent="0.25">
      <c r="AV41">
        <f>AV38*0.00378541</f>
        <v>199.24126994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2019-10-22T06:43:47Z</dcterms:modified>
</cp:coreProperties>
</file>