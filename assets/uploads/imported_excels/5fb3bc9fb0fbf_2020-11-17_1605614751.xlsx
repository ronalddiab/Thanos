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m.wuebben\OneDrive - Four Seasons Hotels Limited\Utilities\HEP\"/>
    </mc:Choice>
  </mc:AlternateContent>
  <bookViews>
    <workbookView xWindow="0" yWindow="0" windowWidth="28800" windowHeight="12300" activeTab="9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56" i="5" l="1"/>
  <c r="AN56" i="5"/>
  <c r="AO56" i="5"/>
  <c r="AP56" i="5" s="1"/>
  <c r="H56" i="5"/>
  <c r="E56" i="5"/>
  <c r="BF51" i="6" l="1"/>
  <c r="BF52" i="6"/>
  <c r="BF53" i="6"/>
  <c r="BF54" i="6"/>
  <c r="BF55" i="6"/>
  <c r="BD51" i="6"/>
  <c r="BD52" i="6"/>
  <c r="BD53" i="6"/>
  <c r="BD54" i="6"/>
  <c r="BD55" i="6"/>
  <c r="BB51" i="6"/>
  <c r="BB52" i="6"/>
  <c r="BB53" i="6"/>
  <c r="BB54" i="6"/>
  <c r="BB55" i="6"/>
  <c r="AZ51" i="6"/>
  <c r="AZ52" i="6"/>
  <c r="AZ53" i="6"/>
  <c r="AZ54" i="6"/>
  <c r="AZ55" i="6"/>
  <c r="AY51" i="6"/>
  <c r="AY52" i="6"/>
  <c r="AY53" i="6"/>
  <c r="AY54" i="6"/>
  <c r="AY55" i="6"/>
  <c r="AW51" i="6"/>
  <c r="AW52" i="6"/>
  <c r="AW53" i="6"/>
  <c r="AW54" i="6"/>
  <c r="AW55" i="6"/>
  <c r="AT51" i="6"/>
  <c r="AT52" i="6"/>
  <c r="AT53" i="6"/>
  <c r="AT54" i="6"/>
  <c r="AT55" i="6"/>
  <c r="AP51" i="6"/>
  <c r="AP52" i="6"/>
  <c r="AP53" i="6"/>
  <c r="AP54" i="6"/>
  <c r="AP55" i="6"/>
  <c r="AN51" i="6"/>
  <c r="AN52" i="6"/>
  <c r="AN53" i="6"/>
  <c r="AN54" i="6"/>
  <c r="AN55" i="6"/>
  <c r="AL51" i="6"/>
  <c r="AL52" i="6"/>
  <c r="AL53" i="6"/>
  <c r="AL54" i="6"/>
  <c r="AL55" i="6"/>
  <c r="AJ51" i="6"/>
  <c r="AJ52" i="6"/>
  <c r="AJ53" i="6"/>
  <c r="AJ54" i="6"/>
  <c r="AJ55" i="6"/>
  <c r="AH51" i="6"/>
  <c r="AH52" i="6"/>
  <c r="AH53" i="6"/>
  <c r="AH54" i="6"/>
  <c r="AH55" i="6"/>
  <c r="AF51" i="6"/>
  <c r="AF52" i="6"/>
  <c r="AF53" i="6"/>
  <c r="AF54" i="6"/>
  <c r="AF55" i="6"/>
  <c r="AD51" i="6"/>
  <c r="AD52" i="6"/>
  <c r="AD53" i="6"/>
  <c r="AD54" i="6"/>
  <c r="AD55" i="6"/>
  <c r="AB51" i="6"/>
  <c r="AB52" i="6"/>
  <c r="AB53" i="6"/>
  <c r="AB54" i="6"/>
  <c r="AB55" i="6"/>
  <c r="Y51" i="6"/>
  <c r="Y52" i="6"/>
  <c r="Y53" i="6"/>
  <c r="Y54" i="6"/>
  <c r="Y55" i="6"/>
  <c r="X51" i="6"/>
  <c r="X52" i="6"/>
  <c r="X53" i="6"/>
  <c r="X54" i="6"/>
  <c r="X55" i="6"/>
  <c r="U51" i="6"/>
  <c r="U52" i="6"/>
  <c r="U53" i="6"/>
  <c r="U54" i="6"/>
  <c r="U55" i="6"/>
  <c r="Q51" i="6"/>
  <c r="Q52" i="6"/>
  <c r="Q53" i="6"/>
  <c r="Q54" i="6"/>
  <c r="Q55" i="6"/>
  <c r="N51" i="6"/>
  <c r="N52" i="6"/>
  <c r="N53" i="6"/>
  <c r="N54" i="6"/>
  <c r="N55" i="6"/>
  <c r="K51" i="6"/>
  <c r="K52" i="6"/>
  <c r="K53" i="6"/>
  <c r="K54" i="6"/>
  <c r="K55" i="6"/>
  <c r="H51" i="6"/>
  <c r="H52" i="6"/>
  <c r="H53" i="6"/>
  <c r="H54" i="6"/>
  <c r="H55" i="6"/>
  <c r="E51" i="6"/>
  <c r="E52" i="6"/>
  <c r="E53" i="6"/>
  <c r="E54" i="6"/>
  <c r="E55" i="6"/>
  <c r="BD54" i="5"/>
  <c r="BD55" i="5"/>
  <c r="E52" i="5"/>
  <c r="E53" i="5"/>
  <c r="E54" i="5"/>
  <c r="E55" i="5"/>
  <c r="H52" i="5"/>
  <c r="H53" i="5"/>
  <c r="AN53" i="5" s="1"/>
  <c r="H54" i="5"/>
  <c r="H55" i="5"/>
  <c r="K52" i="5"/>
  <c r="K53" i="5"/>
  <c r="K54" i="5"/>
  <c r="K55" i="5"/>
  <c r="N52" i="5"/>
  <c r="N53" i="5"/>
  <c r="N54" i="5"/>
  <c r="N55" i="5"/>
  <c r="Q52" i="5"/>
  <c r="Q53" i="5"/>
  <c r="Q54" i="5"/>
  <c r="Q55" i="5"/>
  <c r="T52" i="5"/>
  <c r="T53" i="5"/>
  <c r="T54" i="5"/>
  <c r="T55" i="5"/>
  <c r="W52" i="5"/>
  <c r="W53" i="5"/>
  <c r="W54" i="5"/>
  <c r="W55" i="5"/>
  <c r="AN52" i="5"/>
  <c r="Z52" i="5"/>
  <c r="Z53" i="5"/>
  <c r="Z54" i="5"/>
  <c r="Z55" i="5"/>
  <c r="AC52" i="5"/>
  <c r="AC53" i="5"/>
  <c r="AC54" i="5"/>
  <c r="AC55" i="5"/>
  <c r="AF52" i="5"/>
  <c r="AF53" i="5"/>
  <c r="AF54" i="5"/>
  <c r="AN54" i="5" s="1"/>
  <c r="AF55" i="5"/>
  <c r="AI52" i="5"/>
  <c r="AI53" i="5"/>
  <c r="AI54" i="5"/>
  <c r="AI55" i="5"/>
  <c r="AO52" i="5"/>
  <c r="AO53" i="5"/>
  <c r="AO54" i="5"/>
  <c r="AK52" i="5"/>
  <c r="AK53" i="5"/>
  <c r="AK54" i="5"/>
  <c r="AK55" i="5"/>
  <c r="BA52" i="5"/>
  <c r="BA53" i="5"/>
  <c r="BA54" i="5"/>
  <c r="BA55" i="5"/>
  <c r="AY52" i="5"/>
  <c r="AY53" i="5"/>
  <c r="AY54" i="5"/>
  <c r="AY55" i="5"/>
  <c r="AW52" i="5"/>
  <c r="AW53" i="5"/>
  <c r="AW54" i="5"/>
  <c r="AW55" i="5"/>
  <c r="AU52" i="5"/>
  <c r="AU53" i="5"/>
  <c r="AU54" i="5"/>
  <c r="AU55" i="5"/>
  <c r="AN55" i="5" l="1"/>
  <c r="AO55" i="5"/>
  <c r="AP54" i="5"/>
  <c r="AP53" i="5"/>
  <c r="AP52" i="5"/>
  <c r="BD53" i="5"/>
  <c r="AP55" i="5" l="1"/>
  <c r="BD52" i="5"/>
  <c r="BE53" i="5" s="1"/>
  <c r="AQ53" i="5"/>
  <c r="BF53" i="5" l="1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F45" i="6" l="1"/>
  <c r="BF46" i="6"/>
  <c r="BA44" i="3" s="1"/>
  <c r="BF47" i="6"/>
  <c r="BA45" i="3" s="1"/>
  <c r="BF48" i="6"/>
  <c r="BA46" i="3" s="1"/>
  <c r="BF49" i="6"/>
  <c r="BF50" i="6"/>
  <c r="BA49" i="3"/>
  <c r="BD45" i="6"/>
  <c r="AZ43" i="3" s="1"/>
  <c r="BD46" i="6"/>
  <c r="BD47" i="6"/>
  <c r="BD48" i="6"/>
  <c r="AZ46" i="3" s="1"/>
  <c r="BD49" i="6"/>
  <c r="AZ47" i="3" s="1"/>
  <c r="BD50" i="6"/>
  <c r="BB45" i="6"/>
  <c r="AY43" i="3" s="1"/>
  <c r="BB46" i="6"/>
  <c r="AY44" i="3" s="1"/>
  <c r="BB47" i="6"/>
  <c r="BB48" i="6"/>
  <c r="AY46" i="3" s="1"/>
  <c r="BB49" i="6"/>
  <c r="AY47" i="3" s="1"/>
  <c r="BB50" i="6"/>
  <c r="AY48" i="3" s="1"/>
  <c r="AY45" i="6"/>
  <c r="AY46" i="6"/>
  <c r="AW44" i="3" s="1"/>
  <c r="AY47" i="6"/>
  <c r="AY48" i="6"/>
  <c r="AY49" i="6"/>
  <c r="AY50" i="6"/>
  <c r="AW48" i="3" s="1"/>
  <c r="AW49" i="3"/>
  <c r="AW45" i="6"/>
  <c r="AV43" i="3" s="1"/>
  <c r="AW46" i="6"/>
  <c r="AW47" i="6"/>
  <c r="AZ47" i="6" s="1"/>
  <c r="AX45" i="3" s="1"/>
  <c r="AW48" i="6"/>
  <c r="AV46" i="3" s="1"/>
  <c r="AW49" i="6"/>
  <c r="AV47" i="3" s="1"/>
  <c r="AW50" i="6"/>
  <c r="AZ50" i="6" s="1"/>
  <c r="AX48" i="3" s="1"/>
  <c r="AX49" i="3"/>
  <c r="AT45" i="6"/>
  <c r="AU43" i="3" s="1"/>
  <c r="AT46" i="6"/>
  <c r="AT47" i="6"/>
  <c r="AT48" i="6"/>
  <c r="AU46" i="3" s="1"/>
  <c r="AT49" i="6"/>
  <c r="AU47" i="3" s="1"/>
  <c r="AT50" i="6"/>
  <c r="AP45" i="6"/>
  <c r="AP46" i="6"/>
  <c r="AT44" i="3" s="1"/>
  <c r="AP47" i="6"/>
  <c r="AT45" i="3" s="1"/>
  <c r="AP48" i="6"/>
  <c r="AP49" i="6"/>
  <c r="AP50" i="6"/>
  <c r="AT48" i="3" s="1"/>
  <c r="AN45" i="6"/>
  <c r="AN46" i="6"/>
  <c r="AS44" i="3" s="1"/>
  <c r="AN47" i="6"/>
  <c r="AS45" i="3" s="1"/>
  <c r="AN48" i="6"/>
  <c r="AN49" i="6"/>
  <c r="AN50" i="6"/>
  <c r="AS48" i="3" s="1"/>
  <c r="AS49" i="3"/>
  <c r="AL45" i="6"/>
  <c r="AR43" i="3" s="1"/>
  <c r="AL46" i="6"/>
  <c r="AL47" i="6"/>
  <c r="AL48" i="6"/>
  <c r="AL49" i="6"/>
  <c r="AR47" i="3" s="1"/>
  <c r="AL50" i="6"/>
  <c r="AR49" i="3"/>
  <c r="AJ45" i="6"/>
  <c r="AQ43" i="3" s="1"/>
  <c r="AJ46" i="6"/>
  <c r="AQ44" i="3" s="1"/>
  <c r="AJ47" i="6"/>
  <c r="AJ48" i="6"/>
  <c r="AQ46" i="3" s="1"/>
  <c r="AJ49" i="6"/>
  <c r="AQ47" i="3" s="1"/>
  <c r="AJ50" i="6"/>
  <c r="AH45" i="6"/>
  <c r="AP43" i="3" s="1"/>
  <c r="AH46" i="6"/>
  <c r="AH47" i="6"/>
  <c r="AP45" i="3" s="1"/>
  <c r="AH48" i="6"/>
  <c r="AH49" i="6"/>
  <c r="AP47" i="3" s="1"/>
  <c r="AH50" i="6"/>
  <c r="AP48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O49" i="3"/>
  <c r="AD45" i="6"/>
  <c r="AN43" i="3" s="1"/>
  <c r="AD46" i="6"/>
  <c r="AD47" i="6"/>
  <c r="AN45" i="3" s="1"/>
  <c r="AD48" i="6"/>
  <c r="AN46" i="3" s="1"/>
  <c r="AD49" i="6"/>
  <c r="AN47" i="3" s="1"/>
  <c r="AD50" i="6"/>
  <c r="AN48" i="3" s="1"/>
  <c r="AN49" i="3"/>
  <c r="AB45" i="6"/>
  <c r="AB46" i="6"/>
  <c r="AB47" i="6"/>
  <c r="AM45" i="3" s="1"/>
  <c r="AB48" i="6"/>
  <c r="AM46" i="3" s="1"/>
  <c r="AB49" i="6"/>
  <c r="AB50" i="6"/>
  <c r="AM49" i="3"/>
  <c r="X45" i="6"/>
  <c r="X46" i="6"/>
  <c r="AL44" i="3" s="1"/>
  <c r="X47" i="6"/>
  <c r="AL45" i="3" s="1"/>
  <c r="X48" i="6"/>
  <c r="X49" i="6"/>
  <c r="AL47" i="3" s="1"/>
  <c r="X50" i="6"/>
  <c r="AL48" i="3" s="1"/>
  <c r="U45" i="6"/>
  <c r="U46" i="6"/>
  <c r="AK44" i="3" s="1"/>
  <c r="U47" i="6"/>
  <c r="U48" i="6"/>
  <c r="U49" i="6"/>
  <c r="AK47" i="3" s="1"/>
  <c r="U50" i="6"/>
  <c r="AR61" i="6"/>
  <c r="AR62" i="6" s="1"/>
  <c r="AR63" i="6" s="1"/>
  <c r="AR55" i="6"/>
  <c r="AR56" i="6" s="1"/>
  <c r="AR57" i="6" s="1"/>
  <c r="AR58" i="6" s="1"/>
  <c r="AR50" i="6"/>
  <c r="AR51" i="6" s="1"/>
  <c r="AR45" i="6"/>
  <c r="AR46" i="6" s="1"/>
  <c r="AR47" i="6" s="1"/>
  <c r="Q45" i="6"/>
  <c r="AJ43" i="3" s="1"/>
  <c r="Q46" i="6"/>
  <c r="AJ44" i="3" s="1"/>
  <c r="Q47" i="6"/>
  <c r="Q48" i="6"/>
  <c r="Q49" i="6"/>
  <c r="AJ47" i="3" s="1"/>
  <c r="Q50" i="6"/>
  <c r="N45" i="6"/>
  <c r="N46" i="6"/>
  <c r="N47" i="6"/>
  <c r="AI45" i="3" s="1"/>
  <c r="N48" i="6"/>
  <c r="AI46" i="3" s="1"/>
  <c r="N49" i="6"/>
  <c r="N50" i="6"/>
  <c r="AI49" i="3"/>
  <c r="K45" i="6"/>
  <c r="AH43" i="3" s="1"/>
  <c r="K46" i="6"/>
  <c r="K47" i="6"/>
  <c r="AH45" i="3" s="1"/>
  <c r="K48" i="6"/>
  <c r="AH46" i="3" s="1"/>
  <c r="K49" i="6"/>
  <c r="K50" i="6"/>
  <c r="H45" i="6"/>
  <c r="AG43" i="3" s="1"/>
  <c r="H46" i="6"/>
  <c r="AG44" i="3" s="1"/>
  <c r="H47" i="6"/>
  <c r="H48" i="6"/>
  <c r="AG46" i="3" s="1"/>
  <c r="H49" i="6"/>
  <c r="AG47" i="3" s="1"/>
  <c r="H50" i="6"/>
  <c r="AG48" i="3" s="1"/>
  <c r="E45" i="6"/>
  <c r="AF43" i="3" s="1"/>
  <c r="E46" i="6"/>
  <c r="AF44" i="3" s="1"/>
  <c r="E47" i="6"/>
  <c r="AF45" i="3" s="1"/>
  <c r="E48" i="6"/>
  <c r="E49" i="6"/>
  <c r="AF47" i="3" s="1"/>
  <c r="E50" i="6"/>
  <c r="AF48" i="3" s="1"/>
  <c r="BA45" i="5"/>
  <c r="BA46" i="5"/>
  <c r="AE44" i="3" s="1"/>
  <c r="BA47" i="5"/>
  <c r="AE45" i="3" s="1"/>
  <c r="BA48" i="5"/>
  <c r="AE46" i="3" s="1"/>
  <c r="BA49" i="5"/>
  <c r="AE47" i="3" s="1"/>
  <c r="BA50" i="5"/>
  <c r="AE48" i="3" s="1"/>
  <c r="BA51" i="5"/>
  <c r="AE49" i="3" s="1"/>
  <c r="AY45" i="5"/>
  <c r="AD43" i="3" s="1"/>
  <c r="AY46" i="5"/>
  <c r="AY47" i="5"/>
  <c r="AD45" i="3" s="1"/>
  <c r="AY48" i="5"/>
  <c r="AD46" i="3" s="1"/>
  <c r="AY49" i="5"/>
  <c r="AD47" i="3" s="1"/>
  <c r="AY50" i="5"/>
  <c r="AD48" i="3" s="1"/>
  <c r="AY51" i="5"/>
  <c r="AD49" i="3" s="1"/>
  <c r="AW45" i="5"/>
  <c r="AB43" i="3" s="1"/>
  <c r="AW46" i="5"/>
  <c r="AB44" i="3" s="1"/>
  <c r="AW47" i="5"/>
  <c r="AB45" i="3" s="1"/>
  <c r="AW48" i="5"/>
  <c r="AB46" i="3" s="1"/>
  <c r="AW49" i="5"/>
  <c r="AB47" i="3" s="1"/>
  <c r="AW50" i="5"/>
  <c r="AB48" i="3" s="1"/>
  <c r="AW51" i="5"/>
  <c r="AU45" i="5"/>
  <c r="AU46" i="5"/>
  <c r="AC44" i="3" s="1"/>
  <c r="AU47" i="5"/>
  <c r="AC45" i="3" s="1"/>
  <c r="AU48" i="5"/>
  <c r="AC46" i="3" s="1"/>
  <c r="AU49" i="5"/>
  <c r="AC47" i="3" s="1"/>
  <c r="AU50" i="5"/>
  <c r="AC48" i="3" s="1"/>
  <c r="AU51" i="5"/>
  <c r="AC49" i="3" s="1"/>
  <c r="AS61" i="5"/>
  <c r="AS62" i="5" s="1"/>
  <c r="AS63" i="5" s="1"/>
  <c r="AS55" i="5"/>
  <c r="AS56" i="5"/>
  <c r="AS57" i="5" s="1"/>
  <c r="AS58" i="5" s="1"/>
  <c r="AS50" i="5"/>
  <c r="AS51" i="5" s="1"/>
  <c r="AS52" i="5" s="1"/>
  <c r="AK45" i="5"/>
  <c r="E43" i="3" s="1"/>
  <c r="AK46" i="5"/>
  <c r="E44" i="3" s="1"/>
  <c r="AK47" i="5"/>
  <c r="E45" i="3" s="1"/>
  <c r="AK48" i="5"/>
  <c r="E46" i="3" s="1"/>
  <c r="AK49" i="5"/>
  <c r="E47" i="3" s="1"/>
  <c r="AK50" i="5"/>
  <c r="E48" i="3" s="1"/>
  <c r="AK51" i="5"/>
  <c r="E49" i="3" s="1"/>
  <c r="AI45" i="5"/>
  <c r="L43" i="3" s="1"/>
  <c r="AI46" i="5"/>
  <c r="L44" i="3" s="1"/>
  <c r="AI47" i="5"/>
  <c r="L45" i="3" s="1"/>
  <c r="AI48" i="5"/>
  <c r="L46" i="3" s="1"/>
  <c r="AI49" i="5"/>
  <c r="L47" i="3" s="1"/>
  <c r="AI50" i="5"/>
  <c r="L48" i="3" s="1"/>
  <c r="AI51" i="5"/>
  <c r="L49" i="3" s="1"/>
  <c r="AF45" i="5"/>
  <c r="Z43" i="3" s="1"/>
  <c r="AF46" i="5"/>
  <c r="AF47" i="5"/>
  <c r="AF48" i="5"/>
  <c r="AF49" i="5"/>
  <c r="AF50" i="5"/>
  <c r="AF51" i="5"/>
  <c r="Z49" i="3" s="1"/>
  <c r="AC45" i="5"/>
  <c r="X43" i="3" s="1"/>
  <c r="AC46" i="5"/>
  <c r="X44" i="3" s="1"/>
  <c r="AC47" i="5"/>
  <c r="AC48" i="5"/>
  <c r="X46" i="3" s="1"/>
  <c r="AC49" i="5"/>
  <c r="X47" i="3" s="1"/>
  <c r="AC50" i="5"/>
  <c r="X48" i="3" s="1"/>
  <c r="AC51" i="5"/>
  <c r="X49" i="3" s="1"/>
  <c r="Z45" i="5"/>
  <c r="V43" i="3" s="1"/>
  <c r="Z46" i="5"/>
  <c r="Z47" i="5"/>
  <c r="V45" i="3" s="1"/>
  <c r="Z48" i="5"/>
  <c r="V46" i="3" s="1"/>
  <c r="Z49" i="5"/>
  <c r="V47" i="3" s="1"/>
  <c r="Z50" i="5"/>
  <c r="V48" i="3" s="1"/>
  <c r="Z51" i="5"/>
  <c r="V49" i="3" s="1"/>
  <c r="W45" i="5"/>
  <c r="W46" i="5"/>
  <c r="N44" i="3" s="1"/>
  <c r="W47" i="5"/>
  <c r="N45" i="3" s="1"/>
  <c r="W48" i="5"/>
  <c r="N46" i="3" s="1"/>
  <c r="W49" i="5"/>
  <c r="N47" i="3" s="1"/>
  <c r="W50" i="5"/>
  <c r="N48" i="3" s="1"/>
  <c r="W51" i="5"/>
  <c r="N49" i="3" s="1"/>
  <c r="T45" i="5"/>
  <c r="J43" i="3" s="1"/>
  <c r="T46" i="5"/>
  <c r="J44" i="3" s="1"/>
  <c r="T47" i="5"/>
  <c r="J45" i="3" s="1"/>
  <c r="T48" i="5"/>
  <c r="J46" i="3" s="1"/>
  <c r="T49" i="5"/>
  <c r="J47" i="3" s="1"/>
  <c r="T50" i="5"/>
  <c r="J48" i="3" s="1"/>
  <c r="T51" i="5"/>
  <c r="J49" i="3" s="1"/>
  <c r="Q45" i="5"/>
  <c r="T43" i="3" s="1"/>
  <c r="Q46" i="5"/>
  <c r="T44" i="3" s="1"/>
  <c r="Q47" i="5"/>
  <c r="Q48" i="5"/>
  <c r="T46" i="3" s="1"/>
  <c r="Q49" i="5"/>
  <c r="T47" i="3" s="1"/>
  <c r="Q50" i="5"/>
  <c r="T48" i="3" s="1"/>
  <c r="Q51" i="5"/>
  <c r="T49" i="3" s="1"/>
  <c r="N45" i="5"/>
  <c r="P43" i="3" s="1"/>
  <c r="N46" i="5"/>
  <c r="N47" i="5"/>
  <c r="P45" i="3" s="1"/>
  <c r="N48" i="5"/>
  <c r="P46" i="3" s="1"/>
  <c r="N49" i="5"/>
  <c r="P47" i="3" s="1"/>
  <c r="N50" i="5"/>
  <c r="P48" i="3" s="1"/>
  <c r="N51" i="5"/>
  <c r="P49" i="3" s="1"/>
  <c r="K45" i="5"/>
  <c r="R43" i="3" s="1"/>
  <c r="K46" i="5"/>
  <c r="R44" i="3" s="1"/>
  <c r="K47" i="5"/>
  <c r="R45" i="3" s="1"/>
  <c r="K48" i="5"/>
  <c r="R46" i="3" s="1"/>
  <c r="K49" i="5"/>
  <c r="R47" i="3" s="1"/>
  <c r="K50" i="5"/>
  <c r="R48" i="3" s="1"/>
  <c r="K51" i="5"/>
  <c r="R49" i="3" s="1"/>
  <c r="H45" i="5"/>
  <c r="F43" i="3" s="1"/>
  <c r="H46" i="5"/>
  <c r="F44" i="3" s="1"/>
  <c r="H47" i="5"/>
  <c r="F45" i="3" s="1"/>
  <c r="H48" i="5"/>
  <c r="F46" i="3" s="1"/>
  <c r="H49" i="5"/>
  <c r="F47" i="3" s="1"/>
  <c r="H50" i="5"/>
  <c r="F48" i="3" s="1"/>
  <c r="H51" i="5"/>
  <c r="F49" i="3" s="1"/>
  <c r="E45" i="5"/>
  <c r="H43" i="3" s="1"/>
  <c r="E46" i="5"/>
  <c r="H44" i="3" s="1"/>
  <c r="E47" i="5"/>
  <c r="H45" i="3" s="1"/>
  <c r="E48" i="5"/>
  <c r="H46" i="3" s="1"/>
  <c r="E49" i="5"/>
  <c r="H47" i="3" s="1"/>
  <c r="E50" i="5"/>
  <c r="H48" i="3" s="1"/>
  <c r="E51" i="5"/>
  <c r="H49" i="3" s="1"/>
  <c r="AK44" i="5"/>
  <c r="E42" i="3" s="1"/>
  <c r="H44" i="5"/>
  <c r="F42" i="3" s="1"/>
  <c r="G42" i="3"/>
  <c r="E44" i="5"/>
  <c r="H42" i="3" s="1"/>
  <c r="I42" i="3"/>
  <c r="T44" i="5"/>
  <c r="J42" i="3" s="1"/>
  <c r="K42" i="3"/>
  <c r="AI44" i="5"/>
  <c r="L42" i="3" s="1"/>
  <c r="M42" i="3"/>
  <c r="W44" i="5"/>
  <c r="N42" i="3" s="1"/>
  <c r="O42" i="3"/>
  <c r="N44" i="5"/>
  <c r="P42" i="3" s="1"/>
  <c r="Q42" i="3"/>
  <c r="K44" i="5"/>
  <c r="R42" i="3" s="1"/>
  <c r="S42" i="3"/>
  <c r="Q44" i="5"/>
  <c r="T42" i="3" s="1"/>
  <c r="U42" i="3"/>
  <c r="Z44" i="5"/>
  <c r="V42" i="3" s="1"/>
  <c r="W42" i="3"/>
  <c r="AC44" i="5"/>
  <c r="X42" i="3" s="1"/>
  <c r="Y42" i="3"/>
  <c r="AF44" i="5"/>
  <c r="AA42" i="3"/>
  <c r="AW44" i="5"/>
  <c r="AB42" i="3" s="1"/>
  <c r="AU44" i="5"/>
  <c r="AC42" i="3" s="1"/>
  <c r="AY44" i="5"/>
  <c r="AD42" i="3" s="1"/>
  <c r="BA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/>
  <c r="AZ44" i="6"/>
  <c r="AX42" i="3" s="1"/>
  <c r="BB44" i="6"/>
  <c r="AY42" i="3" s="1"/>
  <c r="BD44" i="6"/>
  <c r="AZ42" i="3" s="1"/>
  <c r="BF44" i="6"/>
  <c r="BA42" i="3" s="1"/>
  <c r="G43" i="3"/>
  <c r="I43" i="3"/>
  <c r="K43" i="3"/>
  <c r="M43" i="3"/>
  <c r="N43" i="3"/>
  <c r="O43" i="3"/>
  <c r="Q43" i="3"/>
  <c r="S43" i="3"/>
  <c r="U43" i="3"/>
  <c r="W43" i="3"/>
  <c r="Y43" i="3"/>
  <c r="AA43" i="3"/>
  <c r="AC43" i="3"/>
  <c r="AE43" i="3"/>
  <c r="AI43" i="3"/>
  <c r="AL43" i="3"/>
  <c r="AM43" i="3"/>
  <c r="AS43" i="3"/>
  <c r="AT43" i="3"/>
  <c r="AW43" i="3"/>
  <c r="BA43" i="3"/>
  <c r="G44" i="3"/>
  <c r="I44" i="3"/>
  <c r="K44" i="3"/>
  <c r="M44" i="3"/>
  <c r="O44" i="3"/>
  <c r="P44" i="3"/>
  <c r="Q44" i="3"/>
  <c r="S44" i="3"/>
  <c r="U44" i="3"/>
  <c r="V44" i="3"/>
  <c r="W44" i="3"/>
  <c r="Y44" i="3"/>
  <c r="Z44" i="3"/>
  <c r="AA44" i="3"/>
  <c r="AD44" i="3"/>
  <c r="AH44" i="3"/>
  <c r="AI44" i="3"/>
  <c r="AM44" i="3"/>
  <c r="AN44" i="3"/>
  <c r="AP44" i="3"/>
  <c r="AR44" i="3"/>
  <c r="AU44" i="3"/>
  <c r="AV44" i="3"/>
  <c r="AZ44" i="3"/>
  <c r="G45" i="3"/>
  <c r="I45" i="3"/>
  <c r="K45" i="3"/>
  <c r="M45" i="3"/>
  <c r="O45" i="3"/>
  <c r="Q45" i="3"/>
  <c r="S45" i="3"/>
  <c r="T45" i="3"/>
  <c r="U45" i="3"/>
  <c r="W45" i="3"/>
  <c r="X45" i="3"/>
  <c r="Y45" i="3"/>
  <c r="AA45" i="3"/>
  <c r="AG45" i="3"/>
  <c r="AJ45" i="3"/>
  <c r="AQ45" i="3"/>
  <c r="AR45" i="3"/>
  <c r="AU45" i="3"/>
  <c r="AW45" i="3"/>
  <c r="AY45" i="3"/>
  <c r="AZ45" i="3"/>
  <c r="G46" i="3"/>
  <c r="I46" i="3"/>
  <c r="K46" i="3"/>
  <c r="M46" i="3"/>
  <c r="O46" i="3"/>
  <c r="Q46" i="3"/>
  <c r="S46" i="3"/>
  <c r="U46" i="3"/>
  <c r="W46" i="3"/>
  <c r="Y46" i="3"/>
  <c r="AA46" i="3"/>
  <c r="AF46" i="3"/>
  <c r="AJ46" i="3"/>
  <c r="AK46" i="3"/>
  <c r="AL46" i="3"/>
  <c r="AP46" i="3"/>
  <c r="AR46" i="3"/>
  <c r="AS46" i="3"/>
  <c r="AT46" i="3"/>
  <c r="AW46" i="3"/>
  <c r="G47" i="3"/>
  <c r="I47" i="3"/>
  <c r="K47" i="3"/>
  <c r="M47" i="3"/>
  <c r="O47" i="3"/>
  <c r="Q47" i="3"/>
  <c r="S47" i="3"/>
  <c r="U47" i="3"/>
  <c r="W47" i="3"/>
  <c r="Y47" i="3"/>
  <c r="AA47" i="3"/>
  <c r="AH47" i="3"/>
  <c r="AI47" i="3"/>
  <c r="AM47" i="3"/>
  <c r="AS47" i="3"/>
  <c r="AT47" i="3"/>
  <c r="AW47" i="3"/>
  <c r="BA47" i="3"/>
  <c r="G48" i="3"/>
  <c r="I48" i="3"/>
  <c r="K48" i="3"/>
  <c r="M48" i="3"/>
  <c r="O48" i="3"/>
  <c r="Q48" i="3"/>
  <c r="S48" i="3"/>
  <c r="U48" i="3"/>
  <c r="W48" i="3"/>
  <c r="Y48" i="3"/>
  <c r="Z48" i="3"/>
  <c r="AA48" i="3"/>
  <c r="AH48" i="3"/>
  <c r="AI48" i="3"/>
  <c r="AJ48" i="3"/>
  <c r="AM48" i="3"/>
  <c r="AQ48" i="3"/>
  <c r="AR48" i="3"/>
  <c r="AU48" i="3"/>
  <c r="AV48" i="3"/>
  <c r="AZ48" i="3"/>
  <c r="BA48" i="3"/>
  <c r="G49" i="3"/>
  <c r="I49" i="3"/>
  <c r="K49" i="3"/>
  <c r="M49" i="3"/>
  <c r="O49" i="3"/>
  <c r="Q49" i="3"/>
  <c r="S49" i="3"/>
  <c r="U49" i="3"/>
  <c r="W49" i="3"/>
  <c r="Y49" i="3"/>
  <c r="AA49" i="3"/>
  <c r="AB49" i="3"/>
  <c r="AF49" i="3"/>
  <c r="AG49" i="3"/>
  <c r="AH49" i="3"/>
  <c r="AJ49" i="3"/>
  <c r="AK49" i="3"/>
  <c r="AL49" i="3"/>
  <c r="AP49" i="3"/>
  <c r="AQ49" i="3"/>
  <c r="AT49" i="3"/>
  <c r="AU49" i="3"/>
  <c r="AV49" i="3"/>
  <c r="AY49" i="3"/>
  <c r="AZ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K61" i="1" s="1"/>
  <c r="H14" i="12"/>
  <c r="K56" i="1"/>
  <c r="H13" i="12"/>
  <c r="K50" i="1" s="1"/>
  <c r="E61" i="1"/>
  <c r="F61" i="1" s="1"/>
  <c r="G61" i="1"/>
  <c r="I61" i="1"/>
  <c r="J61" i="1" s="1"/>
  <c r="H8" i="12"/>
  <c r="K25" i="1" s="1"/>
  <c r="AK34" i="5"/>
  <c r="E32" i="3" s="1"/>
  <c r="H34" i="5"/>
  <c r="F32" i="3" s="1"/>
  <c r="G32" i="3"/>
  <c r="E34" i="5"/>
  <c r="H32" i="3" s="1"/>
  <c r="I32" i="3"/>
  <c r="T34" i="5"/>
  <c r="J32" i="3" s="1"/>
  <c r="K32" i="3"/>
  <c r="AI34" i="5"/>
  <c r="L32" i="3" s="1"/>
  <c r="M32" i="3"/>
  <c r="W34" i="5"/>
  <c r="N32" i="3" s="1"/>
  <c r="O32" i="3"/>
  <c r="N34" i="5"/>
  <c r="P32" i="3" s="1"/>
  <c r="Q32" i="3"/>
  <c r="K34" i="5"/>
  <c r="R32" i="3" s="1"/>
  <c r="S32" i="3"/>
  <c r="Q34" i="5"/>
  <c r="T32" i="3" s="1"/>
  <c r="U32" i="3"/>
  <c r="Z34" i="5"/>
  <c r="V32" i="3" s="1"/>
  <c r="W32" i="3"/>
  <c r="AC34" i="5"/>
  <c r="Y32" i="3"/>
  <c r="AF34" i="5"/>
  <c r="Z32" i="3" s="1"/>
  <c r="AA32" i="3"/>
  <c r="AW34" i="5"/>
  <c r="AB32" i="3" s="1"/>
  <c r="AU34" i="5"/>
  <c r="AC32" i="3" s="1"/>
  <c r="AY34" i="5"/>
  <c r="AD32" i="3" s="1"/>
  <c r="BA34" i="5"/>
  <c r="AE32" i="3" s="1"/>
  <c r="E34" i="6"/>
  <c r="AF32" i="3" s="1"/>
  <c r="H34" i="6"/>
  <c r="AG32" i="3"/>
  <c r="K34" i="6"/>
  <c r="AH32" i="3" s="1"/>
  <c r="N34" i="6"/>
  <c r="AI32" i="3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/>
  <c r="AH34" i="6"/>
  <c r="AP32" i="3" s="1"/>
  <c r="AJ34" i="6"/>
  <c r="AQ32" i="3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/>
  <c r="BB34" i="6"/>
  <c r="AY32" i="3" s="1"/>
  <c r="BD34" i="6"/>
  <c r="AZ32" i="3"/>
  <c r="BF34" i="6"/>
  <c r="BA32" i="3" s="1"/>
  <c r="AK35" i="5"/>
  <c r="E33" i="3" s="1"/>
  <c r="H35" i="5"/>
  <c r="F33" i="3" s="1"/>
  <c r="G33" i="3"/>
  <c r="E35" i="5"/>
  <c r="H33" i="3" s="1"/>
  <c r="I33" i="3"/>
  <c r="T35" i="5"/>
  <c r="J33" i="3" s="1"/>
  <c r="K33" i="3"/>
  <c r="AI35" i="5"/>
  <c r="L33" i="3" s="1"/>
  <c r="M33" i="3"/>
  <c r="W35" i="5"/>
  <c r="N33" i="3" s="1"/>
  <c r="O33" i="3"/>
  <c r="N35" i="5"/>
  <c r="P33" i="3" s="1"/>
  <c r="Q33" i="3"/>
  <c r="K35" i="5"/>
  <c r="R33" i="3" s="1"/>
  <c r="S33" i="3"/>
  <c r="Q35" i="5"/>
  <c r="T33" i="3" s="1"/>
  <c r="U33" i="3"/>
  <c r="Z35" i="5"/>
  <c r="V33" i="3" s="1"/>
  <c r="W33" i="3"/>
  <c r="AC35" i="5"/>
  <c r="X33" i="3" s="1"/>
  <c r="Y33" i="3"/>
  <c r="AF35" i="5"/>
  <c r="Z33" i="3" s="1"/>
  <c r="AA33" i="3"/>
  <c r="AW35" i="5"/>
  <c r="AB33" i="3" s="1"/>
  <c r="AU35" i="5"/>
  <c r="AC33" i="3" s="1"/>
  <c r="AY35" i="5"/>
  <c r="AD33" i="3" s="1"/>
  <c r="BA35" i="5"/>
  <c r="AE33" i="3" s="1"/>
  <c r="E35" i="6"/>
  <c r="AF33" i="3" s="1"/>
  <c r="H35" i="6"/>
  <c r="AG33" i="3" s="1"/>
  <c r="K35" i="6"/>
  <c r="AH33" i="3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/>
  <c r="AJ35" i="6"/>
  <c r="AQ33" i="3" s="1"/>
  <c r="AL35" i="6"/>
  <c r="AR33" i="3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/>
  <c r="BF35" i="6"/>
  <c r="BA33" i="3" s="1"/>
  <c r="AK36" i="5"/>
  <c r="E34" i="3" s="1"/>
  <c r="H36" i="5"/>
  <c r="F34" i="3" s="1"/>
  <c r="G34" i="3"/>
  <c r="E36" i="5"/>
  <c r="H34" i="3" s="1"/>
  <c r="I34" i="3"/>
  <c r="T36" i="5"/>
  <c r="J34" i="3" s="1"/>
  <c r="K34" i="3"/>
  <c r="AI36" i="5"/>
  <c r="M34" i="3"/>
  <c r="W36" i="5"/>
  <c r="N34" i="3" s="1"/>
  <c r="O34" i="3"/>
  <c r="N36" i="5"/>
  <c r="P34" i="3" s="1"/>
  <c r="Q34" i="3"/>
  <c r="K36" i="5"/>
  <c r="R34" i="3" s="1"/>
  <c r="S34" i="3"/>
  <c r="Q36" i="5"/>
  <c r="T34" i="3" s="1"/>
  <c r="U34" i="3"/>
  <c r="Z36" i="5"/>
  <c r="W34" i="3"/>
  <c r="AC36" i="5"/>
  <c r="X34" i="3" s="1"/>
  <c r="Y34" i="3"/>
  <c r="AF36" i="5"/>
  <c r="Z34" i="3" s="1"/>
  <c r="AA34" i="3"/>
  <c r="AW36" i="5"/>
  <c r="AB34" i="3" s="1"/>
  <c r="AU36" i="5"/>
  <c r="AY36" i="5"/>
  <c r="AD34" i="3" s="1"/>
  <c r="BA36" i="5"/>
  <c r="AE34" i="3" s="1"/>
  <c r="E36" i="6"/>
  <c r="AF34" i="3" s="1"/>
  <c r="H36" i="6"/>
  <c r="AG34" i="3" s="1"/>
  <c r="K36" i="6"/>
  <c r="AH34" i="3"/>
  <c r="N36" i="6"/>
  <c r="AI34" i="3" s="1"/>
  <c r="Q36" i="6"/>
  <c r="AJ34" i="3" s="1"/>
  <c r="U36" i="6"/>
  <c r="AK34" i="3" s="1"/>
  <c r="X36" i="6"/>
  <c r="AB36" i="6"/>
  <c r="AM34" i="3" s="1"/>
  <c r="AD36" i="6"/>
  <c r="AN34" i="3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Z36" i="6" s="1"/>
  <c r="AX34" i="3" s="1"/>
  <c r="AY36" i="6"/>
  <c r="AW34" i="3" s="1"/>
  <c r="BB36" i="6"/>
  <c r="AY34" i="3" s="1"/>
  <c r="BD36" i="6"/>
  <c r="AZ34" i="3" s="1"/>
  <c r="BF36" i="6"/>
  <c r="BA34" i="3" s="1"/>
  <c r="AK37" i="5"/>
  <c r="E35" i="3" s="1"/>
  <c r="H37" i="5"/>
  <c r="F35" i="3" s="1"/>
  <c r="G35" i="3"/>
  <c r="E37" i="5"/>
  <c r="H35" i="3" s="1"/>
  <c r="I35" i="3"/>
  <c r="T37" i="5"/>
  <c r="J35" i="3" s="1"/>
  <c r="K35" i="3"/>
  <c r="AI37" i="5"/>
  <c r="L35" i="3" s="1"/>
  <c r="M35" i="3"/>
  <c r="W37" i="5"/>
  <c r="N35" i="3" s="1"/>
  <c r="O35" i="3"/>
  <c r="N37" i="5"/>
  <c r="P35" i="3" s="1"/>
  <c r="Q35" i="3"/>
  <c r="K37" i="5"/>
  <c r="R35" i="3" s="1"/>
  <c r="S35" i="3"/>
  <c r="Q37" i="5"/>
  <c r="T35" i="3" s="1"/>
  <c r="U35" i="3"/>
  <c r="Z37" i="5"/>
  <c r="V35" i="3" s="1"/>
  <c r="W35" i="3"/>
  <c r="AC37" i="5"/>
  <c r="X35" i="3" s="1"/>
  <c r="Y35" i="3"/>
  <c r="AF37" i="5"/>
  <c r="AA35" i="3"/>
  <c r="AW37" i="5"/>
  <c r="AB35" i="3" s="1"/>
  <c r="AU37" i="5"/>
  <c r="AY37" i="5"/>
  <c r="AD35" i="3" s="1"/>
  <c r="BA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AK38" i="5"/>
  <c r="E36" i="3" s="1"/>
  <c r="H38" i="5"/>
  <c r="F36" i="3" s="1"/>
  <c r="G36" i="3"/>
  <c r="E38" i="5"/>
  <c r="H36" i="3" s="1"/>
  <c r="I36" i="3"/>
  <c r="T38" i="5"/>
  <c r="J36" i="3" s="1"/>
  <c r="K36" i="3"/>
  <c r="AI38" i="5"/>
  <c r="L36" i="3" s="1"/>
  <c r="M36" i="3"/>
  <c r="W38" i="5"/>
  <c r="N36" i="3" s="1"/>
  <c r="O36" i="3"/>
  <c r="N38" i="5"/>
  <c r="P36" i="3" s="1"/>
  <c r="Q36" i="3"/>
  <c r="K38" i="5"/>
  <c r="R36" i="3" s="1"/>
  <c r="S36" i="3"/>
  <c r="Q38" i="5"/>
  <c r="T36" i="3" s="1"/>
  <c r="U36" i="3"/>
  <c r="Z38" i="5"/>
  <c r="V36" i="3" s="1"/>
  <c r="W36" i="3"/>
  <c r="AC38" i="5"/>
  <c r="X36" i="3" s="1"/>
  <c r="Y36" i="3"/>
  <c r="AF38" i="5"/>
  <c r="AA36" i="3"/>
  <c r="AW38" i="5"/>
  <c r="AB36" i="3" s="1"/>
  <c r="AU38" i="5"/>
  <c r="AC36" i="3" s="1"/>
  <c r="AY38" i="5"/>
  <c r="AD36" i="3" s="1"/>
  <c r="BA38" i="5"/>
  <c r="AE36" i="3" s="1"/>
  <c r="E38" i="6"/>
  <c r="AF36" i="3" s="1"/>
  <c r="H38" i="6"/>
  <c r="AG36" i="3" s="1"/>
  <c r="K38" i="6"/>
  <c r="AH36" i="3" s="1"/>
  <c r="N38" i="6"/>
  <c r="AI36" i="3" s="1"/>
  <c r="Q38" i="6"/>
  <c r="AJ36" i="3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/>
  <c r="AK39" i="5"/>
  <c r="E37" i="3" s="1"/>
  <c r="H39" i="5"/>
  <c r="F37" i="3" s="1"/>
  <c r="G37" i="3"/>
  <c r="E39" i="5"/>
  <c r="H37" i="3" s="1"/>
  <c r="I37" i="3"/>
  <c r="T39" i="5"/>
  <c r="J37" i="3" s="1"/>
  <c r="K37" i="3"/>
  <c r="AI39" i="5"/>
  <c r="L37" i="3" s="1"/>
  <c r="M37" i="3"/>
  <c r="W39" i="5"/>
  <c r="N37" i="3" s="1"/>
  <c r="O37" i="3"/>
  <c r="N39" i="5"/>
  <c r="P37" i="3" s="1"/>
  <c r="Q37" i="3"/>
  <c r="K39" i="5"/>
  <c r="R37" i="3" s="1"/>
  <c r="S37" i="3"/>
  <c r="Q39" i="5"/>
  <c r="T37" i="3" s="1"/>
  <c r="U37" i="3"/>
  <c r="Z39" i="5"/>
  <c r="V37" i="3" s="1"/>
  <c r="W37" i="3"/>
  <c r="AC39" i="5"/>
  <c r="X37" i="3" s="1"/>
  <c r="Y37" i="3"/>
  <c r="AF39" i="5"/>
  <c r="AA37" i="3"/>
  <c r="AW39" i="5"/>
  <c r="AB37" i="3" s="1"/>
  <c r="AU39" i="5"/>
  <c r="AC37" i="3" s="1"/>
  <c r="AY39" i="5"/>
  <c r="AD37" i="3" s="1"/>
  <c r="BA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K40" i="5"/>
  <c r="E38" i="3" s="1"/>
  <c r="H40" i="5"/>
  <c r="F38" i="3" s="1"/>
  <c r="G38" i="3"/>
  <c r="E40" i="5"/>
  <c r="H38" i="3" s="1"/>
  <c r="I38" i="3"/>
  <c r="T40" i="5"/>
  <c r="J38" i="3" s="1"/>
  <c r="K38" i="3"/>
  <c r="AI40" i="5"/>
  <c r="L38" i="3" s="1"/>
  <c r="M38" i="3"/>
  <c r="W40" i="5"/>
  <c r="O38" i="3"/>
  <c r="N40" i="5"/>
  <c r="P38" i="3" s="1"/>
  <c r="Q38" i="3"/>
  <c r="K40" i="5"/>
  <c r="R38" i="3" s="1"/>
  <c r="S38" i="3"/>
  <c r="Q40" i="5"/>
  <c r="T38" i="3" s="1"/>
  <c r="U38" i="3"/>
  <c r="Z40" i="5"/>
  <c r="V38" i="3" s="1"/>
  <c r="W38" i="3"/>
  <c r="AC40" i="5"/>
  <c r="X38" i="3" s="1"/>
  <c r="Y38" i="3"/>
  <c r="AF40" i="5"/>
  <c r="Z38" i="3" s="1"/>
  <c r="AA38" i="3"/>
  <c r="AW40" i="5"/>
  <c r="AB38" i="3" s="1"/>
  <c r="AU40" i="5"/>
  <c r="AY40" i="5"/>
  <c r="AD38" i="3" s="1"/>
  <c r="BA40" i="5"/>
  <c r="AE38" i="3" s="1"/>
  <c r="E40" i="6"/>
  <c r="AF38" i="3" s="1"/>
  <c r="H40" i="6"/>
  <c r="AG38" i="3"/>
  <c r="K40" i="6"/>
  <c r="AH38" i="3" s="1"/>
  <c r="N40" i="6"/>
  <c r="AI38" i="3"/>
  <c r="Q40" i="6"/>
  <c r="AJ38" i="3" s="1"/>
  <c r="U40" i="6"/>
  <c r="AK38" i="3"/>
  <c r="X40" i="6"/>
  <c r="AL38" i="3" s="1"/>
  <c r="AB40" i="6"/>
  <c r="AM38" i="3" s="1"/>
  <c r="AD40" i="6"/>
  <c r="AN38" i="3" s="1"/>
  <c r="AF40" i="6"/>
  <c r="AO38" i="3"/>
  <c r="AH40" i="6"/>
  <c r="AP38" i="3" s="1"/>
  <c r="AJ40" i="6"/>
  <c r="AQ38" i="3" s="1"/>
  <c r="AL40" i="6"/>
  <c r="AR38" i="3" s="1"/>
  <c r="AN40" i="6"/>
  <c r="AS38" i="3"/>
  <c r="AP40" i="6"/>
  <c r="AT38" i="3" s="1"/>
  <c r="AT40" i="6"/>
  <c r="AU38" i="3" s="1"/>
  <c r="AW40" i="6"/>
  <c r="AY40" i="6"/>
  <c r="AW38" i="3" s="1"/>
  <c r="BB40" i="6"/>
  <c r="AY38" i="3"/>
  <c r="BD40" i="6"/>
  <c r="AZ38" i="3" s="1"/>
  <c r="BF40" i="6"/>
  <c r="BA38" i="3" s="1"/>
  <c r="AK41" i="5"/>
  <c r="E39" i="3" s="1"/>
  <c r="H41" i="5"/>
  <c r="F39" i="3" s="1"/>
  <c r="G39" i="3"/>
  <c r="E41" i="5"/>
  <c r="H39" i="3" s="1"/>
  <c r="I39" i="3"/>
  <c r="T41" i="5"/>
  <c r="J39" i="3" s="1"/>
  <c r="K39" i="3"/>
  <c r="AI41" i="5"/>
  <c r="L39" i="3" s="1"/>
  <c r="M39" i="3"/>
  <c r="W41" i="5"/>
  <c r="O39" i="3"/>
  <c r="N41" i="5"/>
  <c r="P39" i="3" s="1"/>
  <c r="Q39" i="3"/>
  <c r="K41" i="5"/>
  <c r="R39" i="3" s="1"/>
  <c r="S39" i="3"/>
  <c r="Q41" i="5"/>
  <c r="T39" i="3" s="1"/>
  <c r="U39" i="3"/>
  <c r="Z41" i="5"/>
  <c r="V39" i="3" s="1"/>
  <c r="W39" i="3"/>
  <c r="AC41" i="5"/>
  <c r="X39" i="3" s="1"/>
  <c r="Y39" i="3"/>
  <c r="AF41" i="5"/>
  <c r="Z39" i="3" s="1"/>
  <c r="AA39" i="3"/>
  <c r="AW41" i="5"/>
  <c r="AU41" i="5"/>
  <c r="AC39" i="3" s="1"/>
  <c r="AY41" i="5"/>
  <c r="AD39" i="3" s="1"/>
  <c r="BA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AK42" i="5"/>
  <c r="E40" i="3" s="1"/>
  <c r="H42" i="5"/>
  <c r="F40" i="3" s="1"/>
  <c r="G40" i="3"/>
  <c r="E42" i="5"/>
  <c r="H40" i="3" s="1"/>
  <c r="I40" i="3"/>
  <c r="T42" i="5"/>
  <c r="J40" i="3" s="1"/>
  <c r="K40" i="3"/>
  <c r="AI42" i="5"/>
  <c r="L40" i="3" s="1"/>
  <c r="M40" i="3"/>
  <c r="W42" i="5"/>
  <c r="N40" i="3" s="1"/>
  <c r="O40" i="3"/>
  <c r="N42" i="5"/>
  <c r="P40" i="3" s="1"/>
  <c r="Q40" i="3"/>
  <c r="K42" i="5"/>
  <c r="R40" i="3" s="1"/>
  <c r="S40" i="3"/>
  <c r="Q42" i="5"/>
  <c r="T40" i="3" s="1"/>
  <c r="U40" i="3"/>
  <c r="Z42" i="5"/>
  <c r="V40" i="3" s="1"/>
  <c r="W40" i="3"/>
  <c r="AC42" i="5"/>
  <c r="X40" i="3" s="1"/>
  <c r="Y40" i="3"/>
  <c r="AF42" i="5"/>
  <c r="Z40" i="3" s="1"/>
  <c r="AA40" i="3"/>
  <c r="AW42" i="5"/>
  <c r="AB40" i="3" s="1"/>
  <c r="AU42" i="5"/>
  <c r="AC40" i="3" s="1"/>
  <c r="AY42" i="5"/>
  <c r="AD40" i="3" s="1"/>
  <c r="BA42" i="5"/>
  <c r="AE40" i="3" s="1"/>
  <c r="E42" i="6"/>
  <c r="AF40" i="3" s="1"/>
  <c r="H42" i="6"/>
  <c r="AG40" i="3" s="1"/>
  <c r="K42" i="6"/>
  <c r="AH40" i="3" s="1"/>
  <c r="N42" i="6"/>
  <c r="AI40" i="3" s="1"/>
  <c r="Q42" i="6"/>
  <c r="AJ40" i="3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/>
  <c r="AY42" i="6"/>
  <c r="BB42" i="6"/>
  <c r="AY40" i="3" s="1"/>
  <c r="BD42" i="6"/>
  <c r="AZ40" i="3"/>
  <c r="BF42" i="6"/>
  <c r="BA40" i="3" s="1"/>
  <c r="AK43" i="5"/>
  <c r="E41" i="3" s="1"/>
  <c r="H43" i="5"/>
  <c r="F41" i="3" s="1"/>
  <c r="G41" i="3"/>
  <c r="E43" i="5"/>
  <c r="H41" i="3" s="1"/>
  <c r="I41" i="3"/>
  <c r="T43" i="5"/>
  <c r="J41" i="3" s="1"/>
  <c r="K41" i="3"/>
  <c r="AI43" i="5"/>
  <c r="L41" i="3" s="1"/>
  <c r="M41" i="3"/>
  <c r="W43" i="5"/>
  <c r="N41" i="3" s="1"/>
  <c r="O41" i="3"/>
  <c r="N43" i="5"/>
  <c r="P41" i="3" s="1"/>
  <c r="Q41" i="3"/>
  <c r="K43" i="5"/>
  <c r="R41" i="3" s="1"/>
  <c r="S41" i="3"/>
  <c r="Q43" i="5"/>
  <c r="T41" i="3" s="1"/>
  <c r="U41" i="3"/>
  <c r="Z43" i="5"/>
  <c r="V41" i="3" s="1"/>
  <c r="W41" i="3"/>
  <c r="AC43" i="5"/>
  <c r="Y41" i="3"/>
  <c r="AF43" i="5"/>
  <c r="Z41" i="3" s="1"/>
  <c r="AA41" i="3"/>
  <c r="AW43" i="5"/>
  <c r="AU43" i="5"/>
  <c r="AC41" i="3" s="1"/>
  <c r="AY43" i="5"/>
  <c r="AD41" i="3" s="1"/>
  <c r="BA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/>
  <c r="AY43" i="6"/>
  <c r="AW41" i="3" s="1"/>
  <c r="BB43" i="6"/>
  <c r="AY41" i="3" s="1"/>
  <c r="BD43" i="6"/>
  <c r="AZ41" i="3" s="1"/>
  <c r="BF43" i="6"/>
  <c r="BA41" i="3" s="1"/>
  <c r="H11" i="12"/>
  <c r="K41" i="1" s="1"/>
  <c r="H10" i="12"/>
  <c r="K35" i="1" s="1"/>
  <c r="H9" i="12"/>
  <c r="K30" i="1" s="1"/>
  <c r="H7" i="12"/>
  <c r="K20" i="1" s="1"/>
  <c r="H6" i="12"/>
  <c r="K15" i="1" s="1"/>
  <c r="H5" i="12"/>
  <c r="K10" i="1" s="1"/>
  <c r="H4" i="12"/>
  <c r="K6" i="1" s="1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X17" i="6"/>
  <c r="AL15" i="3" s="1"/>
  <c r="X18" i="6"/>
  <c r="AL16" i="3" s="1"/>
  <c r="X19" i="6"/>
  <c r="X20" i="6"/>
  <c r="AL18" i="3" s="1"/>
  <c r="G17" i="1" s="1"/>
  <c r="X21" i="6"/>
  <c r="AL19" i="3" s="1"/>
  <c r="X22" i="6"/>
  <c r="AL20" i="3" s="1"/>
  <c r="X23" i="6"/>
  <c r="X24" i="6"/>
  <c r="AL22" i="3"/>
  <c r="X25" i="6"/>
  <c r="AL23" i="3" s="1"/>
  <c r="X26" i="6"/>
  <c r="X27" i="6"/>
  <c r="AL25" i="3" s="1"/>
  <c r="X28" i="6"/>
  <c r="AL26" i="3"/>
  <c r="X29" i="6"/>
  <c r="X30" i="6"/>
  <c r="AL28" i="3" s="1"/>
  <c r="X31" i="6"/>
  <c r="AL29" i="3" s="1"/>
  <c r="X32" i="6"/>
  <c r="AL30" i="3" s="1"/>
  <c r="X33" i="6"/>
  <c r="AL31" i="3" s="1"/>
  <c r="X5" i="6"/>
  <c r="AL3" i="3" s="1"/>
  <c r="U6" i="6"/>
  <c r="AK4" i="3" s="1"/>
  <c r="U7" i="6"/>
  <c r="U8" i="6"/>
  <c r="AK6" i="3" s="1"/>
  <c r="U9" i="6"/>
  <c r="AK7" i="3" s="1"/>
  <c r="U10" i="6"/>
  <c r="AK8" i="3" s="1"/>
  <c r="U11" i="6"/>
  <c r="AK9" i="3"/>
  <c r="U12" i="6"/>
  <c r="AK10" i="3" s="1"/>
  <c r="U13" i="6"/>
  <c r="AK11" i="3" s="1"/>
  <c r="U14" i="6"/>
  <c r="AK12" i="3" s="1"/>
  <c r="U15" i="6"/>
  <c r="AK13" i="3"/>
  <c r="U16" i="6"/>
  <c r="AK14" i="3" s="1"/>
  <c r="U17" i="6"/>
  <c r="AK15" i="3" s="1"/>
  <c r="U18" i="6"/>
  <c r="AK16" i="3" s="1"/>
  <c r="U19" i="6"/>
  <c r="AK17" i="3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G2" i="1" s="1"/>
  <c r="AT6" i="6"/>
  <c r="AU4" i="3"/>
  <c r="AT7" i="6"/>
  <c r="AU5" i="3" s="1"/>
  <c r="AT8" i="6"/>
  <c r="AU6" i="3" s="1"/>
  <c r="AT9" i="6"/>
  <c r="AU7" i="3" s="1"/>
  <c r="AT10" i="6"/>
  <c r="AU8" i="3" s="1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 s="1"/>
  <c r="G15" i="1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/>
  <c r="AT31" i="6"/>
  <c r="AU29" i="3" s="1"/>
  <c r="AT32" i="6"/>
  <c r="AU30" i="3" s="1"/>
  <c r="AT33" i="6"/>
  <c r="AU31" i="3" s="1"/>
  <c r="AT5" i="6"/>
  <c r="AU3" i="3" s="1"/>
  <c r="BF6" i="6"/>
  <c r="BA4" i="3" s="1"/>
  <c r="BF7" i="6"/>
  <c r="BA5" i="3" s="1"/>
  <c r="BF8" i="6"/>
  <c r="BA6" i="3" s="1"/>
  <c r="BF9" i="6"/>
  <c r="BA7" i="3" s="1"/>
  <c r="BF10" i="6"/>
  <c r="BA8" i="3" s="1"/>
  <c r="BF11" i="6"/>
  <c r="BA9" i="3" s="1"/>
  <c r="BF12" i="6"/>
  <c r="BA10" i="3" s="1"/>
  <c r="BF13" i="6"/>
  <c r="BA11" i="3" s="1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Z6" i="6" s="1"/>
  <c r="AX4" i="3" s="1"/>
  <c r="AY6" i="6"/>
  <c r="AW4" i="3" s="1"/>
  <c r="AW7" i="6"/>
  <c r="AV5" i="3" s="1"/>
  <c r="AY7" i="6"/>
  <c r="AW5" i="3" s="1"/>
  <c r="AW8" i="6"/>
  <c r="AZ8" i="6" s="1"/>
  <c r="AX6" i="3" s="1"/>
  <c r="AY8" i="6"/>
  <c r="AW9" i="6"/>
  <c r="AV7" i="3" s="1"/>
  <c r="AY9" i="6"/>
  <c r="AW7" i="3" s="1"/>
  <c r="AW10" i="6"/>
  <c r="AV8" i="3" s="1"/>
  <c r="AY10" i="6"/>
  <c r="AW8" i="3" s="1"/>
  <c r="AW11" i="6"/>
  <c r="AY11" i="6"/>
  <c r="AW9" i="3" s="1"/>
  <c r="AW12" i="6"/>
  <c r="AZ12" i="6" s="1"/>
  <c r="AX10" i="3" s="1"/>
  <c r="AY12" i="6"/>
  <c r="AW13" i="6"/>
  <c r="AY13" i="6"/>
  <c r="AW11" i="3" s="1"/>
  <c r="AW14" i="6"/>
  <c r="AV12" i="3" s="1"/>
  <c r="AY14" i="6"/>
  <c r="AW12" i="3" s="1"/>
  <c r="AW15" i="6"/>
  <c r="AV13" i="3" s="1"/>
  <c r="AY15" i="6"/>
  <c r="AW13" i="3" s="1"/>
  <c r="AW16" i="6"/>
  <c r="AZ16" i="6" s="1"/>
  <c r="AX14" i="3" s="1"/>
  <c r="AY16" i="6"/>
  <c r="AW17" i="6"/>
  <c r="AV15" i="3" s="1"/>
  <c r="AY17" i="6"/>
  <c r="AW15" i="3" s="1"/>
  <c r="AW18" i="6"/>
  <c r="AV16" i="3" s="1"/>
  <c r="AY18" i="6"/>
  <c r="AW16" i="3" s="1"/>
  <c r="AW19" i="6"/>
  <c r="AY19" i="6"/>
  <c r="AW17" i="3" s="1"/>
  <c r="AW20" i="6"/>
  <c r="AZ20" i="6" s="1"/>
  <c r="AX18" i="3" s="1"/>
  <c r="AY20" i="6"/>
  <c r="AW21" i="6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Z24" i="6" s="1"/>
  <c r="AX22" i="3" s="1"/>
  <c r="AY24" i="6"/>
  <c r="AW25" i="6"/>
  <c r="AV23" i="3" s="1"/>
  <c r="AY25" i="6"/>
  <c r="AW23" i="3" s="1"/>
  <c r="AW26" i="6"/>
  <c r="AV24" i="3" s="1"/>
  <c r="AY26" i="6"/>
  <c r="AW27" i="6"/>
  <c r="AY27" i="6"/>
  <c r="AW25" i="3" s="1"/>
  <c r="AW28" i="6"/>
  <c r="AZ28" i="6" s="1"/>
  <c r="AX26" i="3" s="1"/>
  <c r="AY28" i="6"/>
  <c r="AW29" i="6"/>
  <c r="AY29" i="6"/>
  <c r="AW27" i="3" s="1"/>
  <c r="AW30" i="6"/>
  <c r="AV28" i="3" s="1"/>
  <c r="AY30" i="6"/>
  <c r="AW31" i="6"/>
  <c r="AV29" i="3" s="1"/>
  <c r="AY31" i="6"/>
  <c r="AW29" i="3" s="1"/>
  <c r="AW32" i="6"/>
  <c r="AZ32" i="6" s="1"/>
  <c r="AX30" i="3" s="1"/>
  <c r="AY32" i="6"/>
  <c r="AW30" i="3" s="1"/>
  <c r="AW33" i="6"/>
  <c r="AV31" i="3" s="1"/>
  <c r="AY33" i="6"/>
  <c r="AW31" i="3" s="1"/>
  <c r="AW5" i="6"/>
  <c r="AV3" i="3" s="1"/>
  <c r="AY5" i="6"/>
  <c r="AW6" i="3"/>
  <c r="AW10" i="3"/>
  <c r="AW14" i="3"/>
  <c r="AW18" i="3"/>
  <c r="AW22" i="3"/>
  <c r="AW24" i="3"/>
  <c r="AW26" i="3"/>
  <c r="AW28" i="3"/>
  <c r="AW3" i="3"/>
  <c r="AV4" i="3"/>
  <c r="AV9" i="3"/>
  <c r="AV11" i="3"/>
  <c r="AV17" i="3"/>
  <c r="AV19" i="3"/>
  <c r="AV25" i="3"/>
  <c r="AV27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H5" i="6"/>
  <c r="AP3" i="3" s="1"/>
  <c r="AF6" i="6"/>
  <c r="AO4" i="3" s="1"/>
  <c r="AF7" i="6"/>
  <c r="AO5" i="3" s="1"/>
  <c r="AF8" i="6"/>
  <c r="AO6" i="3" s="1"/>
  <c r="AF9" i="6"/>
  <c r="AO7" i="3"/>
  <c r="AF10" i="6"/>
  <c r="AO8" i="3" s="1"/>
  <c r="AF11" i="6"/>
  <c r="AO9" i="3" s="1"/>
  <c r="AF12" i="6"/>
  <c r="AO10" i="3" s="1"/>
  <c r="AF13" i="6"/>
  <c r="AO11" i="3" s="1"/>
  <c r="AF14" i="6"/>
  <c r="AO12" i="3" s="1"/>
  <c r="AF15" i="6"/>
  <c r="AO13" i="3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/>
  <c r="AF22" i="6"/>
  <c r="AO20" i="3" s="1"/>
  <c r="AF23" i="6"/>
  <c r="AO21" i="3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/>
  <c r="AF32" i="6"/>
  <c r="AO30" i="3" s="1"/>
  <c r="AF33" i="6"/>
  <c r="AO31" i="3" s="1"/>
  <c r="AF5" i="6"/>
  <c r="AO3" i="3"/>
  <c r="AD6" i="6"/>
  <c r="AN4" i="3" s="1"/>
  <c r="AD7" i="6"/>
  <c r="AN5" i="3" s="1"/>
  <c r="AD8" i="6"/>
  <c r="AN6" i="3" s="1"/>
  <c r="AD9" i="6"/>
  <c r="AN7" i="3" s="1"/>
  <c r="AD10" i="6"/>
  <c r="AN8" i="3" s="1"/>
  <c r="AD11" i="6"/>
  <c r="AN9" i="3" s="1"/>
  <c r="AD12" i="6"/>
  <c r="AN10" i="3" s="1"/>
  <c r="AD13" i="6"/>
  <c r="AN11" i="3" s="1"/>
  <c r="AD14" i="6"/>
  <c r="AN12" i="3" s="1"/>
  <c r="AD15" i="6"/>
  <c r="AN13" i="3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/>
  <c r="AD32" i="6"/>
  <c r="AN30" i="3" s="1"/>
  <c r="AD33" i="6"/>
  <c r="AN31" i="3" s="1"/>
  <c r="AD5" i="6"/>
  <c r="AN3" i="3" s="1"/>
  <c r="AB6" i="6"/>
  <c r="AM4" i="3" s="1"/>
  <c r="AB7" i="6"/>
  <c r="AM5" i="3" s="1"/>
  <c r="AB8" i="6"/>
  <c r="AM6" i="3"/>
  <c r="AB9" i="6"/>
  <c r="AM7" i="3" s="1"/>
  <c r="AB10" i="6"/>
  <c r="AM8" i="3" s="1"/>
  <c r="AB11" i="6"/>
  <c r="AM9" i="3" s="1"/>
  <c r="AB12" i="6"/>
  <c r="AM10" i="3" s="1"/>
  <c r="AB13" i="6"/>
  <c r="AM11" i="3" s="1"/>
  <c r="AB14" i="6"/>
  <c r="AM12" i="3" s="1"/>
  <c r="AB15" i="6"/>
  <c r="AM13" i="3" s="1"/>
  <c r="AB16" i="6"/>
  <c r="AM14" i="3" s="1"/>
  <c r="AB17" i="6"/>
  <c r="AM15" i="3" s="1"/>
  <c r="AB18" i="6"/>
  <c r="AM16" i="3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B5" i="6"/>
  <c r="AM3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BA5" i="5"/>
  <c r="AE3" i="3" s="1"/>
  <c r="BA6" i="5"/>
  <c r="AE4" i="3" s="1"/>
  <c r="BA7" i="5"/>
  <c r="AE5" i="3" s="1"/>
  <c r="BA8" i="5"/>
  <c r="AE6" i="3" s="1"/>
  <c r="BA9" i="5"/>
  <c r="AE7" i="3" s="1"/>
  <c r="BA10" i="5"/>
  <c r="AE8" i="3" s="1"/>
  <c r="BA11" i="5"/>
  <c r="AE9" i="3" s="1"/>
  <c r="BA12" i="5"/>
  <c r="AE10" i="3" s="1"/>
  <c r="BA13" i="5"/>
  <c r="AE11" i="3" s="1"/>
  <c r="BA14" i="5"/>
  <c r="AE12" i="3" s="1"/>
  <c r="BA15" i="5"/>
  <c r="AE13" i="3" s="1"/>
  <c r="BA16" i="5"/>
  <c r="AE14" i="3" s="1"/>
  <c r="BA17" i="5"/>
  <c r="AE15" i="3" s="1"/>
  <c r="BA18" i="5"/>
  <c r="AE16" i="3" s="1"/>
  <c r="BA19" i="5"/>
  <c r="AE17" i="3" s="1"/>
  <c r="BA20" i="5"/>
  <c r="AE18" i="3" s="1"/>
  <c r="BA21" i="5"/>
  <c r="AE19" i="3" s="1"/>
  <c r="BA22" i="5"/>
  <c r="AE20" i="3" s="1"/>
  <c r="BA23" i="5"/>
  <c r="BA24" i="5"/>
  <c r="AE22" i="3" s="1"/>
  <c r="BA25" i="5"/>
  <c r="AE23" i="3" s="1"/>
  <c r="BA26" i="5"/>
  <c r="AE24" i="3" s="1"/>
  <c r="BA27" i="5"/>
  <c r="AE25" i="3" s="1"/>
  <c r="BA28" i="5"/>
  <c r="AE26" i="3" s="1"/>
  <c r="BA29" i="5"/>
  <c r="AE27" i="3" s="1"/>
  <c r="BA30" i="5"/>
  <c r="AE28" i="3" s="1"/>
  <c r="BA31" i="5"/>
  <c r="BA32" i="5"/>
  <c r="AE30" i="3" s="1"/>
  <c r="BA33" i="5"/>
  <c r="AE31" i="3" s="1"/>
  <c r="AE2" i="3"/>
  <c r="AY5" i="5"/>
  <c r="AD3" i="3" s="1"/>
  <c r="AY6" i="5"/>
  <c r="AD4" i="3" s="1"/>
  <c r="AY7" i="5"/>
  <c r="AD5" i="3" s="1"/>
  <c r="AY8" i="5"/>
  <c r="AD6" i="3" s="1"/>
  <c r="AY9" i="5"/>
  <c r="AD7" i="3" s="1"/>
  <c r="AY10" i="5"/>
  <c r="AD8" i="3" s="1"/>
  <c r="AY11" i="5"/>
  <c r="AD9" i="3" s="1"/>
  <c r="AY12" i="5"/>
  <c r="AD10" i="3" s="1"/>
  <c r="AY13" i="5"/>
  <c r="AD11" i="3" s="1"/>
  <c r="AY14" i="5"/>
  <c r="AD12" i="3" s="1"/>
  <c r="AY15" i="5"/>
  <c r="AD13" i="3" s="1"/>
  <c r="AY16" i="5"/>
  <c r="AD14" i="3" s="1"/>
  <c r="AY17" i="5"/>
  <c r="AD15" i="3" s="1"/>
  <c r="AY18" i="5"/>
  <c r="AD16" i="3" s="1"/>
  <c r="AY19" i="5"/>
  <c r="AD17" i="3" s="1"/>
  <c r="AY20" i="5"/>
  <c r="AD18" i="3" s="1"/>
  <c r="AY21" i="5"/>
  <c r="AD19" i="3" s="1"/>
  <c r="AY22" i="5"/>
  <c r="AD20" i="3" s="1"/>
  <c r="AY23" i="5"/>
  <c r="AD21" i="3" s="1"/>
  <c r="AY24" i="5"/>
  <c r="AD22" i="3" s="1"/>
  <c r="AY25" i="5"/>
  <c r="AD23" i="3" s="1"/>
  <c r="AY26" i="5"/>
  <c r="AD24" i="3" s="1"/>
  <c r="AY27" i="5"/>
  <c r="AD26" i="3"/>
  <c r="AY29" i="5"/>
  <c r="AD27" i="3" s="1"/>
  <c r="AY30" i="5"/>
  <c r="AY31" i="5"/>
  <c r="AD29" i="3" s="1"/>
  <c r="AY32" i="5"/>
  <c r="AD30" i="3" s="1"/>
  <c r="AY33" i="5"/>
  <c r="AD31" i="3" s="1"/>
  <c r="AD2" i="3"/>
  <c r="AU5" i="5"/>
  <c r="AC3" i="3" s="1"/>
  <c r="AU6" i="5"/>
  <c r="AC4" i="3" s="1"/>
  <c r="AU7" i="5"/>
  <c r="AC5" i="3" s="1"/>
  <c r="AU8" i="5"/>
  <c r="AC6" i="3" s="1"/>
  <c r="AU9" i="5"/>
  <c r="AC7" i="3" s="1"/>
  <c r="AU10" i="5"/>
  <c r="AC8" i="3" s="1"/>
  <c r="AU11" i="5"/>
  <c r="AC9" i="3" s="1"/>
  <c r="AU12" i="5"/>
  <c r="AU13" i="5"/>
  <c r="AC11" i="3" s="1"/>
  <c r="AU14" i="5"/>
  <c r="AC12" i="3" s="1"/>
  <c r="AU15" i="5"/>
  <c r="AC13" i="3" s="1"/>
  <c r="AU16" i="5"/>
  <c r="AC14" i="3" s="1"/>
  <c r="AU17" i="5"/>
  <c r="AC15" i="3" s="1"/>
  <c r="AU18" i="5"/>
  <c r="AU19" i="5"/>
  <c r="AC17" i="3" s="1"/>
  <c r="AU20" i="5"/>
  <c r="AC18" i="3" s="1"/>
  <c r="AU21" i="5"/>
  <c r="AC19" i="3" s="1"/>
  <c r="AU22" i="5"/>
  <c r="AC20" i="3" s="1"/>
  <c r="AU23" i="5"/>
  <c r="AC21" i="3" s="1"/>
  <c r="AU24" i="5"/>
  <c r="AC22" i="3" s="1"/>
  <c r="AU25" i="5"/>
  <c r="AC23" i="3" s="1"/>
  <c r="AU26" i="5"/>
  <c r="AC24" i="3" s="1"/>
  <c r="AU27" i="5"/>
  <c r="AC25" i="3" s="1"/>
  <c r="AU28" i="5"/>
  <c r="AC26" i="3" s="1"/>
  <c r="AU29" i="5"/>
  <c r="AC27" i="3" s="1"/>
  <c r="AU30" i="5"/>
  <c r="AC28" i="3" s="1"/>
  <c r="AU31" i="5"/>
  <c r="AC29" i="3" s="1"/>
  <c r="AU32" i="5"/>
  <c r="AC30" i="3" s="1"/>
  <c r="AU33" i="5"/>
  <c r="AC2" i="3"/>
  <c r="AW5" i="5"/>
  <c r="AB3" i="3" s="1"/>
  <c r="AW6" i="5"/>
  <c r="AB4" i="3" s="1"/>
  <c r="AW7" i="5"/>
  <c r="AB5" i="3" s="1"/>
  <c r="AW8" i="5"/>
  <c r="AB6" i="3" s="1"/>
  <c r="AW9" i="5"/>
  <c r="AB7" i="3" s="1"/>
  <c r="AW10" i="5"/>
  <c r="AB8" i="3" s="1"/>
  <c r="AW11" i="5"/>
  <c r="AB9" i="3" s="1"/>
  <c r="AW12" i="5"/>
  <c r="AB10" i="3" s="1"/>
  <c r="AW13" i="5"/>
  <c r="AB11" i="3" s="1"/>
  <c r="AW14" i="5"/>
  <c r="AW15" i="5"/>
  <c r="AB13" i="3" s="1"/>
  <c r="AW16" i="5"/>
  <c r="AB14" i="3" s="1"/>
  <c r="AW17" i="5"/>
  <c r="AB15" i="3" s="1"/>
  <c r="AW18" i="5"/>
  <c r="AB16" i="3" s="1"/>
  <c r="AW19" i="5"/>
  <c r="AB17" i="3" s="1"/>
  <c r="AW20" i="5"/>
  <c r="AB18" i="3" s="1"/>
  <c r="AW21" i="5"/>
  <c r="AB19" i="3" s="1"/>
  <c r="AW22" i="5"/>
  <c r="AW23" i="5"/>
  <c r="AB21" i="3" s="1"/>
  <c r="AW24" i="5"/>
  <c r="AB22" i="3" s="1"/>
  <c r="AW25" i="5"/>
  <c r="AB23" i="3" s="1"/>
  <c r="AW26" i="5"/>
  <c r="AW27" i="5"/>
  <c r="AB25" i="3" s="1"/>
  <c r="AW28" i="5"/>
  <c r="AB26" i="3" s="1"/>
  <c r="AW29" i="5"/>
  <c r="AB27" i="3" s="1"/>
  <c r="AW30" i="5"/>
  <c r="AB28" i="3" s="1"/>
  <c r="AW31" i="5"/>
  <c r="AB29" i="3" s="1"/>
  <c r="AW32" i="5"/>
  <c r="AW33" i="5"/>
  <c r="AB31" i="3" s="1"/>
  <c r="AB2" i="3"/>
  <c r="AF5" i="5"/>
  <c r="Z3" i="3" s="1"/>
  <c r="AF6" i="5"/>
  <c r="Z4" i="3" s="1"/>
  <c r="AF7" i="5"/>
  <c r="Z5" i="3" s="1"/>
  <c r="AF8" i="5"/>
  <c r="Z6" i="3" s="1"/>
  <c r="AF9" i="5"/>
  <c r="AF10" i="5"/>
  <c r="Z8" i="3" s="1"/>
  <c r="AF11" i="5"/>
  <c r="Z9" i="3" s="1"/>
  <c r="AF12" i="5"/>
  <c r="Z10" i="3" s="1"/>
  <c r="AF13" i="5"/>
  <c r="Z11" i="3" s="1"/>
  <c r="AF14" i="5"/>
  <c r="Z12" i="3" s="1"/>
  <c r="AF15" i="5"/>
  <c r="AF16" i="5"/>
  <c r="Z14" i="3" s="1"/>
  <c r="AF17" i="5"/>
  <c r="Z15" i="3" s="1"/>
  <c r="AF18" i="5"/>
  <c r="AF19" i="5"/>
  <c r="Z17" i="3" s="1"/>
  <c r="AF20" i="5"/>
  <c r="Z18" i="3" s="1"/>
  <c r="AF21" i="5"/>
  <c r="Z19" i="3" s="1"/>
  <c r="AF22" i="5"/>
  <c r="AF23" i="5"/>
  <c r="Z21" i="3" s="1"/>
  <c r="AF24" i="5"/>
  <c r="AF25" i="5"/>
  <c r="AF26" i="5"/>
  <c r="Z24" i="3" s="1"/>
  <c r="AF27" i="5"/>
  <c r="Z25" i="3" s="1"/>
  <c r="AF28" i="5"/>
  <c r="Z26" i="3" s="1"/>
  <c r="AF29" i="5"/>
  <c r="Z27" i="3" s="1"/>
  <c r="AF30" i="5"/>
  <c r="Z28" i="3" s="1"/>
  <c r="AF31" i="5"/>
  <c r="Z29" i="3" s="1"/>
  <c r="AF32" i="5"/>
  <c r="Z30" i="3" s="1"/>
  <c r="AF33" i="5"/>
  <c r="Z31" i="3" s="1"/>
  <c r="Z2" i="3"/>
  <c r="AC5" i="5"/>
  <c r="X3" i="3" s="1"/>
  <c r="AC6" i="5"/>
  <c r="X4" i="3" s="1"/>
  <c r="AC7" i="5"/>
  <c r="X5" i="3" s="1"/>
  <c r="AC8" i="5"/>
  <c r="X6" i="3" s="1"/>
  <c r="AC9" i="5"/>
  <c r="X7" i="3" s="1"/>
  <c r="AC10" i="5"/>
  <c r="X8" i="3" s="1"/>
  <c r="AC11" i="5"/>
  <c r="X9" i="3" s="1"/>
  <c r="AC12" i="5"/>
  <c r="X10" i="3" s="1"/>
  <c r="AC13" i="5"/>
  <c r="X11" i="3" s="1"/>
  <c r="AC14" i="5"/>
  <c r="X12" i="3" s="1"/>
  <c r="AC15" i="5"/>
  <c r="AC16" i="5"/>
  <c r="X14" i="3" s="1"/>
  <c r="AC17" i="5"/>
  <c r="X15" i="3" s="1"/>
  <c r="AC18" i="5"/>
  <c r="X16" i="3" s="1"/>
  <c r="AC19" i="5"/>
  <c r="AC20" i="5"/>
  <c r="X18" i="3" s="1"/>
  <c r="AC21" i="5"/>
  <c r="X19" i="3" s="1"/>
  <c r="AC22" i="5"/>
  <c r="X20" i="3" s="1"/>
  <c r="AC23" i="5"/>
  <c r="AC24" i="5"/>
  <c r="X22" i="3" s="1"/>
  <c r="AC25" i="5"/>
  <c r="X23" i="3" s="1"/>
  <c r="AC26" i="5"/>
  <c r="X24" i="3" s="1"/>
  <c r="AC27" i="5"/>
  <c r="AC28" i="5"/>
  <c r="X26" i="3" s="1"/>
  <c r="AC29" i="5"/>
  <c r="X27" i="3" s="1"/>
  <c r="AC30" i="5"/>
  <c r="X28" i="3" s="1"/>
  <c r="AC31" i="5"/>
  <c r="AC32" i="5"/>
  <c r="X30" i="3" s="1"/>
  <c r="AC33" i="5"/>
  <c r="X31" i="3" s="1"/>
  <c r="X2" i="3"/>
  <c r="Z5" i="5"/>
  <c r="V3" i="3" s="1"/>
  <c r="Z6" i="5"/>
  <c r="V4" i="3" s="1"/>
  <c r="Z7" i="5"/>
  <c r="V5" i="3" s="1"/>
  <c r="Z8" i="5"/>
  <c r="V6" i="3" s="1"/>
  <c r="Z9" i="5"/>
  <c r="V7" i="3" s="1"/>
  <c r="Z10" i="5"/>
  <c r="Z11" i="5"/>
  <c r="V9" i="3" s="1"/>
  <c r="Z12" i="5"/>
  <c r="V10" i="3" s="1"/>
  <c r="Z13" i="5"/>
  <c r="V11" i="3" s="1"/>
  <c r="Z14" i="5"/>
  <c r="V12" i="3" s="1"/>
  <c r="Z15" i="5"/>
  <c r="V13" i="3" s="1"/>
  <c r="Z16" i="5"/>
  <c r="V14" i="3" s="1"/>
  <c r="Z17" i="5"/>
  <c r="V15" i="3" s="1"/>
  <c r="Z18" i="5"/>
  <c r="V16" i="3" s="1"/>
  <c r="Z19" i="5"/>
  <c r="V17" i="3" s="1"/>
  <c r="Z20" i="5"/>
  <c r="V18" i="3" s="1"/>
  <c r="Z21" i="5"/>
  <c r="V19" i="3" s="1"/>
  <c r="Z22" i="5"/>
  <c r="V20" i="3" s="1"/>
  <c r="Z23" i="5"/>
  <c r="V21" i="3" s="1"/>
  <c r="Z24" i="5"/>
  <c r="V22" i="3" s="1"/>
  <c r="Z25" i="5"/>
  <c r="V23" i="3" s="1"/>
  <c r="Z26" i="5"/>
  <c r="Z27" i="5"/>
  <c r="V25" i="3" s="1"/>
  <c r="Z28" i="5"/>
  <c r="V26" i="3" s="1"/>
  <c r="Z29" i="5"/>
  <c r="V27" i="3" s="1"/>
  <c r="Z30" i="5"/>
  <c r="V28" i="3" s="1"/>
  <c r="Z31" i="5"/>
  <c r="V29" i="3" s="1"/>
  <c r="Z32" i="5"/>
  <c r="V30" i="3" s="1"/>
  <c r="Z33" i="5"/>
  <c r="V31" i="3" s="1"/>
  <c r="V2" i="3"/>
  <c r="Q5" i="5"/>
  <c r="T3" i="3" s="1"/>
  <c r="Q6" i="5"/>
  <c r="T4" i="3" s="1"/>
  <c r="Q7" i="5"/>
  <c r="T5" i="3" s="1"/>
  <c r="Q8" i="5"/>
  <c r="T6" i="3" s="1"/>
  <c r="Q9" i="5"/>
  <c r="T7" i="3" s="1"/>
  <c r="Q10" i="5"/>
  <c r="T8" i="3" s="1"/>
  <c r="Q11" i="5"/>
  <c r="T9" i="3" s="1"/>
  <c r="Q12" i="5"/>
  <c r="T10" i="3" s="1"/>
  <c r="Q13" i="5"/>
  <c r="T11" i="3" s="1"/>
  <c r="Q14" i="5"/>
  <c r="T12" i="3" s="1"/>
  <c r="Q15" i="5"/>
  <c r="T13" i="3" s="1"/>
  <c r="Q16" i="5"/>
  <c r="T14" i="3" s="1"/>
  <c r="Q17" i="5"/>
  <c r="T15" i="3" s="1"/>
  <c r="Q18" i="5"/>
  <c r="T16" i="3" s="1"/>
  <c r="Q19" i="5"/>
  <c r="T17" i="3" s="1"/>
  <c r="Q20" i="5"/>
  <c r="T18" i="3" s="1"/>
  <c r="Q21" i="5"/>
  <c r="T19" i="3" s="1"/>
  <c r="Q22" i="5"/>
  <c r="T20" i="3" s="1"/>
  <c r="Q23" i="5"/>
  <c r="T21" i="3" s="1"/>
  <c r="Q24" i="5"/>
  <c r="T22" i="3" s="1"/>
  <c r="Q25" i="5"/>
  <c r="T23" i="3" s="1"/>
  <c r="Q26" i="5"/>
  <c r="T24" i="3" s="1"/>
  <c r="Q27" i="5"/>
  <c r="T25" i="3" s="1"/>
  <c r="Q28" i="5"/>
  <c r="T26" i="3" s="1"/>
  <c r="Q29" i="5"/>
  <c r="T27" i="3" s="1"/>
  <c r="Q30" i="5"/>
  <c r="T28" i="3" s="1"/>
  <c r="Q31" i="5"/>
  <c r="T29" i="3" s="1"/>
  <c r="Q32" i="5"/>
  <c r="T30" i="3" s="1"/>
  <c r="Q33" i="5"/>
  <c r="T31" i="3" s="1"/>
  <c r="T2" i="3"/>
  <c r="K5" i="5"/>
  <c r="R3" i="3" s="1"/>
  <c r="K6" i="5"/>
  <c r="R4" i="3" s="1"/>
  <c r="K7" i="5"/>
  <c r="R5" i="3" s="1"/>
  <c r="K8" i="5"/>
  <c r="R6" i="3" s="1"/>
  <c r="K9" i="5"/>
  <c r="R7" i="3" s="1"/>
  <c r="K10" i="5"/>
  <c r="R8" i="3" s="1"/>
  <c r="K11" i="5"/>
  <c r="R9" i="3" s="1"/>
  <c r="K12" i="5"/>
  <c r="R10" i="3" s="1"/>
  <c r="K13" i="5"/>
  <c r="R11" i="3" s="1"/>
  <c r="K14" i="5"/>
  <c r="R12" i="3" s="1"/>
  <c r="K15" i="5"/>
  <c r="R13" i="3" s="1"/>
  <c r="K16" i="5"/>
  <c r="R14" i="3" s="1"/>
  <c r="K17" i="5"/>
  <c r="R15" i="3" s="1"/>
  <c r="K18" i="5"/>
  <c r="R16" i="3" s="1"/>
  <c r="K19" i="5"/>
  <c r="R17" i="3" s="1"/>
  <c r="K20" i="5"/>
  <c r="R18" i="3" s="1"/>
  <c r="K21" i="5"/>
  <c r="R19" i="3" s="1"/>
  <c r="K22" i="5"/>
  <c r="R20" i="3" s="1"/>
  <c r="K23" i="5"/>
  <c r="R21" i="3" s="1"/>
  <c r="K24" i="5"/>
  <c r="R22" i="3" s="1"/>
  <c r="K25" i="5"/>
  <c r="R23" i="3" s="1"/>
  <c r="K26" i="5"/>
  <c r="R24" i="3" s="1"/>
  <c r="K27" i="5"/>
  <c r="R25" i="3" s="1"/>
  <c r="K28" i="5"/>
  <c r="R26" i="3" s="1"/>
  <c r="K29" i="5"/>
  <c r="R27" i="3" s="1"/>
  <c r="K30" i="5"/>
  <c r="R28" i="3" s="1"/>
  <c r="K31" i="5"/>
  <c r="R29" i="3" s="1"/>
  <c r="K32" i="5"/>
  <c r="R30" i="3" s="1"/>
  <c r="K33" i="5"/>
  <c r="R31" i="3" s="1"/>
  <c r="R2" i="3"/>
  <c r="N5" i="5"/>
  <c r="P3" i="3" s="1"/>
  <c r="N6" i="5"/>
  <c r="P4" i="3" s="1"/>
  <c r="N7" i="5"/>
  <c r="P5" i="3" s="1"/>
  <c r="N8" i="5"/>
  <c r="P6" i="3" s="1"/>
  <c r="N9" i="5"/>
  <c r="P7" i="3" s="1"/>
  <c r="N10" i="5"/>
  <c r="P8" i="3" s="1"/>
  <c r="N11" i="5"/>
  <c r="P9" i="3" s="1"/>
  <c r="N12" i="5"/>
  <c r="P10" i="3" s="1"/>
  <c r="N13" i="5"/>
  <c r="P11" i="3" s="1"/>
  <c r="N14" i="5"/>
  <c r="P12" i="3" s="1"/>
  <c r="N15" i="5"/>
  <c r="P13" i="3" s="1"/>
  <c r="N16" i="5"/>
  <c r="P14" i="3" s="1"/>
  <c r="N17" i="5"/>
  <c r="P15" i="3" s="1"/>
  <c r="N18" i="5"/>
  <c r="P16" i="3" s="1"/>
  <c r="N19" i="5"/>
  <c r="P17" i="3" s="1"/>
  <c r="N20" i="5"/>
  <c r="P18" i="3" s="1"/>
  <c r="N21" i="5"/>
  <c r="P19" i="3" s="1"/>
  <c r="N22" i="5"/>
  <c r="P20" i="3" s="1"/>
  <c r="N23" i="5"/>
  <c r="P21" i="3" s="1"/>
  <c r="N24" i="5"/>
  <c r="P22" i="3" s="1"/>
  <c r="N25" i="5"/>
  <c r="P23" i="3" s="1"/>
  <c r="N26" i="5"/>
  <c r="P24" i="3" s="1"/>
  <c r="N27" i="5"/>
  <c r="P25" i="3" s="1"/>
  <c r="N28" i="5"/>
  <c r="P26" i="3" s="1"/>
  <c r="N29" i="5"/>
  <c r="P27" i="3" s="1"/>
  <c r="N30" i="5"/>
  <c r="P28" i="3" s="1"/>
  <c r="N31" i="5"/>
  <c r="P29" i="3" s="1"/>
  <c r="N32" i="5"/>
  <c r="P30" i="3" s="1"/>
  <c r="N33" i="5"/>
  <c r="P31" i="3" s="1"/>
  <c r="P2" i="3"/>
  <c r="W5" i="5"/>
  <c r="N3" i="3" s="1"/>
  <c r="W6" i="5"/>
  <c r="N4" i="3" s="1"/>
  <c r="W7" i="5"/>
  <c r="N5" i="3" s="1"/>
  <c r="W8" i="5"/>
  <c r="N6" i="3" s="1"/>
  <c r="W9" i="5"/>
  <c r="N7" i="3" s="1"/>
  <c r="W10" i="5"/>
  <c r="N8" i="3" s="1"/>
  <c r="W11" i="5"/>
  <c r="N9" i="3" s="1"/>
  <c r="W12" i="5"/>
  <c r="N10" i="3" s="1"/>
  <c r="W13" i="5"/>
  <c r="N11" i="3" s="1"/>
  <c r="W14" i="5"/>
  <c r="N12" i="3" s="1"/>
  <c r="W15" i="5"/>
  <c r="N13" i="3" s="1"/>
  <c r="W16" i="5"/>
  <c r="W17" i="5"/>
  <c r="N15" i="3" s="1"/>
  <c r="W18" i="5"/>
  <c r="N16" i="3" s="1"/>
  <c r="W19" i="5"/>
  <c r="N17" i="3" s="1"/>
  <c r="W20" i="5"/>
  <c r="N18" i="3" s="1"/>
  <c r="W21" i="5"/>
  <c r="N19" i="3" s="1"/>
  <c r="W22" i="5"/>
  <c r="W23" i="5"/>
  <c r="N21" i="3" s="1"/>
  <c r="W24" i="5"/>
  <c r="N22" i="3" s="1"/>
  <c r="W25" i="5"/>
  <c r="N23" i="3" s="1"/>
  <c r="W26" i="5"/>
  <c r="N24" i="3" s="1"/>
  <c r="W27" i="5"/>
  <c r="N25" i="3" s="1"/>
  <c r="W28" i="5"/>
  <c r="N26" i="3" s="1"/>
  <c r="W29" i="5"/>
  <c r="N27" i="3" s="1"/>
  <c r="W30" i="5"/>
  <c r="N28" i="3" s="1"/>
  <c r="W31" i="5"/>
  <c r="N29" i="3" s="1"/>
  <c r="W32" i="5"/>
  <c r="N30" i="3" s="1"/>
  <c r="W33" i="5"/>
  <c r="N2" i="3"/>
  <c r="AI5" i="5"/>
  <c r="L3" i="3" s="1"/>
  <c r="AI6" i="5"/>
  <c r="L4" i="3" s="1"/>
  <c r="AI7" i="5"/>
  <c r="AI8" i="5"/>
  <c r="L6" i="3" s="1"/>
  <c r="AI9" i="5"/>
  <c r="L7" i="3" s="1"/>
  <c r="AI10" i="5"/>
  <c r="AI11" i="5"/>
  <c r="L9" i="3" s="1"/>
  <c r="AI12" i="5"/>
  <c r="L10" i="3" s="1"/>
  <c r="AI13" i="5"/>
  <c r="L11" i="3" s="1"/>
  <c r="AI14" i="5"/>
  <c r="AI15" i="5"/>
  <c r="L13" i="3" s="1"/>
  <c r="AI16" i="5"/>
  <c r="L14" i="3" s="1"/>
  <c r="AI17" i="5"/>
  <c r="L15" i="3" s="1"/>
  <c r="AI18" i="5"/>
  <c r="L16" i="3" s="1"/>
  <c r="AI19" i="5"/>
  <c r="L17" i="3" s="1"/>
  <c r="AI20" i="5"/>
  <c r="AI21" i="5"/>
  <c r="AI22" i="5"/>
  <c r="L20" i="3" s="1"/>
  <c r="AI23" i="5"/>
  <c r="AI24" i="5"/>
  <c r="L22" i="3" s="1"/>
  <c r="AI25" i="5"/>
  <c r="L23" i="3" s="1"/>
  <c r="AI26" i="5"/>
  <c r="L24" i="3" s="1"/>
  <c r="AI27" i="5"/>
  <c r="L25" i="3" s="1"/>
  <c r="AI28" i="5"/>
  <c r="L26" i="3" s="1"/>
  <c r="AI29" i="5"/>
  <c r="L27" i="3" s="1"/>
  <c r="AI30" i="5"/>
  <c r="AI31" i="5"/>
  <c r="L29" i="3" s="1"/>
  <c r="AI32" i="5"/>
  <c r="L30" i="3" s="1"/>
  <c r="AI33" i="5"/>
  <c r="L31" i="3" s="1"/>
  <c r="L2" i="3"/>
  <c r="T5" i="5"/>
  <c r="J3" i="3" s="1"/>
  <c r="T6" i="5"/>
  <c r="J4" i="3" s="1"/>
  <c r="T7" i="5"/>
  <c r="T8" i="5"/>
  <c r="J6" i="3" s="1"/>
  <c r="T9" i="5"/>
  <c r="J7" i="3" s="1"/>
  <c r="T10" i="5"/>
  <c r="J8" i="3" s="1"/>
  <c r="T11" i="5"/>
  <c r="J9" i="3" s="1"/>
  <c r="T12" i="5"/>
  <c r="J10" i="3" s="1"/>
  <c r="T13" i="5"/>
  <c r="J11" i="3" s="1"/>
  <c r="T14" i="5"/>
  <c r="J12" i="3" s="1"/>
  <c r="T15" i="5"/>
  <c r="J13" i="3" s="1"/>
  <c r="T16" i="5"/>
  <c r="J14" i="3" s="1"/>
  <c r="T17" i="5"/>
  <c r="J15" i="3" s="1"/>
  <c r="T18" i="5"/>
  <c r="J16" i="3" s="1"/>
  <c r="T19" i="5"/>
  <c r="J17" i="3" s="1"/>
  <c r="T20" i="5"/>
  <c r="J18" i="3" s="1"/>
  <c r="T21" i="5"/>
  <c r="J19" i="3" s="1"/>
  <c r="T22" i="5"/>
  <c r="J20" i="3" s="1"/>
  <c r="T23" i="5"/>
  <c r="J21" i="3" s="1"/>
  <c r="T24" i="5"/>
  <c r="J22" i="3" s="1"/>
  <c r="T25" i="5"/>
  <c r="J23" i="3" s="1"/>
  <c r="T26" i="5"/>
  <c r="J24" i="3" s="1"/>
  <c r="T27" i="5"/>
  <c r="J25" i="3" s="1"/>
  <c r="T28" i="5"/>
  <c r="J26" i="3" s="1"/>
  <c r="T29" i="5"/>
  <c r="J27" i="3" s="1"/>
  <c r="T30" i="5"/>
  <c r="T31" i="5"/>
  <c r="J29" i="3" s="1"/>
  <c r="T32" i="5"/>
  <c r="J30" i="3" s="1"/>
  <c r="T33" i="5"/>
  <c r="J31" i="3" s="1"/>
  <c r="J2" i="3"/>
  <c r="E5" i="5"/>
  <c r="H3" i="3" s="1"/>
  <c r="E6" i="5"/>
  <c r="H4" i="3" s="1"/>
  <c r="E7" i="5"/>
  <c r="H5" i="3" s="1"/>
  <c r="E8" i="5"/>
  <c r="H6" i="3" s="1"/>
  <c r="E9" i="5"/>
  <c r="H7" i="3" s="1"/>
  <c r="E10" i="5"/>
  <c r="H8" i="3" s="1"/>
  <c r="E11" i="5"/>
  <c r="H9" i="3" s="1"/>
  <c r="E12" i="5"/>
  <c r="H10" i="3" s="1"/>
  <c r="E13" i="5"/>
  <c r="H11" i="3" s="1"/>
  <c r="E14" i="5"/>
  <c r="H12" i="3" s="1"/>
  <c r="E15" i="5"/>
  <c r="H13" i="3" s="1"/>
  <c r="E16" i="5"/>
  <c r="H14" i="3" s="1"/>
  <c r="E17" i="5"/>
  <c r="H15" i="3" s="1"/>
  <c r="E18" i="5"/>
  <c r="H16" i="3" s="1"/>
  <c r="E19" i="5"/>
  <c r="H17" i="3" s="1"/>
  <c r="E20" i="5"/>
  <c r="E21" i="5"/>
  <c r="H19" i="3" s="1"/>
  <c r="E22" i="5"/>
  <c r="H20" i="3" s="1"/>
  <c r="E23" i="5"/>
  <c r="H21" i="3" s="1"/>
  <c r="E24" i="5"/>
  <c r="H22" i="3" s="1"/>
  <c r="E25" i="5"/>
  <c r="H23" i="3" s="1"/>
  <c r="E26" i="5"/>
  <c r="H24" i="3" s="1"/>
  <c r="E27" i="5"/>
  <c r="H25" i="3" s="1"/>
  <c r="E28" i="5"/>
  <c r="E29" i="5"/>
  <c r="H27" i="3" s="1"/>
  <c r="E30" i="5"/>
  <c r="H28" i="3" s="1"/>
  <c r="E31" i="5"/>
  <c r="H29" i="3" s="1"/>
  <c r="E32" i="5"/>
  <c r="E33" i="5"/>
  <c r="H31" i="3" s="1"/>
  <c r="H2" i="3"/>
  <c r="H5" i="5"/>
  <c r="F3" i="3" s="1"/>
  <c r="H6" i="5"/>
  <c r="F4" i="3" s="1"/>
  <c r="H7" i="5"/>
  <c r="F5" i="3" s="1"/>
  <c r="H8" i="5"/>
  <c r="F6" i="3" s="1"/>
  <c r="H9" i="5"/>
  <c r="F7" i="3" s="1"/>
  <c r="H10" i="5"/>
  <c r="F8" i="3" s="1"/>
  <c r="H11" i="5"/>
  <c r="F9" i="3" s="1"/>
  <c r="H12" i="5"/>
  <c r="F10" i="3" s="1"/>
  <c r="H13" i="5"/>
  <c r="F11" i="3" s="1"/>
  <c r="H14" i="5"/>
  <c r="F12" i="3" s="1"/>
  <c r="H15" i="5"/>
  <c r="F13" i="3" s="1"/>
  <c r="H16" i="5"/>
  <c r="F14" i="3" s="1"/>
  <c r="H17" i="5"/>
  <c r="F15" i="3" s="1"/>
  <c r="H18" i="5"/>
  <c r="F16" i="3" s="1"/>
  <c r="H19" i="5"/>
  <c r="F17" i="3" s="1"/>
  <c r="H20" i="5"/>
  <c r="F18" i="3" s="1"/>
  <c r="H21" i="5"/>
  <c r="F19" i="3" s="1"/>
  <c r="H22" i="5"/>
  <c r="F20" i="3" s="1"/>
  <c r="H23" i="5"/>
  <c r="F21" i="3" s="1"/>
  <c r="H24" i="5"/>
  <c r="F22" i="3" s="1"/>
  <c r="H25" i="5"/>
  <c r="F23" i="3" s="1"/>
  <c r="H26" i="5"/>
  <c r="F24" i="3" s="1"/>
  <c r="H27" i="5"/>
  <c r="F25" i="3" s="1"/>
  <c r="H28" i="5"/>
  <c r="F26" i="3" s="1"/>
  <c r="H29" i="5"/>
  <c r="H30" i="5"/>
  <c r="F28" i="3" s="1"/>
  <c r="H31" i="5"/>
  <c r="F29" i="3" s="1"/>
  <c r="H32" i="5"/>
  <c r="F30" i="3" s="1"/>
  <c r="H33" i="5"/>
  <c r="F31" i="3" s="1"/>
  <c r="F2" i="3"/>
  <c r="AK5" i="5"/>
  <c r="E3" i="3" s="1"/>
  <c r="AK6" i="5"/>
  <c r="E4" i="3" s="1"/>
  <c r="AK7" i="5"/>
  <c r="E5" i="3" s="1"/>
  <c r="AK8" i="5"/>
  <c r="E6" i="3" s="1"/>
  <c r="AK9" i="5"/>
  <c r="E7" i="3" s="1"/>
  <c r="AK10" i="5"/>
  <c r="E8" i="3" s="1"/>
  <c r="AK11" i="5"/>
  <c r="E9" i="3" s="1"/>
  <c r="AK12" i="5"/>
  <c r="E10" i="3" s="1"/>
  <c r="AK13" i="5"/>
  <c r="E11" i="3" s="1"/>
  <c r="AK14" i="5"/>
  <c r="E12" i="3" s="1"/>
  <c r="AK15" i="5"/>
  <c r="E13" i="3" s="1"/>
  <c r="AK16" i="5"/>
  <c r="E14" i="3" s="1"/>
  <c r="AK17" i="5"/>
  <c r="E15" i="3" s="1"/>
  <c r="AK18" i="5"/>
  <c r="E16" i="3" s="1"/>
  <c r="AK19" i="5"/>
  <c r="E17" i="3" s="1"/>
  <c r="AK20" i="5"/>
  <c r="E18" i="3" s="1"/>
  <c r="AK21" i="5"/>
  <c r="E19" i="3" s="1"/>
  <c r="AK22" i="5"/>
  <c r="E20" i="3" s="1"/>
  <c r="AK23" i="5"/>
  <c r="E21" i="3" s="1"/>
  <c r="AK24" i="5"/>
  <c r="E22" i="3" s="1"/>
  <c r="AK25" i="5"/>
  <c r="E23" i="3" s="1"/>
  <c r="AK26" i="5"/>
  <c r="E24" i="3" s="1"/>
  <c r="AK27" i="5"/>
  <c r="E25" i="3" s="1"/>
  <c r="AK28" i="5"/>
  <c r="E26" i="3" s="1"/>
  <c r="AK29" i="5"/>
  <c r="E27" i="3" s="1"/>
  <c r="AK30" i="5"/>
  <c r="E28" i="3" s="1"/>
  <c r="AK31" i="5"/>
  <c r="E29" i="3" s="1"/>
  <c r="AK32" i="5"/>
  <c r="E30" i="3" s="1"/>
  <c r="AK33" i="5"/>
  <c r="E31" i="3" s="1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H16" i="12"/>
  <c r="G16" i="12"/>
  <c r="Z9" i="10"/>
  <c r="Z8" i="10"/>
  <c r="Z7" i="10"/>
  <c r="Z6" i="10"/>
  <c r="Z5" i="10"/>
  <c r="BW45" i="5"/>
  <c r="B61" i="6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Y44" i="6"/>
  <c r="CW43" i="6"/>
  <c r="CR43" i="6"/>
  <c r="CN43" i="6"/>
  <c r="CI43" i="6"/>
  <c r="CC43" i="6"/>
  <c r="BV43" i="6"/>
  <c r="BR43" i="6"/>
  <c r="BN43" i="6"/>
  <c r="BI43" i="6"/>
  <c r="AR43" i="6"/>
  <c r="Y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Y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/>
  <c r="CE38" i="6"/>
  <c r="CF38" i="6" s="1"/>
  <c r="CK38" i="6"/>
  <c r="CL38" i="6"/>
  <c r="CT38" i="6"/>
  <c r="CU38" i="6" s="1"/>
  <c r="BP38" i="6"/>
  <c r="BQ38" i="6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Y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/>
  <c r="CK33" i="6"/>
  <c r="CL33" i="6" s="1"/>
  <c r="CT33" i="6"/>
  <c r="CU33" i="6" s="1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/>
  <c r="CE23" i="6"/>
  <c r="CF23" i="6" s="1"/>
  <c r="CK23" i="6"/>
  <c r="CL23" i="6"/>
  <c r="CT23" i="6"/>
  <c r="CU23" i="6" s="1"/>
  <c r="BP23" i="6"/>
  <c r="BQ23" i="6" s="1"/>
  <c r="DE23" i="6" s="1"/>
  <c r="CY23" i="6"/>
  <c r="CZ23" i="6" s="1"/>
  <c r="DF23" i="6"/>
  <c r="DC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Y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Y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 s="1"/>
  <c r="CE9" i="6"/>
  <c r="CF9" i="6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Y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S44" i="5"/>
  <c r="AS45" i="5" s="1"/>
  <c r="AS46" i="5" s="1"/>
  <c r="AS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S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S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S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S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S39" i="5"/>
  <c r="BL38" i="5"/>
  <c r="BM38" i="5" s="1"/>
  <c r="BQ38" i="5"/>
  <c r="ET38" i="5"/>
  <c r="EW38" i="5" s="1"/>
  <c r="FC38" i="5"/>
  <c r="FF38" i="5" s="1"/>
  <c r="BZ38" i="5"/>
  <c r="CC38" i="5" s="1"/>
  <c r="CI38" i="5"/>
  <c r="CR38" i="5"/>
  <c r="CU38" i="5" s="1"/>
  <c r="DA38" i="5"/>
  <c r="DJ38" i="5"/>
  <c r="DM38" i="5" s="1"/>
  <c r="DS38" i="5"/>
  <c r="EB38" i="5"/>
  <c r="EE38" i="5" s="1"/>
  <c r="EK38" i="5"/>
  <c r="EM38" i="5" s="1"/>
  <c r="GQ38" i="5"/>
  <c r="GJ38" i="5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S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S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S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S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S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S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S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S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S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S29" i="5"/>
  <c r="BL28" i="5"/>
  <c r="BQ28" i="5"/>
  <c r="BS28" i="5" s="1"/>
  <c r="ET28" i="5"/>
  <c r="FC28" i="5"/>
  <c r="FF28" i="5" s="1"/>
  <c r="BZ28" i="5"/>
  <c r="CI28" i="5"/>
  <c r="CL28" i="5" s="1"/>
  <c r="CR28" i="5"/>
  <c r="DA28" i="5"/>
  <c r="DD28" i="5" s="1"/>
  <c r="DJ28" i="5"/>
  <c r="DL28" i="5" s="1"/>
  <c r="DS28" i="5"/>
  <c r="EB28" i="5"/>
  <c r="EK28" i="5"/>
  <c r="GQ28" i="5"/>
  <c r="GS28" i="5" s="1"/>
  <c r="GK28" i="5"/>
  <c r="GL28" i="5"/>
  <c r="GB28" i="5"/>
  <c r="GE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S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S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S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S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S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S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S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S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S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S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S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S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S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S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S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S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S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S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S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DA9" i="5"/>
  <c r="DD9" i="5" s="1"/>
  <c r="DJ9" i="5"/>
  <c r="DM9" i="5" s="1"/>
  <c r="DS9" i="5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S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S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S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S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S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S4" i="5"/>
  <c r="G7" i="1"/>
  <c r="G8" i="1"/>
  <c r="G10" i="1"/>
  <c r="G11" i="1"/>
  <c r="G13" i="1"/>
  <c r="G14" i="1"/>
  <c r="G18" i="1"/>
  <c r="G27" i="1"/>
  <c r="G30" i="1"/>
  <c r="I3" i="1" l="1"/>
  <c r="J3" i="1" s="1"/>
  <c r="G5" i="1"/>
  <c r="G29" i="1"/>
  <c r="G24" i="1"/>
  <c r="I24" i="1"/>
  <c r="J24" i="1" s="1"/>
  <c r="G3" i="1"/>
  <c r="Y45" i="6"/>
  <c r="AZ46" i="6"/>
  <c r="AX44" i="3" s="1"/>
  <c r="I8" i="1"/>
  <c r="J8" i="1" s="1"/>
  <c r="DC9" i="6"/>
  <c r="Y25" i="6"/>
  <c r="Y30" i="6"/>
  <c r="Y33" i="6"/>
  <c r="Y41" i="6"/>
  <c r="G9" i="1"/>
  <c r="G37" i="1"/>
  <c r="Y48" i="6"/>
  <c r="I28" i="1"/>
  <c r="J28" i="1" s="1"/>
  <c r="I12" i="1"/>
  <c r="J12" i="1" s="1"/>
  <c r="DC13" i="6"/>
  <c r="DC17" i="6"/>
  <c r="Y27" i="6"/>
  <c r="Y32" i="6"/>
  <c r="AV34" i="3"/>
  <c r="I33" i="1" s="1"/>
  <c r="J33" i="1" s="1"/>
  <c r="AV45" i="3"/>
  <c r="I42" i="1"/>
  <c r="J42" i="1" s="1"/>
  <c r="EV9" i="5"/>
  <c r="EY9" i="5" s="1"/>
  <c r="AO19" i="5"/>
  <c r="AO5" i="5"/>
  <c r="AO10" i="5"/>
  <c r="AO42" i="5"/>
  <c r="BD29" i="5"/>
  <c r="AO11" i="5"/>
  <c r="AO32" i="5"/>
  <c r="DL38" i="5"/>
  <c r="DO38" i="5" s="1"/>
  <c r="AO40" i="5"/>
  <c r="GD38" i="5"/>
  <c r="EW13" i="5"/>
  <c r="EY13" i="5" s="1"/>
  <c r="DC28" i="5"/>
  <c r="DF28" i="5" s="1"/>
  <c r="BD28" i="5"/>
  <c r="GD28" i="5"/>
  <c r="GM28" i="5"/>
  <c r="AO35" i="5"/>
  <c r="AO15" i="5"/>
  <c r="BD38" i="5"/>
  <c r="AO48" i="5"/>
  <c r="BD9" i="5"/>
  <c r="BD10" i="5"/>
  <c r="DM13" i="5"/>
  <c r="BD24" i="5"/>
  <c r="GT28" i="5"/>
  <c r="GV28" i="5" s="1"/>
  <c r="AN35" i="5"/>
  <c r="FU38" i="5"/>
  <c r="CB38" i="5"/>
  <c r="GW28" i="5"/>
  <c r="BT28" i="5"/>
  <c r="BV28" i="5" s="1"/>
  <c r="CT38" i="5"/>
  <c r="CE38" i="5"/>
  <c r="BD42" i="5"/>
  <c r="AN42" i="5"/>
  <c r="Z46" i="3"/>
  <c r="BD5" i="5"/>
  <c r="EM9" i="5"/>
  <c r="EP9" i="5" s="1"/>
  <c r="CB9" i="5"/>
  <c r="CE9" i="5" s="1"/>
  <c r="AO13" i="5"/>
  <c r="EE13" i="5"/>
  <c r="EG13" i="5" s="1"/>
  <c r="CC13" i="5"/>
  <c r="CE13" i="5" s="1"/>
  <c r="GL17" i="5"/>
  <c r="GM17" i="5" s="1"/>
  <c r="BD16" i="5"/>
  <c r="BD20" i="5"/>
  <c r="BD25" i="5"/>
  <c r="FU28" i="5"/>
  <c r="FX28" i="5" s="1"/>
  <c r="DM28" i="5"/>
  <c r="DO28" i="5" s="1"/>
  <c r="FE28" i="5"/>
  <c r="FH28" i="5" s="1"/>
  <c r="ED38" i="5"/>
  <c r="EG38" i="5" s="1"/>
  <c r="FE38" i="5"/>
  <c r="FH38" i="5" s="1"/>
  <c r="AO41" i="5"/>
  <c r="AO43" i="5"/>
  <c r="AO44" i="5"/>
  <c r="Z13" i="3"/>
  <c r="BD8" i="5"/>
  <c r="AO17" i="5"/>
  <c r="AO27" i="5"/>
  <c r="FL28" i="5"/>
  <c r="AO6" i="5"/>
  <c r="GW9" i="5"/>
  <c r="GY9" i="5"/>
  <c r="GL9" i="5"/>
  <c r="GM9" i="5" s="1"/>
  <c r="GY13" i="5"/>
  <c r="GT13" i="5"/>
  <c r="GV13" i="5" s="1"/>
  <c r="AO16" i="5"/>
  <c r="BD15" i="5"/>
  <c r="BD19" i="5"/>
  <c r="AO26" i="5"/>
  <c r="AO28" i="5"/>
  <c r="CK28" i="5"/>
  <c r="CN28" i="5" s="1"/>
  <c r="AO31" i="5"/>
  <c r="AO33" i="5"/>
  <c r="BD34" i="5"/>
  <c r="L8" i="3"/>
  <c r="BD35" i="5"/>
  <c r="CU9" i="5"/>
  <c r="CT9" i="5"/>
  <c r="CT13" i="5"/>
  <c r="CU13" i="5"/>
  <c r="Z35" i="3"/>
  <c r="AN37" i="5"/>
  <c r="AO37" i="5"/>
  <c r="AO29" i="5"/>
  <c r="J5" i="3"/>
  <c r="AN7" i="5"/>
  <c r="L28" i="3"/>
  <c r="AO30" i="5"/>
  <c r="L21" i="3"/>
  <c r="AO23" i="5"/>
  <c r="L18" i="3"/>
  <c r="AO20" i="5"/>
  <c r="L12" i="3"/>
  <c r="AO14" i="5"/>
  <c r="L5" i="3"/>
  <c r="AO7" i="5"/>
  <c r="AN14" i="5"/>
  <c r="V8" i="3"/>
  <c r="AN10" i="5"/>
  <c r="AE29" i="3"/>
  <c r="BD31" i="5"/>
  <c r="AE21" i="3"/>
  <c r="BD23" i="5"/>
  <c r="Z36" i="3"/>
  <c r="E35" i="1" s="1"/>
  <c r="F35" i="1" s="1"/>
  <c r="AO38" i="5"/>
  <c r="AN38" i="5"/>
  <c r="Z20" i="3"/>
  <c r="AO22" i="5"/>
  <c r="AC34" i="3"/>
  <c r="BD36" i="5"/>
  <c r="GD13" i="5"/>
  <c r="GE13" i="5"/>
  <c r="DU28" i="5"/>
  <c r="DV28" i="5"/>
  <c r="CB28" i="5"/>
  <c r="CC28" i="5"/>
  <c r="GL38" i="5"/>
  <c r="GK38" i="5"/>
  <c r="J28" i="3"/>
  <c r="AN30" i="5"/>
  <c r="V24" i="3"/>
  <c r="AN26" i="5"/>
  <c r="AC10" i="3"/>
  <c r="E9" i="1" s="1"/>
  <c r="F9" i="1" s="1"/>
  <c r="BD12" i="5"/>
  <c r="N39" i="3"/>
  <c r="AN41" i="5"/>
  <c r="Z37" i="3"/>
  <c r="E36" i="1" s="1"/>
  <c r="F36" i="1" s="1"/>
  <c r="AN39" i="5"/>
  <c r="AO39" i="5"/>
  <c r="X32" i="3"/>
  <c r="E31" i="1" s="1"/>
  <c r="F31" i="1" s="1"/>
  <c r="AN34" i="5"/>
  <c r="Z42" i="3"/>
  <c r="E41" i="1" s="1"/>
  <c r="F41" i="1" s="1"/>
  <c r="AN44" i="5"/>
  <c r="Z23" i="3"/>
  <c r="E22" i="1" s="1"/>
  <c r="F22" i="1" s="1"/>
  <c r="AO25" i="5"/>
  <c r="V34" i="3"/>
  <c r="AN36" i="5"/>
  <c r="L34" i="3"/>
  <c r="AO36" i="5"/>
  <c r="DV9" i="5"/>
  <c r="DU9" i="5"/>
  <c r="DC38" i="5"/>
  <c r="DD38" i="5"/>
  <c r="EN28" i="5"/>
  <c r="EM28" i="5"/>
  <c r="Z7" i="3"/>
  <c r="E6" i="1" s="1"/>
  <c r="F6" i="1" s="1"/>
  <c r="AN9" i="5"/>
  <c r="AO9" i="5"/>
  <c r="AB12" i="3"/>
  <c r="BD14" i="5"/>
  <c r="AC31" i="3"/>
  <c r="BD33" i="5"/>
  <c r="AB39" i="3"/>
  <c r="BD41" i="5"/>
  <c r="AC38" i="3"/>
  <c r="BD40" i="5"/>
  <c r="GY38" i="5"/>
  <c r="E3" i="1"/>
  <c r="F3" i="1" s="1"/>
  <c r="AN8" i="5"/>
  <c r="AO12" i="5"/>
  <c r="BD13" i="5"/>
  <c r="BD17" i="5"/>
  <c r="AN17" i="5"/>
  <c r="BD21" i="5"/>
  <c r="FL23" i="5"/>
  <c r="AO34" i="5"/>
  <c r="GW38" i="5"/>
  <c r="EN38" i="5"/>
  <c r="EP38" i="5" s="1"/>
  <c r="CW38" i="5"/>
  <c r="EV38" i="5"/>
  <c r="EY38" i="5" s="1"/>
  <c r="BD44" i="5"/>
  <c r="E14" i="1"/>
  <c r="F14" i="1" s="1"/>
  <c r="E2" i="1"/>
  <c r="F2" i="1" s="1"/>
  <c r="AN18" i="5"/>
  <c r="BD7" i="5"/>
  <c r="BD6" i="5"/>
  <c r="BD39" i="5"/>
  <c r="DU38" i="5"/>
  <c r="DV38" i="5"/>
  <c r="F27" i="3"/>
  <c r="E26" i="1" s="1"/>
  <c r="AN29" i="5"/>
  <c r="AP29" i="5" s="1"/>
  <c r="GY28" i="5"/>
  <c r="HD28" i="5" s="1"/>
  <c r="GS33" i="5"/>
  <c r="GW33" i="5"/>
  <c r="CK38" i="5"/>
  <c r="CL38" i="5"/>
  <c r="H30" i="3"/>
  <c r="AN32" i="5"/>
  <c r="H26" i="3"/>
  <c r="E25" i="1" s="1"/>
  <c r="F25" i="1" s="1"/>
  <c r="AN28" i="5"/>
  <c r="H18" i="3"/>
  <c r="AN20" i="5"/>
  <c r="N14" i="3"/>
  <c r="E13" i="1" s="1"/>
  <c r="F13" i="1" s="1"/>
  <c r="AN16" i="5"/>
  <c r="AB41" i="3"/>
  <c r="BD43" i="5"/>
  <c r="X41" i="3"/>
  <c r="AN43" i="5"/>
  <c r="N38" i="3"/>
  <c r="AN40" i="5"/>
  <c r="AP40" i="5" s="1"/>
  <c r="AC35" i="3"/>
  <c r="BD37" i="5"/>
  <c r="AL34" i="3"/>
  <c r="G33" i="1" s="1"/>
  <c r="Y36" i="6"/>
  <c r="GS23" i="5"/>
  <c r="GT23" i="5"/>
  <c r="CB23" i="5"/>
  <c r="CC23" i="5"/>
  <c r="EV28" i="5"/>
  <c r="EW28" i="5"/>
  <c r="X25" i="3"/>
  <c r="AN27" i="5"/>
  <c r="GW13" i="5"/>
  <c r="FL13" i="5"/>
  <c r="AO8" i="5"/>
  <c r="AN6" i="5"/>
  <c r="AP6" i="5" s="1"/>
  <c r="FU9" i="5"/>
  <c r="FX9" i="5" s="1"/>
  <c r="DC9" i="5"/>
  <c r="DF9" i="5" s="1"/>
  <c r="CK9" i="5"/>
  <c r="CN9" i="5" s="1"/>
  <c r="AN12" i="5"/>
  <c r="DO13" i="5"/>
  <c r="FL17" i="5"/>
  <c r="GD17" i="5"/>
  <c r="GG17" i="5" s="1"/>
  <c r="GS17" i="5"/>
  <c r="GV17" i="5" s="1"/>
  <c r="AN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L19" i="3"/>
  <c r="E18" i="1" s="1"/>
  <c r="F18" i="1" s="1"/>
  <c r="AO21" i="5"/>
  <c r="N20" i="3"/>
  <c r="AN22" i="5"/>
  <c r="AD25" i="3"/>
  <c r="BD27" i="5"/>
  <c r="AK29" i="3"/>
  <c r="G28" i="1" s="1"/>
  <c r="Y31" i="6"/>
  <c r="AK22" i="3"/>
  <c r="G21" i="1" s="1"/>
  <c r="Y24" i="6"/>
  <c r="AK5" i="3"/>
  <c r="G4" i="1" s="1"/>
  <c r="Y7" i="6"/>
  <c r="AL27" i="3"/>
  <c r="G26" i="1" s="1"/>
  <c r="Y29" i="6"/>
  <c r="AL24" i="3"/>
  <c r="G23" i="1" s="1"/>
  <c r="Y26" i="6"/>
  <c r="AL21" i="3"/>
  <c r="G20" i="1" s="1"/>
  <c r="Y23" i="6"/>
  <c r="AL17" i="3"/>
  <c r="G16" i="1" s="1"/>
  <c r="Y19" i="6"/>
  <c r="AL13" i="3"/>
  <c r="G12" i="1" s="1"/>
  <c r="Y15" i="6"/>
  <c r="DL23" i="5"/>
  <c r="DM23" i="5"/>
  <c r="BM28" i="5"/>
  <c r="FJ28" i="5"/>
  <c r="N31" i="3"/>
  <c r="AN33" i="5"/>
  <c r="X29" i="3"/>
  <c r="E28" i="1" s="1"/>
  <c r="F28" i="1" s="1"/>
  <c r="AN31" i="5"/>
  <c r="X21" i="3"/>
  <c r="AN23" i="5"/>
  <c r="AP23" i="5" s="1"/>
  <c r="X17" i="3"/>
  <c r="E16" i="1" s="1"/>
  <c r="F16" i="1" s="1"/>
  <c r="AN19" i="5"/>
  <c r="AP19" i="5" s="1"/>
  <c r="X13" i="3"/>
  <c r="AN15" i="5"/>
  <c r="Z22" i="3"/>
  <c r="E21" i="1" s="1"/>
  <c r="F21" i="1" s="1"/>
  <c r="AN24" i="5"/>
  <c r="Z16" i="3"/>
  <c r="AO18" i="5"/>
  <c r="AB30" i="3"/>
  <c r="BD32" i="5"/>
  <c r="AC16" i="3"/>
  <c r="BD18" i="5"/>
  <c r="FJ9" i="5"/>
  <c r="AN13" i="5"/>
  <c r="FV17" i="5"/>
  <c r="FX17" i="5" s="1"/>
  <c r="GW17" i="5"/>
  <c r="AO24" i="5"/>
  <c r="AN5" i="5"/>
  <c r="ED9" i="5"/>
  <c r="EG9" i="5" s="1"/>
  <c r="DL9" i="5"/>
  <c r="DO9" i="5" s="1"/>
  <c r="FE9" i="5"/>
  <c r="FH9" i="5" s="1"/>
  <c r="BS9" i="5"/>
  <c r="BV9" i="5" s="1"/>
  <c r="BD11" i="5"/>
  <c r="AN11" i="5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N25" i="5"/>
  <c r="CT28" i="5"/>
  <c r="CU28" i="5"/>
  <c r="FJ38" i="5"/>
  <c r="GT38" i="5"/>
  <c r="GS38" i="5"/>
  <c r="AB24" i="3"/>
  <c r="BD26" i="5"/>
  <c r="AB20" i="3"/>
  <c r="BD22" i="5"/>
  <c r="AD28" i="3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G28" i="5"/>
  <c r="GY33" i="5"/>
  <c r="GG38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FX38" i="5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AO49" i="5"/>
  <c r="Z47" i="3"/>
  <c r="E46" i="1" s="1"/>
  <c r="GW23" i="5"/>
  <c r="FJ33" i="5"/>
  <c r="DE13" i="6"/>
  <c r="G38" i="1"/>
  <c r="I41" i="1"/>
  <c r="J41" i="1" s="1"/>
  <c r="AV38" i="3"/>
  <c r="I37" i="1" s="1"/>
  <c r="J37" i="1" s="1"/>
  <c r="AZ40" i="6"/>
  <c r="AX38" i="3" s="1"/>
  <c r="E45" i="1"/>
  <c r="F45" i="1" s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Z13" i="6"/>
  <c r="AX11" i="3" s="1"/>
  <c r="AZ11" i="6"/>
  <c r="AX9" i="3" s="1"/>
  <c r="AZ9" i="6"/>
  <c r="AX7" i="3" s="1"/>
  <c r="AZ7" i="6"/>
  <c r="AX5" i="3" s="1"/>
  <c r="G19" i="1"/>
  <c r="G6" i="1"/>
  <c r="G32" i="1"/>
  <c r="E42" i="1"/>
  <c r="F42" i="1" s="1"/>
  <c r="G43" i="1"/>
  <c r="G25" i="1"/>
  <c r="G36" i="1"/>
  <c r="G56" i="1"/>
  <c r="G41" i="1"/>
  <c r="Y50" i="6"/>
  <c r="AK48" i="3"/>
  <c r="G47" i="1" s="1"/>
  <c r="G46" i="1"/>
  <c r="G39" i="1"/>
  <c r="AZ34" i="6"/>
  <c r="AX32" i="3" s="1"/>
  <c r="G48" i="1"/>
  <c r="BD48" i="5"/>
  <c r="I43" i="1"/>
  <c r="J43" i="1" s="1"/>
  <c r="E55" i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AV39" i="3"/>
  <c r="I38" i="1" s="1"/>
  <c r="J38" i="1" s="1"/>
  <c r="AZ41" i="6"/>
  <c r="AX39" i="3" s="1"/>
  <c r="I36" i="1"/>
  <c r="J36" i="1" s="1"/>
  <c r="AV35" i="3"/>
  <c r="I34" i="1" s="1"/>
  <c r="J34" i="1" s="1"/>
  <c r="AZ37" i="6"/>
  <c r="AX35" i="3" s="1"/>
  <c r="G34" i="1"/>
  <c r="AV30" i="3"/>
  <c r="I29" i="1" s="1"/>
  <c r="J29" i="1" s="1"/>
  <c r="AV26" i="3"/>
  <c r="I25" i="1" s="1"/>
  <c r="J25" i="1" s="1"/>
  <c r="AV22" i="3"/>
  <c r="I21" i="1" s="1"/>
  <c r="J21" i="1" s="1"/>
  <c r="AV18" i="3"/>
  <c r="I17" i="1" s="1"/>
  <c r="J17" i="1" s="1"/>
  <c r="AV14" i="3"/>
  <c r="I13" i="1" s="1"/>
  <c r="J13" i="1" s="1"/>
  <c r="AV10" i="3"/>
  <c r="I9" i="1" s="1"/>
  <c r="J9" i="1" s="1"/>
  <c r="AV6" i="3"/>
  <c r="I5" i="1" s="1"/>
  <c r="J5" i="1" s="1"/>
  <c r="AZ42" i="6"/>
  <c r="AX40" i="3" s="1"/>
  <c r="AW40" i="3"/>
  <c r="I39" i="1" s="1"/>
  <c r="J39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2" i="1"/>
  <c r="F32" i="1" s="1"/>
  <c r="I31" i="1"/>
  <c r="J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AV33" i="3"/>
  <c r="I32" i="1" s="1"/>
  <c r="J32" i="1" s="1"/>
  <c r="AZ35" i="6"/>
  <c r="AX33" i="3" s="1"/>
  <c r="AZ38" i="6"/>
  <c r="AX36" i="3" s="1"/>
  <c r="AW36" i="3"/>
  <c r="I35" i="1" s="1"/>
  <c r="J35" i="1" s="1"/>
  <c r="I59" i="1"/>
  <c r="J59" i="1" s="1"/>
  <c r="E59" i="1"/>
  <c r="F59" i="1" s="1"/>
  <c r="E57" i="1"/>
  <c r="F57" i="1" s="1"/>
  <c r="I55" i="1"/>
  <c r="J55" i="1" s="1"/>
  <c r="F55" i="1"/>
  <c r="I53" i="1"/>
  <c r="J53" i="1" s="1"/>
  <c r="E53" i="1"/>
  <c r="F53" i="1" s="1"/>
  <c r="I52" i="1"/>
  <c r="J52" i="1" s="1"/>
  <c r="Y49" i="6"/>
  <c r="G49" i="1"/>
  <c r="I48" i="1"/>
  <c r="J48" i="1" s="1"/>
  <c r="AK43" i="3"/>
  <c r="G42" i="1" s="1"/>
  <c r="AN48" i="5"/>
  <c r="AN51" i="5"/>
  <c r="AO51" i="5"/>
  <c r="AN47" i="5"/>
  <c r="Z45" i="3"/>
  <c r="E44" i="1" s="1"/>
  <c r="F44" i="1" s="1"/>
  <c r="AO47" i="5"/>
  <c r="AO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N50" i="5"/>
  <c r="AN46" i="5"/>
  <c r="I44" i="1"/>
  <c r="J44" i="1" s="1"/>
  <c r="BD46" i="5"/>
  <c r="AN49" i="5"/>
  <c r="AN45" i="5"/>
  <c r="AO50" i="5"/>
  <c r="AO45" i="5"/>
  <c r="BD50" i="5"/>
  <c r="AZ48" i="6"/>
  <c r="AX46" i="3" s="1"/>
  <c r="AZ45" i="6"/>
  <c r="AX43" i="3" s="1"/>
  <c r="AK45" i="3"/>
  <c r="G44" i="1" s="1"/>
  <c r="BD49" i="5"/>
  <c r="BD45" i="5"/>
  <c r="Y46" i="6"/>
  <c r="AZ49" i="6"/>
  <c r="AX47" i="3" s="1"/>
  <c r="AP38" i="5" l="1"/>
  <c r="AP26" i="5"/>
  <c r="AP32" i="5"/>
  <c r="HD9" i="5"/>
  <c r="AP21" i="5"/>
  <c r="DF38" i="5"/>
  <c r="AP10" i="5"/>
  <c r="AP37" i="5"/>
  <c r="AP42" i="5"/>
  <c r="AP11" i="5"/>
  <c r="AP22" i="5"/>
  <c r="AP48" i="5"/>
  <c r="HB33" i="5"/>
  <c r="HD13" i="5"/>
  <c r="E23" i="1"/>
  <c r="F23" i="1" s="1"/>
  <c r="HB9" i="5"/>
  <c r="AP9" i="5"/>
  <c r="AP17" i="5"/>
  <c r="E30" i="1"/>
  <c r="F30" i="1" s="1"/>
  <c r="E7" i="1"/>
  <c r="F7" i="1" s="1"/>
  <c r="GV23" i="5"/>
  <c r="AP43" i="5"/>
  <c r="GX28" i="5"/>
  <c r="E34" i="1"/>
  <c r="F34" i="1" s="1"/>
  <c r="AP35" i="5"/>
  <c r="AP15" i="5"/>
  <c r="AP33" i="5"/>
  <c r="HB38" i="5"/>
  <c r="AP25" i="5"/>
  <c r="AP8" i="5"/>
  <c r="AP20" i="5"/>
  <c r="AP34" i="5"/>
  <c r="CE28" i="5"/>
  <c r="AP41" i="5"/>
  <c r="HB13" i="5"/>
  <c r="E27" i="1"/>
  <c r="F27" i="1" s="1"/>
  <c r="AP31" i="5"/>
  <c r="HB28" i="5"/>
  <c r="E37" i="1"/>
  <c r="F37" i="1" s="1"/>
  <c r="E29" i="1"/>
  <c r="F29" i="1" s="1"/>
  <c r="AP44" i="5"/>
  <c r="E38" i="1"/>
  <c r="F38" i="1" s="1"/>
  <c r="AP14" i="5"/>
  <c r="CW9" i="5"/>
  <c r="AP49" i="5"/>
  <c r="AP46" i="5"/>
  <c r="AP24" i="5"/>
  <c r="AP39" i="5"/>
  <c r="BE38" i="5"/>
  <c r="AP16" i="5"/>
  <c r="E40" i="1"/>
  <c r="F40" i="1" s="1"/>
  <c r="AP36" i="5"/>
  <c r="E11" i="1"/>
  <c r="F11" i="1" s="1"/>
  <c r="HD23" i="5"/>
  <c r="BE33" i="5"/>
  <c r="BE28" i="5"/>
  <c r="E15" i="1"/>
  <c r="F15" i="1" s="1"/>
  <c r="BE43" i="5"/>
  <c r="E33" i="1"/>
  <c r="F33" i="1" s="1"/>
  <c r="GG13" i="5"/>
  <c r="GX13" i="5" s="1"/>
  <c r="GZ13" i="5" s="1"/>
  <c r="AQ9" i="5"/>
  <c r="E20" i="1"/>
  <c r="F20" i="1" s="1"/>
  <c r="AP13" i="5"/>
  <c r="HD38" i="5"/>
  <c r="E24" i="1"/>
  <c r="F24" i="1" s="1"/>
  <c r="EP28" i="5"/>
  <c r="HB17" i="5"/>
  <c r="GZ28" i="5"/>
  <c r="EY28" i="5"/>
  <c r="AP28" i="5"/>
  <c r="DX38" i="5"/>
  <c r="GM38" i="5"/>
  <c r="DX28" i="5"/>
  <c r="BE23" i="5"/>
  <c r="E4" i="1"/>
  <c r="F4" i="1" s="1"/>
  <c r="CW13" i="5"/>
  <c r="FK13" i="5" s="1"/>
  <c r="FM13" i="5" s="1"/>
  <c r="E19" i="1"/>
  <c r="F19" i="1" s="1"/>
  <c r="EG28" i="5"/>
  <c r="CW23" i="5"/>
  <c r="GG23" i="5"/>
  <c r="E17" i="1"/>
  <c r="F17" i="1" s="1"/>
  <c r="AQ43" i="5"/>
  <c r="AP5" i="5"/>
  <c r="F46" i="1"/>
  <c r="BV33" i="5"/>
  <c r="FK33" i="5" s="1"/>
  <c r="BE13" i="5"/>
  <c r="BE18" i="5"/>
  <c r="AP18" i="5"/>
  <c r="CN38" i="5"/>
  <c r="BE9" i="5"/>
  <c r="DX9" i="5"/>
  <c r="AQ38" i="5"/>
  <c r="AP7" i="5"/>
  <c r="AP30" i="5"/>
  <c r="AQ18" i="5"/>
  <c r="BF18" i="5" s="1"/>
  <c r="CE23" i="5"/>
  <c r="AQ28" i="5"/>
  <c r="AP51" i="5"/>
  <c r="AQ33" i="5"/>
  <c r="GV33" i="5"/>
  <c r="GX33" i="5" s="1"/>
  <c r="GZ33" i="5" s="1"/>
  <c r="HD33" i="5"/>
  <c r="GX9" i="5"/>
  <c r="GZ9" i="5" s="1"/>
  <c r="AP27" i="5"/>
  <c r="GX17" i="5"/>
  <c r="AQ23" i="5"/>
  <c r="BF23" i="5" s="1"/>
  <c r="DO23" i="5"/>
  <c r="EY23" i="5"/>
  <c r="EG23" i="5"/>
  <c r="E12" i="1"/>
  <c r="F12" i="1" s="1"/>
  <c r="AQ13" i="5"/>
  <c r="AP12" i="5"/>
  <c r="AP50" i="5"/>
  <c r="BE48" i="5"/>
  <c r="AQ48" i="5"/>
  <c r="HB23" i="5"/>
  <c r="GZ17" i="5"/>
  <c r="F26" i="1"/>
  <c r="GV38" i="5"/>
  <c r="CW28" i="5"/>
  <c r="BV38" i="5"/>
  <c r="FK17" i="5"/>
  <c r="HD17" i="5"/>
  <c r="AP47" i="5"/>
  <c r="AP45" i="5"/>
  <c r="GX23" i="5" l="1"/>
  <c r="GZ23" i="5" s="1"/>
  <c r="FK9" i="5"/>
  <c r="FM9" i="5" s="1"/>
  <c r="BF38" i="5"/>
  <c r="FK28" i="5"/>
  <c r="FM28" i="5" s="1"/>
  <c r="BF9" i="5"/>
  <c r="BF43" i="5"/>
  <c r="BF33" i="5"/>
  <c r="BF28" i="5"/>
  <c r="GX38" i="5"/>
  <c r="GZ38" i="5" s="1"/>
  <c r="HC13" i="5"/>
  <c r="HE13" i="5" s="1"/>
  <c r="FK38" i="5"/>
  <c r="FM38" i="5" s="1"/>
  <c r="BF48" i="5"/>
  <c r="BF13" i="5"/>
  <c r="FK23" i="5"/>
  <c r="FM23" i="5" s="1"/>
  <c r="FM33" i="5"/>
  <c r="HC33" i="5"/>
  <c r="HE33" i="5" s="1"/>
  <c r="FM17" i="5"/>
  <c r="HC17" i="5"/>
  <c r="HE17" i="5" s="1"/>
  <c r="HC9" i="5" l="1"/>
  <c r="HE9" i="5" s="1"/>
  <c r="HC28" i="5"/>
  <c r="HE28" i="5" s="1"/>
  <c r="HC38" i="5"/>
  <c r="HE38" i="5" s="1"/>
  <c r="HC23" i="5"/>
  <c r="HE23" i="5" s="1"/>
</calcChain>
</file>

<file path=xl/sharedStrings.xml><?xml version="1.0" encoding="utf-8"?>
<sst xmlns="http://schemas.openxmlformats.org/spreadsheetml/2006/main" count="1229" uniqueCount="404">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</sst>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</fills>
  <borders count="3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30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28" borderId="16" xfId="0" applyFont="1" applyFill="1" applyBorder="1" applyAlignment="1">
      <alignment horizontal="center"/>
    </xf>
    <xf numFmtId="0" fontId="42" fillId="28" borderId="0" xfId="0" applyFont="1" applyFill="1" applyAlignment="1">
      <alignment horizontal="center"/>
    </xf>
    <xf numFmtId="0" fontId="42" fillId="28" borderId="0" xfId="0" applyFont="1" applyFill="1"/>
    <xf numFmtId="14" fontId="42" fillId="0" borderId="12" xfId="0" applyNumberFormat="1" applyFont="1" applyBorder="1"/>
    <xf numFmtId="14" fontId="42" fillId="29" borderId="12" xfId="0" applyNumberFormat="1" applyFont="1" applyFill="1" applyBorder="1"/>
    <xf numFmtId="0" fontId="42" fillId="0" borderId="22" xfId="0" applyFont="1" applyBorder="1"/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42" fillId="30" borderId="12" xfId="0" applyFont="1" applyFill="1" applyBorder="1"/>
    <xf numFmtId="0" fontId="42" fillId="30" borderId="22" xfId="0" applyFont="1" applyFill="1" applyBorder="1"/>
    <xf numFmtId="0" fontId="42" fillId="30" borderId="12" xfId="0" applyFont="1" applyFill="1" applyBorder="1" applyAlignment="1">
      <alignment wrapText="1"/>
    </xf>
    <xf numFmtId="0" fontId="42" fillId="30" borderId="18" xfId="0" applyFont="1" applyFill="1" applyBorder="1"/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61"/>
  <sheetViews>
    <sheetView topLeftCell="A28" workbookViewId="0">
      <selection activeCell="J2" sqref="J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241994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8.0716593449424362E-2</v>
      </c>
      <c r="G2" s="5">
        <f>Submetering!AK3+Submetering!AL3+Submetering!AU3</f>
        <v>5732.3037999999997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10607.535004000001</v>
      </c>
      <c r="J2" s="13">
        <f>((Submetering!AG3+Submetering!BA3)*0.8868+(1712.96+1070.52)/30+(Submetering!AF3+Submetering!AY3+Submetering!AV3+Submetering!AZ3)*1.1251+(2076.11+129.67+207.57+207.57)/30+(11680.53+56.61)/30)/I2</f>
        <v>0.41229836398347708</v>
      </c>
      <c r="K2" s="5"/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295640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8.0717637997564609E-2</v>
      </c>
      <c r="G3" s="5">
        <f>Submetering!AK4+Submetering!AL4+Submetering!AU4</f>
        <v>7093.1255999999994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13177.333644</v>
      </c>
      <c r="J3" s="13">
        <f>((Submetering!AG4+Submetering!BA4)*0.8868+(1712.96+1070.52)/30+(Submetering!AF4+Submetering!AY4+Submetering!AV4+Submetering!AZ4)*1.1251+(2076.11+129.67+207.57+207.57)/30+(11680.53+56.61)/30)/I3</f>
        <v>0.36848524273175537</v>
      </c>
      <c r="K3" s="5"/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325940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8.0664141492299196E-2</v>
      </c>
      <c r="G4" s="5">
        <f>Submetering!AK5+Submetering!AL5+Submetering!AU5</f>
        <v>5253.0249999999996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17578.247859999999</v>
      </c>
      <c r="J4" s="13">
        <f>((Submetering!AG5+Submetering!BA5)*0.8868+(1712.96+1070.52)/30+(Submetering!AF5+Submetering!AY5+Submetering!AV5+Submetering!AZ5)*1.1251+(2076.11+129.67+207.57+207.57)/30+(11680.53+56.61)/30)/I4</f>
        <v>0.34688488976208276</v>
      </c>
      <c r="K4" s="5"/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286013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8.0734407616437021E-2</v>
      </c>
      <c r="G5" s="5">
        <f>Submetering!AK6+Submetering!AL6+Submetering!AU6</f>
        <v>5892.8119999999999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11017.887427999996</v>
      </c>
      <c r="J5" s="13">
        <f>((Submetering!AG6+Submetering!BA6)*0.8868+(1712.96+1070.52)/30+(Submetering!AF6+Submetering!AY6+Submetering!AV6+Submetering!AZ6)*1.1251+(2076.11+129.67+207.57+207.57)/30+(11680.53+56.61)/30)/I5</f>
        <v>0.47874689445290164</v>
      </c>
      <c r="K5" s="5"/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280017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8.0749979221261564E-2</v>
      </c>
      <c r="G6" s="5">
        <f>Submetering!AK7+Submetering!AL7+Submetering!AU7</f>
        <v>6048.2433999999994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12787.421686</v>
      </c>
      <c r="J6" s="13">
        <f>((Submetering!AG7+Submetering!BA7)*0.8868+(1712.96+1070.52)/30+(Submetering!AF7+Submetering!AY7+Submetering!AV7+Submetering!AZ7)*1.1251+(2076.11+129.67+207.57+207.57)/30+(11680.53+56.61)/30)/I6</f>
        <v>0.51213336167184764</v>
      </c>
      <c r="K6" s="5">
        <f>Occupancy!H4</f>
        <v>9827.4959999999992</v>
      </c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303779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8.0698873403362306E-2</v>
      </c>
      <c r="G7" s="5">
        <f>Submetering!AK8+Submetering!AL8+Submetering!AU8</f>
        <v>7739.08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14341.007948</v>
      </c>
      <c r="J7" s="13">
        <f>((Submetering!AG8+Submetering!BA8)*0.8868+(1712.96+1070.52)/30+(Submetering!AF8+Submetering!AY8+Submetering!AV8+Submetering!AZ8)*1.1251+(2076.11+129.67+207.57+207.57)/30+(11680.53+56.61)/30)/I7</f>
        <v>0.41286150813077177</v>
      </c>
      <c r="K7" s="5"/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339448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8.0615157864533007E-2</v>
      </c>
      <c r="G8" s="5">
        <f>Submetering!AK9+Submetering!AL9+Submetering!AU9</f>
        <v>5602.9366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20007.962995999998</v>
      </c>
      <c r="J8" s="13">
        <f>((Submetering!AG9+Submetering!BA9)*0.8868+(1712.96+1070.52)/30+(Submetering!AF9+Submetering!AY9+Submetering!AV9+Submetering!AZ9)*1.1251+(2076.11+129.67+207.57+207.57)/30+(11680.53+56.61)/30)/I8</f>
        <v>0.34435012265086995</v>
      </c>
      <c r="K8" s="5"/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333247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8.0648352378866126E-2</v>
      </c>
      <c r="G9" s="5">
        <f>Submetering!AK10+Submetering!AL10+Submetering!AU10</f>
        <v>6087.22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18080.739834000004</v>
      </c>
      <c r="J9" s="13">
        <f>((Submetering!AG10+Submetering!BA10)*0.8868+(1712.96+1070.52)/30+(Submetering!AF10+Submetering!AY10+Submetering!AV10+Submetering!AZ10)*1.1251+(2076.11+129.67+207.57+207.57)/30+(11680.53+56.61)/30)/I9</f>
        <v>0.39666511769723339</v>
      </c>
      <c r="K9" s="5"/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274944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8.0677755321810984E-2</v>
      </c>
      <c r="G10" s="5">
        <f>Submetering!AK11+Submetering!AL11+Submetering!AU11</f>
        <v>6370.7722000000003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13432.671300000002</v>
      </c>
      <c r="J10" s="13">
        <f>((Submetering!AG11+Submetering!BA11)*0.8868+(1712.96+1070.52)/30+(Submetering!AF11+Submetering!AY11+Submetering!AV11+Submetering!AZ11)*1.1251+(2076.11+129.67+207.57+207.57)/30+(11680.53+56.61)/30)/I10</f>
        <v>0.46341343862159912</v>
      </c>
      <c r="K10" s="5">
        <f>Occupancy!H5</f>
        <v>9771.5519999999997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349889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8.0614326437241521E-2</v>
      </c>
      <c r="G11" s="5">
        <f>Submetering!AK12+Submetering!AL12+Submetering!AU12</f>
        <v>7051.7359999999999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18624.404579999999</v>
      </c>
      <c r="J11" s="13">
        <f>((Submetering!AG12+Submetering!BA12)*0.8868+(1712.96+1070.52)/30+(Submetering!AF12+Submetering!AY12+Submetering!AV12+Submetering!AZ12)*1.1251+(2076.11+129.67+207.57+207.57)/30+(11680.53+56.61)/30)/I11</f>
        <v>0.41712138515660768</v>
      </c>
      <c r="K11" s="5"/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312051</v>
      </c>
      <c r="F12" s="12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8.0618393793322252E-2</v>
      </c>
      <c r="G12" s="5">
        <f>Submetering!AK13+Submetering!AL13+Submetering!AU13</f>
        <v>4599.9266000000007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18493.689709999999</v>
      </c>
      <c r="J12" s="13">
        <f>((Submetering!AG13+Submetering!BA13)*0.8868+(1712.96+1070.52)/30+(Submetering!AF13+Submetering!AY13+Submetering!AV13+Submetering!AZ13)*1.1251+(2076.11+129.67+207.57+207.57)/30+(11680.53+56.61)/30)/I12</f>
        <v>0.38956539370350818</v>
      </c>
      <c r="K12" s="5"/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289491</v>
      </c>
      <c r="F13" s="12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8.0654765755066665E-2</v>
      </c>
      <c r="G13" s="5">
        <f>Submetering!AK14+Submetering!AL14+Submetering!AU14</f>
        <v>3333.3599999999997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17091.572359999998</v>
      </c>
      <c r="J13" s="13">
        <f>((Submetering!AG14+Submetering!BA14)*0.8868+(1712.96+1070.52)/30+(Submetering!AF14+Submetering!AY14+Submetering!AV14+Submetering!AZ14)*1.1251+(2076.11+129.67+207.57+207.57)/30+(11680.53+56.61)/30)/I13</f>
        <v>0.35748184375510944</v>
      </c>
      <c r="K13" s="5"/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177664</v>
      </c>
      <c r="F14" s="12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8.0613647946685879E-2</v>
      </c>
      <c r="G14" s="5">
        <f>Submetering!AK15+Submetering!AL15+Submetering!AU15</f>
        <v>1133.1979999999999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12638.399708000001</v>
      </c>
      <c r="J14" s="13">
        <f>((Submetering!AG15+Submetering!BA15)*0.8868+(1712.96+1070.52)/30+(Submetering!AF15+Submetering!AY15+Submetering!AV15+Submetering!AZ15)*1.1251+(2076.11+129.67+207.57+207.57)/30+(11680.53+56.61)/30)/I14</f>
        <v>0.38619259455586963</v>
      </c>
      <c r="K14" s="5"/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49771</v>
      </c>
      <c r="F15" s="12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8.0743792883405996E-2</v>
      </c>
      <c r="G15" s="5">
        <f>Submetering!AK16+Submetering!AL16+Submetering!AU16</f>
        <v>59.675200000000004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4957.0543620000008</v>
      </c>
      <c r="J15" s="13">
        <f>((Submetering!AG16+Submetering!BA16)*0.8868+(1712.96+1070.52)/30+(Submetering!AF16+Submetering!AY16+Submetering!AV16+Submetering!AZ16)*1.1251+(2076.11+129.67+207.57+207.57)/30+(11680.53+56.61)/30)/I15</f>
        <v>0.45669126655961945</v>
      </c>
      <c r="K15" s="5">
        <f>Occupancy!H6</f>
        <v>3895.2119999999995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105497</v>
      </c>
      <c r="F16" s="12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8.0682448130278583E-2</v>
      </c>
      <c r="G16" s="5">
        <f>Submetering!AK17+Submetering!AL17+Submetering!AU17</f>
        <v>152.8056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6685.5735480000003</v>
      </c>
      <c r="J16" s="13">
        <f>((Submetering!AG17+Submetering!BA17)*0.8868+(1712.96+1070.52)/30+(Submetering!AF17+Submetering!AY17+Submetering!AV17+Submetering!AZ17)*1.1251+(2076.11+129.67+207.57+207.57)/30+(11680.53+56.61)/30)/I16</f>
        <v>0.52078479334480376</v>
      </c>
      <c r="K16" s="5"/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158920</v>
      </c>
      <c r="F17" s="12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8.0547590863327453E-2</v>
      </c>
      <c r="G17" s="5">
        <f>Submetering!AK18+Submetering!AL18+Submetering!AU18</f>
        <v>187.7884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10772.560150000001</v>
      </c>
      <c r="J17" s="13">
        <f>((Submetering!AG18+Submetering!BA18)*0.8868+(1712.96+1070.52)/30+(Submetering!AF18+Submetering!AY18+Submetering!AV18+Submetering!AZ18)*1.1251+(2076.11+129.67+207.57+207.57)/30+(11680.53+56.61)/30)/I17</f>
        <v>0.38362285259615525</v>
      </c>
      <c r="K17" s="5"/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164520</v>
      </c>
      <c r="F18" s="12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8.0566429863846323E-2</v>
      </c>
      <c r="G18" s="5">
        <f>Submetering!AK19+Submetering!AL19+Submetering!AU19</f>
        <v>169.58640000000003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10992.375595999998</v>
      </c>
      <c r="J18" s="13">
        <f>((Submetering!AG19+Submetering!BA19)*0.8868+(1712.96+1070.52)/30+(Submetering!AF19+Submetering!AY19+Submetering!AV19+Submetering!AZ19)*1.1251+(2076.11+129.67+207.57+207.57)/30+(11680.53+56.61)/30)/I18</f>
        <v>0.3348941249302147</v>
      </c>
      <c r="K18" s="5"/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164908</v>
      </c>
      <c r="F19" s="12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8.0523734164503841E-2</v>
      </c>
      <c r="G19" s="5">
        <f>Submetering!AK20+Submetering!AL20+Submetering!AU20</f>
        <v>220.47599999999997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11634.725164000001</v>
      </c>
      <c r="J19" s="13">
        <f>((Submetering!AG20+Submetering!BA20)*0.8868+(1712.96+1070.52)/30+(Submetering!AF20+Submetering!AY20+Submetering!AV20+Submetering!AZ20)*1.1251+(2076.11+129.67+207.57+207.57)/30+(11680.53+56.61)/30)/I19</f>
        <v>0.34055249113632313</v>
      </c>
      <c r="K19" s="5"/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86857</v>
      </c>
      <c r="F20" s="12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8.0689958967037775E-2</v>
      </c>
      <c r="G20" s="5">
        <f>Submetering!AK21+Submetering!AL21+Submetering!AU21</f>
        <v>132.30460000000002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6820.21587</v>
      </c>
      <c r="J20" s="13">
        <f>((Submetering!AG21+Submetering!BA21)*0.8868+(1712.96+1070.52)/30+(Submetering!AF21+Submetering!AY21+Submetering!AV21+Submetering!AZ21)*1.1251+(2076.11+129.67+207.57+207.57)/30+(11680.53+56.61)/30)/I20</f>
        <v>0.48243715619615235</v>
      </c>
      <c r="K20" s="5">
        <f>Occupancy!H7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49087</v>
      </c>
      <c r="F21" s="12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8.0670475115611068E-2</v>
      </c>
      <c r="G21" s="5">
        <f>Submetering!AK22+Submetering!AL22+Submetering!AU22</f>
        <v>91.967600000000004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4164.2205379999996</v>
      </c>
      <c r="J21" s="13">
        <f>((Submetering!AG22+Submetering!BA22)*0.8868+(1712.96+1070.52)/30+(Submetering!AF22+Submetering!AY22+Submetering!AV22+Submetering!AZ22)*1.1251+(2076.11+129.67+207.57+207.57)/30+(11680.53+56.61)/30)/I21</f>
        <v>0.56522769674853068</v>
      </c>
      <c r="K21" s="5"/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154064</v>
      </c>
      <c r="F22" s="12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8.0872287309170204E-2</v>
      </c>
      <c r="G22" s="5">
        <f>Submetering!AK23+Submetering!AL23+Submetering!AU23</f>
        <v>220.5102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11082.526986000001</v>
      </c>
      <c r="J22" s="13">
        <f>((Submetering!AG23+Submetering!BA23)*0.8868+(1712.96+1070.52)/30+(Submetering!AF23+Submetering!AY23+Submetering!AV23+Submetering!AZ23)*1.1251+(2076.11+129.67+207.57+207.57)/30+(11680.53+56.61)/30)/I22</f>
        <v>0.40379663985116565</v>
      </c>
      <c r="K22" s="5"/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164094</v>
      </c>
      <c r="F23" s="12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8.0789286162809101E-2</v>
      </c>
      <c r="G23" s="5">
        <f>Submetering!AK24+Submetering!AL24+Submetering!AU24</f>
        <v>223.76679999999999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13199.996881999999</v>
      </c>
      <c r="J23" s="13">
        <f>((Submetering!AG24+Submetering!BA24)*0.8868+(1712.96+1070.52)/30+(Submetering!AF24+Submetering!AY24+Submetering!AV24+Submetering!AZ24)*1.1251+(2076.11+129.67+207.57+207.57)/30+(11680.53+56.61)/30)/I23</f>
        <v>0.42667455463317638</v>
      </c>
      <c r="K23" s="5"/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175587</v>
      </c>
      <c r="F24" s="12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8.0751640561089369E-2</v>
      </c>
      <c r="G24" s="5">
        <f>Submetering!AK25+Submetering!AL25+Submetering!AU25</f>
        <v>206.55279999999999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12806.225492</v>
      </c>
      <c r="J24" s="13">
        <f>((Submetering!AG25+Submetering!BA25)*0.8868+(1712.96+1070.52)/30+(Submetering!AF25+Submetering!AY25+Submetering!AV25+Submetering!AZ25)*1.1251+(2076.11+129.67+207.57+207.57)/30+(11680.53+56.61)/30)/I24</f>
        <v>0.36307868821233041</v>
      </c>
      <c r="K24" s="5"/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182491</v>
      </c>
      <c r="F25" s="12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8.0732738605191479E-2</v>
      </c>
      <c r="G25" s="5">
        <f>Submetering!AK26+Submetering!AL26+Submetering!AU26</f>
        <v>195.56319999999999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11298.427976000001</v>
      </c>
      <c r="J25" s="13">
        <f>((Submetering!AG26+Submetering!BA26)*0.8868+(1712.96+1070.52)/30+(Submetering!AF26+Submetering!AY26+Submetering!AV26+Submetering!AZ26)*1.1251+(2076.11+129.67+207.57+207.57)/30+(11680.53+56.61)/30)/I25</f>
        <v>0.30516211022901213</v>
      </c>
      <c r="K25" s="5">
        <f>Occupancy!H8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182461</v>
      </c>
      <c r="F26" s="12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8.0641897319427155E-2</v>
      </c>
      <c r="G26" s="5">
        <f>Submetering!AK27+Submetering!AL27+Submetering!AU27</f>
        <v>206.98220000000001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9823.1391560000011</v>
      </c>
      <c r="J26" s="13">
        <f>((Submetering!AG27+Submetering!BA27)*0.8868+(1712.96+1070.52)/30+(Submetering!AF27+Submetering!AY27+Submetering!AV27+Submetering!AZ27)*1.1251+(2076.11+129.67+207.57+207.57)/30+(11680.53+56.61)/30)/I26</f>
        <v>0.23496420753409375</v>
      </c>
      <c r="K26" s="5"/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197001</v>
      </c>
      <c r="F27" s="12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8.0863807428388682E-2</v>
      </c>
      <c r="G27" s="5">
        <f>Submetering!AK28+Submetering!AL28+Submetering!AU28</f>
        <v>216.83940000000001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11104.426538000002</v>
      </c>
      <c r="J27" s="13">
        <f>((Submetering!AG28+Submetering!BA28)*0.8868+(1712.96+1070.52)/30+(Submetering!AF28+Submetering!AY28+Submetering!AV28+Submetering!AZ28)*1.1251+(2076.11+129.67+207.57+207.57)/30+(11680.53+56.61)/30)/I27</f>
        <v>0.21306936873597485</v>
      </c>
      <c r="K27" s="5"/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253322</v>
      </c>
      <c r="F28" s="12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8.0643029429737653E-2</v>
      </c>
      <c r="G28" s="5">
        <f>Submetering!AK29+Submetering!AL29+Submetering!AU29</f>
        <v>280.69839999999999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15585.752211999999</v>
      </c>
      <c r="J28" s="13">
        <f>((Submetering!AG29+Submetering!BA29)*0.8868+(1712.96+1070.52)/30+(Submetering!AF29+Submetering!AY29+Submetering!AV29+Submetering!AZ29)*1.1251+(2076.11+129.67+207.57+207.57)/30+(11680.53+56.61)/30)/I28</f>
        <v>0.24697631666715136</v>
      </c>
      <c r="K28" s="5"/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247272</v>
      </c>
      <c r="F29" s="12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8.0610673965511651E-2</v>
      </c>
      <c r="G29" s="5">
        <f>Submetering!AK30+Submetering!AL30+Submetering!AU30</f>
        <v>515.8614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16830.946206000001</v>
      </c>
      <c r="J29" s="13">
        <f>((Submetering!AG30+Submetering!BA30)*0.8868+(1712.96+1070.52)/30+(Submetering!AF30+Submetering!AY30+Submetering!AV30+Submetering!AZ30)*1.1251+(2076.11+129.67+207.57+207.57)/30+(11680.53+56.61)/30)/I29</f>
        <v>0.2971140354214894</v>
      </c>
      <c r="K29" s="5"/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81240</v>
      </c>
      <c r="F30" s="12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8.062563506646972E-2</v>
      </c>
      <c r="G30" s="5">
        <f>Submetering!AK31+Submetering!AL31+Submetering!AU31</f>
        <v>121.6494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5320.6530300000004</v>
      </c>
      <c r="J30" s="13">
        <f>((Submetering!AG31+Submetering!BA31)*0.8868+(1712.96+1070.52)/30+(Submetering!AF31+Submetering!AY31+Submetering!AV31+Submetering!AZ31)*1.1251+(2076.11+129.67+207.57+207.57)/30+(11680.53+56.61)/30)/I30</f>
        <v>0.42511679895929366</v>
      </c>
      <c r="K30" s="5">
        <f>Occupancy!H9</f>
        <v>0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241691</v>
      </c>
      <c r="F31" s="12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8.0583211932591631E-2</v>
      </c>
      <c r="G31" s="5">
        <f>Submetering!AK32+Submetering!AL32+Submetering!AU32</f>
        <v>986.30899999999997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13490.2356</v>
      </c>
      <c r="J31" s="13">
        <f>((Submetering!AG32+Submetering!BA32)*0.8868+(1712.96+1070.52)/30+(Submetering!AF32+Submetering!AY32+Submetering!AV32+Submetering!AZ32)*1.1251+(2076.11+129.67+207.57+207.57)/30+(11680.53+56.61)/30)/I31</f>
        <v>0.28980054702281605</v>
      </c>
      <c r="K31" s="5"/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307943</v>
      </c>
      <c r="F32" s="12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8.0591470125315409E-2</v>
      </c>
      <c r="G32" s="5">
        <f>Submetering!AK33+Submetering!AL33+Submetering!AU33</f>
        <v>1275.5536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16760.955032000005</v>
      </c>
      <c r="J32" s="13">
        <f>((Submetering!AG33+Submetering!BA33)*0.8868+(1712.96+1070.52)/30+(Submetering!AF33+Submetering!AY33+Submetering!AV33+Submetering!AZ33)*1.1251+(2076.11+129.67+207.57+207.57)/30+(11680.53+56.61)/30)/I32</f>
        <v>0.24987606266293486</v>
      </c>
      <c r="K32" s="5"/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334140</v>
      </c>
      <c r="F33" s="12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8.0582081116897117E-2</v>
      </c>
      <c r="G33" s="5">
        <f>Submetering!AK34+Submetering!AL34+Submetering!AU34</f>
        <v>1103.7593999999999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20253.703524000004</v>
      </c>
      <c r="J33" s="13">
        <f>((Submetering!AG34+Submetering!BA34)*0.8868+(1712.96+1070.52)/30+(Submetering!AF34+Submetering!AY34+Submetering!AV34+Submetering!AZ34)*1.1251+(2076.11+129.67+207.57+207.57)/30+(11680.53+56.61)/30)/I33</f>
        <v>0.28087309639472657</v>
      </c>
      <c r="K33" s="5"/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330582</v>
      </c>
      <c r="F34" s="12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8.0591652492876198E-2</v>
      </c>
      <c r="G34" s="5">
        <f>Submetering!AK35+Submetering!AL35+Submetering!AU35</f>
        <v>1467.807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19488.485895999998</v>
      </c>
      <c r="J34" s="13">
        <f>((Submetering!AG35+Submetering!BA35)*0.8868+(1712.96+1070.52)/30+(Submetering!AF35+Submetering!AY35+Submetering!AV35+Submetering!AZ35)*1.1251+(2076.11+129.67+207.57+207.57)/30+(11680.53+56.61)/30)/I34</f>
        <v>0.24506324412031003</v>
      </c>
      <c r="K34" s="5"/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245138</v>
      </c>
      <c r="F35" s="12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8.0576252373764992E-2</v>
      </c>
      <c r="G35" s="5">
        <f>Submetering!AK36+Submetering!AL36+Submetering!AU36</f>
        <v>896.19579999999996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15332.684980000002</v>
      </c>
      <c r="J35" s="13">
        <f>((Submetering!AG36+Submetering!BA36)*0.8868+(1712.96+1070.52)/30+(Submetering!AF36+Submetering!AY36+Submetering!AV36+Submetering!AZ36)*1.1251+(2076.11+129.67+207.57+207.57)/30+(11680.53+56.61)/30)/I35</f>
        <v>0.24905789163918932</v>
      </c>
      <c r="K35" s="5">
        <f>Occupancy!H10</f>
        <v>2821.62</v>
      </c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88399</v>
      </c>
      <c r="F36" s="12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8.089462863607054E-2</v>
      </c>
      <c r="G36" s="5">
        <f>Submetering!AK37+Submetering!AL37+Submetering!AU37</f>
        <v>250.54919999999998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4566.97642</v>
      </c>
      <c r="J36" s="13">
        <f>((Submetering!AG37+Submetering!BA37)*0.8868+(1712.96+1070.52)/30+(Submetering!AF37+Submetering!AY37+Submetering!AV37+Submetering!AZ37)*1.1251+(2076.11+129.67+207.57+207.57)/30+(11680.53+56.61)/30)/I36</f>
        <v>0.44359529471944742</v>
      </c>
      <c r="K36" s="5"/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333700</v>
      </c>
      <c r="F37" s="12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8.0578597693736889E-2</v>
      </c>
      <c r="G37" s="5">
        <f>Submetering!AK38+Submetering!AL38+Submetering!AU38</f>
        <v>1051.3042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20584.124999999996</v>
      </c>
      <c r="J37" s="13">
        <f>((Submetering!AG38+Submetering!BA38)*0.8868+(1712.96+1070.52)/30+(Submetering!AF38+Submetering!AY38+Submetering!AV38+Submetering!AZ38)*1.1251+(2076.11+129.67+207.57+207.57)/30+(11680.53+56.61)/30)/I37</f>
        <v>0.2653619827234176</v>
      </c>
      <c r="K37" s="5"/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344074</v>
      </c>
      <c r="F38" s="12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8.0571775744752577E-2</v>
      </c>
      <c r="G38" s="5">
        <f>Submetering!AK39+Submetering!AL39+Submetering!AU39</f>
        <v>1192.7478000000001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21390.499629999998</v>
      </c>
      <c r="J38" s="13">
        <f>((Submetering!AG39+Submetering!BA39)*0.8868+(1712.96+1070.52)/30+(Submetering!AF39+Submetering!AY39+Submetering!AV39+Submetering!AZ39)*1.1251+(2076.11+129.67+207.57+207.57)/30+(11680.53+56.61)/30)/I38</f>
        <v>0.26085848683127122</v>
      </c>
      <c r="K38" s="5"/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322558</v>
      </c>
      <c r="F39" s="12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8.0634532716596694E-2</v>
      </c>
      <c r="G39" s="5">
        <f>Submetering!AK40+Submetering!AL40+Submetering!AU40</f>
        <v>1617.9525999999998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20404.170452000002</v>
      </c>
      <c r="J39" s="13">
        <f>((Submetering!AG40+Submetering!BA40)*0.8868+(1712.96+1070.52)/30+(Submetering!AF40+Submetering!AY40+Submetering!AV40+Submetering!AZ40)*1.1251+(2076.11+129.67+207.57+207.57)/30+(11680.53+56.61)/30)/I39</f>
        <v>0.29308446754425627</v>
      </c>
      <c r="K39" s="5"/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317893</v>
      </c>
      <c r="F40" s="12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8.0626138769963468E-2</v>
      </c>
      <c r="G40" s="5">
        <f>Submetering!AK41+Submetering!AL41+Submetering!AU41</f>
        <v>1076.0308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21403.996318000001</v>
      </c>
      <c r="J40" s="13">
        <f>((Submetering!AG41+Submetering!BA41)*0.8868+(1712.96+1070.52)/30+(Submetering!AF41+Submetering!AY41+Submetering!AV41+Submetering!AZ41)*1.1251+(2076.11+129.67+207.57+207.57)/30+(11680.53+56.61)/30)/I40</f>
        <v>0.27222348890457637</v>
      </c>
      <c r="K40" s="5"/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360568</v>
      </c>
      <c r="F41" s="12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8.0574084160546691E-2</v>
      </c>
      <c r="G41" s="5">
        <f>Submetering!AK42+Submetering!AL42+Submetering!AU42</f>
        <v>1208.2821999999999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19826.864799999999</v>
      </c>
      <c r="J41" s="13">
        <f>((Submetering!AG42+Submetering!BA42)*0.8868+(1712.96+1070.52)/30+(Submetering!AF42+Submetering!AY42+Submetering!AV42+Submetering!AZ42)*1.1251+(2076.11+129.67+207.57+207.57)/30+(11680.53+56.61)/30)/I41</f>
        <v>0.27127336249585293</v>
      </c>
      <c r="K41" s="5">
        <f>Occupancy!H11</f>
        <v>3509.82</v>
      </c>
      <c r="L41" s="5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368057</v>
      </c>
      <c r="F42" s="12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8.0572307014402655E-2</v>
      </c>
      <c r="G42" s="5">
        <f>Submetering!AK43+Submetering!AL43+Submetering!AU43</f>
        <v>1640.365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18343.545933999998</v>
      </c>
      <c r="J42" s="13">
        <f>((Submetering!AG43+Submetering!BA43)*0.8868+(1712.96+1070.52)/30+(Submetering!AF43+Submetering!AY43+Submetering!AV43+Submetering!AZ43)*1.1251+(2076.11+129.67+207.57+207.57)/30+(11680.53+56.61)/30)/I42</f>
        <v>0.25682283187432647</v>
      </c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285333</v>
      </c>
      <c r="F43" s="12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8.0714578439928075E-2</v>
      </c>
      <c r="G43" s="5">
        <f>Submetering!AK44+Submetering!AL44+Submetering!AU44</f>
        <v>1539.2736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19317.804070000006</v>
      </c>
      <c r="J43" s="13">
        <f>((Submetering!AG44+Submetering!BA44)*0.8868+(1712.96+1070.52)/30+(Submetering!AF44+Submetering!AY44+Submetering!AV44+Submetering!AZ44)*1.1251+(2076.11+129.67+207.57+207.57)/30+(11680.53+56.61)/30)/I43</f>
        <v>0.26647586203242118</v>
      </c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320712</v>
      </c>
      <c r="F44" s="12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8.0646271697972005E-2</v>
      </c>
      <c r="G44" s="5">
        <f>Submetering!AK45+Submetering!AL45+Submetering!AU45</f>
        <v>2312.5394000000001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19529.409692000001</v>
      </c>
      <c r="J44" s="13">
        <f>((Submetering!AG45+Submetering!BA45)*0.8868+(1712.96+1070.52)/30+(Submetering!AF45+Submetering!AY45+Submetering!AV45+Submetering!AZ45)*1.1251+(2076.11+129.67+207.57+207.57)/30+(11680.53+56.61)/30)/I44</f>
        <v>0.27646222716083241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10020</v>
      </c>
      <c r="F45" s="12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8.6224160479041911E-2</v>
      </c>
      <c r="G45" s="5">
        <f>Submetering!AK46+Submetering!AL46+Submetering!AU46</f>
        <v>0.15579999999999999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291.839316</v>
      </c>
      <c r="J45" s="13">
        <f>((Submetering!AG46+Submetering!BA46)*0.8868+(1712.96+1070.52)/30+(Submetering!AF46+Submetering!AY46+Submetering!AV46+Submetering!AZ46)*1.1251+(2076.11+129.67+207.57+207.57)/30+(11680.53+56.61)/30)/I45</f>
        <v>2.6211162573676905</v>
      </c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283426</v>
      </c>
      <c r="F46" s="12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8.0577921692434704E-2</v>
      </c>
      <c r="G46" s="5">
        <f>Submetering!AK47+Submetering!AL47+Submetering!AU47</f>
        <v>3027.84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15873.704546000001</v>
      </c>
      <c r="J46" s="13">
        <f>((Submetering!AG47+Submetering!BA47)*0.8868+(1712.96+1070.52)/30+(Submetering!AF47+Submetering!AY47+Submetering!AV47+Submetering!AZ47)*1.1251+(2076.11+129.67+207.57+207.57)/30+(11680.53+56.61)/30)/I46</f>
        <v>0.27634504648078806</v>
      </c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340376</v>
      </c>
      <c r="F47" s="12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8.0650593319152947E-2</v>
      </c>
      <c r="G47" s="5">
        <f>Submetering!AK48+Submetering!AL48+Submetering!AU48</f>
        <v>1558.8094000000001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18631.966200000003</v>
      </c>
      <c r="J47" s="13">
        <f>((Submetering!AG48+Submetering!BA48)*0.8868+(1712.96+1070.52)/30+(Submetering!AF48+Submetering!AY48+Submetering!AV48+Submetering!AZ48)*1.1251+(2076.11+129.67+207.57+207.57)/30+(11680.53+56.61)/30)/I47</f>
        <v>0.2877658399051124</v>
      </c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316913</v>
      </c>
      <c r="F48" s="12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8.0684219842038662E-2</v>
      </c>
      <c r="G48" s="5">
        <f>Submetering!AK49+Submetering!AL49+Submetering!AU49</f>
        <v>1923.8791999999999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22870.035520000001</v>
      </c>
      <c r="J48" s="13">
        <f>((Submetering!AG49+Submetering!BA49)*0.8868+(1712.96+1070.52)/30+(Submetering!AF49+Submetering!AY49+Submetering!AV49+Submetering!AZ49)*1.1251+(2076.11+129.67+207.57+207.57)/30+(11680.53+56.61)/30)/I48</f>
        <v>0.27593382621238127</v>
      </c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312188</v>
      </c>
      <c r="F49" s="12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8.0677226803080176E-2</v>
      </c>
      <c r="G49" s="5">
        <f>Submetering!AK50+Submetering!AL50+Submetering!AU50</f>
        <v>2670.6970000000001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20864.622873999997</v>
      </c>
      <c r="J49" s="13">
        <f>((Submetering!AG50+Submetering!BA50)*0.8868+(1712.96+1070.52)/30+(Submetering!AF50+Submetering!AY50+Submetering!AV50+Submetering!AZ50)*1.1251+(2076.11+129.67+207.57+207.57)/30+(11680.53+56.61)/30)/I49</f>
        <v>0.27188810632737381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289601</v>
      </c>
      <c r="F50" s="12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8.0681835483993505E-2</v>
      </c>
      <c r="G50" s="5">
        <f>Submetering!AK51+Submetering!AL51+Submetering!AU51</f>
        <v>2619.5642000000003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18462.566798</v>
      </c>
      <c r="J50" s="13">
        <f>((Submetering!AG51+Submetering!BA51)*0.8868+(1712.96+1070.52)/30+(Submetering!AF51+Submetering!AY51+Submetering!AV51+Submetering!AZ51)*1.1251+(2076.11+129.67+207.57+207.57)/30+(11680.53+56.61)/30)/I50</f>
        <v>0.29270315664840668</v>
      </c>
      <c r="K50" s="1">
        <f>Occupancy!H13</f>
        <v>0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2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5">
        <f>Submetering!AK52+Submetering!AL52+Submetering!AU52</f>
        <v>0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3" t="e">
        <f>((Submetering!AG52+Submetering!BA52)*0.8868+(1712.96+1070.52)/30+(Submetering!AF52+Submetering!AY52+Submetering!AV52+Submetering!AZ52)*1.1251+(2076.11+129.67+207.57+207.57)/30+(11680.53+56.61)/30)/I51</f>
        <v>#DIV/0!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284290</v>
      </c>
      <c r="F52" s="12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8.0780611209680248E-2</v>
      </c>
      <c r="G52" s="5">
        <f>Submetering!AK53+Submetering!AL53+Submetering!AU53</f>
        <v>5306.9773999999998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15863.909779999998</v>
      </c>
      <c r="J52" s="13">
        <f>((Submetering!AG53+Submetering!BA53)*0.8868+(1712.96+1070.52)/30+(Submetering!AF53+Submetering!AY53+Submetering!AV53+Submetering!AZ53)*1.1251+(2076.11+129.67+207.57+207.57)/30+(11680.53+56.61)/30)/I52</f>
        <v>0.43582432212285738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311120</v>
      </c>
      <c r="F53" s="12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8.0673227055798408E-2</v>
      </c>
      <c r="G53" s="5">
        <f>Submetering!AK54+Submetering!AL54+Submetering!AU54</f>
        <v>3333.7324000000003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16923.008920000004</v>
      </c>
      <c r="J53" s="13">
        <f>((Submetering!AG54+Submetering!BA54)*0.8868+(1712.96+1070.52)/30+(Submetering!AF54+Submetering!AY54+Submetering!AV54+Submetering!AZ54)*1.1251+(2076.11+129.67+207.57+207.57)/30+(11680.53+56.61)/30)/I53</f>
        <v>0.26719371862664393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2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5">
        <f>Submetering!AK55+Submetering!AL55+Submetering!AU55</f>
        <v>0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3" t="e">
        <f>((Submetering!AG55+Submetering!BA55)*0.8868+(1712.96+1070.52)/30+(Submetering!AF55+Submetering!AY55+Submetering!AV55+Submetering!AZ55)*1.1251+(2076.11+129.67+207.57+207.57)/30+(11680.53+56.61)/30)/I54</f>
        <v>#DIV/0!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2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5">
        <f>Submetering!AK56+Submetering!AL56+Submetering!AU56</f>
        <v>0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3" t="e">
        <f>((Submetering!AG56+Submetering!BA56)*0.8868+(1712.96+1070.52)/30+(Submetering!AF56+Submetering!AY56+Submetering!AV56+Submetering!AZ56)*1.1251+(2076.11+129.67+207.57+207.57)/30+(11680.53+56.61)/30)/I55</f>
        <v>#DIV/0!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2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5">
        <f>Submetering!AK57+Submetering!AL57+Submetering!AU57</f>
        <v>0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3" t="e">
        <f>((Submetering!AG57+Submetering!BA57)*0.8868+(1712.96+1070.52)/30+(Submetering!AF57+Submetering!AY57+Submetering!AV57+Submetering!AZ57)*1.1251+(2076.11+129.67+207.57+207.57)/30+(11680.53+56.61)/30)/I56</f>
        <v>#DIV/0!</v>
      </c>
      <c r="K56" s="1">
        <f>Occupancy!H14</f>
        <v>0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2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5">
        <f>Submetering!AK58+Submetering!AL58+Submetering!AU58</f>
        <v>0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3" t="e">
        <f>((Submetering!AG58+Submetering!BA58)*0.8868+(1712.96+1070.52)/30+(Submetering!AF58+Submetering!AY58+Submetering!AV58+Submetering!AZ58)*1.1251+(2076.11+129.67+207.57+207.57)/30+(11680.53+56.61)/30)/I57</f>
        <v>#DIV/0!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2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5">
        <f>Submetering!AK59+Submetering!AL59+Submetering!AU59</f>
        <v>0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3" t="e">
        <f>((Submetering!AG59+Submetering!BA59)*0.8868+(1712.96+1070.52)/30+(Submetering!AF59+Submetering!AY59+Submetering!AV59+Submetering!AZ59)*1.1251+(2076.11+129.67+207.57+207.57)/30+(11680.53+56.61)/30)/I58</f>
        <v>#DIV/0!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2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5">
        <f>Submetering!AK60+Submetering!AL60+Submetering!AU60</f>
        <v>0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3" t="e">
        <f>((Submetering!AG60+Submetering!BA60)*0.8868+(1712.96+1070.52)/30+(Submetering!AF60+Submetering!AY60+Submetering!AV60+Submetering!AZ60)*1.1251+(2076.11+129.67+207.57+207.57)/30+(11680.53+56.61)/30)/I59</f>
        <v>#DIV/0!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2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5">
        <f>Submetering!AK61+Submetering!AL61+Submetering!AU61</f>
        <v>0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3" t="e">
        <f>((Submetering!AG61+Submetering!BA61)*0.8868+(1712.96+1070.52)/30+(Submetering!AF61+Submetering!AY61+Submetering!AV61+Submetering!AZ61)*1.1251+(2076.11+129.67+207.57+207.57)/30+(11680.53+56.61)/30)/I60</f>
        <v>#DIV/0!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5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2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5">
        <f>Submetering!AK62+Submetering!AL62+Submetering!AU62</f>
        <v>0</v>
      </c>
      <c r="H61" s="13">
        <v>0.81659999999999999</v>
      </c>
      <c r="I61" s="5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3" t="e">
        <f>((Submetering!AG62+Submetering!BA62)*0.8868+(1712.96+1070.52)/30+(Submetering!AF62+Submetering!AY62+Submetering!AV62+Submetering!AZ62)*1.1251+(2076.11+129.67+207.57+207.57)/30+(11680.53+56.61)/30)/I61</f>
        <v>#DIV/0!</v>
      </c>
      <c r="K61" s="1">
        <f>Occupancy!H15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62"/>
  <sheetViews>
    <sheetView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Elect!AK4</f>
        <v>0</v>
      </c>
      <c r="F2" s="52">
        <f>Elect!H4</f>
        <v>0</v>
      </c>
      <c r="G2" s="52">
        <f>Elect!G4</f>
        <v>2.5379999999999998</v>
      </c>
      <c r="H2" s="52">
        <f>Elect!E4</f>
        <v>0</v>
      </c>
      <c r="I2" s="52">
        <f>Elect!D4</f>
        <v>2.15</v>
      </c>
      <c r="J2" s="52">
        <f>Elect!T4</f>
        <v>0</v>
      </c>
      <c r="K2" s="52">
        <f>Elect!S4</f>
        <v>2.516</v>
      </c>
      <c r="L2" s="52">
        <f>Elect!AI4</f>
        <v>0</v>
      </c>
      <c r="M2" s="52">
        <f>Elect!AH4</f>
        <v>0.313</v>
      </c>
      <c r="N2" s="52">
        <f>Elect!W4</f>
        <v>0</v>
      </c>
      <c r="O2" s="52">
        <f>Elect!V4</f>
        <v>1.679</v>
      </c>
      <c r="P2" s="52">
        <f>Elect!N4</f>
        <v>0</v>
      </c>
      <c r="Q2" s="52">
        <f>Elect!M4</f>
        <v>0.27100000000000002</v>
      </c>
      <c r="R2" s="52">
        <f>Elect!K4</f>
        <v>0</v>
      </c>
      <c r="S2" s="52">
        <f>Elect!J4</f>
        <v>0.32400000000000001</v>
      </c>
      <c r="T2" s="52">
        <f>Elect!Q4</f>
        <v>0</v>
      </c>
      <c r="U2" s="52">
        <f>Elect!P4</f>
        <v>0.311</v>
      </c>
      <c r="V2" s="52">
        <f>Elect!Z4</f>
        <v>0</v>
      </c>
      <c r="W2" s="52">
        <f>Elect!Y4</f>
        <v>0.312</v>
      </c>
      <c r="X2" s="52">
        <f>Elect!AC4</f>
        <v>0</v>
      </c>
      <c r="Y2" s="52">
        <f>Elect!AB4</f>
        <v>0.217</v>
      </c>
      <c r="Z2" s="52">
        <f>Elect!AF4</f>
        <v>0</v>
      </c>
      <c r="AA2" s="52">
        <f>Elect!AE4</f>
        <v>1.976</v>
      </c>
      <c r="AB2" s="52">
        <f>Elect!AW4</f>
        <v>0</v>
      </c>
      <c r="AC2" s="52">
        <f>Elect!AU4</f>
        <v>0</v>
      </c>
      <c r="AD2" s="52">
        <f>Elect!AY4</f>
        <v>0</v>
      </c>
      <c r="AE2" s="52">
        <f>Elect!BA4</f>
        <v>0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>
        <f>'Wtr-Gas'!AB4</f>
        <v>0</v>
      </c>
      <c r="AN2" s="54">
        <f>'Wtr-Gas'!AD4</f>
        <v>0</v>
      </c>
      <c r="AO2" s="54">
        <f>'Wtr-Gas'!AF4</f>
        <v>0</v>
      </c>
      <c r="AP2" s="54">
        <f>'Wtr-Gas'!AH4</f>
        <v>0</v>
      </c>
      <c r="AQ2" s="54">
        <f>'Wtr-Gas'!AJ4</f>
        <v>0</v>
      </c>
      <c r="AR2" s="54">
        <f>'Wtr-Gas'!AL4</f>
        <v>0</v>
      </c>
      <c r="AS2" s="54">
        <f>'Wtr-Gas'!AN4</f>
        <v>0</v>
      </c>
      <c r="AT2" s="54">
        <f>'Wtr-Gas'!AP4</f>
        <v>0</v>
      </c>
      <c r="AU2" s="57">
        <f>'Wtr-Gas'!AT4</f>
        <v>0</v>
      </c>
      <c r="AV2" s="54">
        <f>'Wtr-Gas'!AW4</f>
        <v>0</v>
      </c>
      <c r="AW2" s="55">
        <f>'Wtr-Gas'!AY4</f>
        <v>0</v>
      </c>
      <c r="AX2" s="54">
        <f>'Wtr-Gas'!AZ4</f>
        <v>0</v>
      </c>
      <c r="AY2" s="54">
        <f>'Wtr-Gas'!BB4</f>
        <v>0</v>
      </c>
      <c r="AZ2" s="54">
        <f>'Wtr-Gas'!BD4</f>
        <v>0</v>
      </c>
      <c r="BA2" s="54">
        <f>'Wtr-Gas'!BF4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52">
        <f>Elect!AK5</f>
        <v>342</v>
      </c>
      <c r="F3" s="52">
        <f>Elect!H5</f>
        <v>41600</v>
      </c>
      <c r="G3" s="52">
        <f>Elect!G5</f>
        <v>2.6030000000000002</v>
      </c>
      <c r="H3" s="52">
        <f>Elect!E5</f>
        <v>39200</v>
      </c>
      <c r="I3" s="52">
        <f>Elect!D5</f>
        <v>2.2909999999999999</v>
      </c>
      <c r="J3" s="52">
        <f>Elect!T5</f>
        <v>37800</v>
      </c>
      <c r="K3" s="52">
        <f>Elect!S5</f>
        <v>2.516</v>
      </c>
      <c r="L3" s="52">
        <f>Elect!AI5</f>
        <v>1280</v>
      </c>
      <c r="M3" s="52">
        <f>Elect!AH5</f>
        <v>0.313</v>
      </c>
      <c r="N3" s="52">
        <f>Elect!W5</f>
        <v>33600</v>
      </c>
      <c r="O3" s="52">
        <f>Elect!V5</f>
        <v>1.968</v>
      </c>
      <c r="P3" s="52">
        <f>Elect!N5</f>
        <v>10000</v>
      </c>
      <c r="Q3" s="52">
        <f>Elect!M5</f>
        <v>0.28599999999999998</v>
      </c>
      <c r="R3" s="52">
        <f>Elect!K5</f>
        <v>11200</v>
      </c>
      <c r="S3" s="52">
        <f>Elect!J5</f>
        <v>0.33900000000000002</v>
      </c>
      <c r="T3" s="52">
        <f>Elect!Q5</f>
        <v>11200</v>
      </c>
      <c r="U3" s="52">
        <f>Elect!P5</f>
        <v>0.315</v>
      </c>
      <c r="V3" s="52">
        <f>Elect!Z5</f>
        <v>4320</v>
      </c>
      <c r="W3" s="52">
        <f>Elect!Y5</f>
        <v>0.312</v>
      </c>
      <c r="X3" s="52">
        <f>Elect!AC5</f>
        <v>2720</v>
      </c>
      <c r="Y3" s="52">
        <f>Elect!AB5</f>
        <v>0.27800000000000002</v>
      </c>
      <c r="Z3" s="52">
        <f>Elect!AF5</f>
        <v>35400</v>
      </c>
      <c r="AA3" s="52">
        <f>Elect!AE5</f>
        <v>1.976</v>
      </c>
      <c r="AB3" s="52">
        <f>Elect!AW5</f>
        <v>1300</v>
      </c>
      <c r="AC3" s="52">
        <f>Elect!AU5</f>
        <v>11000</v>
      </c>
      <c r="AD3" s="52">
        <f>Elect!AY5</f>
        <v>854</v>
      </c>
      <c r="AE3" s="52">
        <f>Elect!BA5</f>
        <v>520</v>
      </c>
      <c r="AF3" s="54">
        <f>('Wtr-Gas'!E5)*0.0038</f>
        <v>3089.97</v>
      </c>
      <c r="AG3" s="54">
        <f>('Wtr-Gas'!H5)*0.0038</f>
        <v>8.702</v>
      </c>
      <c r="AH3" s="54">
        <f>'Wtr-Gas'!K5*0.0038</f>
        <v>0.34200000000000003</v>
      </c>
      <c r="AI3" s="54">
        <f>'Wtr-Gas'!N5*0.0038</f>
        <v>1907.6</v>
      </c>
      <c r="AJ3" s="54">
        <f>'Wtr-Gas'!Q5*0.0038</f>
        <v>49.78</v>
      </c>
      <c r="AK3" s="57">
        <f>'Wtr-Gas'!U5*0.0038</f>
        <v>739.48</v>
      </c>
      <c r="AL3" s="57">
        <f>'Wtr-Gas'!X5*0.0038</f>
        <v>4992.4399999999996</v>
      </c>
      <c r="AM3" s="54">
        <f>'Wtr-Gas'!AB5*0.0038</f>
        <v>4028</v>
      </c>
      <c r="AN3" s="54">
        <f>'Wtr-Gas'!AD5*0.0038</f>
        <v>853.83986000000004</v>
      </c>
      <c r="AO3" s="54">
        <f>'Wtr-Gas'!AF5*0.0038</f>
        <v>0.68400000000000005</v>
      </c>
      <c r="AP3" s="54">
        <f>'Wtr-Gas'!AH5*0.0038</f>
        <v>149.07400000000001</v>
      </c>
      <c r="AQ3" s="54">
        <f>'Wtr-Gas'!AJ5*0.0038</f>
        <v>46.078800000000001</v>
      </c>
      <c r="AR3" s="54">
        <f>'Wtr-Gas'!AL5*0.0038</f>
        <v>106.4</v>
      </c>
      <c r="AS3" s="54">
        <f>'Wtr-Gas'!AN5*0.0038</f>
        <v>0</v>
      </c>
      <c r="AT3" s="54">
        <f>'Wtr-Gas'!AP5*0.0038</f>
        <v>15.2</v>
      </c>
      <c r="AU3" s="57">
        <f>'Wtr-Gas'!AT5*0.0038</f>
        <v>0.38379999999999997</v>
      </c>
      <c r="AV3" s="54">
        <f>'Wtr-Gas'!AW5*0.0038</f>
        <v>257.24099999999999</v>
      </c>
      <c r="AW3" s="55">
        <f>'Wtr-Gas'!AY5*0.0038</f>
        <v>213.38474399999998</v>
      </c>
      <c r="AX3" s="54">
        <f>'Wtr-Gas'!AZ5*0.0038</f>
        <v>43.856256000000009</v>
      </c>
      <c r="AY3" s="54">
        <f>'Wtr-Gas'!BB5*0.0038</f>
        <v>5.7</v>
      </c>
      <c r="AZ3" s="54">
        <f>'Wtr-Gas'!BD5*0.0038</f>
        <v>0.76</v>
      </c>
      <c r="BA3" s="54">
        <f>'Wtr-Gas'!BF5*0.0038</f>
        <v>23.852599999999999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52">
        <f>Elect!AK6</f>
        <v>468</v>
      </c>
      <c r="F4" s="52">
        <f>Elect!H6</f>
        <v>49920</v>
      </c>
      <c r="G4" s="52">
        <f>Elect!G6</f>
        <v>2.6030000000000002</v>
      </c>
      <c r="H4" s="52">
        <f>Elect!E6</f>
        <v>47360</v>
      </c>
      <c r="I4" s="52">
        <f>Elect!D6</f>
        <v>2.2909999999999999</v>
      </c>
      <c r="J4" s="52">
        <f>Elect!T6</f>
        <v>44700</v>
      </c>
      <c r="K4" s="52">
        <f>Elect!S6</f>
        <v>2.516</v>
      </c>
      <c r="L4" s="52">
        <f>Elect!AI6</f>
        <v>1600</v>
      </c>
      <c r="M4" s="52">
        <f>Elect!AH6</f>
        <v>0.313</v>
      </c>
      <c r="N4" s="52">
        <f>Elect!W6</f>
        <v>44400</v>
      </c>
      <c r="O4" s="52">
        <f>Elect!V6</f>
        <v>1.992</v>
      </c>
      <c r="P4" s="52">
        <f>Elect!N6</f>
        <v>11600</v>
      </c>
      <c r="Q4" s="52">
        <f>Elect!M6</f>
        <v>0.28599999999999998</v>
      </c>
      <c r="R4" s="52">
        <f>Elect!K6</f>
        <v>12000</v>
      </c>
      <c r="S4" s="52">
        <f>Elect!J6</f>
        <v>0.33900000000000002</v>
      </c>
      <c r="T4" s="52">
        <f>Elect!Q6</f>
        <v>12400</v>
      </c>
      <c r="U4" s="52">
        <f>Elect!P6</f>
        <v>0.315</v>
      </c>
      <c r="V4" s="52">
        <f>Elect!Z6</f>
        <v>6080</v>
      </c>
      <c r="W4" s="52">
        <f>Elect!Y6</f>
        <v>0.36499999999999999</v>
      </c>
      <c r="X4" s="52">
        <f>Elect!AC6</f>
        <v>4320</v>
      </c>
      <c r="Y4" s="52">
        <f>Elect!AB6</f>
        <v>0.31</v>
      </c>
      <c r="Z4" s="52">
        <f>Elect!AF6</f>
        <v>44400</v>
      </c>
      <c r="AA4" s="52">
        <f>Elect!AE6</f>
        <v>1.976</v>
      </c>
      <c r="AB4" s="52">
        <f>Elect!AW6</f>
        <v>1800</v>
      </c>
      <c r="AC4" s="52">
        <f>Elect!AU6</f>
        <v>13200</v>
      </c>
      <c r="AD4" s="52">
        <f>Elect!AY6</f>
        <v>980</v>
      </c>
      <c r="AE4" s="52">
        <f>Elect!BA6</f>
        <v>880</v>
      </c>
      <c r="AF4" s="54">
        <f>('Wtr-Gas'!E6)*0.0038</f>
        <v>3315.1959999999999</v>
      </c>
      <c r="AG4" s="54">
        <f>('Wtr-Gas'!H6)*0.0038</f>
        <v>178.18199999999999</v>
      </c>
      <c r="AH4" s="54">
        <f>'Wtr-Gas'!K6*0.0038</f>
        <v>0.91200000000000003</v>
      </c>
      <c r="AI4" s="54">
        <f>'Wtr-Gas'!N6*0.0038</f>
        <v>2420.6</v>
      </c>
      <c r="AJ4" s="54">
        <f>'Wtr-Gas'!Q6*0.0038</f>
        <v>14.06</v>
      </c>
      <c r="AK4" s="57">
        <f>'Wtr-Gas'!U6*0.0038</f>
        <v>791.92</v>
      </c>
      <c r="AL4" s="57">
        <f>'Wtr-Gas'!X6*0.0038</f>
        <v>6300.78</v>
      </c>
      <c r="AM4" s="54">
        <f>'Wtr-Gas'!AB6*0.0038</f>
        <v>5282</v>
      </c>
      <c r="AN4" s="54">
        <f>'Wtr-Gas'!AD6*0.0038</f>
        <v>1022.4424399999999</v>
      </c>
      <c r="AO4" s="54">
        <f>'Wtr-Gas'!AF6*0.0038</f>
        <v>10.374000000000001</v>
      </c>
      <c r="AP4" s="54">
        <f>'Wtr-Gas'!AH6*0.0038</f>
        <v>355.262</v>
      </c>
      <c r="AQ4" s="54">
        <f>'Wtr-Gas'!AJ6*0.0038</f>
        <v>61.56</v>
      </c>
      <c r="AR4" s="54">
        <f>'Wtr-Gas'!AL6*0.0038</f>
        <v>243.2</v>
      </c>
      <c r="AS4" s="54">
        <f>'Wtr-Gas'!AN6*0.0038</f>
        <v>0</v>
      </c>
      <c r="AT4" s="54">
        <f>'Wtr-Gas'!AP6*0.0038</f>
        <v>21.66</v>
      </c>
      <c r="AU4" s="57">
        <f>'Wtr-Gas'!AT6*0.0038</f>
        <v>0.42559999999999998</v>
      </c>
      <c r="AV4" s="54">
        <f>'Wtr-Gas'!AW6*0.0038</f>
        <v>305.46300000000002</v>
      </c>
      <c r="AW4" s="55">
        <f>'Wtr-Gas'!AY6*0.0038</f>
        <v>248.845204</v>
      </c>
      <c r="AX4" s="54">
        <f>'Wtr-Gas'!AZ6*0.0038</f>
        <v>56.617795999999991</v>
      </c>
      <c r="AY4" s="54">
        <f>'Wtr-Gas'!BB6*0.0038</f>
        <v>22.8</v>
      </c>
      <c r="AZ4" s="54">
        <f>'Wtr-Gas'!BD6*0.0038</f>
        <v>1.52</v>
      </c>
      <c r="BA4" s="54">
        <f>'Wtr-Gas'!BF6*0.0038</f>
        <v>28.518999999999998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52">
        <f>Elect!AK7</f>
        <v>465</v>
      </c>
      <c r="F5" s="52">
        <f>Elect!H7</f>
        <v>49280</v>
      </c>
      <c r="G5" s="52">
        <f>Elect!G7</f>
        <v>2.6030000000000002</v>
      </c>
      <c r="H5" s="52">
        <f>Elect!E7</f>
        <v>47200</v>
      </c>
      <c r="I5" s="52">
        <f>Elect!D7</f>
        <v>2.2909999999999999</v>
      </c>
      <c r="J5" s="52">
        <f>Elect!T7</f>
        <v>51300</v>
      </c>
      <c r="K5" s="52">
        <f>Elect!S7</f>
        <v>2.516</v>
      </c>
      <c r="L5" s="52">
        <f>Elect!AI7</f>
        <v>1640</v>
      </c>
      <c r="M5" s="52">
        <f>Elect!AH7</f>
        <v>0.313</v>
      </c>
      <c r="N5" s="52">
        <f>Elect!W7</f>
        <v>60900</v>
      </c>
      <c r="O5" s="52">
        <f>Elect!V7</f>
        <v>2.0019999999999998</v>
      </c>
      <c r="P5" s="52">
        <f>Elect!N7</f>
        <v>11600</v>
      </c>
      <c r="Q5" s="52">
        <f>Elect!M7</f>
        <v>0.28599999999999998</v>
      </c>
      <c r="R5" s="52">
        <f>Elect!K7</f>
        <v>12400</v>
      </c>
      <c r="S5" s="52">
        <f>Elect!J7</f>
        <v>0.33900000000000002</v>
      </c>
      <c r="T5" s="52">
        <f>Elect!Q7</f>
        <v>12000</v>
      </c>
      <c r="U5" s="52">
        <f>Elect!P7</f>
        <v>0.315</v>
      </c>
      <c r="V5" s="52">
        <f>Elect!Z7</f>
        <v>7040</v>
      </c>
      <c r="W5" s="52">
        <f>Elect!Y7</f>
        <v>0.38400000000000001</v>
      </c>
      <c r="X5" s="52">
        <f>Elect!AC7</f>
        <v>5440</v>
      </c>
      <c r="Y5" s="52">
        <f>Elect!AB7</f>
        <v>0.39100000000000001</v>
      </c>
      <c r="Z5" s="52">
        <f>Elect!AF7</f>
        <v>47000</v>
      </c>
      <c r="AA5" s="52">
        <f>Elect!AE7</f>
        <v>1.976</v>
      </c>
      <c r="AB5" s="52">
        <f>Elect!AW7</f>
        <v>2300</v>
      </c>
      <c r="AC5" s="52">
        <f>Elect!AU7</f>
        <v>16400</v>
      </c>
      <c r="AD5" s="52">
        <f>Elect!AY7</f>
        <v>1000</v>
      </c>
      <c r="AE5" s="52">
        <f>Elect!BA7</f>
        <v>440</v>
      </c>
      <c r="AF5" s="54">
        <f>('Wtr-Gas'!E7)*0.0038</f>
        <v>4243.08</v>
      </c>
      <c r="AG5" s="54">
        <f>('Wtr-Gas'!H7)*0.0038</f>
        <v>352.79199999999997</v>
      </c>
      <c r="AH5" s="54">
        <f>'Wtr-Gas'!K7*0.0038</f>
        <v>2.5840000000000001</v>
      </c>
      <c r="AI5" s="54">
        <f>'Wtr-Gas'!N7*0.0038</f>
        <v>3169.2</v>
      </c>
      <c r="AJ5" s="54">
        <f>'Wtr-Gas'!Q7*0.0038</f>
        <v>0</v>
      </c>
      <c r="AK5" s="57">
        <f>'Wtr-Gas'!U7*0.0038</f>
        <v>798.38</v>
      </c>
      <c r="AL5" s="57">
        <f>'Wtr-Gas'!X7*0.0038</f>
        <v>4453.9799999999996</v>
      </c>
      <c r="AM5" s="54">
        <f>'Wtr-Gas'!AB7*0.0038</f>
        <v>7220</v>
      </c>
      <c r="AN5" s="54">
        <f>'Wtr-Gas'!AD7*0.0038</f>
        <v>1653.2154600000001</v>
      </c>
      <c r="AO5" s="54">
        <f>'Wtr-Gas'!AF7*0.0038</f>
        <v>5.6619999999999999</v>
      </c>
      <c r="AP5" s="54">
        <f>'Wtr-Gas'!AH7*0.0038</f>
        <v>482.75200000000001</v>
      </c>
      <c r="AQ5" s="54">
        <f>'Wtr-Gas'!AJ7*0.0038</f>
        <v>62.863399999999999</v>
      </c>
      <c r="AR5" s="54">
        <f>'Wtr-Gas'!AL7*0.0038</f>
        <v>205.2</v>
      </c>
      <c r="AS5" s="54">
        <f>'Wtr-Gas'!AN7*0.0038</f>
        <v>0</v>
      </c>
      <c r="AT5" s="54">
        <f>'Wtr-Gas'!AP7*0.0038</f>
        <v>22.42</v>
      </c>
      <c r="AU5" s="57">
        <f>'Wtr-Gas'!AT7*0.0038</f>
        <v>0.66500000000000004</v>
      </c>
      <c r="AV5" s="54">
        <f>'Wtr-Gas'!AW7*0.0038</f>
        <v>347.84820000000002</v>
      </c>
      <c r="AW5" s="55">
        <f>'Wtr-Gas'!AY7*0.0038</f>
        <v>244.72</v>
      </c>
      <c r="AX5" s="54">
        <f>'Wtr-Gas'!AZ7*0.0038</f>
        <v>103.12820000000001</v>
      </c>
      <c r="AY5" s="54">
        <f>'Wtr-Gas'!BB7*0.0038</f>
        <v>16.72</v>
      </c>
      <c r="AZ5" s="54">
        <f>'Wtr-Gas'!BD7*0.0038</f>
        <v>4.18</v>
      </c>
      <c r="BA5" s="54">
        <f>'Wtr-Gas'!BF7*0.0038</f>
        <v>27.762799999999999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52">
        <f>Elect!AK8</f>
        <v>465</v>
      </c>
      <c r="F6" s="52">
        <f>Elect!H8</f>
        <v>52000</v>
      </c>
      <c r="G6" s="52">
        <f>Elect!G8</f>
        <v>2.5059999999999998</v>
      </c>
      <c r="H6" s="52">
        <f>Elect!E8</f>
        <v>47840</v>
      </c>
      <c r="I6" s="52">
        <f>Elect!D8</f>
        <v>2.1629999999999998</v>
      </c>
      <c r="J6" s="52">
        <f>Elect!T8</f>
        <v>38100</v>
      </c>
      <c r="K6" s="52">
        <f>Elect!S8</f>
        <v>1.655</v>
      </c>
      <c r="L6" s="52">
        <f>Elect!AI8</f>
        <v>1600</v>
      </c>
      <c r="M6" s="52">
        <f>Elect!AH8</f>
        <v>0.31</v>
      </c>
      <c r="N6" s="52">
        <f>Elect!W8</f>
        <v>33000</v>
      </c>
      <c r="O6" s="52">
        <f>Elect!V8</f>
        <v>1.488</v>
      </c>
      <c r="P6" s="52">
        <f>Elect!N8</f>
        <v>14000</v>
      </c>
      <c r="Q6" s="52">
        <f>Elect!M8</f>
        <v>0.33300000000000002</v>
      </c>
      <c r="R6" s="52">
        <f>Elect!K8</f>
        <v>16000</v>
      </c>
      <c r="S6" s="52">
        <f>Elect!J8</f>
        <v>0.35199999999999998</v>
      </c>
      <c r="T6" s="52">
        <f>Elect!Q8</f>
        <v>15200</v>
      </c>
      <c r="U6" s="52">
        <f>Elect!P8</f>
        <v>0.4</v>
      </c>
      <c r="V6" s="52">
        <f>Elect!Z8</f>
        <v>7200</v>
      </c>
      <c r="W6" s="52">
        <f>Elect!Y8</f>
        <v>0.38900000000000001</v>
      </c>
      <c r="X6" s="52">
        <f>Elect!AC8</f>
        <v>5920</v>
      </c>
      <c r="Y6" s="52">
        <f>Elect!AB8</f>
        <v>0.45100000000000001</v>
      </c>
      <c r="Z6" s="52">
        <f>Elect!AF8</f>
        <v>38200</v>
      </c>
      <c r="AA6" s="52">
        <f>Elect!AE8</f>
        <v>1.6419999999999999</v>
      </c>
      <c r="AB6" s="52">
        <f>Elect!AW8</f>
        <v>1700</v>
      </c>
      <c r="AC6" s="52">
        <f>Elect!AU8</f>
        <v>11600</v>
      </c>
      <c r="AD6" s="52">
        <f>Elect!AY8</f>
        <v>973</v>
      </c>
      <c r="AE6" s="52">
        <f>Elect!BA8</f>
        <v>2680</v>
      </c>
      <c r="AF6" s="54">
        <f>('Wtr-Gas'!E8)*0.0038</f>
        <v>3487.83</v>
      </c>
      <c r="AG6" s="54">
        <f>('Wtr-Gas'!H8)*0.0038</f>
        <v>16.263999999999999</v>
      </c>
      <c r="AH6" s="54">
        <f>'Wtr-Gas'!K8*0.0038</f>
        <v>0.91200000000000003</v>
      </c>
      <c r="AI6" s="54">
        <f>'Wtr-Gas'!N8*0.0038</f>
        <v>2796.8</v>
      </c>
      <c r="AJ6" s="54">
        <f>'Wtr-Gas'!Q8*0.0038</f>
        <v>0</v>
      </c>
      <c r="AK6" s="57">
        <f>'Wtr-Gas'!U8*0.0038</f>
        <v>971.28</v>
      </c>
      <c r="AL6" s="57">
        <f>'Wtr-Gas'!X8*0.0038</f>
        <v>4921</v>
      </c>
      <c r="AM6" s="54">
        <f>'Wtr-Gas'!AB8*0.0038</f>
        <v>2926</v>
      </c>
      <c r="AN6" s="54">
        <f>'Wtr-Gas'!AD8*0.0038</f>
        <v>680.7586</v>
      </c>
      <c r="AO6" s="54">
        <f>'Wtr-Gas'!AF8*0.0038</f>
        <v>4.4080000000000004</v>
      </c>
      <c r="AP6" s="54">
        <f>'Wtr-Gas'!AH8*0.0038</f>
        <v>214.738</v>
      </c>
      <c r="AQ6" s="54">
        <f>'Wtr-Gas'!AJ8*0.0038</f>
        <v>65.333399999999997</v>
      </c>
      <c r="AR6" s="54">
        <f>'Wtr-Gas'!AL8*0.0038</f>
        <v>11.4</v>
      </c>
      <c r="AS6" s="54">
        <f>'Wtr-Gas'!AN8*0.0038</f>
        <v>3.8</v>
      </c>
      <c r="AT6" s="54">
        <f>'Wtr-Gas'!AP8*0.0038</f>
        <v>19.760000000000002</v>
      </c>
      <c r="AU6" s="57">
        <f>'Wtr-Gas'!AT8*0.0038</f>
        <v>0.53200000000000003</v>
      </c>
      <c r="AV6" s="54">
        <f>'Wtr-Gas'!AW8*0.0038</f>
        <v>298.2088</v>
      </c>
      <c r="AW6" s="55">
        <f>'Wtr-Gas'!AY8*0.0038</f>
        <v>246.51382799999999</v>
      </c>
      <c r="AX6" s="54">
        <f>'Wtr-Gas'!AZ8*0.0038</f>
        <v>51.694972000000007</v>
      </c>
      <c r="AY6" s="54">
        <f>'Wtr-Gas'!BB8*0.0038</f>
        <v>11.4</v>
      </c>
      <c r="AZ6" s="54">
        <f>'Wtr-Gas'!BD8*0.0038</f>
        <v>78.66</v>
      </c>
      <c r="BA6" s="54">
        <f>'Wtr-Gas'!BF8*0.0038</f>
        <v>369.83879999999999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52">
        <f>Elect!AK9</f>
        <v>466</v>
      </c>
      <c r="F7" s="52">
        <f>Elect!H9</f>
        <v>49600</v>
      </c>
      <c r="G7" s="52">
        <f>Elect!G9</f>
        <v>2.5059999999999998</v>
      </c>
      <c r="H7" s="52">
        <f>Elect!E9</f>
        <v>47680</v>
      </c>
      <c r="I7" s="52">
        <f>Elect!D9</f>
        <v>2.1629999999999998</v>
      </c>
      <c r="J7" s="52">
        <f>Elect!T9</f>
        <v>34200</v>
      </c>
      <c r="K7" s="52">
        <f>Elect!S9</f>
        <v>1.903</v>
      </c>
      <c r="L7" s="52">
        <f>Elect!AI9</f>
        <v>1440</v>
      </c>
      <c r="M7" s="52">
        <f>Elect!AH9</f>
        <v>0.31</v>
      </c>
      <c r="N7" s="52">
        <f>Elect!W9</f>
        <v>38100</v>
      </c>
      <c r="O7" s="52">
        <f>Elect!V9</f>
        <v>1.706</v>
      </c>
      <c r="P7" s="52">
        <f>Elect!N9</f>
        <v>12400</v>
      </c>
      <c r="Q7" s="52">
        <f>Elect!M9</f>
        <v>0.33300000000000002</v>
      </c>
      <c r="R7" s="52">
        <f>Elect!K9</f>
        <v>14400</v>
      </c>
      <c r="S7" s="52">
        <f>Elect!J9</f>
        <v>0.35199999999999998</v>
      </c>
      <c r="T7" s="52">
        <f>Elect!Q9</f>
        <v>13200</v>
      </c>
      <c r="U7" s="52">
        <f>Elect!P9</f>
        <v>0.4</v>
      </c>
      <c r="V7" s="52">
        <f>Elect!Z9</f>
        <v>6880</v>
      </c>
      <c r="W7" s="52">
        <f>Elect!Y9</f>
        <v>0.41499999999999998</v>
      </c>
      <c r="X7" s="52">
        <f>Elect!AC9</f>
        <v>4960</v>
      </c>
      <c r="Y7" s="52">
        <f>Elect!AB9</f>
        <v>0.45100000000000001</v>
      </c>
      <c r="Z7" s="52">
        <f>Elect!AF9</f>
        <v>40600</v>
      </c>
      <c r="AA7" s="52">
        <f>Elect!AE9</f>
        <v>1.7889999999999999</v>
      </c>
      <c r="AB7" s="52">
        <f>Elect!AW9</f>
        <v>1500</v>
      </c>
      <c r="AC7" s="52">
        <f>Elect!AU9</f>
        <v>12400</v>
      </c>
      <c r="AD7" s="52">
        <f>Elect!AY9</f>
        <v>977</v>
      </c>
      <c r="AE7" s="52">
        <f>Elect!BA9</f>
        <v>1680</v>
      </c>
      <c r="AF7" s="54">
        <f>('Wtr-Gas'!E9)*0.0038</f>
        <v>4612.0600000000004</v>
      </c>
      <c r="AG7" s="54">
        <f>('Wtr-Gas'!H9)*0.0038</f>
        <v>280.02199999999999</v>
      </c>
      <c r="AH7" s="54">
        <f>'Wtr-Gas'!K9*0.0038</f>
        <v>1.026</v>
      </c>
      <c r="AI7" s="54">
        <f>'Wtr-Gas'!N9*0.0038</f>
        <v>2686.6</v>
      </c>
      <c r="AJ7" s="54">
        <f>'Wtr-Gas'!Q9*0.0038</f>
        <v>0</v>
      </c>
      <c r="AK7" s="57">
        <f>'Wtr-Gas'!U9*0.0038</f>
        <v>886.16</v>
      </c>
      <c r="AL7" s="57">
        <f>'Wtr-Gas'!X9*0.0038</f>
        <v>5161.54</v>
      </c>
      <c r="AM7" s="54">
        <f>'Wtr-Gas'!AB9*0.0038</f>
        <v>3344</v>
      </c>
      <c r="AN7" s="54">
        <f>'Wtr-Gas'!AD9*0.0038</f>
        <v>772.88427999999999</v>
      </c>
      <c r="AO7" s="54">
        <f>'Wtr-Gas'!AF9*0.0038</f>
        <v>28.462</v>
      </c>
      <c r="AP7" s="54">
        <f>'Wtr-Gas'!AH9*0.0038</f>
        <v>468.99599999999998</v>
      </c>
      <c r="AQ7" s="54">
        <f>'Wtr-Gas'!AJ9*0.0038</f>
        <v>61.031799999999997</v>
      </c>
      <c r="AR7" s="54">
        <f>'Wtr-Gas'!AL9*0.0038</f>
        <v>216.6</v>
      </c>
      <c r="AS7" s="54">
        <f>'Wtr-Gas'!AN9*0.0038</f>
        <v>0</v>
      </c>
      <c r="AT7" s="54">
        <f>'Wtr-Gas'!AP9*0.0038</f>
        <v>14.82</v>
      </c>
      <c r="AU7" s="57">
        <f>'Wtr-Gas'!AT9*0.0038</f>
        <v>0.54339999999999999</v>
      </c>
      <c r="AV7" s="54">
        <f>'Wtr-Gas'!AW9*0.0038</f>
        <v>307.4846</v>
      </c>
      <c r="AW7" s="55">
        <f>'Wtr-Gas'!AY9*0.0038</f>
        <v>246.53020600000002</v>
      </c>
      <c r="AX7" s="54">
        <f>'Wtr-Gas'!AZ9*0.0038</f>
        <v>60.954393999999986</v>
      </c>
      <c r="AY7" s="54">
        <f>'Wtr-Gas'!BB9*0.0038</f>
        <v>6.46</v>
      </c>
      <c r="AZ7" s="54">
        <f>'Wtr-Gas'!BD9*0.0038</f>
        <v>4.9400000000000004</v>
      </c>
      <c r="BA7" s="54">
        <f>'Wtr-Gas'!BF9*0.0038</f>
        <v>204.5008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52">
        <f>Elect!AK10</f>
        <v>454</v>
      </c>
      <c r="F8" s="52">
        <f>Elect!H10</f>
        <v>48960</v>
      </c>
      <c r="G8" s="52">
        <f>Elect!G10</f>
        <v>2.5059999999999998</v>
      </c>
      <c r="H8" s="52">
        <f>Elect!E10</f>
        <v>47360</v>
      </c>
      <c r="I8" s="52">
        <f>Elect!D10</f>
        <v>2.1629999999999998</v>
      </c>
      <c r="J8" s="52">
        <f>Elect!T10</f>
        <v>42300</v>
      </c>
      <c r="K8" s="52">
        <f>Elect!S10</f>
        <v>2.4950000000000001</v>
      </c>
      <c r="L8" s="52">
        <f>Elect!AI10</f>
        <v>1840</v>
      </c>
      <c r="M8" s="52">
        <f>Elect!AH10</f>
        <v>0.34899999999999998</v>
      </c>
      <c r="N8" s="52">
        <f>Elect!W10</f>
        <v>47400</v>
      </c>
      <c r="O8" s="52">
        <f>Elect!V10</f>
        <v>1.9279999999999999</v>
      </c>
      <c r="P8" s="52">
        <f>Elect!N10</f>
        <v>12800</v>
      </c>
      <c r="Q8" s="52">
        <f>Elect!M10</f>
        <v>0.33300000000000002</v>
      </c>
      <c r="R8" s="52">
        <f>Elect!K10</f>
        <v>14000</v>
      </c>
      <c r="S8" s="52">
        <f>Elect!J10</f>
        <v>0.35199999999999998</v>
      </c>
      <c r="T8" s="52">
        <f>Elect!Q10</f>
        <v>12800</v>
      </c>
      <c r="U8" s="52">
        <f>Elect!P10</f>
        <v>0.4</v>
      </c>
      <c r="V8" s="52">
        <f>Elect!Z10</f>
        <v>7360</v>
      </c>
      <c r="W8" s="52">
        <f>Elect!Y10</f>
        <v>0.49099999999999999</v>
      </c>
      <c r="X8" s="52">
        <f>Elect!AC10</f>
        <v>5280</v>
      </c>
      <c r="Y8" s="52">
        <f>Elect!AB10</f>
        <v>0.45100000000000001</v>
      </c>
      <c r="Z8" s="52">
        <f>Elect!AF10</f>
        <v>46600</v>
      </c>
      <c r="AA8" s="52">
        <f>Elect!AE10</f>
        <v>1.865</v>
      </c>
      <c r="AB8" s="52">
        <f>Elect!AW10</f>
        <v>1600</v>
      </c>
      <c r="AC8" s="52">
        <f>Elect!AU10</f>
        <v>13200</v>
      </c>
      <c r="AD8" s="52">
        <f>Elect!AY10</f>
        <v>999</v>
      </c>
      <c r="AE8" s="52">
        <f>Elect!BA10</f>
        <v>1280</v>
      </c>
      <c r="AF8" s="54">
        <f>('Wtr-Gas'!E10)*0.0038</f>
        <v>4104.0379999999996</v>
      </c>
      <c r="AG8" s="54">
        <f>('Wtr-Gas'!H10)*0.0038</f>
        <v>302.404</v>
      </c>
      <c r="AH8" s="54">
        <f>'Wtr-Gas'!K10*0.0038</f>
        <v>1.1020000000000001</v>
      </c>
      <c r="AI8" s="54">
        <f>'Wtr-Gas'!N10*0.0038</f>
        <v>3078</v>
      </c>
      <c r="AJ8" s="54">
        <f>'Wtr-Gas'!Q10*0.0038</f>
        <v>0</v>
      </c>
      <c r="AK8" s="57">
        <f>'Wtr-Gas'!U10*0.0038</f>
        <v>887.68</v>
      </c>
      <c r="AL8" s="57">
        <f>'Wtr-Gas'!X10*0.0038</f>
        <v>6851.4</v>
      </c>
      <c r="AM8" s="54">
        <f>'Wtr-Gas'!AB10*0.0038</f>
        <v>4902</v>
      </c>
      <c r="AN8" s="54">
        <f>'Wtr-Gas'!AD10*0.0038</f>
        <v>1020.59792</v>
      </c>
      <c r="AO8" s="54">
        <f>'Wtr-Gas'!AF10*0.0038</f>
        <v>0.19</v>
      </c>
      <c r="AP8" s="54">
        <f>'Wtr-Gas'!AH10*0.0038</f>
        <v>494.72199999999998</v>
      </c>
      <c r="AQ8" s="54">
        <f>'Wtr-Gas'!AJ10*0.0038</f>
        <v>57.501600000000003</v>
      </c>
      <c r="AR8" s="54">
        <f>'Wtr-Gas'!AL10*0.0038</f>
        <v>171</v>
      </c>
      <c r="AS8" s="54">
        <f>'Wtr-Gas'!AN10*0.0038</f>
        <v>0</v>
      </c>
      <c r="AT8" s="54">
        <f>'Wtr-Gas'!AP10*0.0038</f>
        <v>17.86</v>
      </c>
      <c r="AU8" s="57">
        <f>'Wtr-Gas'!AT10*0.0038</f>
        <v>0</v>
      </c>
      <c r="AV8" s="54">
        <f>'Wtr-Gas'!AW10*0.0038</f>
        <v>302.11899999999997</v>
      </c>
      <c r="AW8" s="55">
        <f>'Wtr-Gas'!AY10*0.0038</f>
        <v>247.513228</v>
      </c>
      <c r="AX8" s="54">
        <f>'Wtr-Gas'!AZ10*0.0038</f>
        <v>54.605772000000009</v>
      </c>
      <c r="AY8" s="54">
        <f>'Wtr-Gas'!BB10*0.0038</f>
        <v>9.1199999999999992</v>
      </c>
      <c r="AZ8" s="54">
        <f>'Wtr-Gas'!BD10*0.0038</f>
        <v>2.2799999999999998</v>
      </c>
      <c r="BA8" s="54">
        <f>'Wtr-Gas'!BF10*0.0038</f>
        <v>125.2822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52">
        <f>Elect!AK11</f>
        <v>441</v>
      </c>
      <c r="F9" s="52">
        <f>Elect!H11</f>
        <v>50240</v>
      </c>
      <c r="G9" s="52">
        <f>Elect!G11</f>
        <v>2.5059999999999998</v>
      </c>
      <c r="H9" s="52">
        <f>Elect!E11</f>
        <v>48320</v>
      </c>
      <c r="I9" s="52">
        <f>Elect!D11</f>
        <v>2.222</v>
      </c>
      <c r="J9" s="52">
        <f>Elect!T11</f>
        <v>71700</v>
      </c>
      <c r="K9" s="52">
        <f>Elect!S11</f>
        <v>2.508</v>
      </c>
      <c r="L9" s="52">
        <f>Elect!AI11</f>
        <v>1760</v>
      </c>
      <c r="M9" s="52">
        <f>Elect!AH11</f>
        <v>0.34899999999999998</v>
      </c>
      <c r="N9" s="52">
        <f>Elect!W11</f>
        <v>51900</v>
      </c>
      <c r="O9" s="52">
        <f>Elect!V11</f>
        <v>1.9279999999999999</v>
      </c>
      <c r="P9" s="52">
        <f>Elect!N11</f>
        <v>11600</v>
      </c>
      <c r="Q9" s="52">
        <f>Elect!M11</f>
        <v>0.33300000000000002</v>
      </c>
      <c r="R9" s="52">
        <f>Elect!K11</f>
        <v>12000</v>
      </c>
      <c r="S9" s="52">
        <f>Elect!J11</f>
        <v>0.35199999999999998</v>
      </c>
      <c r="T9" s="52">
        <f>Elect!Q11</f>
        <v>12000</v>
      </c>
      <c r="U9" s="52">
        <f>Elect!P11</f>
        <v>0.4</v>
      </c>
      <c r="V9" s="52">
        <f>Elect!Z11</f>
        <v>6720</v>
      </c>
      <c r="W9" s="52">
        <f>Elect!Y11</f>
        <v>0.49099999999999999</v>
      </c>
      <c r="X9" s="52">
        <f>Elect!AC11</f>
        <v>4800</v>
      </c>
      <c r="Y9" s="52">
        <f>Elect!AB11</f>
        <v>0.45100000000000001</v>
      </c>
      <c r="Z9" s="52">
        <f>Elect!AF11</f>
        <v>49000</v>
      </c>
      <c r="AA9" s="52">
        <f>Elect!AE11</f>
        <v>2.0489999999999999</v>
      </c>
      <c r="AB9" s="52">
        <f>Elect!AW11</f>
        <v>1600</v>
      </c>
      <c r="AC9" s="52">
        <f>Elect!AU11</f>
        <v>14300</v>
      </c>
      <c r="AD9" s="52">
        <f>Elect!AY11</f>
        <v>948</v>
      </c>
      <c r="AE9" s="52">
        <f>Elect!BA11</f>
        <v>2560</v>
      </c>
      <c r="AF9" s="54">
        <f>('Wtr-Gas'!E11)*0.0038</f>
        <v>4611.7560000000003</v>
      </c>
      <c r="AG9" s="54">
        <f>('Wtr-Gas'!H11)*0.0038</f>
        <v>433.65600000000001</v>
      </c>
      <c r="AH9" s="54">
        <f>'Wtr-Gas'!K11*0.0038</f>
        <v>1.1399999999999999</v>
      </c>
      <c r="AI9" s="54">
        <f>'Wtr-Gas'!N11*0.0038</f>
        <v>3515</v>
      </c>
      <c r="AJ9" s="54">
        <f>'Wtr-Gas'!Q11*0.0038</f>
        <v>0</v>
      </c>
      <c r="AK9" s="57">
        <f>'Wtr-Gas'!U11*0.0038</f>
        <v>879.32</v>
      </c>
      <c r="AL9" s="57">
        <f>'Wtr-Gas'!X11*0.0038</f>
        <v>4722.6400000000003</v>
      </c>
      <c r="AM9" s="54">
        <f>'Wtr-Gas'!AB11*0.0038</f>
        <v>8170</v>
      </c>
      <c r="AN9" s="54">
        <f>'Wtr-Gas'!AD11*0.0038</f>
        <v>2038.2010600000003</v>
      </c>
      <c r="AO9" s="54">
        <f>'Wtr-Gas'!AF11*0.0038</f>
        <v>10.298</v>
      </c>
      <c r="AP9" s="54">
        <f>'Wtr-Gas'!AH11*0.0038</f>
        <v>526.22400000000005</v>
      </c>
      <c r="AQ9" s="54">
        <f>'Wtr-Gas'!AJ11*0.0038</f>
        <v>60.347799999999999</v>
      </c>
      <c r="AR9" s="54">
        <f>'Wtr-Gas'!AL11*0.0038</f>
        <v>144.4</v>
      </c>
      <c r="AS9" s="54">
        <f>'Wtr-Gas'!AN11*0.0038</f>
        <v>3.8</v>
      </c>
      <c r="AT9" s="54">
        <f>'Wtr-Gas'!AP11*0.0038</f>
        <v>17.48</v>
      </c>
      <c r="AU9" s="57">
        <f>'Wtr-Gas'!AT11*0.0038</f>
        <v>0.97660000000000002</v>
      </c>
      <c r="AV9" s="54">
        <f>'Wtr-Gas'!AW11*0.0038</f>
        <v>301.45400000000001</v>
      </c>
      <c r="AW9" s="55">
        <f>'Wtr-Gas'!AY11*0.0038</f>
        <v>245.83613600000001</v>
      </c>
      <c r="AX9" s="54">
        <f>'Wtr-Gas'!AZ11*0.0038</f>
        <v>55.617863999999997</v>
      </c>
      <c r="AY9" s="54">
        <f>'Wtr-Gas'!BB11*0.0038</f>
        <v>10.26</v>
      </c>
      <c r="AZ9" s="54">
        <f>'Wtr-Gas'!BD11*0.0038</f>
        <v>1.52</v>
      </c>
      <c r="BA9" s="54">
        <f>'Wtr-Gas'!BF11*0.0038</f>
        <v>442.81400000000002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52">
        <f>Elect!AK12</f>
        <v>444</v>
      </c>
      <c r="F10" s="52">
        <f>Elect!H12</f>
        <v>49760</v>
      </c>
      <c r="G10" s="52">
        <f>Elect!G12</f>
        <v>2.3780000000000001</v>
      </c>
      <c r="H10" s="52">
        <f>Elect!E12</f>
        <v>47520</v>
      </c>
      <c r="I10" s="52">
        <f>Elect!D12</f>
        <v>2.133</v>
      </c>
      <c r="J10" s="52">
        <f>Elect!T12</f>
        <v>52500</v>
      </c>
      <c r="K10" s="52">
        <f>Elect!S12</f>
        <v>0.874</v>
      </c>
      <c r="L10" s="52">
        <f>Elect!AI12</f>
        <v>1640</v>
      </c>
      <c r="M10" s="52">
        <f>Elect!AH12</f>
        <v>0.30399999999999999</v>
      </c>
      <c r="N10" s="52">
        <f>Elect!W12</f>
        <v>57900</v>
      </c>
      <c r="O10" s="52">
        <f>Elect!V12</f>
        <v>1.345</v>
      </c>
      <c r="P10" s="52">
        <f>Elect!N12</f>
        <v>12400</v>
      </c>
      <c r="Q10" s="52">
        <f>Elect!M12</f>
        <v>0.254</v>
      </c>
      <c r="R10" s="52">
        <f>Elect!K12</f>
        <v>14000</v>
      </c>
      <c r="S10" s="52">
        <f>Elect!J12</f>
        <v>0.32400000000000001</v>
      </c>
      <c r="T10" s="52">
        <f>Elect!Q12</f>
        <v>12800</v>
      </c>
      <c r="U10" s="52">
        <f>Elect!P12</f>
        <v>0.29799999999999999</v>
      </c>
      <c r="V10" s="52">
        <f>Elect!Z12</f>
        <v>8640</v>
      </c>
      <c r="W10" s="52">
        <f>Elect!Y12</f>
        <v>0.36699999999999999</v>
      </c>
      <c r="X10" s="52">
        <f>Elect!AC12</f>
        <v>4960</v>
      </c>
      <c r="Y10" s="52">
        <f>Elect!AB12</f>
        <v>0.28899999999999998</v>
      </c>
      <c r="Z10" s="52">
        <f>Elect!AF12</f>
        <v>50400</v>
      </c>
      <c r="AA10" s="52">
        <f>Elect!AE12</f>
        <v>1.9770000000000001</v>
      </c>
      <c r="AB10" s="52">
        <f>Elect!AW12</f>
        <v>1600</v>
      </c>
      <c r="AC10" s="52">
        <f>Elect!AU12</f>
        <v>14700</v>
      </c>
      <c r="AD10" s="52">
        <f>Elect!AY12</f>
        <v>1027</v>
      </c>
      <c r="AE10" s="52">
        <f>Elect!BA12</f>
        <v>3400</v>
      </c>
      <c r="AF10" s="54">
        <f>('Wtr-Gas'!E12)*0.0038</f>
        <v>4560.3040000000001</v>
      </c>
      <c r="AG10" s="54">
        <f>('Wtr-Gas'!H12)*0.0038</f>
        <v>297.99599999999998</v>
      </c>
      <c r="AH10" s="54">
        <f>'Wtr-Gas'!K12*0.0038</f>
        <v>1.1020000000000001</v>
      </c>
      <c r="AI10" s="54">
        <f>'Wtr-Gas'!N12*0.0038</f>
        <v>3484.6</v>
      </c>
      <c r="AJ10" s="54">
        <f>'Wtr-Gas'!Q12*0.0038</f>
        <v>0</v>
      </c>
      <c r="AK10" s="57">
        <f>'Wtr-Gas'!U12*0.0038</f>
        <v>959.88</v>
      </c>
      <c r="AL10" s="57">
        <f>'Wtr-Gas'!X12*0.0038</f>
        <v>5127.34</v>
      </c>
      <c r="AM10" s="54">
        <f>'Wtr-Gas'!AB12*0.0038</f>
        <v>6498</v>
      </c>
      <c r="AN10" s="54">
        <f>'Wtr-Gas'!AD12*0.0038</f>
        <v>1454.5567800000001</v>
      </c>
      <c r="AO10" s="54">
        <f>'Wtr-Gas'!AF12*0.0038</f>
        <v>22.154</v>
      </c>
      <c r="AP10" s="54">
        <f>'Wtr-Gas'!AH12*0.0038</f>
        <v>514.178</v>
      </c>
      <c r="AQ10" s="54">
        <f>'Wtr-Gas'!AJ12*0.0038</f>
        <v>66.971199999999996</v>
      </c>
      <c r="AR10" s="54">
        <f>'Wtr-Gas'!AL12*0.0038</f>
        <v>167.2</v>
      </c>
      <c r="AS10" s="54">
        <f>'Wtr-Gas'!AN12*0.0038</f>
        <v>0</v>
      </c>
      <c r="AT10" s="54">
        <f>'Wtr-Gas'!AP12*0.0038</f>
        <v>20.52</v>
      </c>
      <c r="AU10" s="57">
        <f>'Wtr-Gas'!AT12*0.0038</f>
        <v>0</v>
      </c>
      <c r="AV10" s="54">
        <f>'Wtr-Gas'!AW12*0.0038</f>
        <v>333.84519999999998</v>
      </c>
      <c r="AW10" s="55">
        <f>'Wtr-Gas'!AY12*0.0038</f>
        <v>245.671254</v>
      </c>
      <c r="AX10" s="54">
        <f>'Wtr-Gas'!AZ12*0.0038</f>
        <v>88.173945999999987</v>
      </c>
      <c r="AY10" s="54">
        <f>'Wtr-Gas'!BB12*0.0038</f>
        <v>4.5599999999999996</v>
      </c>
      <c r="AZ10" s="54">
        <f>'Wtr-Gas'!BD12*0.0038</f>
        <v>25.46</v>
      </c>
      <c r="BA10" s="54">
        <f>'Wtr-Gas'!BF12*0.0038</f>
        <v>897.79939999999999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52">
        <f>Elect!AK13</f>
        <v>382</v>
      </c>
      <c r="F11" s="52">
        <f>Elect!H13</f>
        <v>44320</v>
      </c>
      <c r="G11" s="52">
        <f>Elect!G13</f>
        <v>2.4260000000000002</v>
      </c>
      <c r="H11" s="52">
        <f>Elect!E13</f>
        <v>43040</v>
      </c>
      <c r="I11" s="52">
        <f>Elect!D13</f>
        <v>2.33</v>
      </c>
      <c r="J11" s="52">
        <f>Elect!T13</f>
        <v>42000</v>
      </c>
      <c r="K11" s="52">
        <f>Elect!S13</f>
        <v>1.7829999999999999</v>
      </c>
      <c r="L11" s="52">
        <f>Elect!AI13</f>
        <v>1440</v>
      </c>
      <c r="M11" s="52">
        <f>Elect!AH13</f>
        <v>0.311</v>
      </c>
      <c r="N11" s="52">
        <f>Elect!W13</f>
        <v>33600</v>
      </c>
      <c r="O11" s="52">
        <f>Elect!V13</f>
        <v>1.8320000000000001</v>
      </c>
      <c r="P11" s="52">
        <f>Elect!N13</f>
        <v>10800</v>
      </c>
      <c r="Q11" s="52">
        <f>Elect!M13</f>
        <v>0.254</v>
      </c>
      <c r="R11" s="52">
        <f>Elect!K13</f>
        <v>12400</v>
      </c>
      <c r="S11" s="52">
        <f>Elect!J13</f>
        <v>0.32400000000000001</v>
      </c>
      <c r="T11" s="52">
        <f>Elect!Q13</f>
        <v>11600</v>
      </c>
      <c r="U11" s="52">
        <f>Elect!P13</f>
        <v>0.29799999999999999</v>
      </c>
      <c r="V11" s="52">
        <f>Elect!Z13</f>
        <v>6720</v>
      </c>
      <c r="W11" s="52">
        <f>Elect!Y13</f>
        <v>0.51100000000000001</v>
      </c>
      <c r="X11" s="52">
        <f>Elect!AC13</f>
        <v>4000</v>
      </c>
      <c r="Y11" s="52">
        <f>Elect!AB13</f>
        <v>0.34699999999999998</v>
      </c>
      <c r="Z11" s="52">
        <f>Elect!AF13</f>
        <v>45200</v>
      </c>
      <c r="AA11" s="52">
        <f>Elect!AE13</f>
        <v>2</v>
      </c>
      <c r="AB11" s="52">
        <f>Elect!AW13</f>
        <v>1600</v>
      </c>
      <c r="AC11" s="52">
        <f>Elect!AU13</f>
        <v>12700</v>
      </c>
      <c r="AD11" s="52">
        <f>Elect!AY13</f>
        <v>884</v>
      </c>
      <c r="AE11" s="52">
        <f>Elect!BA13</f>
        <v>4640</v>
      </c>
      <c r="AF11" s="54">
        <f>('Wtr-Gas'!E13)*0.0038</f>
        <v>3675.0940000000001</v>
      </c>
      <c r="AG11" s="54">
        <f>('Wtr-Gas'!H13)*0.0038</f>
        <v>380.608</v>
      </c>
      <c r="AH11" s="54">
        <f>'Wtr-Gas'!K13*0.0038</f>
        <v>0.95</v>
      </c>
      <c r="AI11" s="54">
        <f>'Wtr-Gas'!N13*0.0038</f>
        <v>2796.8</v>
      </c>
      <c r="AJ11" s="54">
        <f>'Wtr-Gas'!Q13*0.0038</f>
        <v>0</v>
      </c>
      <c r="AK11" s="57">
        <f>'Wtr-Gas'!U13*0.0038</f>
        <v>826.88</v>
      </c>
      <c r="AL11" s="57">
        <f>'Wtr-Gas'!X13*0.0038</f>
        <v>5542.68</v>
      </c>
      <c r="AM11" s="54">
        <f>'Wtr-Gas'!AB13*0.0038</f>
        <v>3914</v>
      </c>
      <c r="AN11" s="54">
        <f>'Wtr-Gas'!AD13*0.0038</f>
        <v>937.31522000000007</v>
      </c>
      <c r="AO11" s="54">
        <f>'Wtr-Gas'!AF13*0.0038</f>
        <v>0.26600000000000001</v>
      </c>
      <c r="AP11" s="54">
        <f>'Wtr-Gas'!AH13*0.0038</f>
        <v>362.55799999999999</v>
      </c>
      <c r="AQ11" s="54">
        <f>'Wtr-Gas'!AJ13*0.0038</f>
        <v>58.558</v>
      </c>
      <c r="AR11" s="54">
        <f>'Wtr-Gas'!AL13*0.0038</f>
        <v>159.6</v>
      </c>
      <c r="AS11" s="54">
        <f>'Wtr-Gas'!AN13*0.0038</f>
        <v>3.8</v>
      </c>
      <c r="AT11" s="54">
        <f>'Wtr-Gas'!AP13*0.0038</f>
        <v>18.239999999999998</v>
      </c>
      <c r="AU11" s="57">
        <f>'Wtr-Gas'!AT13*0.0038</f>
        <v>1.2121999999999999</v>
      </c>
      <c r="AV11" s="54">
        <f>'Wtr-Gas'!AW13*0.0038</f>
        <v>306.96019999999999</v>
      </c>
      <c r="AW11" s="55">
        <f>'Wtr-Gas'!AY13*0.0038</f>
        <v>245.38347999999999</v>
      </c>
      <c r="AX11" s="54">
        <f>'Wtr-Gas'!AZ13*0.0038</f>
        <v>61.576720000000009</v>
      </c>
      <c r="AY11" s="54">
        <f>'Wtr-Gas'!BB13*0.0038</f>
        <v>10.26</v>
      </c>
      <c r="AZ11" s="54">
        <f>'Wtr-Gas'!BD13*0.0038</f>
        <v>17.100000000000001</v>
      </c>
      <c r="BA11" s="54">
        <f>'Wtr-Gas'!BF13*0.0038</f>
        <v>907.7364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52">
        <f>Elect!AK14</f>
        <v>470</v>
      </c>
      <c r="F12" s="52">
        <f>Elect!H14</f>
        <v>54880</v>
      </c>
      <c r="G12" s="52">
        <f>Elect!G14</f>
        <v>2.4260000000000002</v>
      </c>
      <c r="H12" s="52">
        <f>Elect!E14</f>
        <v>53440</v>
      </c>
      <c r="I12" s="52">
        <f>Elect!D14</f>
        <v>2.2330000000000001</v>
      </c>
      <c r="J12" s="52">
        <f>Elect!T14</f>
        <v>60000</v>
      </c>
      <c r="K12" s="52">
        <f>Elect!S14</f>
        <v>2.2519999999999998</v>
      </c>
      <c r="L12" s="52">
        <f>Elect!AI14</f>
        <v>1800</v>
      </c>
      <c r="M12" s="52">
        <f>Elect!AH14</f>
        <v>0.32800000000000001</v>
      </c>
      <c r="N12" s="52">
        <f>Elect!W14</f>
        <v>49800</v>
      </c>
      <c r="O12" s="52">
        <f>Elect!V14</f>
        <v>2.0070000000000001</v>
      </c>
      <c r="P12" s="52">
        <f>Elect!N14</f>
        <v>13200</v>
      </c>
      <c r="Q12" s="52">
        <f>Elect!M14</f>
        <v>0.254</v>
      </c>
      <c r="R12" s="52">
        <f>Elect!K14</f>
        <v>13600</v>
      </c>
      <c r="S12" s="52">
        <f>Elect!J14</f>
        <v>0.32400000000000001</v>
      </c>
      <c r="T12" s="52">
        <f>Elect!Q14</f>
        <v>13600</v>
      </c>
      <c r="U12" s="52">
        <f>Elect!P14</f>
        <v>0.29799999999999999</v>
      </c>
      <c r="V12" s="52">
        <f>Elect!Z14</f>
        <v>9760</v>
      </c>
      <c r="W12" s="52">
        <f>Elect!Y14</f>
        <v>0.63700000000000001</v>
      </c>
      <c r="X12" s="52">
        <f>Elect!AC14</f>
        <v>4960</v>
      </c>
      <c r="Y12" s="52">
        <f>Elect!AB14</f>
        <v>0.34699999999999998</v>
      </c>
      <c r="Z12" s="52">
        <f>Elect!AF14</f>
        <v>55200</v>
      </c>
      <c r="AA12" s="52">
        <f>Elect!AE14</f>
        <v>2.0649999999999999</v>
      </c>
      <c r="AB12" s="52">
        <f>Elect!AW14</f>
        <v>1700</v>
      </c>
      <c r="AC12" s="52">
        <f>Elect!AU14</f>
        <v>13800</v>
      </c>
      <c r="AD12" s="52">
        <f>Elect!AY14</f>
        <v>949</v>
      </c>
      <c r="AE12" s="52">
        <f>Elect!BA14</f>
        <v>3200</v>
      </c>
      <c r="AF12" s="54">
        <f>('Wtr-Gas'!E14)*0.0038</f>
        <v>4845.6080000000002</v>
      </c>
      <c r="AG12" s="54">
        <f>('Wtr-Gas'!H14)*0.0038</f>
        <v>406.82799999999997</v>
      </c>
      <c r="AH12" s="54">
        <f>'Wtr-Gas'!K14*0.0038</f>
        <v>1.216</v>
      </c>
      <c r="AI12" s="54">
        <f>'Wtr-Gas'!N14*0.0038</f>
        <v>3632.8</v>
      </c>
      <c r="AJ12" s="54">
        <f>'Wtr-Gas'!Q14*0.0038</f>
        <v>0</v>
      </c>
      <c r="AK12" s="57">
        <f>'Wtr-Gas'!U14*0.0038</f>
        <v>1009.28</v>
      </c>
      <c r="AL12" s="57">
        <f>'Wtr-Gas'!X14*0.0038</f>
        <v>6042</v>
      </c>
      <c r="AM12" s="54">
        <f>'Wtr-Gas'!AB14*0.0038</f>
        <v>6422</v>
      </c>
      <c r="AN12" s="54">
        <f>'Wtr-Gas'!AD14*0.0038</f>
        <v>1258.4076200000002</v>
      </c>
      <c r="AO12" s="54">
        <f>'Wtr-Gas'!AF14*0.0038</f>
        <v>7.524</v>
      </c>
      <c r="AP12" s="54">
        <f>'Wtr-Gas'!AH14*0.0038</f>
        <v>621.79399999999998</v>
      </c>
      <c r="AQ12" s="54">
        <f>'Wtr-Gas'!AJ14*0.0038</f>
        <v>81.795000000000002</v>
      </c>
      <c r="AR12" s="54">
        <f>'Wtr-Gas'!AL14*0.0038</f>
        <v>216.6</v>
      </c>
      <c r="AS12" s="54">
        <f>'Wtr-Gas'!AN14*0.0038</f>
        <v>0</v>
      </c>
      <c r="AT12" s="54">
        <f>'Wtr-Gas'!AP14*0.0038</f>
        <v>31.54</v>
      </c>
      <c r="AU12" s="57">
        <f>'Wtr-Gas'!AT14*0.0038</f>
        <v>0.45600000000000002</v>
      </c>
      <c r="AV12" s="54">
        <f>'Wtr-Gas'!AW14*0.0038</f>
        <v>297.63499999999999</v>
      </c>
      <c r="AW12" s="55">
        <f>'Wtr-Gas'!AY14*0.0038</f>
        <v>243.73275999999998</v>
      </c>
      <c r="AX12" s="54">
        <f>'Wtr-Gas'!AZ14*0.0038</f>
        <v>53.902240000000013</v>
      </c>
      <c r="AY12" s="54">
        <f>'Wtr-Gas'!BB14*0.0038</f>
        <v>15.2</v>
      </c>
      <c r="AZ12" s="54">
        <f>'Wtr-Gas'!BD14*0.0038</f>
        <v>3.8</v>
      </c>
      <c r="BA12" s="54">
        <f>'Wtr-Gas'!BF14*0.0038</f>
        <v>1159.7182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52">
        <f>Elect!AK15</f>
        <v>417</v>
      </c>
      <c r="F13" s="52">
        <f>Elect!H15</f>
        <v>47040</v>
      </c>
      <c r="G13" s="52">
        <f>Elect!G15</f>
        <v>2.4260000000000002</v>
      </c>
      <c r="H13" s="52">
        <f>Elect!E15</f>
        <v>46560</v>
      </c>
      <c r="I13" s="52">
        <f>Elect!D15</f>
        <v>2.2330000000000001</v>
      </c>
      <c r="J13" s="52">
        <f>Elect!T15</f>
        <v>50400</v>
      </c>
      <c r="K13" s="52">
        <f>Elect!S15</f>
        <v>2.2519999999999998</v>
      </c>
      <c r="L13" s="52">
        <f>Elect!AI15</f>
        <v>1600</v>
      </c>
      <c r="M13" s="52">
        <f>Elect!AH15</f>
        <v>0.32800000000000001</v>
      </c>
      <c r="N13" s="52">
        <f>Elect!W15</f>
        <v>53700</v>
      </c>
      <c r="O13" s="52">
        <f>Elect!V15</f>
        <v>2.0070000000000001</v>
      </c>
      <c r="P13" s="52">
        <f>Elect!N15</f>
        <v>10800</v>
      </c>
      <c r="Q13" s="52">
        <f>Elect!M15</f>
        <v>0.254</v>
      </c>
      <c r="R13" s="52">
        <f>Elect!K15</f>
        <v>10800</v>
      </c>
      <c r="S13" s="52">
        <f>Elect!J15</f>
        <v>0.32400000000000001</v>
      </c>
      <c r="T13" s="52">
        <f>Elect!Q15</f>
        <v>11200</v>
      </c>
      <c r="U13" s="52">
        <f>Elect!P15</f>
        <v>0.29799999999999999</v>
      </c>
      <c r="V13" s="52">
        <f>Elect!Z15</f>
        <v>5920</v>
      </c>
      <c r="W13" s="52">
        <f>Elect!Y15</f>
        <v>0.63700000000000001</v>
      </c>
      <c r="X13" s="52">
        <f>Elect!AC15</f>
        <v>4160</v>
      </c>
      <c r="Y13" s="52">
        <f>Elect!AB15</f>
        <v>0.34699999999999998</v>
      </c>
      <c r="Z13" s="52">
        <f>Elect!AF15</f>
        <v>49000</v>
      </c>
      <c r="AA13" s="52">
        <f>Elect!AE15</f>
        <v>2.0649999999999999</v>
      </c>
      <c r="AB13" s="52">
        <f>Elect!AW15</f>
        <v>1700</v>
      </c>
      <c r="AC13" s="52">
        <f>Elect!AU15</f>
        <v>14000</v>
      </c>
      <c r="AD13" s="52">
        <f>Elect!AY15</f>
        <v>851</v>
      </c>
      <c r="AE13" s="52">
        <f>Elect!BA15</f>
        <v>4320</v>
      </c>
      <c r="AF13" s="54">
        <f>('Wtr-Gas'!E15)*0.0038</f>
        <v>4263.4859999999999</v>
      </c>
      <c r="AG13" s="54">
        <f>('Wtr-Gas'!H15)*0.0038</f>
        <v>438.9</v>
      </c>
      <c r="AH13" s="54">
        <f>'Wtr-Gas'!K15*0.0038</f>
        <v>1.0640000000000001</v>
      </c>
      <c r="AI13" s="54">
        <f>'Wtr-Gas'!N15*0.0038</f>
        <v>3028.6</v>
      </c>
      <c r="AJ13" s="54">
        <f>'Wtr-Gas'!Q15*0.0038</f>
        <v>0</v>
      </c>
      <c r="AK13" s="57">
        <f>'Wtr-Gas'!U15*0.0038</f>
        <v>824.22</v>
      </c>
      <c r="AL13" s="57">
        <f>'Wtr-Gas'!X15*0.0038</f>
        <v>3775.3</v>
      </c>
      <c r="AM13" s="54">
        <f>'Wtr-Gas'!AB15*0.0038</f>
        <v>7182</v>
      </c>
      <c r="AN13" s="54">
        <f>'Wtr-Gas'!AD15*0.0038</f>
        <v>1528.9056800000001</v>
      </c>
      <c r="AO13" s="54">
        <f>'Wtr-Gas'!AF15*0.0038</f>
        <v>8.8160000000000007</v>
      </c>
      <c r="AP13" s="54">
        <f>'Wtr-Gas'!AH15*0.0038</f>
        <v>555.78800000000001</v>
      </c>
      <c r="AQ13" s="54">
        <f>'Wtr-Gas'!AJ15*0.0038</f>
        <v>80.692999999999998</v>
      </c>
      <c r="AR13" s="54">
        <f>'Wtr-Gas'!AL15*0.0038</f>
        <v>140.6</v>
      </c>
      <c r="AS13" s="54">
        <f>'Wtr-Gas'!AN15*0.0038</f>
        <v>0</v>
      </c>
      <c r="AT13" s="54">
        <f>'Wtr-Gas'!AP15*0.0038</f>
        <v>32.68</v>
      </c>
      <c r="AU13" s="57">
        <f>'Wtr-Gas'!AT15*0.0038</f>
        <v>0.40660000000000002</v>
      </c>
      <c r="AV13" s="54">
        <f>'Wtr-Gas'!AW15*0.0038</f>
        <v>296.33159999999998</v>
      </c>
      <c r="AW13" s="55">
        <f>'Wtr-Gas'!AY15*0.0038</f>
        <v>244.17982999999998</v>
      </c>
      <c r="AX13" s="54">
        <f>'Wtr-Gas'!AZ15*0.0038</f>
        <v>52.151770000000006</v>
      </c>
      <c r="AY13" s="54">
        <f>'Wtr-Gas'!BB15*0.0038</f>
        <v>26.6</v>
      </c>
      <c r="AZ13" s="54">
        <f>'Wtr-Gas'!BD15*0.0038</f>
        <v>4.5599999999999996</v>
      </c>
      <c r="BA13" s="54">
        <f>'Wtr-Gas'!BF15*0.0038</f>
        <v>1216.2736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52">
        <f>Elect!AK16</f>
        <v>410</v>
      </c>
      <c r="F14" s="52">
        <f>Elect!H16</f>
        <v>41920</v>
      </c>
      <c r="G14" s="52">
        <f>Elect!G16</f>
        <v>1.7829999999999999</v>
      </c>
      <c r="H14" s="52">
        <f>Elect!E16</f>
        <v>41600</v>
      </c>
      <c r="I14" s="52">
        <f>Elect!D16</f>
        <v>1.536</v>
      </c>
      <c r="J14" s="52">
        <f>Elect!T16</f>
        <v>54600</v>
      </c>
      <c r="K14" s="52">
        <f>Elect!S16</f>
        <v>1.417</v>
      </c>
      <c r="L14" s="52">
        <f>Elect!AI16</f>
        <v>1560</v>
      </c>
      <c r="M14" s="52">
        <f>Elect!AH16</f>
        <v>0.29799999999999999</v>
      </c>
      <c r="N14" s="52">
        <f>Elect!W16</f>
        <v>49800</v>
      </c>
      <c r="O14" s="52">
        <f>Elect!V16</f>
        <v>1.645</v>
      </c>
      <c r="P14" s="52">
        <f>Elect!N16</f>
        <v>8800</v>
      </c>
      <c r="Q14" s="52">
        <f>Elect!M16</f>
        <v>0.115</v>
      </c>
      <c r="R14" s="52">
        <f>Elect!K16</f>
        <v>8400</v>
      </c>
      <c r="S14" s="52">
        <f>Elect!J16</f>
        <v>0.1</v>
      </c>
      <c r="T14" s="52">
        <f>Elect!Q16</f>
        <v>8800</v>
      </c>
      <c r="U14" s="52">
        <f>Elect!P16</f>
        <v>0.111</v>
      </c>
      <c r="V14" s="52">
        <f>Elect!Z16</f>
        <v>4640</v>
      </c>
      <c r="W14" s="52">
        <f>Elect!Y16</f>
        <v>0.21199999999999999</v>
      </c>
      <c r="X14" s="52">
        <f>Elect!AC16</f>
        <v>2400</v>
      </c>
      <c r="Y14" s="52">
        <f>Elect!AB16</f>
        <v>0.10199999999999999</v>
      </c>
      <c r="Z14" s="52">
        <f>Elect!AF16</f>
        <v>47000</v>
      </c>
      <c r="AA14" s="52">
        <f>Elect!AE16</f>
        <v>1.7</v>
      </c>
      <c r="AB14" s="52">
        <f>Elect!AW16</f>
        <v>1600</v>
      </c>
      <c r="AC14" s="52">
        <f>Elect!AU16</f>
        <v>14200</v>
      </c>
      <c r="AD14" s="52">
        <f>Elect!AY16</f>
        <v>851</v>
      </c>
      <c r="AE14" s="52">
        <f>Elect!BA16</f>
        <v>3320</v>
      </c>
      <c r="AF14" s="54">
        <f>('Wtr-Gas'!E16)*0.0038</f>
        <v>3198.308</v>
      </c>
      <c r="AG14" s="54">
        <f>('Wtr-Gas'!H16)*0.0038</f>
        <v>824.29600000000005</v>
      </c>
      <c r="AH14" s="54">
        <f>'Wtr-Gas'!K16*0.0038</f>
        <v>1.026</v>
      </c>
      <c r="AI14" s="54">
        <f>'Wtr-Gas'!N16*0.0038</f>
        <v>1964.6</v>
      </c>
      <c r="AJ14" s="54">
        <f>'Wtr-Gas'!Q16*0.0038</f>
        <v>0</v>
      </c>
      <c r="AK14" s="57">
        <f>'Wtr-Gas'!U16*0.0038</f>
        <v>564.67999999999995</v>
      </c>
      <c r="AL14" s="57">
        <f>'Wtr-Gas'!X16*0.0038</f>
        <v>2768.68</v>
      </c>
      <c r="AM14" s="54">
        <f>'Wtr-Gas'!AB16*0.0038</f>
        <v>7638</v>
      </c>
      <c r="AN14" s="54">
        <f>'Wtr-Gas'!AD16*0.0038</f>
        <v>1680.8935200000001</v>
      </c>
      <c r="AO14" s="54">
        <f>'Wtr-Gas'!AF16*0.0038</f>
        <v>29.222000000000001</v>
      </c>
      <c r="AP14" s="54">
        <f>'Wtr-Gas'!AH16*0.0038</f>
        <v>609.48199999999997</v>
      </c>
      <c r="AQ14" s="54">
        <f>'Wtr-Gas'!AJ16*0.0038</f>
        <v>70.132800000000003</v>
      </c>
      <c r="AR14" s="54">
        <f>'Wtr-Gas'!AL16*0.0038</f>
        <v>136.80000000000001</v>
      </c>
      <c r="AS14" s="54">
        <f>'Wtr-Gas'!AN16*0.0038</f>
        <v>0</v>
      </c>
      <c r="AT14" s="54">
        <f>'Wtr-Gas'!AP16*0.0038</f>
        <v>25.84</v>
      </c>
      <c r="AU14" s="57">
        <f>'Wtr-Gas'!AT16*0.0038</f>
        <v>0</v>
      </c>
      <c r="AV14" s="54">
        <f>'Wtr-Gas'!AW16*0.0038</f>
        <v>287.51940000000002</v>
      </c>
      <c r="AW14" s="55">
        <f>'Wtr-Gas'!AY16*0.0038</f>
        <v>240.82424</v>
      </c>
      <c r="AX14" s="54">
        <f>'Wtr-Gas'!AZ16*0.0038</f>
        <v>46.695159999999987</v>
      </c>
      <c r="AY14" s="54">
        <f>'Wtr-Gas'!BB16*0.0038</f>
        <v>15.58</v>
      </c>
      <c r="AZ14" s="54">
        <f>'Wtr-Gas'!BD16*0.0038</f>
        <v>1.52</v>
      </c>
      <c r="BA14" s="54">
        <f>'Wtr-Gas'!BF16*0.0038</f>
        <v>977.0104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52">
        <f>Elect!AK17</f>
        <v>280</v>
      </c>
      <c r="F15" s="52">
        <f>Elect!H17</f>
        <v>24000</v>
      </c>
      <c r="G15" s="52">
        <f>Elect!G17</f>
        <v>1.7829999999999999</v>
      </c>
      <c r="H15" s="52">
        <f>Elect!E17</f>
        <v>23360</v>
      </c>
      <c r="I15" s="52">
        <f>Elect!D17</f>
        <v>1.536</v>
      </c>
      <c r="J15" s="52">
        <f>Elect!T17</f>
        <v>41100</v>
      </c>
      <c r="K15" s="52">
        <f>Elect!S17</f>
        <v>1.4510000000000001</v>
      </c>
      <c r="L15" s="52">
        <f>Elect!AI17</f>
        <v>1240</v>
      </c>
      <c r="M15" s="52">
        <f>Elect!AH17</f>
        <v>0.30099999999999999</v>
      </c>
      <c r="N15" s="52">
        <f>Elect!W17</f>
        <v>28200</v>
      </c>
      <c r="O15" s="52">
        <f>Elect!V17</f>
        <v>1.645</v>
      </c>
      <c r="P15" s="52">
        <f>Elect!N17</f>
        <v>6000</v>
      </c>
      <c r="Q15" s="52">
        <f>Elect!M17</f>
        <v>1.23</v>
      </c>
      <c r="R15" s="52">
        <f>Elect!K17</f>
        <v>5600</v>
      </c>
      <c r="S15" s="52">
        <f>Elect!J17</f>
        <v>1.1499999999999999</v>
      </c>
      <c r="T15" s="52">
        <f>Elect!Q17</f>
        <v>5200</v>
      </c>
      <c r="U15" s="52">
        <f>Elect!P17</f>
        <v>0.111</v>
      </c>
      <c r="V15" s="52">
        <f>Elect!Z17</f>
        <v>3520</v>
      </c>
      <c r="W15" s="52">
        <f>Elect!Y17</f>
        <v>0.21199999999999999</v>
      </c>
      <c r="X15" s="52">
        <f>Elect!AC17</f>
        <v>1120</v>
      </c>
      <c r="Y15" s="52">
        <f>Elect!AB17</f>
        <v>0.10199999999999999</v>
      </c>
      <c r="Z15" s="52">
        <f>Elect!AF17</f>
        <v>25000</v>
      </c>
      <c r="AA15" s="52">
        <f>Elect!AE17</f>
        <v>1.7</v>
      </c>
      <c r="AB15" s="52">
        <f>Elect!AW17</f>
        <v>1700</v>
      </c>
      <c r="AC15" s="52">
        <f>Elect!AU17</f>
        <v>7600</v>
      </c>
      <c r="AD15" s="52">
        <f>Elect!AY17</f>
        <v>344</v>
      </c>
      <c r="AE15" s="52">
        <f>Elect!BA17</f>
        <v>3680</v>
      </c>
      <c r="AF15" s="54">
        <f>('Wtr-Gas'!E17)*0.0038</f>
        <v>1940.66</v>
      </c>
      <c r="AG15" s="54">
        <f>('Wtr-Gas'!H17)*0.0038</f>
        <v>874.49400000000003</v>
      </c>
      <c r="AH15" s="54">
        <f>'Wtr-Gas'!K17*0.0038</f>
        <v>2.052</v>
      </c>
      <c r="AI15" s="54">
        <f>'Wtr-Gas'!N17*0.0038</f>
        <v>1045</v>
      </c>
      <c r="AJ15" s="54">
        <f>'Wtr-Gas'!Q17*0.0038</f>
        <v>0</v>
      </c>
      <c r="AK15" s="57">
        <f>'Wtr-Gas'!U17*0.0038</f>
        <v>221.16</v>
      </c>
      <c r="AL15" s="57">
        <f>'Wtr-Gas'!X17*0.0038</f>
        <v>911.62</v>
      </c>
      <c r="AM15" s="54">
        <f>'Wtr-Gas'!AB17*0.0038</f>
        <v>5700</v>
      </c>
      <c r="AN15" s="54">
        <f>'Wtr-Gas'!AD17*0.0038</f>
        <v>1289.8758</v>
      </c>
      <c r="AO15" s="54">
        <f>'Wtr-Gas'!AF17*0.0038</f>
        <v>0.45600000000000002</v>
      </c>
      <c r="AP15" s="54">
        <f>'Wtr-Gas'!AH17*0.0038</f>
        <v>629.05200000000002</v>
      </c>
      <c r="AQ15" s="54">
        <f>'Wtr-Gas'!AJ17*0.0038</f>
        <v>81.376999999999995</v>
      </c>
      <c r="AR15" s="54">
        <f>'Wtr-Gas'!AL17*0.0038</f>
        <v>15.2</v>
      </c>
      <c r="AS15" s="54">
        <f>'Wtr-Gas'!AN17*0.0038</f>
        <v>0</v>
      </c>
      <c r="AT15" s="54">
        <f>'Wtr-Gas'!AP17*0.0038</f>
        <v>1.9</v>
      </c>
      <c r="AU15" s="57">
        <f>'Wtr-Gas'!AT17*0.0038</f>
        <v>0.41799999999999998</v>
      </c>
      <c r="AV15" s="54">
        <f>'Wtr-Gas'!AW17*0.0038</f>
        <v>241.66479999999999</v>
      </c>
      <c r="AW15" s="55">
        <f>'Wtr-Gas'!AY17*0.0038</f>
        <v>230.62070800000001</v>
      </c>
      <c r="AX15" s="54">
        <f>'Wtr-Gas'!AZ17*0.0038</f>
        <v>11.044091999999987</v>
      </c>
      <c r="AY15" s="54">
        <f>'Wtr-Gas'!BB17*0.0038</f>
        <v>3.42</v>
      </c>
      <c r="AZ15" s="54">
        <f>'Wtr-Gas'!BD17*0.0038</f>
        <v>1.1399999999999999</v>
      </c>
      <c r="BA15" s="54">
        <f>'Wtr-Gas'!BF17*0.0038</f>
        <v>1210.5393999999999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52">
        <f>Elect!AK18</f>
        <v>72</v>
      </c>
      <c r="F16" s="52">
        <f>Elect!H18</f>
        <v>6560</v>
      </c>
      <c r="G16" s="52">
        <f>Elect!G18</f>
        <v>1.7829999999999999</v>
      </c>
      <c r="H16" s="52">
        <f>Elect!E18</f>
        <v>6240</v>
      </c>
      <c r="I16" s="52">
        <f>Elect!D18</f>
        <v>1.536</v>
      </c>
      <c r="J16" s="52">
        <f>Elect!T18</f>
        <v>12600</v>
      </c>
      <c r="K16" s="52">
        <f>Elect!S18</f>
        <v>1.4510000000000001</v>
      </c>
      <c r="L16" s="52">
        <f>Elect!AI18</f>
        <v>360</v>
      </c>
      <c r="M16" s="52">
        <f>Elect!AH18</f>
        <v>0.30099999999999999</v>
      </c>
      <c r="N16" s="52">
        <f>Elect!W18</f>
        <v>6900</v>
      </c>
      <c r="O16" s="52">
        <f>Elect!V18</f>
        <v>1.645</v>
      </c>
      <c r="P16" s="52">
        <f>Elect!N18</f>
        <v>1600</v>
      </c>
      <c r="Q16" s="52">
        <f>Elect!M18</f>
        <v>1.23</v>
      </c>
      <c r="R16" s="52">
        <f>Elect!K18</f>
        <v>1600</v>
      </c>
      <c r="S16" s="52">
        <f>Elect!J18</f>
        <v>1.1499999999999999</v>
      </c>
      <c r="T16" s="52">
        <f>Elect!Q18</f>
        <v>1600</v>
      </c>
      <c r="U16" s="52">
        <f>Elect!P18</f>
        <v>0.111</v>
      </c>
      <c r="V16" s="52">
        <f>Elect!Z18</f>
        <v>960</v>
      </c>
      <c r="W16" s="52">
        <f>Elect!Y18</f>
        <v>0.21199999999999999</v>
      </c>
      <c r="X16" s="52">
        <f>Elect!AC18</f>
        <v>320</v>
      </c>
      <c r="Y16" s="52">
        <f>Elect!AB18</f>
        <v>0.10199999999999999</v>
      </c>
      <c r="Z16" s="52">
        <f>Elect!AF18</f>
        <v>6400</v>
      </c>
      <c r="AA16" s="52">
        <f>Elect!AE18</f>
        <v>1.7</v>
      </c>
      <c r="AB16" s="52">
        <f>Elect!AW18</f>
        <v>500</v>
      </c>
      <c r="AC16" s="52">
        <f>Elect!AU18</f>
        <v>2200</v>
      </c>
      <c r="AD16" s="52">
        <f>Elect!AY18</f>
        <v>91</v>
      </c>
      <c r="AE16" s="52">
        <f>Elect!BA18</f>
        <v>1840</v>
      </c>
      <c r="AF16" s="54">
        <f>('Wtr-Gas'!E18)*0.0038</f>
        <v>658.88199999999995</v>
      </c>
      <c r="AG16" s="54">
        <f>('Wtr-Gas'!H18)*0.0038</f>
        <v>358.416</v>
      </c>
      <c r="AH16" s="54">
        <f>'Wtr-Gas'!K18*0.0038</f>
        <v>0.56999999999999995</v>
      </c>
      <c r="AI16" s="54">
        <f>'Wtr-Gas'!N18*0.0038</f>
        <v>395.2</v>
      </c>
      <c r="AJ16" s="54">
        <f>'Wtr-Gas'!Q18*0.0038</f>
        <v>0</v>
      </c>
      <c r="AK16" s="57">
        <f>'Wtr-Gas'!U18*0.0038</f>
        <v>47.88</v>
      </c>
      <c r="AL16" s="57">
        <f>'Wtr-Gas'!X18*0.0038</f>
        <v>11.78</v>
      </c>
      <c r="AM16" s="54">
        <f>'Wtr-Gas'!AB18*0.0038</f>
        <v>2546</v>
      </c>
      <c r="AN16" s="54">
        <f>'Wtr-Gas'!AD18*0.0038</f>
        <v>212.20529999999999</v>
      </c>
      <c r="AO16" s="54">
        <f>'Wtr-Gas'!AF18*0.0038</f>
        <v>7.5999999999999998E-2</v>
      </c>
      <c r="AP16" s="54">
        <f>'Wtr-Gas'!AH18*0.0038</f>
        <v>105.26</v>
      </c>
      <c r="AQ16" s="54">
        <f>'Wtr-Gas'!AJ18*0.0038</f>
        <v>25.0002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1.52E-2</v>
      </c>
      <c r="AV16" s="54">
        <f>'Wtr-Gas'!AW18*0.0038</f>
        <v>72.010000000000005</v>
      </c>
      <c r="AW16" s="55">
        <f>'Wtr-Gas'!AY18*0.0038</f>
        <v>66.927462000000006</v>
      </c>
      <c r="AX16" s="54">
        <f>'Wtr-Gas'!AZ18*0.0038</f>
        <v>5.0825379999999942</v>
      </c>
      <c r="AY16" s="54">
        <f>'Wtr-Gas'!BB18*0.0038</f>
        <v>3.8</v>
      </c>
      <c r="AZ16" s="54">
        <f>'Wtr-Gas'!BD18*0.0038</f>
        <v>0</v>
      </c>
      <c r="BA16" s="54">
        <f>'Wtr-Gas'!BF18*0.0038</f>
        <v>617.9674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2020</v>
      </c>
      <c r="E17" s="52">
        <f>Elect!AK19</f>
        <v>175</v>
      </c>
      <c r="F17" s="52">
        <f>Elect!H19</f>
        <v>15680</v>
      </c>
      <c r="G17" s="52">
        <f>Elect!G19</f>
        <v>1.7829999999999999</v>
      </c>
      <c r="H17" s="52">
        <f>Elect!E19</f>
        <v>9920</v>
      </c>
      <c r="I17" s="52">
        <f>Elect!D19</f>
        <v>1.536</v>
      </c>
      <c r="J17" s="52">
        <f>Elect!T19</f>
        <v>21900</v>
      </c>
      <c r="K17" s="52">
        <f>Elect!S19</f>
        <v>1.4510000000000001</v>
      </c>
      <c r="L17" s="52">
        <f>Elect!AI19</f>
        <v>840</v>
      </c>
      <c r="M17" s="52">
        <f>Elect!AH19</f>
        <v>0.30099999999999999</v>
      </c>
      <c r="N17" s="52">
        <f>Elect!W19</f>
        <v>18000</v>
      </c>
      <c r="O17" s="52">
        <f>Elect!V19</f>
        <v>1.645</v>
      </c>
      <c r="P17" s="52">
        <f>Elect!N19</f>
        <v>4000</v>
      </c>
      <c r="Q17" s="52">
        <f>Elect!M19</f>
        <v>1.3</v>
      </c>
      <c r="R17" s="52">
        <f>Elect!K19</f>
        <v>3600</v>
      </c>
      <c r="S17" s="52">
        <f>Elect!J19</f>
        <v>1.6</v>
      </c>
      <c r="T17" s="52">
        <f>Elect!Q19</f>
        <v>3200</v>
      </c>
      <c r="U17" s="52">
        <f>Elect!P19</f>
        <v>1.46</v>
      </c>
      <c r="V17" s="52">
        <f>Elect!Z19</f>
        <v>2400</v>
      </c>
      <c r="W17" s="52">
        <f>Elect!Y19</f>
        <v>0.21199999999999999</v>
      </c>
      <c r="X17" s="52">
        <f>Elect!AC19</f>
        <v>640</v>
      </c>
      <c r="Y17" s="52">
        <f>Elect!AB19</f>
        <v>0.10199999999999999</v>
      </c>
      <c r="Z17" s="52">
        <f>Elect!AF19</f>
        <v>16000</v>
      </c>
      <c r="AA17" s="52">
        <f>Elect!AE19</f>
        <v>1.7</v>
      </c>
      <c r="AB17" s="52">
        <f>Elect!AW19</f>
        <v>1200</v>
      </c>
      <c r="AC17" s="52">
        <f>Elect!AU19</f>
        <v>4900</v>
      </c>
      <c r="AD17" s="52">
        <f>Elect!AY19</f>
        <v>217</v>
      </c>
      <c r="AE17" s="52">
        <f>Elect!BA19</f>
        <v>3000</v>
      </c>
      <c r="AF17" s="54">
        <f>('Wtr-Gas'!E19)*0.0038</f>
        <v>1206.0440000000001</v>
      </c>
      <c r="AG17" s="54">
        <f>('Wtr-Gas'!H19)*0.0038</f>
        <v>528.50400000000002</v>
      </c>
      <c r="AH17" s="54">
        <f>'Wtr-Gas'!K19*0.0038</f>
        <v>0.53200000000000003</v>
      </c>
      <c r="AI17" s="54">
        <f>'Wtr-Gas'!N19*0.0038</f>
        <v>509.2</v>
      </c>
      <c r="AJ17" s="54">
        <f>'Wtr-Gas'!Q19*0.0038</f>
        <v>0</v>
      </c>
      <c r="AK17" s="57">
        <f>'Wtr-Gas'!U19*0.0038</f>
        <v>126.92</v>
      </c>
      <c r="AL17" s="57">
        <f>'Wtr-Gas'!X19*0.0038</f>
        <v>25.84</v>
      </c>
      <c r="AM17" s="54">
        <f>'Wtr-Gas'!AB19*0.0038</f>
        <v>2508</v>
      </c>
      <c r="AN17" s="54">
        <f>'Wtr-Gas'!AD19*0.0038</f>
        <v>518.11099999999999</v>
      </c>
      <c r="AO17" s="54">
        <f>'Wtr-Gas'!AF19*0.0038</f>
        <v>1.6719999999999999</v>
      </c>
      <c r="AP17" s="54">
        <f>'Wtr-Gas'!AH19*0.0038</f>
        <v>399.91199999999998</v>
      </c>
      <c r="AQ17" s="54">
        <f>'Wtr-Gas'!AJ19*0.0038</f>
        <v>61.833599999999997</v>
      </c>
      <c r="AR17" s="54">
        <f>'Wtr-Gas'!AL19*0.0038</f>
        <v>11.4</v>
      </c>
      <c r="AS17" s="54">
        <f>'Wtr-Gas'!AN19*0.0038</f>
        <v>0</v>
      </c>
      <c r="AT17" s="54">
        <f>'Wtr-Gas'!AP19*0.0038</f>
        <v>0</v>
      </c>
      <c r="AU17" s="57">
        <f>'Wtr-Gas'!AT19*0.0038</f>
        <v>4.5600000000000002E-2</v>
      </c>
      <c r="AV17" s="54">
        <f>'Wtr-Gas'!AW19*0.0038</f>
        <v>173.99440000000001</v>
      </c>
      <c r="AW17" s="55">
        <f>'Wtr-Gas'!AY19*0.0038</f>
        <v>166.76094799999998</v>
      </c>
      <c r="AX17" s="54">
        <f>'Wtr-Gas'!AZ19*0.0038</f>
        <v>7.2334520000000033</v>
      </c>
      <c r="AY17" s="54">
        <f>'Wtr-Gas'!BB19*0.0038</f>
        <v>9.8800000000000008</v>
      </c>
      <c r="AZ17" s="54">
        <f>'Wtr-Gas'!BD19*0.0038</f>
        <v>1.1399999999999999</v>
      </c>
      <c r="BA17" s="54">
        <f>'Wtr-Gas'!BF19*0.0038</f>
        <v>988.50160000000005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2020</v>
      </c>
      <c r="E18" s="52">
        <f>Elect!AK20</f>
        <v>230</v>
      </c>
      <c r="F18" s="52">
        <f>Elect!H20</f>
        <v>22400</v>
      </c>
      <c r="G18" s="52">
        <f>Elect!G20</f>
        <v>1.7829999999999999</v>
      </c>
      <c r="H18" s="52">
        <f>Elect!E20</f>
        <v>24960</v>
      </c>
      <c r="I18" s="52">
        <f>Elect!D20</f>
        <v>1.536</v>
      </c>
      <c r="J18" s="52">
        <f>Elect!T20</f>
        <v>39000</v>
      </c>
      <c r="K18" s="52">
        <f>Elect!S20</f>
        <v>1.4510000000000001</v>
      </c>
      <c r="L18" s="52">
        <f>Elect!AI20</f>
        <v>1120</v>
      </c>
      <c r="M18" s="52">
        <f>Elect!AH20</f>
        <v>0.30099999999999999</v>
      </c>
      <c r="N18" s="52">
        <f>Elect!W20</f>
        <v>17100</v>
      </c>
      <c r="O18" s="52">
        <f>Elect!V20</f>
        <v>1.645</v>
      </c>
      <c r="P18" s="52">
        <f>Elect!N20</f>
        <v>5200</v>
      </c>
      <c r="Q18" s="52">
        <f>Elect!M20</f>
        <v>1.3</v>
      </c>
      <c r="R18" s="52">
        <f>Elect!K20</f>
        <v>4800</v>
      </c>
      <c r="S18" s="52">
        <f>Elect!J20</f>
        <v>1.6</v>
      </c>
      <c r="T18" s="52">
        <f>Elect!Q20</f>
        <v>4400</v>
      </c>
      <c r="U18" s="52">
        <f>Elect!P20</f>
        <v>1.46</v>
      </c>
      <c r="V18" s="52">
        <f>Elect!Z20</f>
        <v>3040</v>
      </c>
      <c r="W18" s="52">
        <f>Elect!Y20</f>
        <v>0.21199999999999999</v>
      </c>
      <c r="X18" s="52">
        <f>Elect!AC20</f>
        <v>640</v>
      </c>
      <c r="Y18" s="52">
        <f>Elect!AB20</f>
        <v>0.10199999999999999</v>
      </c>
      <c r="Z18" s="52">
        <f>Elect!AF20</f>
        <v>22600</v>
      </c>
      <c r="AA18" s="52">
        <f>Elect!AE20</f>
        <v>1.7</v>
      </c>
      <c r="AB18" s="52">
        <f>Elect!AW20</f>
        <v>1700</v>
      </c>
      <c r="AC18" s="52">
        <f>Elect!AU20</f>
        <v>6700</v>
      </c>
      <c r="AD18" s="52">
        <f>Elect!AY20</f>
        <v>220</v>
      </c>
      <c r="AE18" s="52">
        <f>Elect!BA20</f>
        <v>5040</v>
      </c>
      <c r="AF18" s="54">
        <f>('Wtr-Gas'!E20)*0.0038</f>
        <v>1382.06</v>
      </c>
      <c r="AG18" s="54">
        <f>('Wtr-Gas'!H20)*0.0038</f>
        <v>776.53</v>
      </c>
      <c r="AH18" s="54">
        <f>'Wtr-Gas'!K20*0.0038</f>
        <v>0</v>
      </c>
      <c r="AI18" s="54">
        <f>'Wtr-Gas'!N20*0.0038</f>
        <v>866.4</v>
      </c>
      <c r="AJ18" s="54">
        <f>'Wtr-Gas'!Q20*0.0038</f>
        <v>0</v>
      </c>
      <c r="AK18" s="57">
        <f>'Wtr-Gas'!U20*0.0038</f>
        <v>156.94</v>
      </c>
      <c r="AL18" s="57">
        <f>'Wtr-Gas'!X20*0.0038</f>
        <v>30.78</v>
      </c>
      <c r="AM18" s="54">
        <f>'Wtr-Gas'!AB20*0.0038</f>
        <v>4978</v>
      </c>
      <c r="AN18" s="54">
        <f>'Wtr-Gas'!AD20*0.0038</f>
        <v>1012.7</v>
      </c>
      <c r="AO18" s="54">
        <f>'Wtr-Gas'!AF20*0.0038</f>
        <v>0.30399999999999999</v>
      </c>
      <c r="AP18" s="54">
        <f>'Wtr-Gas'!AH20*0.0038</f>
        <v>144.286</v>
      </c>
      <c r="AQ18" s="54">
        <f>'Wtr-Gas'!AJ20*0.0038</f>
        <v>79.910200000000003</v>
      </c>
      <c r="AR18" s="54">
        <f>'Wtr-Gas'!AL20*0.0038</f>
        <v>26.6</v>
      </c>
      <c r="AS18" s="54">
        <f>'Wtr-Gas'!AN20*0.0038</f>
        <v>0</v>
      </c>
      <c r="AT18" s="54">
        <f>'Wtr-Gas'!AP20*0.0038</f>
        <v>0.38</v>
      </c>
      <c r="AU18" s="57">
        <f>'Wtr-Gas'!AT20*0.0038</f>
        <v>6.8400000000000002E-2</v>
      </c>
      <c r="AV18" s="54">
        <f>'Wtr-Gas'!AW20*0.0038</f>
        <v>244.14240000000001</v>
      </c>
      <c r="AW18" s="55">
        <f>'Wtr-Gas'!AY20*0.0038</f>
        <v>231.08654999999999</v>
      </c>
      <c r="AX18" s="54">
        <f>'Wtr-Gas'!AZ20*0.0038</f>
        <v>13.05585</v>
      </c>
      <c r="AY18" s="54">
        <f>'Wtr-Gas'!BB20*0.0038</f>
        <v>4.9400000000000004</v>
      </c>
      <c r="AZ18" s="54">
        <f>'Wtr-Gas'!BD20*0.0038</f>
        <v>1.1399999999999999</v>
      </c>
      <c r="BA18" s="54">
        <f>'Wtr-Gas'!BF20*0.0038</f>
        <v>1168.367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2020</v>
      </c>
      <c r="E19" s="52">
        <f>Elect!AK21</f>
        <v>241</v>
      </c>
      <c r="F19" s="52">
        <f>Elect!H21</f>
        <v>22560</v>
      </c>
      <c r="G19" s="52">
        <f>Elect!G21</f>
        <v>1.7829999999999999</v>
      </c>
      <c r="H19" s="52">
        <f>Elect!E21</f>
        <v>19680</v>
      </c>
      <c r="I19" s="52">
        <f>Elect!D21</f>
        <v>1.536</v>
      </c>
      <c r="J19" s="52">
        <f>Elect!T21</f>
        <v>38400</v>
      </c>
      <c r="K19" s="52">
        <f>Elect!S21</f>
        <v>1.4510000000000001</v>
      </c>
      <c r="L19" s="52">
        <f>Elect!AI21</f>
        <v>1200</v>
      </c>
      <c r="M19" s="52">
        <f>Elect!AH21</f>
        <v>0.30099999999999999</v>
      </c>
      <c r="N19" s="52">
        <f>Elect!W21</f>
        <v>28500</v>
      </c>
      <c r="O19" s="52">
        <f>Elect!V21</f>
        <v>1.645</v>
      </c>
      <c r="P19" s="52">
        <f>Elect!N21</f>
        <v>5200</v>
      </c>
      <c r="Q19" s="52">
        <f>Elect!M21</f>
        <v>1.3</v>
      </c>
      <c r="R19" s="52">
        <f>Elect!K21</f>
        <v>5200</v>
      </c>
      <c r="S19" s="52">
        <f>Elect!J21</f>
        <v>1.6</v>
      </c>
      <c r="T19" s="52">
        <f>Elect!Q21</f>
        <v>4800</v>
      </c>
      <c r="U19" s="52">
        <f>Elect!P21</f>
        <v>1.46</v>
      </c>
      <c r="V19" s="52">
        <f>Elect!Z21</f>
        <v>2880</v>
      </c>
      <c r="W19" s="52">
        <f>Elect!Y21</f>
        <v>0.21199999999999999</v>
      </c>
      <c r="X19" s="52">
        <f>Elect!AC21</f>
        <v>640</v>
      </c>
      <c r="Y19" s="52">
        <f>Elect!AB21</f>
        <v>0.10199999999999999</v>
      </c>
      <c r="Z19" s="52">
        <f>Elect!AF21</f>
        <v>23200</v>
      </c>
      <c r="AA19" s="52">
        <f>Elect!AE21</f>
        <v>1.7</v>
      </c>
      <c r="AB19" s="52">
        <f>Elect!AW21</f>
        <v>1900</v>
      </c>
      <c r="AC19" s="52">
        <f>Elect!AU21</f>
        <v>8900</v>
      </c>
      <c r="AD19" s="52">
        <f>Elect!AY21</f>
        <v>260</v>
      </c>
      <c r="AE19" s="52">
        <f>Elect!BA21</f>
        <v>1200</v>
      </c>
      <c r="AF19" s="54">
        <f>('Wtr-Gas'!E21)*0.0038</f>
        <v>1329.0119999999999</v>
      </c>
      <c r="AG19" s="54">
        <f>('Wtr-Gas'!H21)*0.0038</f>
        <v>588.202</v>
      </c>
      <c r="AH19" s="54">
        <f>'Wtr-Gas'!K21*0.0038</f>
        <v>0</v>
      </c>
      <c r="AI19" s="54">
        <f>'Wtr-Gas'!N21*0.0038</f>
        <v>942.4</v>
      </c>
      <c r="AJ19" s="54">
        <f>'Wtr-Gas'!Q21*0.0038</f>
        <v>0</v>
      </c>
      <c r="AK19" s="57">
        <f>'Wtr-Gas'!U21*0.0038</f>
        <v>146.68</v>
      </c>
      <c r="AL19" s="57">
        <f>'Wtr-Gas'!X21*0.0038</f>
        <v>22.8</v>
      </c>
      <c r="AM19" s="54">
        <f>'Wtr-Gas'!AB21*0.0038</f>
        <v>5434</v>
      </c>
      <c r="AN19" s="54">
        <f>'Wtr-Gas'!AD21*0.0038</f>
        <v>1192.93552</v>
      </c>
      <c r="AO19" s="54">
        <f>'Wtr-Gas'!AF21*0.0038</f>
        <v>1.6719999999999999</v>
      </c>
      <c r="AP19" s="54">
        <f>'Wtr-Gas'!AH21*0.0038</f>
        <v>74.974000000000004</v>
      </c>
      <c r="AQ19" s="54">
        <f>'Wtr-Gas'!AJ21*0.0038</f>
        <v>80.856399999999994</v>
      </c>
      <c r="AR19" s="54">
        <f>'Wtr-Gas'!AL21*0.0038</f>
        <v>3.8</v>
      </c>
      <c r="AS19" s="54">
        <f>'Wtr-Gas'!AN21*0.0038</f>
        <v>0</v>
      </c>
      <c r="AT19" s="54">
        <f>'Wtr-Gas'!AP21*0.0038</f>
        <v>0</v>
      </c>
      <c r="AU19" s="57">
        <f>'Wtr-Gas'!AT21*0.0038</f>
        <v>0.10639999999999999</v>
      </c>
      <c r="AV19" s="54">
        <f>'Wtr-Gas'!AW21*0.0038</f>
        <v>274.97179999999997</v>
      </c>
      <c r="AW19" s="55">
        <f>'Wtr-Gas'!AY21*0.0038</f>
        <v>262.08227600000004</v>
      </c>
      <c r="AX19" s="54">
        <f>'Wtr-Gas'!AZ21*0.0038</f>
        <v>12.889523999999984</v>
      </c>
      <c r="AY19" s="54">
        <f>'Wtr-Gas'!BB21*0.0038</f>
        <v>0</v>
      </c>
      <c r="AZ19" s="54">
        <f>'Wtr-Gas'!BD21*0.0038</f>
        <v>4.5599999999999996</v>
      </c>
      <c r="BA19" s="54">
        <f>'Wtr-Gas'!BF21*0.0038</f>
        <v>877.8836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2020</v>
      </c>
      <c r="E20" s="52">
        <f>Elect!AK22</f>
        <v>240</v>
      </c>
      <c r="F20" s="52">
        <f>Elect!H22</f>
        <v>23040</v>
      </c>
      <c r="G20" s="52">
        <f>Elect!G22</f>
        <v>1.18</v>
      </c>
      <c r="H20" s="52">
        <f>Elect!E22</f>
        <v>19840</v>
      </c>
      <c r="I20" s="52">
        <f>Elect!D22</f>
        <v>0.91500000000000004</v>
      </c>
      <c r="J20" s="52">
        <f>Elect!T22</f>
        <v>16500</v>
      </c>
      <c r="K20" s="52">
        <f>Elect!S22</f>
        <v>1.2889999999999999</v>
      </c>
      <c r="L20" s="52">
        <f>Elect!AI22</f>
        <v>1120</v>
      </c>
      <c r="M20" s="52">
        <f>Elect!AH22</f>
        <v>0.24399999999999999</v>
      </c>
      <c r="N20" s="52">
        <f>Elect!W22</f>
        <v>52200</v>
      </c>
      <c r="O20" s="52">
        <f>Elect!V22</f>
        <v>1.659</v>
      </c>
      <c r="P20" s="52">
        <f>Elect!N22</f>
        <v>5200</v>
      </c>
      <c r="Q20" s="52">
        <f>Elect!M22</f>
        <v>0.87</v>
      </c>
      <c r="R20" s="52">
        <f>Elect!K22</f>
        <v>5600</v>
      </c>
      <c r="S20" s="52">
        <f>Elect!J22</f>
        <v>0.09</v>
      </c>
      <c r="T20" s="52">
        <f>Elect!Q22</f>
        <v>4800</v>
      </c>
      <c r="U20" s="52">
        <f>Elect!P22</f>
        <v>0.81</v>
      </c>
      <c r="V20" s="52">
        <f>Elect!Z22</f>
        <v>2880</v>
      </c>
      <c r="W20" s="52">
        <f>Elect!Y22</f>
        <v>0.11899999999999999</v>
      </c>
      <c r="X20" s="52">
        <f>Elect!AC22</f>
        <v>640</v>
      </c>
      <c r="Y20" s="52">
        <f>Elect!AB22</f>
        <v>6.0999999999999999E-2</v>
      </c>
      <c r="Z20" s="52">
        <f>Elect!AF22</f>
        <v>23400</v>
      </c>
      <c r="AA20" s="52">
        <f>Elect!AE22</f>
        <v>0.88900000000000001</v>
      </c>
      <c r="AB20" s="52">
        <f>Elect!AW22</f>
        <v>1400</v>
      </c>
      <c r="AC20" s="52">
        <f>Elect!AU22</f>
        <v>6700</v>
      </c>
      <c r="AD20" s="52">
        <f>Elect!AY22</f>
        <v>188</v>
      </c>
      <c r="AE20" s="52">
        <f>Elect!BA22</f>
        <v>1400</v>
      </c>
      <c r="AF20" s="54">
        <f>('Wtr-Gas'!E22)*0.0038</f>
        <v>2074.8760000000002</v>
      </c>
      <c r="AG20" s="54">
        <f>('Wtr-Gas'!H22)*0.0038</f>
        <v>411.92</v>
      </c>
      <c r="AH20" s="54">
        <f>'Wtr-Gas'!K22*0.0038</f>
        <v>0</v>
      </c>
      <c r="AI20" s="54">
        <f>'Wtr-Gas'!N22*0.0038</f>
        <v>1185.5999999999999</v>
      </c>
      <c r="AJ20" s="54">
        <f>'Wtr-Gas'!Q22*0.0038</f>
        <v>0</v>
      </c>
      <c r="AK20" s="57">
        <f>'Wtr-Gas'!U22*0.0038</f>
        <v>167.2</v>
      </c>
      <c r="AL20" s="57">
        <f>'Wtr-Gas'!X22*0.0038</f>
        <v>53.2</v>
      </c>
      <c r="AM20" s="54">
        <f>'Wtr-Gas'!AB22*0.0038</f>
        <v>5624</v>
      </c>
      <c r="AN20" s="54">
        <f>'Wtr-Gas'!AD22*0.0038</f>
        <v>1236.9706800000001</v>
      </c>
      <c r="AO20" s="54">
        <f>'Wtr-Gas'!AF22*0.0038</f>
        <v>1.9</v>
      </c>
      <c r="AP20" s="54">
        <f>'Wtr-Gas'!AH22*0.0038</f>
        <v>521.20799999999997</v>
      </c>
      <c r="AQ20" s="54">
        <f>'Wtr-Gas'!AJ22*0.0038</f>
        <v>78.66</v>
      </c>
      <c r="AR20" s="54">
        <f>'Wtr-Gas'!AL22*0.0038</f>
        <v>102.6</v>
      </c>
      <c r="AS20" s="54">
        <f>'Wtr-Gas'!AN22*0.0038</f>
        <v>0</v>
      </c>
      <c r="AT20" s="54">
        <f>'Wtr-Gas'!AP22*0.0038</f>
        <v>-0.38</v>
      </c>
      <c r="AU20" s="57">
        <f>'Wtr-Gas'!AT22*0.0038</f>
        <v>7.5999999999999998E-2</v>
      </c>
      <c r="AV20" s="54">
        <f>'Wtr-Gas'!AW22*0.0038</f>
        <v>213.39660000000001</v>
      </c>
      <c r="AW20" s="55">
        <f>'Wtr-Gas'!AY22*0.0038</f>
        <v>202.71168399999999</v>
      </c>
      <c r="AX20" s="54">
        <f>'Wtr-Gas'!AZ22*0.0038</f>
        <v>10.684915999999999</v>
      </c>
      <c r="AY20" s="54">
        <f>'Wtr-Gas'!BB22*0.0038</f>
        <v>21.66</v>
      </c>
      <c r="AZ20" s="54">
        <f>'Wtr-Gas'!BD22*0.0038</f>
        <v>1.1399999999999999</v>
      </c>
      <c r="BA20" s="54">
        <f>'Wtr-Gas'!BF22*0.0038</f>
        <v>479.67020000000002</v>
      </c>
    </row>
    <row r="21" spans="1:53" x14ac:dyDescent="0.25">
      <c r="A21" s="3" t="s">
        <v>11</v>
      </c>
      <c r="B21" s="2">
        <v>1</v>
      </c>
      <c r="C21" s="2">
        <v>5</v>
      </c>
      <c r="D21" s="2">
        <v>2020</v>
      </c>
      <c r="E21" s="52">
        <f>Elect!AK23</f>
        <v>148</v>
      </c>
      <c r="F21" s="52">
        <f>Elect!H23</f>
        <v>13920</v>
      </c>
      <c r="G21" s="52">
        <f>Elect!G23</f>
        <v>1.2709999999999999</v>
      </c>
      <c r="H21" s="52">
        <f>Elect!E23</f>
        <v>11360</v>
      </c>
      <c r="I21" s="52">
        <f>Elect!D23</f>
        <v>0.91500000000000004</v>
      </c>
      <c r="J21" s="52">
        <f>Elect!T23</f>
        <v>10200</v>
      </c>
      <c r="K21" s="52">
        <f>Elect!S23</f>
        <v>1.2889999999999999</v>
      </c>
      <c r="L21" s="52">
        <f>Elect!AI23</f>
        <v>720</v>
      </c>
      <c r="M21" s="52">
        <f>Elect!AH23</f>
        <v>0.28000000000000003</v>
      </c>
      <c r="N21" s="52">
        <f>Elect!W23</f>
        <v>18000</v>
      </c>
      <c r="O21" s="52">
        <f>Elect!V23</f>
        <v>1.659</v>
      </c>
      <c r="P21" s="52">
        <f>Elect!N23</f>
        <v>3200</v>
      </c>
      <c r="Q21" s="52">
        <f>Elect!M23</f>
        <v>1.17</v>
      </c>
      <c r="R21" s="52">
        <f>Elect!K23</f>
        <v>2400</v>
      </c>
      <c r="S21" s="52">
        <f>Elect!J23</f>
        <v>1.07</v>
      </c>
      <c r="T21" s="52">
        <f>Elect!Q23</f>
        <v>2400</v>
      </c>
      <c r="U21" s="52">
        <f>Elect!P23</f>
        <v>0.98</v>
      </c>
      <c r="V21" s="52">
        <f>Elect!Z23</f>
        <v>1600</v>
      </c>
      <c r="W21" s="52">
        <f>Elect!Y23</f>
        <v>1.24</v>
      </c>
      <c r="X21" s="52">
        <f>Elect!AC23</f>
        <v>320</v>
      </c>
      <c r="Y21" s="52">
        <f>Elect!AB23</f>
        <v>6.0999999999999999E-2</v>
      </c>
      <c r="Z21" s="52">
        <f>Elect!AF23</f>
        <v>12800</v>
      </c>
      <c r="AA21" s="52">
        <f>Elect!AE23</f>
        <v>0.88900000000000001</v>
      </c>
      <c r="AB21" s="52">
        <f>Elect!AW23</f>
        <v>1300</v>
      </c>
      <c r="AC21" s="52">
        <f>Elect!AU23</f>
        <v>6200</v>
      </c>
      <c r="AD21" s="52">
        <f>Elect!AY23</f>
        <v>157</v>
      </c>
      <c r="AE21" s="52">
        <f>Elect!BA23</f>
        <v>2280</v>
      </c>
      <c r="AF21" s="54">
        <f>('Wtr-Gas'!E23)*0.0038</f>
        <v>1279.5740000000001</v>
      </c>
      <c r="AG21" s="54">
        <f>('Wtr-Gas'!H23)*0.0038</f>
        <v>432.02199999999999</v>
      </c>
      <c r="AH21" s="54">
        <f>'Wtr-Gas'!K23*0.0038</f>
        <v>0</v>
      </c>
      <c r="AI21" s="54">
        <f>'Wtr-Gas'!N23*0.0038</f>
        <v>722</v>
      </c>
      <c r="AJ21" s="54">
        <f>'Wtr-Gas'!Q23*0.0038</f>
        <v>0</v>
      </c>
      <c r="AK21" s="57">
        <f>'Wtr-Gas'!U23*0.0038</f>
        <v>110.96</v>
      </c>
      <c r="AL21" s="57">
        <f>'Wtr-Gas'!X23*0.0038</f>
        <v>21.28</v>
      </c>
      <c r="AM21" s="54">
        <f>'Wtr-Gas'!AB23*0.0038</f>
        <v>2546</v>
      </c>
      <c r="AN21" s="54">
        <f>'Wtr-Gas'!AD23*0.0038</f>
        <v>649.37706000000003</v>
      </c>
      <c r="AO21" s="54">
        <f>'Wtr-Gas'!AF23*0.0038</f>
        <v>-0.152</v>
      </c>
      <c r="AP21" s="54">
        <f>'Wtr-Gas'!AH23*0.0038</f>
        <v>361.57</v>
      </c>
      <c r="AQ21" s="54">
        <f>'Wtr-Gas'!AJ23*0.0038</f>
        <v>41.203400000000002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6.4600000000000005E-2</v>
      </c>
      <c r="AV21" s="54">
        <f>'Wtr-Gas'!AW23*0.0038</f>
        <v>210.90379999999999</v>
      </c>
      <c r="AW21" s="55">
        <f>'Wtr-Gas'!AY23*0.0038</f>
        <v>199.66320999999999</v>
      </c>
      <c r="AX21" s="54">
        <f>'Wtr-Gas'!AZ23*0.0038</f>
        <v>11.240590000000012</v>
      </c>
      <c r="AY21" s="54">
        <f>'Wtr-Gas'!BB23*0.0038</f>
        <v>11.02</v>
      </c>
      <c r="AZ21" s="54">
        <f>'Wtr-Gas'!BD23*0.0038</f>
        <v>1.52</v>
      </c>
      <c r="BA21" s="54">
        <f>'Wtr-Gas'!BF23*0.0038</f>
        <v>727.08439999999996</v>
      </c>
    </row>
    <row r="22" spans="1:53" x14ac:dyDescent="0.25">
      <c r="A22" s="3" t="s">
        <v>11</v>
      </c>
      <c r="B22" s="2">
        <v>4</v>
      </c>
      <c r="C22" s="2">
        <v>5</v>
      </c>
      <c r="D22" s="2">
        <v>2020</v>
      </c>
      <c r="E22" s="52">
        <f>Elect!AK24</f>
        <v>83</v>
      </c>
      <c r="F22" s="52">
        <f>Elect!H24</f>
        <v>8960</v>
      </c>
      <c r="G22" s="52">
        <f>Elect!G24</f>
        <v>1.2709999999999999</v>
      </c>
      <c r="H22" s="52">
        <f>Elect!E24</f>
        <v>7360</v>
      </c>
      <c r="I22" s="52">
        <f>Elect!D24</f>
        <v>0.91500000000000004</v>
      </c>
      <c r="J22" s="52">
        <f>Elect!T24</f>
        <v>3000</v>
      </c>
      <c r="K22" s="52">
        <f>Elect!S24</f>
        <v>1.2889999999999999</v>
      </c>
      <c r="L22" s="52">
        <f>Elect!AI24</f>
        <v>440</v>
      </c>
      <c r="M22" s="52">
        <f>Elect!AH24</f>
        <v>0.28000000000000003</v>
      </c>
      <c r="N22" s="52">
        <f>Elect!W24</f>
        <v>13500</v>
      </c>
      <c r="O22" s="52">
        <f>Elect!V24</f>
        <v>1.659</v>
      </c>
      <c r="P22" s="52">
        <f>Elect!N24</f>
        <v>1600</v>
      </c>
      <c r="Q22" s="52">
        <f>Elect!M24</f>
        <v>1.17</v>
      </c>
      <c r="R22" s="52">
        <f>Elect!K24</f>
        <v>1600</v>
      </c>
      <c r="S22" s="52">
        <f>Elect!J24</f>
        <v>1.07</v>
      </c>
      <c r="T22" s="52">
        <f>Elect!Q24</f>
        <v>1600</v>
      </c>
      <c r="U22" s="52">
        <f>Elect!P24</f>
        <v>0.98</v>
      </c>
      <c r="V22" s="52">
        <f>Elect!Z24</f>
        <v>1120</v>
      </c>
      <c r="W22" s="52">
        <f>Elect!Y24</f>
        <v>1.24</v>
      </c>
      <c r="X22" s="52">
        <f>Elect!AC24</f>
        <v>320</v>
      </c>
      <c r="Y22" s="52">
        <f>Elect!AB24</f>
        <v>6.0999999999999999E-2</v>
      </c>
      <c r="Z22" s="52">
        <f>Elect!AF24</f>
        <v>7600</v>
      </c>
      <c r="AA22" s="52">
        <f>Elect!AE24</f>
        <v>0.88900000000000001</v>
      </c>
      <c r="AB22" s="52">
        <f>Elect!AW24</f>
        <v>200</v>
      </c>
      <c r="AC22" s="52">
        <f>Elect!AU24</f>
        <v>1000</v>
      </c>
      <c r="AD22" s="52">
        <f>Elect!AY24</f>
        <v>27</v>
      </c>
      <c r="AE22" s="52">
        <f>Elect!BA24</f>
        <v>760</v>
      </c>
      <c r="AF22" s="54">
        <f>('Wtr-Gas'!E24)*0.0038</f>
        <v>1047.9259999999999</v>
      </c>
      <c r="AG22" s="54">
        <f>('Wtr-Gas'!H24)*0.0038</f>
        <v>359.93599999999998</v>
      </c>
      <c r="AH22" s="54">
        <f>'Wtr-Gas'!K24*0.0038</f>
        <v>0</v>
      </c>
      <c r="AI22" s="54">
        <f>'Wtr-Gas'!N24*0.0038</f>
        <v>395.2</v>
      </c>
      <c r="AJ22" s="54">
        <f>'Wtr-Gas'!Q24*0.0038</f>
        <v>0</v>
      </c>
      <c r="AK22" s="57">
        <f>'Wtr-Gas'!U24*0.0038</f>
        <v>79.42</v>
      </c>
      <c r="AL22" s="57">
        <f>'Wtr-Gas'!X24*0.0038</f>
        <v>12.54</v>
      </c>
      <c r="AM22" s="54">
        <f>'Wtr-Gas'!AB24*0.0038</f>
        <v>1558</v>
      </c>
      <c r="AN22" s="54">
        <f>'Wtr-Gas'!AD24*0.0038</f>
        <v>442.48454000000004</v>
      </c>
      <c r="AO22" s="54">
        <f>'Wtr-Gas'!AF24*0.0038</f>
        <v>0</v>
      </c>
      <c r="AP22" s="54">
        <f>'Wtr-Gas'!AH24*0.0038</f>
        <v>380.68400000000003</v>
      </c>
      <c r="AQ22" s="54">
        <f>'Wtr-Gas'!AJ24*0.0038</f>
        <v>18.1754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7.6E-3</v>
      </c>
      <c r="AV22" s="54">
        <f>'Wtr-Gas'!AW24*0.0038</f>
        <v>33.580599999999997</v>
      </c>
      <c r="AW22" s="55">
        <f>'Wtr-Gas'!AY24*0.0038</f>
        <v>31.525597999999995</v>
      </c>
      <c r="AX22" s="54">
        <f>'Wtr-Gas'!AZ24*0.0038</f>
        <v>2.0550020000000031</v>
      </c>
      <c r="AY22" s="54">
        <f>'Wtr-Gas'!BB24*0.0038</f>
        <v>1.1399999999999999</v>
      </c>
      <c r="AZ22" s="54">
        <f>'Wtr-Gas'!BD24*0.0038</f>
        <v>0.38</v>
      </c>
      <c r="BA22" s="54">
        <f>'Wtr-Gas'!BF24*0.0038</f>
        <v>275.87240000000003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2020</v>
      </c>
      <c r="E23" s="52">
        <f>Elect!AK25</f>
        <v>236</v>
      </c>
      <c r="F23" s="52">
        <f>Elect!H25</f>
        <v>24480</v>
      </c>
      <c r="G23" s="52">
        <f>Elect!G25</f>
        <v>1.2709999999999999</v>
      </c>
      <c r="H23" s="52">
        <f>Elect!E25</f>
        <v>19680</v>
      </c>
      <c r="I23" s="52">
        <f>Elect!D25</f>
        <v>0.91500000000000004</v>
      </c>
      <c r="J23" s="52">
        <f>Elect!T25</f>
        <v>9300</v>
      </c>
      <c r="K23" s="52">
        <f>Elect!S25</f>
        <v>1.2889999999999999</v>
      </c>
      <c r="L23" s="52">
        <f>Elect!AI25</f>
        <v>1160</v>
      </c>
      <c r="M23" s="52">
        <f>Elect!AH25</f>
        <v>0.28000000000000003</v>
      </c>
      <c r="N23" s="52">
        <f>Elect!W25</f>
        <v>44700</v>
      </c>
      <c r="O23" s="52">
        <f>Elect!V25</f>
        <v>1.659</v>
      </c>
      <c r="P23" s="52">
        <f>Elect!N25</f>
        <v>4800</v>
      </c>
      <c r="Q23" s="52">
        <f>Elect!M25</f>
        <v>1.17</v>
      </c>
      <c r="R23" s="52">
        <f>Elect!K25</f>
        <v>3600</v>
      </c>
      <c r="S23" s="52">
        <f>Elect!J25</f>
        <v>1.07</v>
      </c>
      <c r="T23" s="52">
        <f>Elect!Q25</f>
        <v>3600</v>
      </c>
      <c r="U23" s="52">
        <f>Elect!P25</f>
        <v>0.98</v>
      </c>
      <c r="V23" s="52">
        <f>Elect!Z25</f>
        <v>2880</v>
      </c>
      <c r="W23" s="52">
        <f>Elect!Y25</f>
        <v>1.3</v>
      </c>
      <c r="X23" s="52">
        <f>Elect!AC25</f>
        <v>640</v>
      </c>
      <c r="Y23" s="52">
        <f>Elect!AB25</f>
        <v>0.76</v>
      </c>
      <c r="Z23" s="52">
        <f>Elect!AF25</f>
        <v>23600</v>
      </c>
      <c r="AA23" s="52">
        <f>Elect!AE25</f>
        <v>0.88900000000000001</v>
      </c>
      <c r="AB23" s="52">
        <f>Elect!AW25</f>
        <v>1800</v>
      </c>
      <c r="AC23" s="52">
        <f>Elect!AU25</f>
        <v>9500</v>
      </c>
      <c r="AD23" s="52">
        <f>Elect!AY25</f>
        <v>724</v>
      </c>
      <c r="AE23" s="52">
        <f>Elect!BA25</f>
        <v>3600</v>
      </c>
      <c r="AF23" s="54">
        <f>('Wtr-Gas'!E25)*0.0038</f>
        <v>1754.194</v>
      </c>
      <c r="AG23" s="54">
        <f>('Wtr-Gas'!H25)*0.0038</f>
        <v>755.63</v>
      </c>
      <c r="AH23" s="54">
        <f>'Wtr-Gas'!K25*0.0038</f>
        <v>0</v>
      </c>
      <c r="AI23" s="54">
        <f>'Wtr-Gas'!N25*0.0038</f>
        <v>915.8</v>
      </c>
      <c r="AJ23" s="54">
        <f>'Wtr-Gas'!Q25*0.0038</f>
        <v>0</v>
      </c>
      <c r="AK23" s="57">
        <f>'Wtr-Gas'!U25*0.0038</f>
        <v>192.28</v>
      </c>
      <c r="AL23" s="57">
        <f>'Wtr-Gas'!X25*0.0038</f>
        <v>28.12</v>
      </c>
      <c r="AM23" s="54">
        <f>'Wtr-Gas'!AB25*0.0038</f>
        <v>4826</v>
      </c>
      <c r="AN23" s="54">
        <f>'Wtr-Gas'!AD25*0.0038</f>
        <v>1015.6286600000001</v>
      </c>
      <c r="AO23" s="54">
        <f>'Wtr-Gas'!AF25*0.0038</f>
        <v>0.22800000000000001</v>
      </c>
      <c r="AP23" s="54">
        <f>'Wtr-Gas'!AH25*0.0038</f>
        <v>273.63799999999998</v>
      </c>
      <c r="AQ23" s="54">
        <f>'Wtr-Gas'!AJ25*0.0038</f>
        <v>46.804600000000001</v>
      </c>
      <c r="AR23" s="54">
        <f>'Wtr-Gas'!AL25*0.0038</f>
        <v>186.2</v>
      </c>
      <c r="AS23" s="54">
        <f>'Wtr-Gas'!AN25*0.0038</f>
        <v>0</v>
      </c>
      <c r="AT23" s="54">
        <f>'Wtr-Gas'!AP25*0.0038</f>
        <v>0</v>
      </c>
      <c r="AU23" s="57">
        <f>'Wtr-Gas'!AT25*0.0038</f>
        <v>0.11020000000000001</v>
      </c>
      <c r="AV23" s="54">
        <f>'Wtr-Gas'!AW25*0.0038</f>
        <v>252.035</v>
      </c>
      <c r="AW23" s="55">
        <f>'Wtr-Gas'!AY25*0.0038</f>
        <v>232.03092599999999</v>
      </c>
      <c r="AX23" s="54">
        <f>'Wtr-Gas'!AZ25*0.0038</f>
        <v>20.004074000000013</v>
      </c>
      <c r="AY23" s="54">
        <f>'Wtr-Gas'!BB25*0.0038</f>
        <v>9.1199999999999992</v>
      </c>
      <c r="AZ23" s="54">
        <f>'Wtr-Gas'!BD25*0.0038</f>
        <v>2.2799999999999998</v>
      </c>
      <c r="BA23" s="54">
        <f>'Wtr-Gas'!BF25*0.0038</f>
        <v>1086.5758000000001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2020</v>
      </c>
      <c r="E24" s="52">
        <f>Elect!AK26</f>
        <v>229</v>
      </c>
      <c r="F24" s="52">
        <f>Elect!H26</f>
        <v>23840</v>
      </c>
      <c r="G24" s="52">
        <f>Elect!G26</f>
        <v>1.2709999999999999</v>
      </c>
      <c r="H24" s="52">
        <f>Elect!E26</f>
        <v>19200</v>
      </c>
      <c r="I24" s="52">
        <f>Elect!D26</f>
        <v>0.91500000000000004</v>
      </c>
      <c r="J24" s="52">
        <f>Elect!T26</f>
        <v>34500</v>
      </c>
      <c r="K24" s="52">
        <f>Elect!S26</f>
        <v>1.2889999999999999</v>
      </c>
      <c r="L24" s="52">
        <f>Elect!AI26</f>
        <v>880</v>
      </c>
      <c r="M24" s="52">
        <f>Elect!AH26</f>
        <v>0.28000000000000003</v>
      </c>
      <c r="N24" s="52">
        <f>Elect!W26</f>
        <v>25800</v>
      </c>
      <c r="O24" s="52">
        <f>Elect!V26</f>
        <v>1.659</v>
      </c>
      <c r="P24" s="52">
        <f>Elect!N26</f>
        <v>4800</v>
      </c>
      <c r="Q24" s="52">
        <f>Elect!M26</f>
        <v>1.17</v>
      </c>
      <c r="R24" s="52">
        <f>Elect!K26</f>
        <v>4000</v>
      </c>
      <c r="S24" s="52">
        <f>Elect!J26</f>
        <v>1.07</v>
      </c>
      <c r="T24" s="52">
        <f>Elect!Q26</f>
        <v>4000</v>
      </c>
      <c r="U24" s="52">
        <f>Elect!P26</f>
        <v>0.98</v>
      </c>
      <c r="V24" s="52">
        <f>Elect!Z26</f>
        <v>2880</v>
      </c>
      <c r="W24" s="52">
        <f>Elect!Y26</f>
        <v>1.3</v>
      </c>
      <c r="X24" s="52">
        <f>Elect!AC26</f>
        <v>800</v>
      </c>
      <c r="Y24" s="52">
        <f>Elect!AB26</f>
        <v>0.76</v>
      </c>
      <c r="Z24" s="52">
        <f>Elect!AF26</f>
        <v>22800</v>
      </c>
      <c r="AA24" s="52">
        <f>Elect!AE26</f>
        <v>0.88900000000000001</v>
      </c>
      <c r="AB24" s="52">
        <f>Elect!AW26</f>
        <v>1700</v>
      </c>
      <c r="AC24" s="52">
        <f>Elect!AU26</f>
        <v>10700</v>
      </c>
      <c r="AD24" s="52">
        <f>Elect!AY26</f>
        <v>674</v>
      </c>
      <c r="AE24" s="52">
        <f>Elect!BA26</f>
        <v>7520</v>
      </c>
      <c r="AF24" s="54">
        <f>('Wtr-Gas'!E26)*0.0038</f>
        <v>1625.298</v>
      </c>
      <c r="AG24" s="54">
        <f>('Wtr-Gas'!H26)*0.0038</f>
        <v>891.86</v>
      </c>
      <c r="AH24" s="54">
        <f>'Wtr-Gas'!K26*0.0038</f>
        <v>0</v>
      </c>
      <c r="AI24" s="54">
        <f>'Wtr-Gas'!N26*0.0038</f>
        <v>1029.8</v>
      </c>
      <c r="AJ24" s="54">
        <f>'Wtr-Gas'!Q26*0.0038</f>
        <v>0</v>
      </c>
      <c r="AK24" s="57">
        <f>'Wtr-Gas'!U26*0.0038</f>
        <v>184.3</v>
      </c>
      <c r="AL24" s="57">
        <f>'Wtr-Gas'!X26*0.0038</f>
        <v>39.14</v>
      </c>
      <c r="AM24" s="54">
        <f>'Wtr-Gas'!AB26*0.0038</f>
        <v>5434</v>
      </c>
      <c r="AN24" s="54">
        <f>'Wtr-Gas'!AD26*0.0038</f>
        <v>1215.6089800000002</v>
      </c>
      <c r="AO24" s="54">
        <f>'Wtr-Gas'!AF26*0.0038</f>
        <v>1.4059999999999999</v>
      </c>
      <c r="AP24" s="54">
        <f>'Wtr-Gas'!AH26*0.0038</f>
        <v>282.036</v>
      </c>
      <c r="AQ24" s="54">
        <f>'Wtr-Gas'!AJ26*0.0038</f>
        <v>65.622200000000007</v>
      </c>
      <c r="AR24" s="54">
        <f>'Wtr-Gas'!AL26*0.0038</f>
        <v>30.4</v>
      </c>
      <c r="AS24" s="54">
        <f>'Wtr-Gas'!AN26*0.0038</f>
        <v>0</v>
      </c>
      <c r="AT24" s="54">
        <f>'Wtr-Gas'!AP26*0.0038</f>
        <v>0</v>
      </c>
      <c r="AU24" s="57">
        <f>'Wtr-Gas'!AT26*0.0038</f>
        <v>0.32679999999999998</v>
      </c>
      <c r="AV24" s="54">
        <f>'Wtr-Gas'!AW26*0.0038</f>
        <v>315.36959999999999</v>
      </c>
      <c r="AW24" s="55">
        <f>'Wtr-Gas'!AY26*0.0038</f>
        <v>242.12190200000001</v>
      </c>
      <c r="AX24" s="54">
        <f>'Wtr-Gas'!AZ26*0.0038</f>
        <v>73.247698</v>
      </c>
      <c r="AY24" s="54">
        <f>'Wtr-Gas'!BB26*0.0038</f>
        <v>14.06</v>
      </c>
      <c r="AZ24" s="54">
        <f>'Wtr-Gas'!BD26*0.0038</f>
        <v>1.52</v>
      </c>
      <c r="BA24" s="54">
        <f>'Wtr-Gas'!BF26*0.0038</f>
        <v>2332.9301999999998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2020</v>
      </c>
      <c r="E25" s="52">
        <f>Elect!AK27</f>
        <v>219</v>
      </c>
      <c r="F25" s="52">
        <f>Elect!H27</f>
        <v>24160</v>
      </c>
      <c r="G25" s="52">
        <f>Elect!G27</f>
        <v>1.226</v>
      </c>
      <c r="H25" s="52">
        <f>Elect!E27</f>
        <v>19360</v>
      </c>
      <c r="I25" s="52">
        <f>Elect!D27</f>
        <v>0.878</v>
      </c>
      <c r="J25" s="52">
        <f>Elect!T27</f>
        <v>27300</v>
      </c>
      <c r="K25" s="52">
        <f>Elect!S27</f>
        <v>0.76500000000000001</v>
      </c>
      <c r="L25" s="52">
        <f>Elect!AI27</f>
        <v>1000</v>
      </c>
      <c r="M25" s="52">
        <f>Elect!AH27</f>
        <v>0.255</v>
      </c>
      <c r="N25" s="52">
        <f>Elect!W27</f>
        <v>46800</v>
      </c>
      <c r="O25" s="52">
        <f>Elect!V27</f>
        <v>1.7030000000000001</v>
      </c>
      <c r="P25" s="52">
        <f>Elect!N27</f>
        <v>4800</v>
      </c>
      <c r="Q25" s="52">
        <f>Elect!M27</f>
        <v>0.81</v>
      </c>
      <c r="R25" s="52">
        <f>Elect!K27</f>
        <v>4000</v>
      </c>
      <c r="S25" s="52">
        <f>Elect!J27</f>
        <v>0.67</v>
      </c>
      <c r="T25" s="52">
        <f>Elect!Q27</f>
        <v>4000</v>
      </c>
      <c r="U25" s="52">
        <f>Elect!P27</f>
        <v>0.72</v>
      </c>
      <c r="V25" s="52">
        <f>Elect!Z27</f>
        <v>2720</v>
      </c>
      <c r="W25" s="52">
        <f>Elect!Y27</f>
        <v>1.24</v>
      </c>
      <c r="X25" s="52">
        <f>Elect!AC27</f>
        <v>640</v>
      </c>
      <c r="Y25" s="52">
        <f>Elect!AB27</f>
        <v>0.78</v>
      </c>
      <c r="Z25" s="52">
        <f>Elect!AF27</f>
        <v>23000</v>
      </c>
      <c r="AA25" s="52">
        <f>Elect!AE27</f>
        <v>0.82</v>
      </c>
      <c r="AB25" s="52">
        <f>Elect!AW27</f>
        <v>1900</v>
      </c>
      <c r="AC25" s="52">
        <f>Elect!AU27</f>
        <v>11800</v>
      </c>
      <c r="AD25" s="52">
        <f>Elect!AY27</f>
        <v>707</v>
      </c>
      <c r="AE25" s="52">
        <f>Elect!BA27</f>
        <v>3400</v>
      </c>
      <c r="AF25" s="54">
        <f>('Wtr-Gas'!E27)*0.0038</f>
        <v>1902.8879999999999</v>
      </c>
      <c r="AG25" s="54">
        <f>('Wtr-Gas'!H27)*0.0038</f>
        <v>847.78</v>
      </c>
      <c r="AH25" s="54">
        <f>'Wtr-Gas'!K27*0.0038</f>
        <v>0</v>
      </c>
      <c r="AI25" s="54">
        <f>'Wtr-Gas'!N27*0.0038</f>
        <v>1045</v>
      </c>
      <c r="AJ25" s="54">
        <f>'Wtr-Gas'!Q27*0.0038</f>
        <v>0</v>
      </c>
      <c r="AK25" s="57">
        <f>'Wtr-Gas'!U27*0.0038</f>
        <v>180.5</v>
      </c>
      <c r="AL25" s="57">
        <f>'Wtr-Gas'!X27*0.0038</f>
        <v>25.84</v>
      </c>
      <c r="AM25" s="54">
        <f>'Wtr-Gas'!AB27*0.0038</f>
        <v>6118</v>
      </c>
      <c r="AN25" s="54">
        <f>'Wtr-Gas'!AD27*0.0038</f>
        <v>1246.77316</v>
      </c>
      <c r="AO25" s="54">
        <f>'Wtr-Gas'!AF27*0.0038</f>
        <v>0.152</v>
      </c>
      <c r="AP25" s="54">
        <f>'Wtr-Gas'!AH27*0.0038</f>
        <v>489.59199999999998</v>
      </c>
      <c r="AQ25" s="54">
        <f>'Wtr-Gas'!AJ27*0.0038</f>
        <v>55.141799999999996</v>
      </c>
      <c r="AR25" s="54">
        <f>'Wtr-Gas'!AL27*0.0038</f>
        <v>87.4</v>
      </c>
      <c r="AS25" s="54">
        <f>'Wtr-Gas'!AN27*0.0038</f>
        <v>0</v>
      </c>
      <c r="AT25" s="54">
        <f>'Wtr-Gas'!AP27*0.0038</f>
        <v>0</v>
      </c>
      <c r="AU25" s="57">
        <f>'Wtr-Gas'!AT27*0.0038</f>
        <v>0.21279999999999999</v>
      </c>
      <c r="AV25" s="54">
        <f>'Wtr-Gas'!AW27*0.0038</f>
        <v>268.40159999999997</v>
      </c>
      <c r="AW25" s="55">
        <f>'Wtr-Gas'!AY27*0.0038</f>
        <v>241.10673199999999</v>
      </c>
      <c r="AX25" s="54">
        <f>'Wtr-Gas'!AZ27*0.0038</f>
        <v>27.294868000000001</v>
      </c>
      <c r="AY25" s="54">
        <f>'Wtr-Gas'!BB27*0.0038</f>
        <v>8.74</v>
      </c>
      <c r="AZ25" s="54">
        <f>'Wtr-Gas'!BD27*0.0038</f>
        <v>1.52</v>
      </c>
      <c r="BA25" s="54">
        <f>'Wtr-Gas'!BF27*0.0038</f>
        <v>983.32219999999995</v>
      </c>
    </row>
    <row r="26" spans="1:53" x14ac:dyDescent="0.25">
      <c r="A26" s="3" t="s">
        <v>11</v>
      </c>
      <c r="B26" s="2">
        <v>1</v>
      </c>
      <c r="C26" s="2">
        <v>6</v>
      </c>
      <c r="D26" s="2">
        <v>2020</v>
      </c>
      <c r="E26" s="52">
        <f>Elect!AK28</f>
        <v>223</v>
      </c>
      <c r="F26" s="52">
        <f>Elect!H28</f>
        <v>24640</v>
      </c>
      <c r="G26" s="52">
        <f>Elect!G28</f>
        <v>1.258</v>
      </c>
      <c r="H26" s="52">
        <f>Elect!E28</f>
        <v>20000</v>
      </c>
      <c r="I26" s="52">
        <f>Elect!D28</f>
        <v>0.89100000000000001</v>
      </c>
      <c r="J26" s="52">
        <f>Elect!T28</f>
        <v>36900</v>
      </c>
      <c r="K26" s="52">
        <f>Elect!S28</f>
        <v>1.3129999999999999</v>
      </c>
      <c r="L26" s="52">
        <f>Elect!AI28</f>
        <v>1120</v>
      </c>
      <c r="M26" s="52">
        <f>Elect!AH28</f>
        <v>0.28899999999999998</v>
      </c>
      <c r="N26" s="52">
        <f>Elect!W28</f>
        <v>43200</v>
      </c>
      <c r="O26" s="52">
        <f>Elect!V28</f>
        <v>1.8049999999999999</v>
      </c>
      <c r="P26" s="52">
        <f>Elect!N28</f>
        <v>4400</v>
      </c>
      <c r="Q26" s="52">
        <f>Elect!M28</f>
        <v>0.81</v>
      </c>
      <c r="R26" s="52">
        <f>Elect!K28</f>
        <v>3600</v>
      </c>
      <c r="S26" s="52">
        <f>Elect!J28</f>
        <v>0.75</v>
      </c>
      <c r="T26" s="52">
        <f>Elect!Q28</f>
        <v>4400</v>
      </c>
      <c r="U26" s="52">
        <f>Elect!P28</f>
        <v>0.78</v>
      </c>
      <c r="V26" s="52">
        <f>Elect!Z28</f>
        <v>3040</v>
      </c>
      <c r="W26" s="52">
        <f>Elect!Y28</f>
        <v>1.54</v>
      </c>
      <c r="X26" s="52">
        <f>Elect!AC28</f>
        <v>480</v>
      </c>
      <c r="Y26" s="52">
        <f>Elect!AB28</f>
        <v>0.49</v>
      </c>
      <c r="Z26" s="52">
        <f>Elect!AF28</f>
        <v>24400</v>
      </c>
      <c r="AA26" s="52">
        <f>Elect!AE28</f>
        <v>0.94099999999999995</v>
      </c>
      <c r="AB26" s="52">
        <f>Elect!AW28</f>
        <v>1700</v>
      </c>
      <c r="AC26" s="52">
        <f>Elect!AU28</f>
        <v>12900</v>
      </c>
      <c r="AD26" s="52">
        <f>Elect!AY28</f>
        <v>711</v>
      </c>
      <c r="AE26" s="52">
        <f>Elect!BA28</f>
        <v>1000</v>
      </c>
      <c r="AF26" s="54">
        <f>('Wtr-Gas'!E28)*0.0038</f>
        <v>2151.94</v>
      </c>
      <c r="AG26" s="54">
        <f>('Wtr-Gas'!H28)*0.0038</f>
        <v>127.756</v>
      </c>
      <c r="AH26" s="54">
        <f>'Wtr-Gas'!K28*0.0038</f>
        <v>0</v>
      </c>
      <c r="AI26" s="54">
        <f>'Wtr-Gas'!N28*0.0038</f>
        <v>1010.8</v>
      </c>
      <c r="AJ26" s="54">
        <f>'Wtr-Gas'!Q28*0.0038</f>
        <v>0</v>
      </c>
      <c r="AK26" s="57">
        <f>'Wtr-Gas'!U28*0.0038</f>
        <v>177.84</v>
      </c>
      <c r="AL26" s="57">
        <f>'Wtr-Gas'!X28*0.0038</f>
        <v>17.48</v>
      </c>
      <c r="AM26" s="54">
        <f>'Wtr-Gas'!AB28*0.0038</f>
        <v>6080</v>
      </c>
      <c r="AN26" s="54">
        <f>'Wtr-Gas'!AD28*0.0038</f>
        <v>1333.90146</v>
      </c>
      <c r="AO26" s="54">
        <f>'Wtr-Gas'!AF28*0.0038</f>
        <v>0.56999999999999995</v>
      </c>
      <c r="AP26" s="54">
        <f>'Wtr-Gas'!AH28*0.0038</f>
        <v>568.55600000000004</v>
      </c>
      <c r="AQ26" s="54">
        <f>'Wtr-Gas'!AJ28*0.0038</f>
        <v>25.866599999999998</v>
      </c>
      <c r="AR26" s="54">
        <f>'Wtr-Gas'!AL28*0.0038</f>
        <v>0</v>
      </c>
      <c r="AS26" s="54">
        <f>'Wtr-Gas'!AN28*0.0038</f>
        <v>0</v>
      </c>
      <c r="AT26" s="54">
        <f>'Wtr-Gas'!AP28*0.0038</f>
        <v>15.2</v>
      </c>
      <c r="AU26" s="57">
        <f>'Wtr-Gas'!AT28*0.0038</f>
        <v>0.2432</v>
      </c>
      <c r="AV26" s="54">
        <f>'Wtr-Gas'!AW28*0.0038</f>
        <v>272.39159999999998</v>
      </c>
      <c r="AW26" s="55">
        <f>'Wtr-Gas'!AY28*0.0038</f>
        <v>241.64131599999999</v>
      </c>
      <c r="AX26" s="54">
        <f>'Wtr-Gas'!AZ28*0.0038</f>
        <v>30.750284000000001</v>
      </c>
      <c r="AY26" s="54">
        <f>'Wtr-Gas'!BB28*0.0038</f>
        <v>4.9400000000000004</v>
      </c>
      <c r="AZ26" s="54">
        <f>'Wtr-Gas'!BD28*0.0038</f>
        <v>1.52</v>
      </c>
      <c r="BA26" s="54">
        <f>'Wtr-Gas'!BF28*0.0038</f>
        <v>31.901</v>
      </c>
    </row>
    <row r="27" spans="1:53" x14ac:dyDescent="0.25">
      <c r="A27" s="3" t="s">
        <v>11</v>
      </c>
      <c r="B27" s="2">
        <v>8</v>
      </c>
      <c r="C27" s="2">
        <v>6</v>
      </c>
      <c r="D27" s="2">
        <v>2020</v>
      </c>
      <c r="E27" s="52">
        <f>Elect!AK29</f>
        <v>68</v>
      </c>
      <c r="F27" s="52">
        <f>Elect!H29</f>
        <v>23840</v>
      </c>
      <c r="G27" s="52">
        <f>Elect!G29</f>
        <v>1.3240000000000001</v>
      </c>
      <c r="H27" s="52">
        <f>Elect!E29</f>
        <v>19360</v>
      </c>
      <c r="I27" s="52">
        <f>Elect!D29</f>
        <v>0.98199999999999998</v>
      </c>
      <c r="J27" s="52">
        <f>Elect!T29</f>
        <v>26100</v>
      </c>
      <c r="K27" s="52">
        <f>Elect!S29</f>
        <v>1.3144</v>
      </c>
      <c r="L27" s="52">
        <f>Elect!AI29</f>
        <v>1000</v>
      </c>
      <c r="M27" s="52">
        <f>Elect!AH29</f>
        <v>0.28899999999999998</v>
      </c>
      <c r="N27" s="52">
        <f>Elect!W29</f>
        <v>55500</v>
      </c>
      <c r="O27" s="52">
        <f>Elect!V29</f>
        <v>1.8049999999999999</v>
      </c>
      <c r="P27" s="52">
        <f>Elect!N29</f>
        <v>4400</v>
      </c>
      <c r="Q27" s="52">
        <f>Elect!M29</f>
        <v>0.81</v>
      </c>
      <c r="R27" s="52">
        <f>Elect!K29</f>
        <v>4000</v>
      </c>
      <c r="S27" s="52">
        <f>Elect!J29</f>
        <v>0.75</v>
      </c>
      <c r="T27" s="52">
        <f>Elect!Q29</f>
        <v>4400</v>
      </c>
      <c r="U27" s="52">
        <f>Elect!P29</f>
        <v>0.78</v>
      </c>
      <c r="V27" s="52">
        <f>Elect!Z29</f>
        <v>3040</v>
      </c>
      <c r="W27" s="52">
        <f>Elect!Y29</f>
        <v>1.54</v>
      </c>
      <c r="X27" s="52">
        <f>Elect!AC29</f>
        <v>800</v>
      </c>
      <c r="Y27" s="52">
        <f>Elect!AB29</f>
        <v>0.69</v>
      </c>
      <c r="Z27" s="52">
        <f>Elect!AF29</f>
        <v>23000</v>
      </c>
      <c r="AA27" s="52">
        <f>Elect!AE29</f>
        <v>0.94099999999999995</v>
      </c>
      <c r="AB27" s="52">
        <f>Elect!AW29</f>
        <v>1800</v>
      </c>
      <c r="AC27" s="52">
        <f>Elect!AU29</f>
        <v>12800</v>
      </c>
      <c r="AD27" s="52">
        <f>Elect!AY29</f>
        <v>821</v>
      </c>
      <c r="AE27" s="52">
        <f>Elect!BA29</f>
        <v>1600</v>
      </c>
      <c r="AF27" s="54">
        <f>('Wtr-Gas'!E29)*0.0038</f>
        <v>1380.692</v>
      </c>
      <c r="AG27" s="54">
        <f>('Wtr-Gas'!H29)*0.0038</f>
        <v>89.87</v>
      </c>
      <c r="AH27" s="54">
        <f>'Wtr-Gas'!K29*0.0038</f>
        <v>0</v>
      </c>
      <c r="AI27" s="54">
        <f>'Wtr-Gas'!N29*0.0038</f>
        <v>912</v>
      </c>
      <c r="AJ27" s="54">
        <f>'Wtr-Gas'!Q29*0.0038</f>
        <v>0</v>
      </c>
      <c r="AK27" s="57">
        <f>'Wtr-Gas'!U29*0.0038</f>
        <v>180.5</v>
      </c>
      <c r="AL27" s="57">
        <f>'Wtr-Gas'!X29*0.0038</f>
        <v>26.22</v>
      </c>
      <c r="AM27" s="54">
        <f>'Wtr-Gas'!AB29*0.0038</f>
        <v>5852</v>
      </c>
      <c r="AN27" s="54">
        <f>'Wtr-Gas'!AD29*0.0038</f>
        <v>1164.81324</v>
      </c>
      <c r="AO27" s="54">
        <f>'Wtr-Gas'!AF29*0.0038</f>
        <v>1.216</v>
      </c>
      <c r="AP27" s="54">
        <f>'Wtr-Gas'!AH29*0.0038</f>
        <v>270.52199999999999</v>
      </c>
      <c r="AQ27" s="54">
        <f>'Wtr-Gas'!AJ29*0.0038</f>
        <v>71.272800000000004</v>
      </c>
      <c r="AR27" s="54">
        <f>'Wtr-Gas'!AL29*0.0038</f>
        <v>0</v>
      </c>
      <c r="AS27" s="54">
        <f>'Wtr-Gas'!AN29*0.0038</f>
        <v>0</v>
      </c>
      <c r="AT27" s="54">
        <f>'Wtr-Gas'!AP29*0.0038</f>
        <v>11.78</v>
      </c>
      <c r="AU27" s="57">
        <f>'Wtr-Gas'!AT29*0.0038</f>
        <v>0.26219999999999999</v>
      </c>
      <c r="AV27" s="54">
        <f>'Wtr-Gas'!AW29*0.0038</f>
        <v>61.297800000000002</v>
      </c>
      <c r="AW27" s="55">
        <f>'Wtr-Gas'!AY29*0.0038</f>
        <v>240.68751599999999</v>
      </c>
      <c r="AX27" s="54">
        <f>'Wtr-Gas'!AZ29*0.0038</f>
        <v>-179.38971599999999</v>
      </c>
      <c r="AY27" s="54">
        <f>'Wtr-Gas'!BB29*0.0038</f>
        <v>4.5599999999999996</v>
      </c>
      <c r="AZ27" s="54">
        <f>'Wtr-Gas'!BD29*0.0038</f>
        <v>1.1399999999999999</v>
      </c>
      <c r="BA27" s="54">
        <f>'Wtr-Gas'!BF29*0.0038</f>
        <v>31.809799999999999</v>
      </c>
    </row>
    <row r="28" spans="1:53" x14ac:dyDescent="0.25">
      <c r="A28" s="3" t="s">
        <v>11</v>
      </c>
      <c r="B28" s="2">
        <v>15</v>
      </c>
      <c r="C28" s="2">
        <v>6</v>
      </c>
      <c r="D28" s="2">
        <v>2020</v>
      </c>
      <c r="E28" s="52">
        <f>Elect!AK30</f>
        <v>345</v>
      </c>
      <c r="F28" s="52">
        <f>Elect!H30</f>
        <v>25440</v>
      </c>
      <c r="G28" s="52">
        <f>Elect!G30</f>
        <v>1.3240000000000001</v>
      </c>
      <c r="H28" s="52">
        <f>Elect!E30</f>
        <v>20480</v>
      </c>
      <c r="I28" s="52">
        <f>Elect!D30</f>
        <v>1.0589999999999999</v>
      </c>
      <c r="J28" s="52">
        <f>Elect!T30</f>
        <v>55500</v>
      </c>
      <c r="K28" s="52">
        <f>Elect!S30</f>
        <v>1.7410000000000001</v>
      </c>
      <c r="L28" s="52">
        <f>Elect!AI30</f>
        <v>1080</v>
      </c>
      <c r="M28" s="52">
        <f>Elect!AH30</f>
        <v>0.28899999999999998</v>
      </c>
      <c r="N28" s="52">
        <f>Elect!W30</f>
        <v>35100</v>
      </c>
      <c r="O28" s="52">
        <f>Elect!V30</f>
        <v>1.8049999999999999</v>
      </c>
      <c r="P28" s="52">
        <f>Elect!N30</f>
        <v>4800</v>
      </c>
      <c r="Q28" s="52">
        <f>Elect!M30</f>
        <v>0.81</v>
      </c>
      <c r="R28" s="52">
        <f>Elect!K30</f>
        <v>4400</v>
      </c>
      <c r="S28" s="52">
        <f>Elect!J30</f>
        <v>7.8E-2</v>
      </c>
      <c r="T28" s="52">
        <f>Elect!Q30</f>
        <v>4400</v>
      </c>
      <c r="U28" s="52">
        <f>Elect!P30</f>
        <v>0.85</v>
      </c>
      <c r="V28" s="52">
        <f>Elect!Z30</f>
        <v>3680</v>
      </c>
      <c r="W28" s="52">
        <f>Elect!Y30</f>
        <v>1.79</v>
      </c>
      <c r="X28" s="52">
        <f>Elect!AC30</f>
        <v>800</v>
      </c>
      <c r="Y28" s="52">
        <f>Elect!AB30</f>
        <v>0.77</v>
      </c>
      <c r="Z28" s="52">
        <f>Elect!AF30</f>
        <v>24600</v>
      </c>
      <c r="AA28" s="52">
        <f>Elect!AE30</f>
        <v>0.94799999999999995</v>
      </c>
      <c r="AB28" s="52">
        <f>Elect!AW30</f>
        <v>1900</v>
      </c>
      <c r="AC28" s="52">
        <f>Elect!AU30</f>
        <v>13000</v>
      </c>
      <c r="AD28" s="52">
        <f>Elect!AY30</f>
        <v>861</v>
      </c>
      <c r="AE28" s="52">
        <f>Elect!BA30</f>
        <v>960</v>
      </c>
      <c r="AF28" s="54">
        <f>('Wtr-Gas'!E30)*0.0038</f>
        <v>1195.6320000000001</v>
      </c>
      <c r="AG28" s="54">
        <f>('Wtr-Gas'!H30)*0.0038</f>
        <v>46.36</v>
      </c>
      <c r="AH28" s="54">
        <f>'Wtr-Gas'!K30*0.0038</f>
        <v>0</v>
      </c>
      <c r="AI28" s="54">
        <f>'Wtr-Gas'!N30*0.0038</f>
        <v>885.4</v>
      </c>
      <c r="AJ28" s="54">
        <f>'Wtr-Gas'!Q30*0.0038</f>
        <v>0</v>
      </c>
      <c r="AK28" s="57">
        <f>'Wtr-Gas'!U30*0.0038</f>
        <v>188.86</v>
      </c>
      <c r="AL28" s="57">
        <f>'Wtr-Gas'!X30*0.0038</f>
        <v>27.74</v>
      </c>
      <c r="AM28" s="54">
        <f>'Wtr-Gas'!AB30*0.0038</f>
        <v>7030</v>
      </c>
      <c r="AN28" s="54">
        <f>'Wtr-Gas'!AD30*0.0038</f>
        <v>1482.1185600000001</v>
      </c>
      <c r="AO28" s="54">
        <f>'Wtr-Gas'!AF30*0.0038</f>
        <v>2.3180000000000001</v>
      </c>
      <c r="AP28" s="54">
        <f>'Wtr-Gas'!AH30*0.0038</f>
        <v>104.956</v>
      </c>
      <c r="AQ28" s="54">
        <f>'Wtr-Gas'!AJ30*0.0038</f>
        <v>21.416799999999999</v>
      </c>
      <c r="AR28" s="54">
        <f>'Wtr-Gas'!AL30*0.0038</f>
        <v>0</v>
      </c>
      <c r="AS28" s="54">
        <f>'Wtr-Gas'!AN30*0.0038</f>
        <v>0</v>
      </c>
      <c r="AT28" s="54">
        <f>'Wtr-Gas'!AP30*0.0038</f>
        <v>1.52</v>
      </c>
      <c r="AU28" s="57">
        <f>'Wtr-Gas'!AT30*0.0038</f>
        <v>0.2394</v>
      </c>
      <c r="AV28" s="54">
        <f>'Wtr-Gas'!AW30*0.0038</f>
        <v>326.0172</v>
      </c>
      <c r="AW28" s="55">
        <f>'Wtr-Gas'!AY30*0.0038</f>
        <v>70.206178000000008</v>
      </c>
      <c r="AX28" s="54">
        <f>'Wtr-Gas'!AZ30*0.0038</f>
        <v>255.81102200000001</v>
      </c>
      <c r="AY28" s="54">
        <f>'Wtr-Gas'!BB30*0.0038</f>
        <v>11.4</v>
      </c>
      <c r="AZ28" s="54">
        <f>'Wtr-Gas'!BD30*0.0038</f>
        <v>1.1399999999999999</v>
      </c>
      <c r="BA28" s="54">
        <f>'Wtr-Gas'!BF30*0.0038</f>
        <v>30.8978</v>
      </c>
    </row>
    <row r="29" spans="1:53" x14ac:dyDescent="0.25">
      <c r="A29" s="3" t="s">
        <v>11</v>
      </c>
      <c r="B29" s="2">
        <v>22</v>
      </c>
      <c r="C29" s="2">
        <v>6</v>
      </c>
      <c r="D29" s="2">
        <v>2020</v>
      </c>
      <c r="E29" s="52">
        <f>Elect!AK31</f>
        <v>249</v>
      </c>
      <c r="F29" s="52">
        <f>Elect!H31</f>
        <v>30880</v>
      </c>
      <c r="G29" s="52">
        <f>Elect!G31</f>
        <v>1.38</v>
      </c>
      <c r="H29" s="52">
        <f>Elect!E31</f>
        <v>26720</v>
      </c>
      <c r="I29" s="52">
        <f>Elect!D31</f>
        <v>1.125</v>
      </c>
      <c r="J29" s="52">
        <f>Elect!T31</f>
        <v>64500</v>
      </c>
      <c r="K29" s="52">
        <f>Elect!S31</f>
        <v>2.0329999999999999</v>
      </c>
      <c r="L29" s="52">
        <f>Elect!AI31</f>
        <v>1400</v>
      </c>
      <c r="M29" s="52">
        <f>Elect!AH31</f>
        <v>0.255</v>
      </c>
      <c r="N29" s="52">
        <f>Elect!W31</f>
        <v>51300</v>
      </c>
      <c r="O29" s="52">
        <f>Elect!V31</f>
        <v>0.92600000000000005</v>
      </c>
      <c r="P29" s="52">
        <f>Elect!N31</f>
        <v>8000</v>
      </c>
      <c r="Q29" s="52">
        <f>Elect!M31</f>
        <v>1.65</v>
      </c>
      <c r="R29" s="52">
        <f>Elect!K31</f>
        <v>7600</v>
      </c>
      <c r="S29" s="52">
        <f>Elect!J31</f>
        <v>1.65</v>
      </c>
      <c r="T29" s="52">
        <f>Elect!Q31</f>
        <v>7200</v>
      </c>
      <c r="U29" s="52">
        <f>Elect!P31</f>
        <v>1.42</v>
      </c>
      <c r="V29" s="52">
        <f>Elect!Z31</f>
        <v>4480</v>
      </c>
      <c r="W29" s="52">
        <f>Elect!Y31</f>
        <v>1.99</v>
      </c>
      <c r="X29" s="52">
        <f>Elect!AC31</f>
        <v>1280</v>
      </c>
      <c r="Y29" s="52">
        <f>Elect!AB31</f>
        <v>1.27</v>
      </c>
      <c r="Z29" s="52">
        <f>Elect!AF31</f>
        <v>28400</v>
      </c>
      <c r="AA29" s="52">
        <f>Elect!AE31</f>
        <v>0.83899999999999997</v>
      </c>
      <c r="AB29" s="52">
        <f>Elect!AW31</f>
        <v>1900</v>
      </c>
      <c r="AC29" s="52">
        <f>Elect!AU31</f>
        <v>13800</v>
      </c>
      <c r="AD29" s="52">
        <f>Elect!AY31</f>
        <v>902</v>
      </c>
      <c r="AE29" s="52">
        <f>Elect!BA31</f>
        <v>4960</v>
      </c>
      <c r="AF29" s="54">
        <f>('Wtr-Gas'!E31)*0.0038</f>
        <v>2120.2860000000001</v>
      </c>
      <c r="AG29" s="54">
        <f>('Wtr-Gas'!H31)*0.0038</f>
        <v>615.41</v>
      </c>
      <c r="AH29" s="54">
        <f>'Wtr-Gas'!K31*0.0038</f>
        <v>0</v>
      </c>
      <c r="AI29" s="54">
        <f>'Wtr-Gas'!N31*0.0038</f>
        <v>1417.4</v>
      </c>
      <c r="AJ29" s="54">
        <f>'Wtr-Gas'!Q31*0.0038</f>
        <v>0</v>
      </c>
      <c r="AK29" s="57">
        <f>'Wtr-Gas'!U31*0.0038</f>
        <v>235.6</v>
      </c>
      <c r="AL29" s="57">
        <f>'Wtr-Gas'!X31*0.0038</f>
        <v>44.84</v>
      </c>
      <c r="AM29" s="54">
        <f>'Wtr-Gas'!AB31*0.0038</f>
        <v>9120</v>
      </c>
      <c r="AN29" s="54">
        <f>'Wtr-Gas'!AD31*0.0038</f>
        <v>1860.1372400000002</v>
      </c>
      <c r="AO29" s="54">
        <f>'Wtr-Gas'!AF31*0.0038</f>
        <v>1.8240000000000001</v>
      </c>
      <c r="AP29" s="54">
        <f>'Wtr-Gas'!AH31*0.0038</f>
        <v>362.74799999999999</v>
      </c>
      <c r="AQ29" s="54">
        <f>'Wtr-Gas'!AJ31*0.0038</f>
        <v>47.693800000000003</v>
      </c>
      <c r="AR29" s="54">
        <f>'Wtr-Gas'!AL31*0.0038</f>
        <v>11.4</v>
      </c>
      <c r="AS29" s="54">
        <f>'Wtr-Gas'!AN31*0.0038</f>
        <v>0</v>
      </c>
      <c r="AT29" s="54">
        <f>'Wtr-Gas'!AP31*0.0038</f>
        <v>12.92</v>
      </c>
      <c r="AU29" s="57">
        <f>'Wtr-Gas'!AT31*0.0038</f>
        <v>0.25840000000000002</v>
      </c>
      <c r="AV29" s="54">
        <f>'Wtr-Gas'!AW31*0.0038</f>
        <v>28.7394</v>
      </c>
      <c r="AW29" s="55">
        <f>'Wtr-Gas'!AY31*0.0038</f>
        <v>-2.2799999999999999E-4</v>
      </c>
      <c r="AX29" s="54">
        <f>'Wtr-Gas'!AZ31*0.0038</f>
        <v>28.739628</v>
      </c>
      <c r="AY29" s="54">
        <f>'Wtr-Gas'!BB31*0.0038</f>
        <v>15.2</v>
      </c>
      <c r="AZ29" s="54">
        <f>'Wtr-Gas'!BD31*0.0038</f>
        <v>1.52</v>
      </c>
      <c r="BA29" s="54">
        <f>'Wtr-Gas'!BF31*0.0038</f>
        <v>333.22199999999998</v>
      </c>
    </row>
    <row r="30" spans="1:53" x14ac:dyDescent="0.25">
      <c r="A30" s="3" t="s">
        <v>11</v>
      </c>
      <c r="B30" s="2">
        <v>29</v>
      </c>
      <c r="C30" s="2">
        <v>6</v>
      </c>
      <c r="D30" s="2">
        <v>2020</v>
      </c>
      <c r="E30" s="52">
        <f>Elect!AK32</f>
        <v>232</v>
      </c>
      <c r="F30" s="52">
        <f>Elect!H32</f>
        <v>27040</v>
      </c>
      <c r="G30" s="52">
        <f>Elect!G32</f>
        <v>1.0531999999999999</v>
      </c>
      <c r="H30" s="52">
        <f>Elect!E32</f>
        <v>27040</v>
      </c>
      <c r="I30" s="52">
        <f>Elect!D32</f>
        <v>1.5349999999999999</v>
      </c>
      <c r="J30" s="52">
        <f>Elect!T32</f>
        <v>53100</v>
      </c>
      <c r="K30" s="52">
        <f>Elect!S32</f>
        <v>2.0329999999999999</v>
      </c>
      <c r="L30" s="52">
        <f>Elect!AI32</f>
        <v>1200</v>
      </c>
      <c r="M30" s="52">
        <f>Elect!AH32</f>
        <v>0.30499999999999999</v>
      </c>
      <c r="N30" s="52">
        <f>Elect!W32</f>
        <v>62700</v>
      </c>
      <c r="O30" s="52">
        <f>Elect!V32</f>
        <v>1.8640000000000001</v>
      </c>
      <c r="P30" s="52">
        <f>Elect!N32</f>
        <v>6800</v>
      </c>
      <c r="Q30" s="52">
        <f>Elect!M32</f>
        <v>1.63</v>
      </c>
      <c r="R30" s="52">
        <f>Elect!K32</f>
        <v>6800</v>
      </c>
      <c r="S30" s="52">
        <f>Elect!J32</f>
        <v>1.65</v>
      </c>
      <c r="T30" s="52">
        <f>Elect!Q32</f>
        <v>6800</v>
      </c>
      <c r="U30" s="52">
        <f>Elect!P32</f>
        <v>1.42</v>
      </c>
      <c r="V30" s="52">
        <f>Elect!Z32</f>
        <v>4640</v>
      </c>
      <c r="W30" s="52">
        <f>Elect!Y32</f>
        <v>2.5299999999999998</v>
      </c>
      <c r="X30" s="52">
        <f>Elect!AC32</f>
        <v>1760</v>
      </c>
      <c r="Y30" s="52">
        <f>Elect!AB32</f>
        <v>1.37</v>
      </c>
      <c r="Z30" s="52">
        <f>Elect!AF32</f>
        <v>28600</v>
      </c>
      <c r="AA30" s="52">
        <f>Elect!AE32</f>
        <v>1.468</v>
      </c>
      <c r="AB30" s="52">
        <f>Elect!AW32</f>
        <v>1900</v>
      </c>
      <c r="AC30" s="52">
        <f>Elect!AU32</f>
        <v>13800</v>
      </c>
      <c r="AD30" s="52">
        <f>Elect!AY32</f>
        <v>812</v>
      </c>
      <c r="AE30" s="52">
        <f>Elect!BA32</f>
        <v>4280</v>
      </c>
      <c r="AF30" s="54">
        <f>('Wtr-Gas'!E32)*0.0038</f>
        <v>2663.002</v>
      </c>
      <c r="AG30" s="54">
        <f>('Wtr-Gas'!H32)*0.0038</f>
        <v>430.654</v>
      </c>
      <c r="AH30" s="54">
        <f>'Wtr-Gas'!K32*0.0038</f>
        <v>0.45600000000000002</v>
      </c>
      <c r="AI30" s="54">
        <f>'Wtr-Gas'!N32*0.0038</f>
        <v>1645.4</v>
      </c>
      <c r="AJ30" s="54">
        <f>'Wtr-Gas'!Q32*0.0038</f>
        <v>0.49020000000000002</v>
      </c>
      <c r="AK30" s="57">
        <f>'Wtr-Gas'!U32*0.0038</f>
        <v>416.86</v>
      </c>
      <c r="AL30" s="57">
        <f>'Wtr-Gas'!X32*0.0038</f>
        <v>98.8</v>
      </c>
      <c r="AM30" s="54">
        <f>'Wtr-Gas'!AB32*0.0038</f>
        <v>8892</v>
      </c>
      <c r="AN30" s="54">
        <f>'Wtr-Gas'!AD32*0.0038</f>
        <v>1940.432</v>
      </c>
      <c r="AO30" s="54">
        <f>'Wtr-Gas'!AF32*0.0038</f>
        <v>5.2060000000000004</v>
      </c>
      <c r="AP30" s="54">
        <f>'Wtr-Gas'!AH32*0.0038</f>
        <v>658.42600000000004</v>
      </c>
      <c r="AQ30" s="54">
        <f>'Wtr-Gas'!AJ32*0.0038</f>
        <v>20.227399999999999</v>
      </c>
      <c r="AR30" s="54">
        <f>'Wtr-Gas'!AL32*0.0038</f>
        <v>49.4</v>
      </c>
      <c r="AS30" s="54">
        <f>'Wtr-Gas'!AN32*0.0038</f>
        <v>0</v>
      </c>
      <c r="AT30" s="54">
        <f>'Wtr-Gas'!AP32*0.0038</f>
        <v>7.22</v>
      </c>
      <c r="AU30" s="57">
        <f>'Wtr-Gas'!AT32*0.0038</f>
        <v>0.2014</v>
      </c>
      <c r="AV30" s="54">
        <f>'Wtr-Gas'!AW32*0.0038</f>
        <v>24.434000000000001</v>
      </c>
      <c r="AW30" s="55">
        <f>'Wtr-Gas'!AY32*0.0038</f>
        <v>1.4059999999999999E-3</v>
      </c>
      <c r="AX30" s="54">
        <f>'Wtr-Gas'!AZ32*0.0038</f>
        <v>24.432594000000002</v>
      </c>
      <c r="AY30" s="54">
        <f>'Wtr-Gas'!BB32*0.0038</f>
        <v>7.6</v>
      </c>
      <c r="AZ30" s="54">
        <f>'Wtr-Gas'!BD32*0.0038</f>
        <v>1.52</v>
      </c>
      <c r="BA30" s="54">
        <f>'Wtr-Gas'!BF32*0.0038</f>
        <v>1142.9032</v>
      </c>
    </row>
    <row r="31" spans="1:53" x14ac:dyDescent="0.25">
      <c r="A31" s="3" t="s">
        <v>11</v>
      </c>
      <c r="B31" s="2">
        <v>1</v>
      </c>
      <c r="C31" s="2">
        <v>7</v>
      </c>
      <c r="D31" s="2">
        <v>2020</v>
      </c>
      <c r="E31" s="52">
        <f>Elect!AK33</f>
        <v>54</v>
      </c>
      <c r="F31" s="52">
        <f>Elect!H33</f>
        <v>10720</v>
      </c>
      <c r="G31" s="52">
        <f>Elect!G33</f>
        <v>1.665</v>
      </c>
      <c r="H31" s="52">
        <f>Elect!E33</f>
        <v>8320</v>
      </c>
      <c r="I31" s="52">
        <f>Elect!D33</f>
        <v>1.611</v>
      </c>
      <c r="J31" s="52">
        <f>Elect!T33</f>
        <v>20100</v>
      </c>
      <c r="K31" s="52">
        <f>Elect!S33</f>
        <v>2.1230000000000002</v>
      </c>
      <c r="L31" s="52">
        <f>Elect!AI33</f>
        <v>320</v>
      </c>
      <c r="M31" s="52">
        <f>Elect!AH33</f>
        <v>0.30499999999999999</v>
      </c>
      <c r="N31" s="52">
        <f>Elect!W33</f>
        <v>14700</v>
      </c>
      <c r="O31" s="52">
        <f>Elect!V33</f>
        <v>1.8839999999999999</v>
      </c>
      <c r="P31" s="52">
        <f>Elect!N33</f>
        <v>1600</v>
      </c>
      <c r="Q31" s="52">
        <f>Elect!M33</f>
        <v>1.65</v>
      </c>
      <c r="R31" s="52">
        <f>Elect!K33</f>
        <v>1600</v>
      </c>
      <c r="S31" s="52">
        <f>Elect!J33</f>
        <v>1.65</v>
      </c>
      <c r="T31" s="52">
        <f>Elect!Q33</f>
        <v>2000</v>
      </c>
      <c r="U31" s="52">
        <f>Elect!P33</f>
        <v>1.42</v>
      </c>
      <c r="V31" s="52">
        <f>Elect!Z33</f>
        <v>1440</v>
      </c>
      <c r="W31" s="52">
        <f>Elect!Y33</f>
        <v>2.67</v>
      </c>
      <c r="X31" s="52">
        <f>Elect!AC33</f>
        <v>640</v>
      </c>
      <c r="Y31" s="52">
        <f>Elect!AB33</f>
        <v>2.44</v>
      </c>
      <c r="Z31" s="52">
        <f>Elect!AF33</f>
        <v>12800</v>
      </c>
      <c r="AA31" s="52">
        <f>Elect!AE33</f>
        <v>1.887</v>
      </c>
      <c r="AB31" s="52">
        <f>Elect!AW33</f>
        <v>700</v>
      </c>
      <c r="AC31" s="52">
        <f>Elect!AU33</f>
        <v>3900</v>
      </c>
      <c r="AD31" s="52">
        <f>Elect!AY33</f>
        <v>240</v>
      </c>
      <c r="AE31" s="52">
        <f>Elect!BA33</f>
        <v>2160</v>
      </c>
      <c r="AF31" s="54">
        <f>('Wtr-Gas'!E33)*0.0038</f>
        <v>690.84</v>
      </c>
      <c r="AG31" s="54">
        <f>('Wtr-Gas'!H33)*0.0038</f>
        <v>378.86</v>
      </c>
      <c r="AH31" s="54">
        <f>'Wtr-Gas'!K33*0.0038</f>
        <v>0.49399999999999999</v>
      </c>
      <c r="AI31" s="54">
        <f>'Wtr-Gas'!N33*0.0038</f>
        <v>440.8</v>
      </c>
      <c r="AJ31" s="54">
        <f>'Wtr-Gas'!Q33*0.0038</f>
        <v>15.58</v>
      </c>
      <c r="AK31" s="57">
        <f>'Wtr-Gas'!U33*0.0038</f>
        <v>79.8</v>
      </c>
      <c r="AL31" s="57">
        <f>'Wtr-Gas'!X33*0.0038</f>
        <v>41.8</v>
      </c>
      <c r="AM31" s="54">
        <f>'Wtr-Gas'!AB33*0.0038</f>
        <v>2622</v>
      </c>
      <c r="AN31" s="54">
        <f>'Wtr-Gas'!AD33*0.0038</f>
        <v>515.16600000000005</v>
      </c>
      <c r="AO31" s="54">
        <f>'Wtr-Gas'!AF33*0.0038</f>
        <v>0.64600000000000002</v>
      </c>
      <c r="AP31" s="54">
        <f>'Wtr-Gas'!AH33*0.0038</f>
        <v>194.71199999999999</v>
      </c>
      <c r="AQ31" s="54">
        <f>'Wtr-Gas'!AJ33*0.0038</f>
        <v>8.7514000000000003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4.9399999999999999E-2</v>
      </c>
      <c r="AV31" s="54">
        <f>'Wtr-Gas'!AW33*0.0038</f>
        <v>6.0002000000000004</v>
      </c>
      <c r="AW31" s="55">
        <f>'Wtr-Gas'!AY33*0.0038</f>
        <v>-5.6999999999999998E-4</v>
      </c>
      <c r="AX31" s="54">
        <f>'Wtr-Gas'!AZ33*0.0038</f>
        <v>6.0007700000000002</v>
      </c>
      <c r="AY31" s="54">
        <f>'Wtr-Gas'!BB33*0.0038</f>
        <v>6.46</v>
      </c>
      <c r="AZ31" s="54">
        <f>'Wtr-Gas'!BD33*0.0038</f>
        <v>0.38</v>
      </c>
      <c r="BA31" s="54">
        <f>'Wtr-Gas'!BF33*0.0038</f>
        <v>634.67600000000004</v>
      </c>
    </row>
    <row r="32" spans="1:53" x14ac:dyDescent="0.25">
      <c r="A32" s="3" t="s">
        <v>11</v>
      </c>
      <c r="B32" s="2">
        <v>6</v>
      </c>
      <c r="C32" s="2">
        <v>7</v>
      </c>
      <c r="D32" s="2">
        <v>2020</v>
      </c>
      <c r="E32" s="52">
        <f>Elect!AK34</f>
        <v>285</v>
      </c>
      <c r="F32" s="52">
        <f>Elect!H34</f>
        <v>31840</v>
      </c>
      <c r="G32" s="52">
        <f>Elect!G34</f>
        <v>2.52</v>
      </c>
      <c r="H32" s="52">
        <f>Elect!E34</f>
        <v>28320</v>
      </c>
      <c r="I32" s="52">
        <f>Elect!D34</f>
        <v>1.889</v>
      </c>
      <c r="J32" s="52">
        <f>Elect!T34</f>
        <v>54900</v>
      </c>
      <c r="K32" s="52">
        <f>Elect!S34</f>
        <v>2.3919999999999999</v>
      </c>
      <c r="L32" s="52">
        <f>Elect!AI34</f>
        <v>1280</v>
      </c>
      <c r="M32" s="52">
        <f>Elect!AH34</f>
        <v>0.36199999999999999</v>
      </c>
      <c r="N32" s="52">
        <f>Elect!W34</f>
        <v>47100</v>
      </c>
      <c r="O32" s="52">
        <f>Elect!V34</f>
        <v>1.9850000000000001</v>
      </c>
      <c r="P32" s="52">
        <f>Elect!N34</f>
        <v>6800</v>
      </c>
      <c r="Q32" s="52">
        <f>Elect!M34</f>
        <v>1.9</v>
      </c>
      <c r="R32" s="52">
        <f>Elect!K34</f>
        <v>6000</v>
      </c>
      <c r="S32" s="52">
        <f>Elect!J34</f>
        <v>1.72</v>
      </c>
      <c r="T32" s="52">
        <f>Elect!Q34</f>
        <v>6400</v>
      </c>
      <c r="U32" s="52">
        <f>Elect!P34</f>
        <v>1.72</v>
      </c>
      <c r="V32" s="52">
        <f>Elect!Z34</f>
        <v>4640</v>
      </c>
      <c r="W32" s="52">
        <f>Elect!Y34</f>
        <v>2.87</v>
      </c>
      <c r="X32" s="52">
        <f>Elect!AC34</f>
        <v>1920</v>
      </c>
      <c r="Y32" s="52">
        <f>Elect!AB34</f>
        <v>2.44</v>
      </c>
      <c r="Z32" s="52">
        <f>Elect!AF34</f>
        <v>38200</v>
      </c>
      <c r="AA32" s="52">
        <f>Elect!AE34</f>
        <v>2.133</v>
      </c>
      <c r="AB32" s="52">
        <f>Elect!AW34</f>
        <v>1400</v>
      </c>
      <c r="AC32" s="52">
        <f>Elect!AU34</f>
        <v>10800</v>
      </c>
      <c r="AD32" s="52">
        <f>Elect!AY34</f>
        <v>611</v>
      </c>
      <c r="AE32" s="52">
        <f>Elect!BA34</f>
        <v>1480</v>
      </c>
      <c r="AF32" s="54">
        <f>('Wtr-Gas'!E34)*0.0038</f>
        <v>2598.63</v>
      </c>
      <c r="AG32" s="54">
        <f>('Wtr-Gas'!H34)*0.0038</f>
        <v>142.72800000000001</v>
      </c>
      <c r="AH32" s="54">
        <f>'Wtr-Gas'!K34*0.0038</f>
        <v>0.56999999999999995</v>
      </c>
      <c r="AI32" s="54">
        <f>'Wtr-Gas'!N34*0.0038</f>
        <v>1972.2</v>
      </c>
      <c r="AJ32" s="54">
        <f>'Wtr-Gas'!Q34*0.0038</f>
        <v>25.84</v>
      </c>
      <c r="AK32" s="57">
        <f>'Wtr-Gas'!U34*0.0038</f>
        <v>473.1</v>
      </c>
      <c r="AL32" s="57">
        <f>'Wtr-Gas'!X34*0.0038</f>
        <v>513</v>
      </c>
      <c r="AM32" s="54">
        <f>'Wtr-Gas'!AB34*0.0038</f>
        <v>6954</v>
      </c>
      <c r="AN32" s="54">
        <f>'Wtr-Gas'!AD34*0.0038</f>
        <v>1441.3779999999999</v>
      </c>
      <c r="AO32" s="54">
        <f>'Wtr-Gas'!AF34*0.0038</f>
        <v>0.98799999999999999</v>
      </c>
      <c r="AP32" s="54">
        <f>'Wtr-Gas'!AH34*0.0038</f>
        <v>242.78200000000001</v>
      </c>
      <c r="AQ32" s="54">
        <f>'Wtr-Gas'!AJ34*0.0038</f>
        <v>10.7844</v>
      </c>
      <c r="AR32" s="54">
        <f>'Wtr-Gas'!AL34*0.0038</f>
        <v>22.8</v>
      </c>
      <c r="AS32" s="54">
        <f>'Wtr-Gas'!AN34*0.0038</f>
        <v>0</v>
      </c>
      <c r="AT32" s="54">
        <f>'Wtr-Gas'!AP34*0.0038</f>
        <v>3.8</v>
      </c>
      <c r="AU32" s="57">
        <f>'Wtr-Gas'!AT34*0.0038</f>
        <v>0.20899999999999999</v>
      </c>
      <c r="AV32" s="54">
        <f>'Wtr-Gas'!AW34*0.0038</f>
        <v>23.7804</v>
      </c>
      <c r="AW32" s="55">
        <f>'Wtr-Gas'!AY34*0.0038</f>
        <v>0</v>
      </c>
      <c r="AX32" s="54">
        <f>'Wtr-Gas'!AZ34*0.0038</f>
        <v>23.7804</v>
      </c>
      <c r="AY32" s="54">
        <f>'Wtr-Gas'!BB34*0.0038</f>
        <v>4.9400000000000004</v>
      </c>
      <c r="AZ32" s="54">
        <f>'Wtr-Gas'!BD34*0.0038</f>
        <v>1.1399999999999999</v>
      </c>
      <c r="BA32" s="54">
        <f>'Wtr-Gas'!BF34*0.0038</f>
        <v>286.65679999999998</v>
      </c>
    </row>
    <row r="33" spans="1:53" x14ac:dyDescent="0.25">
      <c r="A33" s="3" t="s">
        <v>11</v>
      </c>
      <c r="B33" s="2">
        <v>13</v>
      </c>
      <c r="C33" s="2">
        <v>7</v>
      </c>
      <c r="D33" s="2">
        <v>2020</v>
      </c>
      <c r="E33" s="52">
        <f>Elect!AK35</f>
        <v>361</v>
      </c>
      <c r="F33" s="52">
        <f>Elect!H35</f>
        <v>40000</v>
      </c>
      <c r="G33" s="52">
        <f>Elect!G35</f>
        <v>2.52</v>
      </c>
      <c r="H33" s="52">
        <f>Elect!E35</f>
        <v>36640</v>
      </c>
      <c r="I33" s="52">
        <f>Elect!D35</f>
        <v>1.889</v>
      </c>
      <c r="J33" s="52">
        <f>Elect!T35</f>
        <v>64500</v>
      </c>
      <c r="K33" s="52">
        <f>Elect!S35</f>
        <v>2.3919999999999999</v>
      </c>
      <c r="L33" s="52">
        <f>Elect!AI35</f>
        <v>1440</v>
      </c>
      <c r="M33" s="52">
        <f>Elect!AH35</f>
        <v>0.36199999999999999</v>
      </c>
      <c r="N33" s="52">
        <f>Elect!W35</f>
        <v>66300</v>
      </c>
      <c r="O33" s="52">
        <f>Elect!V35</f>
        <v>2.0070000000000001</v>
      </c>
      <c r="P33" s="52">
        <f>Elect!N35</f>
        <v>8400</v>
      </c>
      <c r="Q33" s="52">
        <f>Elect!M35</f>
        <v>1.9</v>
      </c>
      <c r="R33" s="52">
        <f>Elect!K35</f>
        <v>7200</v>
      </c>
      <c r="S33" s="52">
        <f>Elect!J35</f>
        <v>1.72</v>
      </c>
      <c r="T33" s="52">
        <f>Elect!Q35</f>
        <v>6800</v>
      </c>
      <c r="U33" s="52">
        <f>Elect!P35</f>
        <v>1.72</v>
      </c>
      <c r="V33" s="52">
        <f>Elect!Z35</f>
        <v>5280</v>
      </c>
      <c r="W33" s="52">
        <f>Elect!Y35</f>
        <v>2.87</v>
      </c>
      <c r="X33" s="52">
        <f>Elect!AC35</f>
        <v>2400</v>
      </c>
      <c r="Y33" s="52">
        <f>Elect!AB35</f>
        <v>2.44</v>
      </c>
      <c r="Z33" s="52">
        <f>Elect!AF35</f>
        <v>50200</v>
      </c>
      <c r="AA33" s="52">
        <f>Elect!AE35</f>
        <v>2.133</v>
      </c>
      <c r="AB33" s="52">
        <f>Elect!AW35</f>
        <v>2000</v>
      </c>
      <c r="AC33" s="52">
        <f>Elect!AU35</f>
        <v>14900</v>
      </c>
      <c r="AD33" s="52">
        <f>Elect!AY35</f>
        <v>843</v>
      </c>
      <c r="AE33" s="52">
        <f>Elect!BA35</f>
        <v>1040</v>
      </c>
      <c r="AF33" s="54">
        <f>('Wtr-Gas'!E35)*0.0038</f>
        <v>2926.5320000000002</v>
      </c>
      <c r="AG33" s="54">
        <f>('Wtr-Gas'!H35)*0.0038</f>
        <v>290.09199999999998</v>
      </c>
      <c r="AH33" s="54">
        <f>'Wtr-Gas'!K35*0.0038</f>
        <v>0.152</v>
      </c>
      <c r="AI33" s="54">
        <f>'Wtr-Gas'!N35*0.0038</f>
        <v>2242</v>
      </c>
      <c r="AJ33" s="54">
        <f>'Wtr-Gas'!Q35*0.0038</f>
        <v>11.02</v>
      </c>
      <c r="AK33" s="57">
        <f>'Wtr-Gas'!U35*0.0038</f>
        <v>617.88</v>
      </c>
      <c r="AL33" s="57">
        <f>'Wtr-Gas'!X35*0.0038</f>
        <v>657.4</v>
      </c>
      <c r="AM33" s="54">
        <f>'Wtr-Gas'!AB35*0.0038</f>
        <v>9158</v>
      </c>
      <c r="AN33" s="54">
        <f>'Wtr-Gas'!AD35*0.0038</f>
        <v>2010.1202000000001</v>
      </c>
      <c r="AO33" s="54">
        <f>'Wtr-Gas'!AF35*0.0038</f>
        <v>0.49399999999999999</v>
      </c>
      <c r="AP33" s="54">
        <f>'Wtr-Gas'!AH35*0.0038</f>
        <v>350.96800000000002</v>
      </c>
      <c r="AQ33" s="54">
        <f>'Wtr-Gas'!AJ35*0.0038</f>
        <v>10.704599999999999</v>
      </c>
      <c r="AR33" s="54">
        <f>'Wtr-Gas'!AL35*0.0038</f>
        <v>34.200000000000003</v>
      </c>
      <c r="AS33" s="54">
        <f>'Wtr-Gas'!AN35*0.0038</f>
        <v>0</v>
      </c>
      <c r="AT33" s="54">
        <f>'Wtr-Gas'!AP35*0.0038</f>
        <v>11.4</v>
      </c>
      <c r="AU33" s="57">
        <f>'Wtr-Gas'!AT35*0.0038</f>
        <v>0.27360000000000001</v>
      </c>
      <c r="AV33" s="54">
        <f>'Wtr-Gas'!AW35*0.0038</f>
        <v>28.074400000000001</v>
      </c>
      <c r="AW33" s="55">
        <f>'Wtr-Gas'!AY35*0.0038</f>
        <v>-1.3679999999999999E-3</v>
      </c>
      <c r="AX33" s="54">
        <f>'Wtr-Gas'!AZ35*0.0038</f>
        <v>28.075768</v>
      </c>
      <c r="AY33" s="54">
        <f>'Wtr-Gas'!BB35*0.0038</f>
        <v>4.5599999999999996</v>
      </c>
      <c r="AZ33" s="54">
        <f>'Wtr-Gas'!BD35*0.0038</f>
        <v>1.52</v>
      </c>
      <c r="BA33" s="54">
        <f>'Wtr-Gas'!BF35*0.0038</f>
        <v>32.087200000000003</v>
      </c>
    </row>
    <row r="34" spans="1:53" x14ac:dyDescent="0.25">
      <c r="A34" s="3" t="s">
        <v>11</v>
      </c>
      <c r="B34" s="2">
        <v>20</v>
      </c>
      <c r="C34" s="2">
        <v>7</v>
      </c>
      <c r="D34" s="2">
        <v>2020</v>
      </c>
      <c r="E34" s="52">
        <f>Elect!AK36</f>
        <v>387</v>
      </c>
      <c r="F34" s="52">
        <f>Elect!H36</f>
        <v>41440</v>
      </c>
      <c r="G34" s="52">
        <f>Elect!G36</f>
        <v>2.052</v>
      </c>
      <c r="H34" s="52">
        <f>Elect!E36</f>
        <v>38560</v>
      </c>
      <c r="I34" s="52">
        <f>Elect!D36</f>
        <v>1.889</v>
      </c>
      <c r="J34" s="52">
        <f>Elect!T36</f>
        <v>65100</v>
      </c>
      <c r="K34" s="52">
        <f>Elect!S36</f>
        <v>2.3919999999999999</v>
      </c>
      <c r="L34" s="52">
        <f>Elect!AI36</f>
        <v>1600</v>
      </c>
      <c r="M34" s="52">
        <f>Elect!AH36</f>
        <v>0.36199999999999999</v>
      </c>
      <c r="N34" s="52">
        <f>Elect!W36</f>
        <v>79800</v>
      </c>
      <c r="O34" s="52">
        <f>Elect!V36</f>
        <v>2.008</v>
      </c>
      <c r="P34" s="52">
        <f>Elect!N36</f>
        <v>8800</v>
      </c>
      <c r="Q34" s="52">
        <f>Elect!M36</f>
        <v>1.9</v>
      </c>
      <c r="R34" s="52">
        <f>Elect!K36</f>
        <v>7200</v>
      </c>
      <c r="S34" s="52">
        <f>Elect!J36</f>
        <v>1.72</v>
      </c>
      <c r="T34" s="52">
        <f>Elect!Q36</f>
        <v>6400</v>
      </c>
      <c r="U34" s="52">
        <f>Elect!P36</f>
        <v>1.72</v>
      </c>
      <c r="V34" s="52">
        <f>Elect!Z36</f>
        <v>5600</v>
      </c>
      <c r="W34" s="52">
        <f>Elect!Y36</f>
        <v>2.96</v>
      </c>
      <c r="X34" s="52">
        <f>Elect!AC36</f>
        <v>2720</v>
      </c>
      <c r="Y34" s="52">
        <f>Elect!AB36</f>
        <v>2.44</v>
      </c>
      <c r="Z34" s="52">
        <f>Elect!AF36</f>
        <v>53600</v>
      </c>
      <c r="AA34" s="52">
        <f>Elect!AE36</f>
        <v>2.133</v>
      </c>
      <c r="AB34" s="52">
        <f>Elect!AW36</f>
        <v>2100</v>
      </c>
      <c r="AC34" s="52">
        <f>Elect!AU36</f>
        <v>16000</v>
      </c>
      <c r="AD34" s="52">
        <f>Elect!AY36</f>
        <v>900</v>
      </c>
      <c r="AE34" s="52">
        <f>Elect!BA36</f>
        <v>4320</v>
      </c>
      <c r="AF34" s="54">
        <f>('Wtr-Gas'!E36)*0.0038</f>
        <v>3493.0740000000001</v>
      </c>
      <c r="AG34" s="54">
        <f>('Wtr-Gas'!H36)*0.0038</f>
        <v>526.29999999999995</v>
      </c>
      <c r="AH34" s="54">
        <f>'Wtr-Gas'!K36*0.0038</f>
        <v>0.60799999999999998</v>
      </c>
      <c r="AI34" s="54">
        <f>'Wtr-Gas'!N36*0.0038</f>
        <v>2394</v>
      </c>
      <c r="AJ34" s="54">
        <f>'Wtr-Gas'!Q36*0.0038</f>
        <v>0</v>
      </c>
      <c r="AK34" s="57">
        <f>'Wtr-Gas'!U36*0.0038</f>
        <v>624.72</v>
      </c>
      <c r="AL34" s="57">
        <f>'Wtr-Gas'!X36*0.0038</f>
        <v>478.8</v>
      </c>
      <c r="AM34" s="54">
        <f>'Wtr-Gas'!AB36*0.0038</f>
        <v>10602</v>
      </c>
      <c r="AN34" s="54">
        <f>'Wtr-Gas'!AD36*0.0038</f>
        <v>2157.2638000000002</v>
      </c>
      <c r="AO34" s="54">
        <f>'Wtr-Gas'!AF36*0.0038</f>
        <v>3.2679999999999998</v>
      </c>
      <c r="AP34" s="54">
        <f>'Wtr-Gas'!AH36*0.0038</f>
        <v>478.19200000000001</v>
      </c>
      <c r="AQ34" s="54">
        <f>'Wtr-Gas'!AJ36*0.0038</f>
        <v>21.431999999999999</v>
      </c>
      <c r="AR34" s="54">
        <f>'Wtr-Gas'!AL36*0.0038</f>
        <v>224.2</v>
      </c>
      <c r="AS34" s="54">
        <f>'Wtr-Gas'!AN36*0.0038</f>
        <v>0</v>
      </c>
      <c r="AT34" s="54">
        <f>'Wtr-Gas'!AP36*0.0038</f>
        <v>30.4</v>
      </c>
      <c r="AU34" s="57">
        <f>'Wtr-Gas'!AT36*0.0038</f>
        <v>0.2394</v>
      </c>
      <c r="AV34" s="54">
        <f>'Wtr-Gas'!AW36*0.0038</f>
        <v>31.695799999999998</v>
      </c>
      <c r="AW34" s="55">
        <f>'Wtr-Gas'!AY36*0.0038</f>
        <v>-7.6000000000000004E-5</v>
      </c>
      <c r="AX34" s="54">
        <f>'Wtr-Gas'!AZ36*0.0038</f>
        <v>31.695876000000002</v>
      </c>
      <c r="AY34" s="54">
        <f>'Wtr-Gas'!BB36*0.0038</f>
        <v>7.6</v>
      </c>
      <c r="AZ34" s="54">
        <f>'Wtr-Gas'!BD36*0.0038</f>
        <v>3.04</v>
      </c>
      <c r="BA34" s="54">
        <f>'Wtr-Gas'!BF36*0.0038</f>
        <v>758.822</v>
      </c>
    </row>
    <row r="35" spans="1:53" x14ac:dyDescent="0.25">
      <c r="A35" s="3" t="s">
        <v>11</v>
      </c>
      <c r="B35" s="2">
        <v>27</v>
      </c>
      <c r="C35" s="2">
        <v>7</v>
      </c>
      <c r="D35" s="2">
        <v>2020</v>
      </c>
      <c r="E35" s="52">
        <f>Elect!AK37</f>
        <v>405</v>
      </c>
      <c r="F35" s="52">
        <f>Elect!H37</f>
        <v>40800</v>
      </c>
      <c r="G35" s="52">
        <f>Elect!G37</f>
        <v>1.911</v>
      </c>
      <c r="H35" s="52">
        <f>Elect!E37</f>
        <v>38240</v>
      </c>
      <c r="I35" s="52">
        <f>Elect!D37</f>
        <v>1.889</v>
      </c>
      <c r="J35" s="52">
        <f>Elect!T37</f>
        <v>77400</v>
      </c>
      <c r="K35" s="52">
        <f>Elect!S37</f>
        <v>2.331</v>
      </c>
      <c r="L35" s="52">
        <f>Elect!AI37</f>
        <v>1600</v>
      </c>
      <c r="M35" s="52">
        <f>Elect!AH37</f>
        <v>0.33</v>
      </c>
      <c r="N35" s="52">
        <f>Elect!W37</f>
        <v>68400</v>
      </c>
      <c r="O35" s="52">
        <f>Elect!V37</f>
        <v>2.0289999999999999</v>
      </c>
      <c r="P35" s="52">
        <f>Elect!N37</f>
        <v>8800</v>
      </c>
      <c r="Q35" s="52">
        <f>Elect!M37</f>
        <v>1.7</v>
      </c>
      <c r="R35" s="52">
        <f>Elect!K37</f>
        <v>7200</v>
      </c>
      <c r="S35" s="52">
        <f>Elect!J37</f>
        <v>1.48</v>
      </c>
      <c r="T35" s="52">
        <f>Elect!Q37</f>
        <v>6800</v>
      </c>
      <c r="U35" s="52">
        <f>Elect!P37</f>
        <v>1.42</v>
      </c>
      <c r="V35" s="52">
        <f>Elect!Z37</f>
        <v>5440</v>
      </c>
      <c r="W35" s="52">
        <f>Elect!Y37</f>
        <v>2.61</v>
      </c>
      <c r="X35" s="52">
        <f>Elect!AC37</f>
        <v>2400</v>
      </c>
      <c r="Y35" s="52">
        <f>Elect!AB37</f>
        <v>1.58</v>
      </c>
      <c r="Z35" s="52">
        <f>Elect!AF37</f>
        <v>54400</v>
      </c>
      <c r="AA35" s="52">
        <f>Elect!AE37</f>
        <v>2.0840000000000001</v>
      </c>
      <c r="AB35" s="52">
        <f>Elect!AW37</f>
        <v>1800</v>
      </c>
      <c r="AC35" s="52">
        <f>Elect!AU37</f>
        <v>15100</v>
      </c>
      <c r="AD35" s="52">
        <f>Elect!AY37</f>
        <v>882</v>
      </c>
      <c r="AE35" s="52">
        <f>Elect!BA37</f>
        <v>1320</v>
      </c>
      <c r="AF35" s="54">
        <f>('Wtr-Gas'!E37)*0.0038</f>
        <v>3356.92</v>
      </c>
      <c r="AG35" s="54">
        <f>('Wtr-Gas'!H37)*0.0038</f>
        <v>260.60399999999998</v>
      </c>
      <c r="AH35" s="54">
        <f>'Wtr-Gas'!K37*0.0038</f>
        <v>0.64600000000000002</v>
      </c>
      <c r="AI35" s="54">
        <f>'Wtr-Gas'!N37*0.0038</f>
        <v>2409.1999999999998</v>
      </c>
      <c r="AJ35" s="54">
        <f>'Wtr-Gas'!Q37*0.0038</f>
        <v>0</v>
      </c>
      <c r="AK35" s="57">
        <f>'Wtr-Gas'!U37*0.0038</f>
        <v>627.76</v>
      </c>
      <c r="AL35" s="57">
        <f>'Wtr-Gas'!X37*0.0038</f>
        <v>839.8</v>
      </c>
      <c r="AM35" s="54">
        <f>'Wtr-Gas'!AB37*0.0038</f>
        <v>10640</v>
      </c>
      <c r="AN35" s="54">
        <f>'Wtr-Gas'!AD37*0.0038</f>
        <v>2330.692</v>
      </c>
      <c r="AO35" s="54">
        <f>'Wtr-Gas'!AF37*0.0038</f>
        <v>159.41</v>
      </c>
      <c r="AP35" s="54">
        <f>'Wtr-Gas'!AH37*0.0038</f>
        <v>342.45600000000002</v>
      </c>
      <c r="AQ35" s="54">
        <f>'Wtr-Gas'!AJ37*0.0038</f>
        <v>43.8444</v>
      </c>
      <c r="AR35" s="54">
        <f>'Wtr-Gas'!AL37*0.0038</f>
        <v>30.4</v>
      </c>
      <c r="AS35" s="54">
        <f>'Wtr-Gas'!AN37*0.0038</f>
        <v>0</v>
      </c>
      <c r="AT35" s="54">
        <f>'Wtr-Gas'!AP37*0.0038</f>
        <v>44.84</v>
      </c>
      <c r="AU35" s="57">
        <f>'Wtr-Gas'!AT37*0.0038</f>
        <v>0.247</v>
      </c>
      <c r="AV35" s="54">
        <f>'Wtr-Gas'!AW37*0.0038</f>
        <v>24.3504</v>
      </c>
      <c r="AW35" s="55">
        <f>'Wtr-Gas'!AY37*0.0038</f>
        <v>-4.104E-3</v>
      </c>
      <c r="AX35" s="54">
        <f>'Wtr-Gas'!AZ37*0.0038</f>
        <v>24.354503999999999</v>
      </c>
      <c r="AY35" s="54">
        <f>'Wtr-Gas'!BB37*0.0038</f>
        <v>11.78</v>
      </c>
      <c r="AZ35" s="54">
        <f>'Wtr-Gas'!BD37*0.0038</f>
        <v>0</v>
      </c>
      <c r="BA35" s="54">
        <f>'Wtr-Gas'!BF37*0.0038</f>
        <v>175.8032</v>
      </c>
    </row>
    <row r="36" spans="1:53" x14ac:dyDescent="0.25">
      <c r="A36" s="3" t="s">
        <v>11</v>
      </c>
      <c r="B36" s="2">
        <v>1</v>
      </c>
      <c r="C36" s="2">
        <v>8</v>
      </c>
      <c r="D36" s="2">
        <v>2020</v>
      </c>
      <c r="E36" s="52">
        <f>Elect!AK38</f>
        <v>324</v>
      </c>
      <c r="F36" s="52">
        <f>Elect!H38</f>
        <v>31840</v>
      </c>
      <c r="G36" s="52">
        <f>Elect!G38</f>
        <v>1.917</v>
      </c>
      <c r="H36" s="52">
        <f>Elect!E38</f>
        <v>29600</v>
      </c>
      <c r="I36" s="52">
        <f>Elect!D38</f>
        <v>1.9379999999999999</v>
      </c>
      <c r="J36" s="52">
        <f>Elect!T38</f>
        <v>54600</v>
      </c>
      <c r="K36" s="52">
        <f>Elect!S38</f>
        <v>2.331</v>
      </c>
      <c r="L36" s="52">
        <f>Elect!AI38</f>
        <v>1240</v>
      </c>
      <c r="M36" s="52">
        <f>Elect!AH38</f>
        <v>0.33</v>
      </c>
      <c r="N36" s="52">
        <f>Elect!W38</f>
        <v>53100</v>
      </c>
      <c r="O36" s="52">
        <f>Elect!V38</f>
        <v>2.0289999999999999</v>
      </c>
      <c r="P36" s="52">
        <f>Elect!N38</f>
        <v>6800</v>
      </c>
      <c r="Q36" s="52">
        <f>Elect!M38</f>
        <v>1.7</v>
      </c>
      <c r="R36" s="52">
        <f>Elect!K38</f>
        <v>5600</v>
      </c>
      <c r="S36" s="52">
        <f>Elect!J38</f>
        <v>1.48</v>
      </c>
      <c r="T36" s="52">
        <f>Elect!Q38</f>
        <v>5600</v>
      </c>
      <c r="U36" s="52">
        <f>Elect!P38</f>
        <v>1.42</v>
      </c>
      <c r="V36" s="52">
        <f>Elect!Z38</f>
        <v>4480</v>
      </c>
      <c r="W36" s="52">
        <f>Elect!Y38</f>
        <v>2.8</v>
      </c>
      <c r="X36" s="52">
        <f>Elect!AC38</f>
        <v>2080</v>
      </c>
      <c r="Y36" s="52">
        <f>Elect!AB38</f>
        <v>1.59</v>
      </c>
      <c r="Z36" s="52">
        <f>Elect!AF38</f>
        <v>39600</v>
      </c>
      <c r="AA36" s="52">
        <f>Elect!AE38</f>
        <v>2.0840000000000001</v>
      </c>
      <c r="AB36" s="52">
        <f>Elect!AW38</f>
        <v>700</v>
      </c>
      <c r="AC36" s="52">
        <f>Elect!AU38</f>
        <v>8000</v>
      </c>
      <c r="AD36" s="52">
        <f>Elect!AY38</f>
        <v>538</v>
      </c>
      <c r="AE36" s="52">
        <f>Elect!BA38</f>
        <v>1360</v>
      </c>
      <c r="AF36" s="54">
        <f>('Wtr-Gas'!E38)*0.0038</f>
        <v>2447.3139999999999</v>
      </c>
      <c r="AG36" s="54">
        <f>('Wtr-Gas'!H38)*0.0038</f>
        <v>366.81400000000002</v>
      </c>
      <c r="AH36" s="54">
        <f>'Wtr-Gas'!K38*0.0038</f>
        <v>0.53200000000000003</v>
      </c>
      <c r="AI36" s="54">
        <f>'Wtr-Gas'!N38*0.0038</f>
        <v>1748</v>
      </c>
      <c r="AJ36" s="54">
        <f>'Wtr-Gas'!Q38*0.0038</f>
        <v>394.82</v>
      </c>
      <c r="AK36" s="57">
        <f>'Wtr-Gas'!U38*0.0038</f>
        <v>449.54</v>
      </c>
      <c r="AL36" s="57">
        <f>'Wtr-Gas'!X38*0.0038</f>
        <v>446.5</v>
      </c>
      <c r="AM36" s="54">
        <f>'Wtr-Gas'!AB38*0.0038</f>
        <v>8436</v>
      </c>
      <c r="AN36" s="54">
        <f>'Wtr-Gas'!AD38*0.0038</f>
        <v>1565.7865800000002</v>
      </c>
      <c r="AO36" s="54">
        <f>'Wtr-Gas'!AF38*0.0038</f>
        <v>5.548</v>
      </c>
      <c r="AP36" s="54">
        <f>'Wtr-Gas'!AH38*0.0038</f>
        <v>202.23599999999999</v>
      </c>
      <c r="AQ36" s="54">
        <f>'Wtr-Gas'!AJ38*0.0038</f>
        <v>26.938199999999998</v>
      </c>
      <c r="AR36" s="54">
        <f>'Wtr-Gas'!AL38*0.0038</f>
        <v>140.6</v>
      </c>
      <c r="AS36" s="54">
        <f>'Wtr-Gas'!AN38*0.0038</f>
        <v>0</v>
      </c>
      <c r="AT36" s="54">
        <f>'Wtr-Gas'!AP38*0.0038</f>
        <v>18.239999999999998</v>
      </c>
      <c r="AU36" s="57">
        <f>'Wtr-Gas'!AT38*0.0038</f>
        <v>0.15579999999999999</v>
      </c>
      <c r="AV36" s="54">
        <f>'Wtr-Gas'!AW38*0.0038</f>
        <v>16.488199999999999</v>
      </c>
      <c r="AW36" s="55">
        <f>'Wtr-Gas'!AY38*0.0038</f>
        <v>0</v>
      </c>
      <c r="AX36" s="54">
        <f>'Wtr-Gas'!AZ38*0.0038</f>
        <v>16.488199999999999</v>
      </c>
      <c r="AY36" s="54">
        <f>'Wtr-Gas'!BB38*0.0038</f>
        <v>12.54</v>
      </c>
      <c r="AZ36" s="54">
        <f>'Wtr-Gas'!BD38*0.0038</f>
        <v>0.76</v>
      </c>
      <c r="BA36" s="54">
        <f>'Wtr-Gas'!BF38*0.0038</f>
        <v>152.304</v>
      </c>
    </row>
    <row r="37" spans="1:53" x14ac:dyDescent="0.25">
      <c r="A37" s="3" t="s">
        <v>11</v>
      </c>
      <c r="B37" s="2">
        <v>3</v>
      </c>
      <c r="C37" s="2">
        <v>8</v>
      </c>
      <c r="D37" s="2">
        <v>2020</v>
      </c>
      <c r="E37" s="52">
        <f>Elect!AK39</f>
        <v>85</v>
      </c>
      <c r="F37" s="52">
        <f>Elect!H39</f>
        <v>10080</v>
      </c>
      <c r="G37" s="52">
        <f>Elect!G39</f>
        <v>1.9790000000000001</v>
      </c>
      <c r="H37" s="52">
        <f>Elect!E39</f>
        <v>8800</v>
      </c>
      <c r="I37" s="52">
        <f>Elect!D39</f>
        <v>1.9379999999999999</v>
      </c>
      <c r="J37" s="52">
        <f>Elect!T39</f>
        <v>18600</v>
      </c>
      <c r="K37" s="52">
        <f>Elect!S39</f>
        <v>2.331</v>
      </c>
      <c r="L37" s="52">
        <f>Elect!AI39</f>
        <v>360</v>
      </c>
      <c r="M37" s="52">
        <f>Elect!AH39</f>
        <v>0.33</v>
      </c>
      <c r="N37" s="52">
        <f>Elect!W39</f>
        <v>17400</v>
      </c>
      <c r="O37" s="52">
        <f>Elect!V39</f>
        <v>2.0289999999999999</v>
      </c>
      <c r="P37" s="52">
        <f>Elect!N39</f>
        <v>2000</v>
      </c>
      <c r="Q37" s="52">
        <f>Elect!M39</f>
        <v>1.72</v>
      </c>
      <c r="R37" s="52">
        <f>Elect!K39</f>
        <v>2000</v>
      </c>
      <c r="S37" s="52">
        <f>Elect!J39</f>
        <v>1.59</v>
      </c>
      <c r="T37" s="52">
        <f>Elect!Q39</f>
        <v>1600</v>
      </c>
      <c r="U37" s="52">
        <f>Elect!P39</f>
        <v>1.43</v>
      </c>
      <c r="V37" s="52">
        <f>Elect!Z39</f>
        <v>1440</v>
      </c>
      <c r="W37" s="52">
        <f>Elect!Y39</f>
        <v>2.81</v>
      </c>
      <c r="X37" s="52">
        <f>Elect!AC39</f>
        <v>640</v>
      </c>
      <c r="Y37" s="52">
        <f>Elect!AB39</f>
        <v>1.59</v>
      </c>
      <c r="Z37" s="52">
        <f>Elect!AF39</f>
        <v>12800</v>
      </c>
      <c r="AA37" s="52">
        <f>Elect!AE39</f>
        <v>2.0840000000000001</v>
      </c>
      <c r="AB37" s="52">
        <f>Elect!AW39</f>
        <v>1600</v>
      </c>
      <c r="AC37" s="52">
        <f>Elect!AU39</f>
        <v>9400</v>
      </c>
      <c r="AD37" s="52">
        <f>Elect!AY39</f>
        <v>479</v>
      </c>
      <c r="AE37" s="52">
        <f>Elect!BA39</f>
        <v>1200</v>
      </c>
      <c r="AF37" s="54">
        <f>('Wtr-Gas'!E39)*0.0038</f>
        <v>913.33</v>
      </c>
      <c r="AG37" s="54">
        <f>('Wtr-Gas'!H39)*0.0038</f>
        <v>71.325999999999993</v>
      </c>
      <c r="AH37" s="54">
        <f>'Wtr-Gas'!K39*0.0038</f>
        <v>3.7999999999999999E-2</v>
      </c>
      <c r="AI37" s="54">
        <f>'Wtr-Gas'!N39*0.0038</f>
        <v>668.8</v>
      </c>
      <c r="AJ37" s="54">
        <f>'Wtr-Gas'!Q39*0.0038</f>
        <v>25.46</v>
      </c>
      <c r="AK37" s="57">
        <f>'Wtr-Gas'!U39*0.0038</f>
        <v>157.32</v>
      </c>
      <c r="AL37" s="57">
        <f>'Wtr-Gas'!X39*0.0038</f>
        <v>93.1</v>
      </c>
      <c r="AM37" s="54">
        <f>'Wtr-Gas'!AB39*0.0038</f>
        <v>1862</v>
      </c>
      <c r="AN37" s="54">
        <f>'Wtr-Gas'!AD39*0.0038</f>
        <v>555.60141999999996</v>
      </c>
      <c r="AO37" s="54">
        <f>'Wtr-Gas'!AF39*0.0038</f>
        <v>2.964</v>
      </c>
      <c r="AP37" s="54">
        <f>'Wtr-Gas'!AH39*0.0038</f>
        <v>109.782</v>
      </c>
      <c r="AQ37" s="54">
        <f>'Wtr-Gas'!AJ39*0.0038</f>
        <v>16.461600000000001</v>
      </c>
      <c r="AR37" s="54">
        <f>'Wtr-Gas'!AL39*0.0038</f>
        <v>41.8</v>
      </c>
      <c r="AS37" s="54">
        <f>'Wtr-Gas'!AN39*0.0038</f>
        <v>0</v>
      </c>
      <c r="AT37" s="54">
        <f>'Wtr-Gas'!AP39*0.0038</f>
        <v>5.32</v>
      </c>
      <c r="AU37" s="57">
        <f>'Wtr-Gas'!AT39*0.0038</f>
        <v>0.12920000000000001</v>
      </c>
      <c r="AV37" s="54">
        <f>'Wtr-Gas'!AW39*0.0038</f>
        <v>16.6554</v>
      </c>
      <c r="AW37" s="55">
        <f>'Wtr-Gas'!AY39*0.0038</f>
        <v>0</v>
      </c>
      <c r="AX37" s="54">
        <f>'Wtr-Gas'!AZ39*0.0038</f>
        <v>16.6554</v>
      </c>
      <c r="AY37" s="54">
        <f>'Wtr-Gas'!BB39*0.0038</f>
        <v>6.08</v>
      </c>
      <c r="AZ37" s="54">
        <f>'Wtr-Gas'!BD39*0.0038</f>
        <v>0.38</v>
      </c>
      <c r="BA37" s="54">
        <f>'Wtr-Gas'!BF39*0.0038</f>
        <v>380.76</v>
      </c>
    </row>
    <row r="38" spans="1:53" x14ac:dyDescent="0.25">
      <c r="A38" s="3" t="s">
        <v>11</v>
      </c>
      <c r="B38" s="2">
        <v>10</v>
      </c>
      <c r="C38" s="2">
        <v>8</v>
      </c>
      <c r="D38" s="2">
        <v>2020</v>
      </c>
      <c r="E38" s="52">
        <f>Elect!AK40</f>
        <v>422</v>
      </c>
      <c r="F38" s="52">
        <f>Elect!H40</f>
        <v>42720</v>
      </c>
      <c r="G38" s="52">
        <f>Elect!G40</f>
        <v>1.9790000000000001</v>
      </c>
      <c r="H38" s="52">
        <f>Elect!E40</f>
        <v>38880</v>
      </c>
      <c r="I38" s="52">
        <f>Elect!D40</f>
        <v>1.9379999999999999</v>
      </c>
      <c r="J38" s="52">
        <f>Elect!T40</f>
        <v>74700</v>
      </c>
      <c r="K38" s="52">
        <f>Elect!S40</f>
        <v>2.331</v>
      </c>
      <c r="L38" s="52">
        <f>Elect!AI40</f>
        <v>1640</v>
      </c>
      <c r="M38" s="52">
        <f>Elect!AH40</f>
        <v>0.33</v>
      </c>
      <c r="N38" s="52">
        <f>Elect!W40</f>
        <v>70800</v>
      </c>
      <c r="O38" s="52">
        <f>Elect!V40</f>
        <v>2.0289999999999999</v>
      </c>
      <c r="P38" s="52">
        <f>Elect!N40</f>
        <v>10000</v>
      </c>
      <c r="Q38" s="52">
        <f>Elect!M40</f>
        <v>2.0299999999999998</v>
      </c>
      <c r="R38" s="52">
        <f>Elect!K40</f>
        <v>8000</v>
      </c>
      <c r="S38" s="52">
        <f>Elect!J40</f>
        <v>1.7</v>
      </c>
      <c r="T38" s="52">
        <f>Elect!Q40</f>
        <v>7200</v>
      </c>
      <c r="U38" s="52">
        <f>Elect!P40</f>
        <v>1.43</v>
      </c>
      <c r="V38" s="52">
        <f>Elect!Z40</f>
        <v>5920</v>
      </c>
      <c r="W38" s="52">
        <f>Elect!Y40</f>
        <v>2.81</v>
      </c>
      <c r="X38" s="52">
        <f>Elect!AC40</f>
        <v>2720</v>
      </c>
      <c r="Y38" s="52">
        <f>Elect!AB40</f>
        <v>1.75</v>
      </c>
      <c r="Z38" s="52">
        <f>Elect!AF40</f>
        <v>52000</v>
      </c>
      <c r="AA38" s="52">
        <f>Elect!AE40</f>
        <v>2.0840000000000001</v>
      </c>
      <c r="AB38" s="52">
        <f>Elect!AW40</f>
        <v>1800</v>
      </c>
      <c r="AC38" s="52">
        <f>Elect!AU40</f>
        <v>14100</v>
      </c>
      <c r="AD38" s="52">
        <f>Elect!AY40</f>
        <v>820</v>
      </c>
      <c r="AE38" s="52">
        <f>Elect!BA40</f>
        <v>2400</v>
      </c>
      <c r="AF38" s="54">
        <f>('Wtr-Gas'!E40)*0.0038</f>
        <v>3608.8220000000001</v>
      </c>
      <c r="AG38" s="54">
        <f>('Wtr-Gas'!H40)*0.0038</f>
        <v>386.27</v>
      </c>
      <c r="AH38" s="54">
        <f>'Wtr-Gas'!K40*0.0038</f>
        <v>0.64600000000000002</v>
      </c>
      <c r="AI38" s="54">
        <f>'Wtr-Gas'!N40*0.0038</f>
        <v>2686.6</v>
      </c>
      <c r="AJ38" s="54">
        <f>'Wtr-Gas'!Q40*0.0038</f>
        <v>82.46</v>
      </c>
      <c r="AK38" s="57">
        <f>'Wtr-Gas'!U40*0.0038</f>
        <v>640.67999999999995</v>
      </c>
      <c r="AL38" s="57">
        <f>'Wtr-Gas'!X40*0.0038</f>
        <v>410.4</v>
      </c>
      <c r="AM38" s="54">
        <f>'Wtr-Gas'!AB40*0.0038</f>
        <v>10602</v>
      </c>
      <c r="AN38" s="54">
        <f>'Wtr-Gas'!AD40*0.0038</f>
        <v>2407.0340000000001</v>
      </c>
      <c r="AO38" s="54">
        <f>'Wtr-Gas'!AF40*0.0038</f>
        <v>6.3840000000000003</v>
      </c>
      <c r="AP38" s="54">
        <f>'Wtr-Gas'!AH40*0.0038</f>
        <v>310.08</v>
      </c>
      <c r="AQ38" s="54">
        <f>'Wtr-Gas'!AJ40*0.0038</f>
        <v>38.205199999999998</v>
      </c>
      <c r="AR38" s="54">
        <f>'Wtr-Gas'!AL40*0.0038</f>
        <v>201.4</v>
      </c>
      <c r="AS38" s="54">
        <f>'Wtr-Gas'!AN40*0.0038</f>
        <v>0</v>
      </c>
      <c r="AT38" s="54">
        <f>'Wtr-Gas'!AP40*0.0038</f>
        <v>22.8</v>
      </c>
      <c r="AU38" s="57">
        <f>'Wtr-Gas'!AT40*0.0038</f>
        <v>0.22420000000000001</v>
      </c>
      <c r="AV38" s="54">
        <f>'Wtr-Gas'!AW40*0.0038</f>
        <v>24.487200000000001</v>
      </c>
      <c r="AW38" s="55">
        <f>'Wtr-Gas'!AY40*0.0038</f>
        <v>3.8E-3</v>
      </c>
      <c r="AX38" s="54">
        <f>'Wtr-Gas'!AZ40*0.0038</f>
        <v>24.4834</v>
      </c>
      <c r="AY38" s="54">
        <f>'Wtr-Gas'!BB40*0.0038</f>
        <v>6.08</v>
      </c>
      <c r="AZ38" s="54">
        <f>'Wtr-Gas'!BD40*0.0038</f>
        <v>2.2799999999999998</v>
      </c>
      <c r="BA38" s="54">
        <f>'Wtr-Gas'!BF40*0.0038</f>
        <v>508.65280000000001</v>
      </c>
    </row>
    <row r="39" spans="1:53" x14ac:dyDescent="0.25">
      <c r="A39" s="3" t="s">
        <v>11</v>
      </c>
      <c r="B39" s="2">
        <v>17</v>
      </c>
      <c r="C39" s="2">
        <v>8</v>
      </c>
      <c r="D39" s="2">
        <v>2020</v>
      </c>
      <c r="E39" s="52">
        <f>Elect!AK41</f>
        <v>419</v>
      </c>
      <c r="F39" s="52">
        <f>Elect!H41</f>
        <v>42880</v>
      </c>
      <c r="G39" s="52">
        <f>Elect!G41</f>
        <v>2</v>
      </c>
      <c r="H39" s="52">
        <f>Elect!E41</f>
        <v>39680</v>
      </c>
      <c r="I39" s="52">
        <f>Elect!D41</f>
        <v>1.9379999999999999</v>
      </c>
      <c r="J39" s="52">
        <f>Elect!T41</f>
        <v>80400</v>
      </c>
      <c r="K39" s="52">
        <f>Elect!S41</f>
        <v>2.4390000000000001</v>
      </c>
      <c r="L39" s="52">
        <f>Elect!AI41</f>
        <v>1560</v>
      </c>
      <c r="M39" s="52">
        <f>Elect!AH41</f>
        <v>0.33600000000000002</v>
      </c>
      <c r="N39" s="52">
        <f>Elect!W41</f>
        <v>80100</v>
      </c>
      <c r="O39" s="52">
        <f>Elect!V41</f>
        <v>2.3260000000000001</v>
      </c>
      <c r="P39" s="52">
        <f>Elect!N41</f>
        <v>9200</v>
      </c>
      <c r="Q39" s="52">
        <f>Elect!M41</f>
        <v>2.0299999999999998</v>
      </c>
      <c r="R39" s="52">
        <f>Elect!K41</f>
        <v>4000</v>
      </c>
      <c r="S39" s="52">
        <f>Elect!J41</f>
        <v>1.7</v>
      </c>
      <c r="T39" s="52">
        <f>Elect!Q41</f>
        <v>7600</v>
      </c>
      <c r="U39" s="52">
        <f>Elect!P41</f>
        <v>1.64</v>
      </c>
      <c r="V39" s="52">
        <f>Elect!Z41</f>
        <v>6080</v>
      </c>
      <c r="W39" s="52">
        <f>Elect!Y41</f>
        <v>3.17</v>
      </c>
      <c r="X39" s="52">
        <f>Elect!AC41</f>
        <v>2880</v>
      </c>
      <c r="Y39" s="52">
        <f>Elect!AB41</f>
        <v>2.66</v>
      </c>
      <c r="Z39" s="52">
        <f>Elect!AF41</f>
        <v>49800</v>
      </c>
      <c r="AA39" s="52">
        <f>Elect!AE41</f>
        <v>2.0840000000000001</v>
      </c>
      <c r="AB39" s="52">
        <f>Elect!AW41</f>
        <v>1900</v>
      </c>
      <c r="AC39" s="52">
        <f>Elect!AU41</f>
        <v>14900</v>
      </c>
      <c r="AD39" s="52">
        <f>Elect!AY41</f>
        <v>854</v>
      </c>
      <c r="AE39" s="52">
        <f>Elect!BA41</f>
        <v>2240</v>
      </c>
      <c r="AF39" s="54">
        <f>('Wtr-Gas'!E41)*0.0038</f>
        <v>3981.4879999999998</v>
      </c>
      <c r="AG39" s="54">
        <f>('Wtr-Gas'!H41)*0.0038</f>
        <v>54.834000000000003</v>
      </c>
      <c r="AH39" s="54">
        <f>'Wtr-Gas'!K41*0.0038</f>
        <v>0.79800000000000004</v>
      </c>
      <c r="AI39" s="54">
        <f>'Wtr-Gas'!N41*0.0038</f>
        <v>2808.2</v>
      </c>
      <c r="AJ39" s="54">
        <f>'Wtr-Gas'!Q41*0.0038</f>
        <v>79.8</v>
      </c>
      <c r="AK39" s="57">
        <f>'Wtr-Gas'!U41*0.0038</f>
        <v>687.04</v>
      </c>
      <c r="AL39" s="57">
        <f>'Wtr-Gas'!X41*0.0038</f>
        <v>505.4</v>
      </c>
      <c r="AM39" s="54">
        <f>'Wtr-Gas'!AB41*0.0038</f>
        <v>11362</v>
      </c>
      <c r="AN39" s="54">
        <f>'Wtr-Gas'!AD41*0.0038</f>
        <v>2412.5059999999999</v>
      </c>
      <c r="AO39" s="54">
        <f>'Wtr-Gas'!AF41*0.0038</f>
        <v>5.6619999999999999</v>
      </c>
      <c r="AP39" s="54">
        <f>'Wtr-Gas'!AH41*0.0038</f>
        <v>342.49399999999997</v>
      </c>
      <c r="AQ39" s="54">
        <f>'Wtr-Gas'!AJ41*0.0038</f>
        <v>26.755800000000001</v>
      </c>
      <c r="AR39" s="54">
        <f>'Wtr-Gas'!AL41*0.0038</f>
        <v>121.6</v>
      </c>
      <c r="AS39" s="54">
        <f>'Wtr-Gas'!AN41*0.0038</f>
        <v>0</v>
      </c>
      <c r="AT39" s="54">
        <f>'Wtr-Gas'!AP41*0.0038</f>
        <v>7.6</v>
      </c>
      <c r="AU39" s="57">
        <f>'Wtr-Gas'!AT41*0.0038</f>
        <v>0.30780000000000002</v>
      </c>
      <c r="AV39" s="54">
        <f>'Wtr-Gas'!AW41*0.0038</f>
        <v>33.094200000000001</v>
      </c>
      <c r="AW39" s="55">
        <f>'Wtr-Gas'!AY41*0.0038</f>
        <v>-5.6999999999999998E-4</v>
      </c>
      <c r="AX39" s="54">
        <f>'Wtr-Gas'!AZ41*0.0038</f>
        <v>33.094769999999997</v>
      </c>
      <c r="AY39" s="54">
        <f>'Wtr-Gas'!BB41*0.0038</f>
        <v>11.02</v>
      </c>
      <c r="AZ39" s="54">
        <f>'Wtr-Gas'!BD41*0.0038</f>
        <v>1.9</v>
      </c>
      <c r="BA39" s="54">
        <f>'Wtr-Gas'!BF41*0.0038</f>
        <v>483.24220000000003</v>
      </c>
    </row>
    <row r="40" spans="1:53" x14ac:dyDescent="0.25">
      <c r="A40" s="3" t="s">
        <v>11</v>
      </c>
      <c r="B40" s="2">
        <v>24</v>
      </c>
      <c r="C40" s="2">
        <v>8</v>
      </c>
      <c r="D40" s="2">
        <v>2020</v>
      </c>
      <c r="E40" s="52">
        <f>Elect!AK42</f>
        <v>432</v>
      </c>
      <c r="F40" s="52">
        <f>Elect!H42</f>
        <v>42400</v>
      </c>
      <c r="G40" s="52">
        <f>Elect!G42</f>
        <v>2.0169999999999999</v>
      </c>
      <c r="H40" s="52">
        <f>Elect!E42</f>
        <v>40160</v>
      </c>
      <c r="I40" s="52">
        <f>Elect!D42</f>
        <v>1.909</v>
      </c>
      <c r="J40" s="52">
        <f>Elect!T42</f>
        <v>77400</v>
      </c>
      <c r="K40" s="52">
        <f>Elect!S42</f>
        <v>1.643</v>
      </c>
      <c r="L40" s="52">
        <f>Elect!AI42</f>
        <v>1520</v>
      </c>
      <c r="M40" s="52">
        <f>Elect!AH42</f>
        <v>0.315</v>
      </c>
      <c r="N40" s="52">
        <f>Elect!W42</f>
        <v>57000</v>
      </c>
      <c r="O40" s="52">
        <f>Elect!V42</f>
        <v>2.0150000000000001</v>
      </c>
      <c r="P40" s="52">
        <f>Elect!N42</f>
        <v>8800</v>
      </c>
      <c r="Q40" s="52">
        <f>Elect!M42</f>
        <v>1.95</v>
      </c>
      <c r="R40" s="52">
        <f>Elect!K42</f>
        <v>11600</v>
      </c>
      <c r="S40" s="52">
        <f>Elect!J42</f>
        <v>1.55</v>
      </c>
      <c r="T40" s="52">
        <f>Elect!Q42</f>
        <v>6800</v>
      </c>
      <c r="U40" s="52">
        <f>Elect!P42</f>
        <v>1.3</v>
      </c>
      <c r="V40" s="52">
        <f>Elect!Z42</f>
        <v>5760</v>
      </c>
      <c r="W40" s="52">
        <f>Elect!Y42</f>
        <v>2.52</v>
      </c>
      <c r="X40" s="52">
        <f>Elect!AC42</f>
        <v>2560</v>
      </c>
      <c r="Y40" s="52">
        <f>Elect!AB42</f>
        <v>1.62</v>
      </c>
      <c r="Z40" s="52">
        <f>Elect!AF42</f>
        <v>48400</v>
      </c>
      <c r="AA40" s="52">
        <f>Elect!AE42</f>
        <v>1.9650000000000001</v>
      </c>
      <c r="AB40" s="52">
        <f>Elect!AW42</f>
        <v>2200</v>
      </c>
      <c r="AC40" s="52">
        <f>Elect!AU42</f>
        <v>15100</v>
      </c>
      <c r="AD40" s="52">
        <f>Elect!AY42</f>
        <v>938</v>
      </c>
      <c r="AE40" s="52">
        <f>Elect!BA42</f>
        <v>1920</v>
      </c>
      <c r="AF40" s="54">
        <f>('Wtr-Gas'!E42)*0.0038</f>
        <v>4043.39</v>
      </c>
      <c r="AG40" s="54">
        <f>('Wtr-Gas'!H42)*0.0038</f>
        <v>457.976</v>
      </c>
      <c r="AH40" s="54">
        <f>'Wtr-Gas'!K42*0.0038</f>
        <v>0.60799999999999998</v>
      </c>
      <c r="AI40" s="54">
        <f>'Wtr-Gas'!N42*0.0038</f>
        <v>2454.8000000000002</v>
      </c>
      <c r="AJ40" s="54">
        <f>'Wtr-Gas'!Q42*0.0038</f>
        <v>72.959999999999994</v>
      </c>
      <c r="AK40" s="57">
        <f>'Wtr-Gas'!U42*0.0038</f>
        <v>618.26</v>
      </c>
      <c r="AL40" s="57">
        <f>'Wtr-Gas'!X42*0.0038</f>
        <v>999.4</v>
      </c>
      <c r="AM40" s="54">
        <f>'Wtr-Gas'!AB42*0.0038</f>
        <v>9614</v>
      </c>
      <c r="AN40" s="54">
        <f>'Wtr-Gas'!AD42*0.0038</f>
        <v>2276.2759999999998</v>
      </c>
      <c r="AO40" s="54">
        <f>'Wtr-Gas'!AF42*0.0038</f>
        <v>7.03</v>
      </c>
      <c r="AP40" s="54">
        <f>'Wtr-Gas'!AH42*0.0038</f>
        <v>617.30999999999995</v>
      </c>
      <c r="AQ40" s="54">
        <f>'Wtr-Gas'!AJ42*0.0038</f>
        <v>24.2896</v>
      </c>
      <c r="AR40" s="54">
        <f>'Wtr-Gas'!AL42*0.0038</f>
        <v>953.8</v>
      </c>
      <c r="AS40" s="54">
        <f>'Wtr-Gas'!AN42*0.0038</f>
        <v>0</v>
      </c>
      <c r="AT40" s="54">
        <f>'Wtr-Gas'!AP42*0.0038</f>
        <v>0</v>
      </c>
      <c r="AU40" s="57">
        <f>'Wtr-Gas'!AT42*0.0038</f>
        <v>0.29260000000000003</v>
      </c>
      <c r="AV40" s="54">
        <f>'Wtr-Gas'!AW42*0.0038</f>
        <v>31.901</v>
      </c>
      <c r="AW40" s="55">
        <f>'Wtr-Gas'!AY42*0.0038</f>
        <v>2.052E-3</v>
      </c>
      <c r="AX40" s="54">
        <f>'Wtr-Gas'!AZ42*0.0038</f>
        <v>31.898947999999997</v>
      </c>
      <c r="AY40" s="54">
        <f>'Wtr-Gas'!BB42*0.0038</f>
        <v>11.78</v>
      </c>
      <c r="AZ40" s="54">
        <f>'Wtr-Gas'!BD42*0.0038</f>
        <v>1.9</v>
      </c>
      <c r="BA40" s="54">
        <f>'Wtr-Gas'!BF42*0.0038</f>
        <v>453.45780000000002</v>
      </c>
    </row>
    <row r="41" spans="1:53" x14ac:dyDescent="0.25">
      <c r="A41" s="3" t="s">
        <v>11</v>
      </c>
      <c r="B41" s="2">
        <v>31</v>
      </c>
      <c r="C41" s="2">
        <v>8</v>
      </c>
      <c r="D41" s="2">
        <v>2020</v>
      </c>
      <c r="E41" s="52">
        <f>Elect!AK43</f>
        <v>437</v>
      </c>
      <c r="F41" s="52">
        <f>Elect!H43</f>
        <v>42720</v>
      </c>
      <c r="G41" s="52">
        <f>Elect!G43</f>
        <v>2.0169999999999999</v>
      </c>
      <c r="H41" s="52">
        <f>Elect!E43</f>
        <v>40000</v>
      </c>
      <c r="I41" s="52">
        <f>Elect!D43</f>
        <v>1.909</v>
      </c>
      <c r="J41" s="52">
        <f>Elect!T43</f>
        <v>64800</v>
      </c>
      <c r="K41" s="52">
        <f>Elect!S43</f>
        <v>1.887</v>
      </c>
      <c r="L41" s="52">
        <f>Elect!AI43</f>
        <v>1640</v>
      </c>
      <c r="M41" s="52">
        <f>Elect!AH43</f>
        <v>0.33100000000000002</v>
      </c>
      <c r="N41" s="52">
        <f>Elect!W43</f>
        <v>64200</v>
      </c>
      <c r="O41" s="52">
        <f>Elect!V43</f>
        <v>2.0950000000000002</v>
      </c>
      <c r="P41" s="52">
        <f>Elect!N43</f>
        <v>9200</v>
      </c>
      <c r="Q41" s="52">
        <f>Elect!M43</f>
        <v>2.11</v>
      </c>
      <c r="R41" s="52">
        <f>Elect!K43</f>
        <v>8400</v>
      </c>
      <c r="S41" s="52">
        <f>Elect!J43</f>
        <v>1.83</v>
      </c>
      <c r="T41" s="52">
        <f>Elect!Q43</f>
        <v>7600</v>
      </c>
      <c r="U41" s="52">
        <f>Elect!P43</f>
        <v>1.59</v>
      </c>
      <c r="V41" s="52">
        <f>Elect!Z43</f>
        <v>5760</v>
      </c>
      <c r="W41" s="52">
        <f>Elect!Y43</f>
        <v>2.93</v>
      </c>
      <c r="X41" s="52">
        <f>Elect!AC43</f>
        <v>2880</v>
      </c>
      <c r="Y41" s="52">
        <f>Elect!AB43</f>
        <v>2.19</v>
      </c>
      <c r="Z41" s="52">
        <f>Elect!AF43</f>
        <v>50600</v>
      </c>
      <c r="AA41" s="52">
        <f>Elect!AE43</f>
        <v>2.0150000000000001</v>
      </c>
      <c r="AB41" s="52">
        <f>Elect!AW43</f>
        <v>1800</v>
      </c>
      <c r="AC41" s="52">
        <f>Elect!AU43</f>
        <v>14700</v>
      </c>
      <c r="AD41" s="52">
        <f>Elect!AY43</f>
        <v>873</v>
      </c>
      <c r="AE41" s="52">
        <f>Elect!BA43</f>
        <v>2720</v>
      </c>
      <c r="AF41" s="54">
        <f>('Wtr-Gas'!E43)*0.0038</f>
        <v>3779.6320000000001</v>
      </c>
      <c r="AG41" s="54">
        <f>('Wtr-Gas'!H43)*0.0038</f>
        <v>610.92600000000004</v>
      </c>
      <c r="AH41" s="54">
        <f>'Wtr-Gas'!K43*0.0038</f>
        <v>0.68400000000000005</v>
      </c>
      <c r="AI41" s="54">
        <f>'Wtr-Gas'!N43*0.0038</f>
        <v>2527</v>
      </c>
      <c r="AJ41" s="54">
        <f>'Wtr-Gas'!Q43*0.0038</f>
        <v>79.040000000000006</v>
      </c>
      <c r="AK41" s="57">
        <f>'Wtr-Gas'!U43*0.0038</f>
        <v>623.58000000000004</v>
      </c>
      <c r="AL41" s="57">
        <f>'Wtr-Gas'!X43*0.0038</f>
        <v>452.2</v>
      </c>
      <c r="AM41" s="54">
        <f>'Wtr-Gas'!AB43*0.0038</f>
        <v>10982</v>
      </c>
      <c r="AN41" s="54">
        <f>'Wtr-Gas'!AD43*0.0038</f>
        <v>2375.3420000000001</v>
      </c>
      <c r="AO41" s="54">
        <f>'Wtr-Gas'!AF43*0.0038</f>
        <v>2.8879999999999999</v>
      </c>
      <c r="AP41" s="54">
        <f>'Wtr-Gas'!AH43*0.0038</f>
        <v>359.70800000000003</v>
      </c>
      <c r="AQ41" s="54">
        <f>'Wtr-Gas'!AJ43*0.0038</f>
        <v>30.552</v>
      </c>
      <c r="AR41" s="54">
        <f>'Wtr-Gas'!AL43*0.0038</f>
        <v>501.6</v>
      </c>
      <c r="AS41" s="54">
        <f>'Wtr-Gas'!AN43*0.0038</f>
        <v>0</v>
      </c>
      <c r="AT41" s="54">
        <f>'Wtr-Gas'!AP43*0.0038</f>
        <v>7.6</v>
      </c>
      <c r="AU41" s="57">
        <f>'Wtr-Gas'!AT43*0.0038</f>
        <v>0.25080000000000002</v>
      </c>
      <c r="AV41" s="54">
        <f>'Wtr-Gas'!AW43*0.0038</f>
        <v>32.284799999999997</v>
      </c>
      <c r="AW41" s="55">
        <f>'Wtr-Gas'!AY43*0.0038</f>
        <v>-5.2819999999999994E-3</v>
      </c>
      <c r="AX41" s="54">
        <f>'Wtr-Gas'!AZ43*0.0038</f>
        <v>32.290081999999998</v>
      </c>
      <c r="AY41" s="54">
        <f>'Wtr-Gas'!BB43*0.0038</f>
        <v>14.82</v>
      </c>
      <c r="AZ41" s="54">
        <f>'Wtr-Gas'!BD43*0.0038</f>
        <v>1.9</v>
      </c>
      <c r="BA41" s="54">
        <f>'Wtr-Gas'!BF43*0.0038</f>
        <v>457.7328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2020</v>
      </c>
      <c r="E42" s="52">
        <f>Elect!AK44</f>
        <v>440</v>
      </c>
      <c r="F42" s="52">
        <f>Elect!H44</f>
        <v>42720</v>
      </c>
      <c r="G42" s="52">
        <f>Elect!G44</f>
        <v>2.0539999999999998</v>
      </c>
      <c r="H42" s="52">
        <f>Elect!E44</f>
        <v>39360</v>
      </c>
      <c r="I42" s="52">
        <f>Elect!D44</f>
        <v>1.909</v>
      </c>
      <c r="J42" s="52">
        <f>Elect!T44</f>
        <v>64200</v>
      </c>
      <c r="K42" s="52">
        <f>Elect!S44</f>
        <v>2.2029999999999998</v>
      </c>
      <c r="L42" s="52">
        <f>Elect!AI44</f>
        <v>1640</v>
      </c>
      <c r="M42" s="52">
        <f>Elect!AH44</f>
        <v>0.33100000000000002</v>
      </c>
      <c r="N42" s="52">
        <f>Elect!W44</f>
        <v>108000</v>
      </c>
      <c r="O42" s="52">
        <f>Elect!V44</f>
        <v>2.0950000000000002</v>
      </c>
      <c r="P42" s="52">
        <f>Elect!N44</f>
        <v>9600</v>
      </c>
      <c r="Q42" s="52">
        <f>Elect!M44</f>
        <v>2.2200000000000002</v>
      </c>
      <c r="R42" s="52">
        <f>Elect!K44</f>
        <v>8400</v>
      </c>
      <c r="S42" s="52">
        <f>Elect!J44</f>
        <v>0.81699999999999995</v>
      </c>
      <c r="T42" s="52">
        <f>Elect!Q44</f>
        <v>7600</v>
      </c>
      <c r="U42" s="52">
        <f>Elect!P44</f>
        <v>1.59</v>
      </c>
      <c r="V42" s="52">
        <f>Elect!Z44</f>
        <v>6400</v>
      </c>
      <c r="W42" s="52">
        <f>Elect!Y44</f>
        <v>3.32</v>
      </c>
      <c r="X42" s="52">
        <f>Elect!AC44</f>
        <v>2880</v>
      </c>
      <c r="Y42" s="52">
        <f>Elect!AB44</f>
        <v>2.19</v>
      </c>
      <c r="Z42" s="52">
        <f>Elect!AF44</f>
        <v>50200</v>
      </c>
      <c r="AA42" s="52">
        <f>Elect!AE44</f>
        <v>2.0529999999999999</v>
      </c>
      <c r="AB42" s="52">
        <f>Elect!AW44</f>
        <v>2000</v>
      </c>
      <c r="AC42" s="52">
        <f>Elect!AU44</f>
        <v>14900</v>
      </c>
      <c r="AD42" s="52">
        <f>Elect!AY44</f>
        <v>908</v>
      </c>
      <c r="AE42" s="52">
        <f>Elect!BA44</f>
        <v>1760</v>
      </c>
      <c r="AF42" s="54">
        <f>('Wtr-Gas'!E44)*0.0038</f>
        <v>3680.9459999999999</v>
      </c>
      <c r="AG42" s="54">
        <f>('Wtr-Gas'!H44)*0.0038</f>
        <v>242.364</v>
      </c>
      <c r="AH42" s="54">
        <f>'Wtr-Gas'!K44*0.0038</f>
        <v>0.60799999999999998</v>
      </c>
      <c r="AI42" s="54">
        <f>'Wtr-Gas'!N44*0.0038</f>
        <v>2580.1999999999998</v>
      </c>
      <c r="AJ42" s="54">
        <f>'Wtr-Gas'!Q44*0.0038</f>
        <v>81.7</v>
      </c>
      <c r="AK42" s="57">
        <f>'Wtr-Gas'!U44*0.0038</f>
        <v>676.02</v>
      </c>
      <c r="AL42" s="57">
        <f>'Wtr-Gas'!X44*0.0038</f>
        <v>532</v>
      </c>
      <c r="AM42" s="54">
        <f>'Wtr-Gas'!AB44*0.0038</f>
        <v>10260</v>
      </c>
      <c r="AN42" s="54">
        <f>'Wtr-Gas'!AD44*0.0038</f>
        <v>1854.0922</v>
      </c>
      <c r="AO42" s="54">
        <f>'Wtr-Gas'!AF44*0.0038</f>
        <v>4.8259999999999996</v>
      </c>
      <c r="AP42" s="54">
        <f>'Wtr-Gas'!AH44*0.0038</f>
        <v>329.84</v>
      </c>
      <c r="AQ42" s="54">
        <f>'Wtr-Gas'!AJ44*0.0038</f>
        <v>44.505600000000001</v>
      </c>
      <c r="AR42" s="54">
        <f>'Wtr-Gas'!AL44*0.0038</f>
        <v>478.8</v>
      </c>
      <c r="AS42" s="54">
        <f>'Wtr-Gas'!AN44*0.0038</f>
        <v>0</v>
      </c>
      <c r="AT42" s="54">
        <f>'Wtr-Gas'!AP44*0.0038</f>
        <v>7.6</v>
      </c>
      <c r="AU42" s="57">
        <f>'Wtr-Gas'!AT44*0.0038</f>
        <v>0.26219999999999999</v>
      </c>
      <c r="AV42" s="54">
        <f>'Wtr-Gas'!AW44*0.0038</f>
        <v>173.64099999999999</v>
      </c>
      <c r="AW42" s="55">
        <f>'Wtr-Gas'!AY44*0.0038</f>
        <v>137.2484</v>
      </c>
      <c r="AX42" s="54">
        <f>'Wtr-Gas'!AZ44*0.0038</f>
        <v>36.392600000000002</v>
      </c>
      <c r="AY42" s="54">
        <f>'Wtr-Gas'!BB44*0.0038</f>
        <v>25.84</v>
      </c>
      <c r="AZ42" s="54">
        <f>'Wtr-Gas'!BD44*0.0038</f>
        <v>2.66</v>
      </c>
      <c r="BA42" s="54">
        <f>'Wtr-Gas'!BF44*0.0038</f>
        <v>251.83359999999999</v>
      </c>
    </row>
    <row r="43" spans="1:53" x14ac:dyDescent="0.25">
      <c r="A43" s="3" t="s">
        <v>11</v>
      </c>
      <c r="B43" s="2">
        <v>14</v>
      </c>
      <c r="C43" s="2">
        <v>9</v>
      </c>
      <c r="D43" s="2">
        <v>2020</v>
      </c>
      <c r="E43" s="52">
        <f>Elect!AK45</f>
        <v>452</v>
      </c>
      <c r="F43" s="52">
        <f>Elect!H45</f>
        <v>50560</v>
      </c>
      <c r="G43" s="52">
        <f>Elect!G45</f>
        <v>2.0979999999999999</v>
      </c>
      <c r="H43" s="52">
        <f>Elect!E45</f>
        <v>72320</v>
      </c>
      <c r="I43" s="52">
        <f>Elect!D45</f>
        <v>1.909</v>
      </c>
      <c r="J43" s="52">
        <f>Elect!T45</f>
        <v>72900</v>
      </c>
      <c r="K43" s="52">
        <f>Elect!S45</f>
        <v>2.2370000000000001</v>
      </c>
      <c r="L43" s="52">
        <f>Elect!AI45</f>
        <v>1560</v>
      </c>
      <c r="M43" s="52">
        <f>Elect!AH45</f>
        <v>0.33100000000000002</v>
      </c>
      <c r="N43" s="52">
        <f>Elect!W45</f>
        <v>69300</v>
      </c>
      <c r="O43" s="52">
        <f>Elect!V45</f>
        <v>2.0950000000000002</v>
      </c>
      <c r="P43" s="52">
        <f>Elect!N45</f>
        <v>9600</v>
      </c>
      <c r="Q43" s="52">
        <f>Elect!M45</f>
        <v>2.2200000000000002</v>
      </c>
      <c r="R43" s="52">
        <f>Elect!K45</f>
        <v>9200</v>
      </c>
      <c r="S43" s="52">
        <f>Elect!J45</f>
        <v>1.89</v>
      </c>
      <c r="T43" s="52">
        <f>Elect!Q45</f>
        <v>7600</v>
      </c>
      <c r="U43" s="52">
        <f>Elect!P45</f>
        <v>1.59</v>
      </c>
      <c r="V43" s="52">
        <f>Elect!Z45</f>
        <v>5760</v>
      </c>
      <c r="W43" s="52">
        <f>Elect!Y45</f>
        <v>3.32</v>
      </c>
      <c r="X43" s="52">
        <f>Elect!AC45</f>
        <v>2720</v>
      </c>
      <c r="Y43" s="52">
        <f>Elect!AB45</f>
        <v>2.19</v>
      </c>
      <c r="Z43" s="52">
        <f>Elect!AF45</f>
        <v>48600</v>
      </c>
      <c r="AA43" s="52">
        <f>Elect!AE45</f>
        <v>2.0529999999999999</v>
      </c>
      <c r="AB43" s="52">
        <f>Elect!AW45</f>
        <v>1900</v>
      </c>
      <c r="AC43" s="52">
        <f>Elect!AU45</f>
        <v>14200</v>
      </c>
      <c r="AD43" s="52">
        <f>Elect!AY45</f>
        <v>917</v>
      </c>
      <c r="AE43" s="52">
        <f>Elect!BA45</f>
        <v>920</v>
      </c>
      <c r="AF43" s="54">
        <f>('Wtr-Gas'!E45)*0.0038</f>
        <v>3366.002</v>
      </c>
      <c r="AG43" s="54">
        <f>('Wtr-Gas'!H45)*0.0038</f>
        <v>55.213999999999999</v>
      </c>
      <c r="AH43" s="54">
        <f>'Wtr-Gas'!K45*0.0038</f>
        <v>0.68400000000000005</v>
      </c>
      <c r="AI43" s="54">
        <f>'Wtr-Gas'!N45*0.0038</f>
        <v>2492.8000000000002</v>
      </c>
      <c r="AJ43" s="54">
        <f>'Wtr-Gas'!Q45*0.0038</f>
        <v>68.400000000000006</v>
      </c>
      <c r="AK43" s="57">
        <f>'Wtr-Gas'!U45*0.0038</f>
        <v>633.08000000000004</v>
      </c>
      <c r="AL43" s="57">
        <f>'Wtr-Gas'!X45*0.0038</f>
        <v>1007</v>
      </c>
      <c r="AM43" s="54">
        <f>'Wtr-Gas'!AB45*0.0038</f>
        <v>9576</v>
      </c>
      <c r="AN43" s="54">
        <f>'Wtr-Gas'!AD45*0.0038</f>
        <v>1974.7991999999999</v>
      </c>
      <c r="AO43" s="54">
        <f>'Wtr-Gas'!AF45*0.0038</f>
        <v>1.6719999999999999</v>
      </c>
      <c r="AP43" s="54">
        <f>'Wtr-Gas'!AH45*0.0038</f>
        <v>330.82799999999997</v>
      </c>
      <c r="AQ43" s="54">
        <f>'Wtr-Gas'!AJ45*0.0038</f>
        <v>30.886399999999998</v>
      </c>
      <c r="AR43" s="54">
        <f>'Wtr-Gas'!AL45*0.0038</f>
        <v>281.2</v>
      </c>
      <c r="AS43" s="54">
        <f>'Wtr-Gas'!AN45*0.0038</f>
        <v>0</v>
      </c>
      <c r="AT43" s="54">
        <f>'Wtr-Gas'!AP45*0.0038</f>
        <v>19.38</v>
      </c>
      <c r="AU43" s="57">
        <f>'Wtr-Gas'!AT45*0.0038</f>
        <v>0.28499999999999998</v>
      </c>
      <c r="AV43" s="54">
        <f>'Wtr-Gas'!AW45*0.0038</f>
        <v>233.3732</v>
      </c>
      <c r="AW43" s="55">
        <f>'Wtr-Gas'!AY45*0.0038</f>
        <v>199.720134</v>
      </c>
      <c r="AX43" s="54">
        <f>'Wtr-Gas'!AZ45*0.0038</f>
        <v>33.653065999999995</v>
      </c>
      <c r="AY43" s="54">
        <f>'Wtr-Gas'!BB45*0.0038</f>
        <v>7.98</v>
      </c>
      <c r="AZ43" s="54">
        <f>'Wtr-Gas'!BD45*0.0038</f>
        <v>2.66</v>
      </c>
      <c r="BA43" s="54">
        <f>'Wtr-Gas'!BF45*0.0038</f>
        <v>32.774999999999999</v>
      </c>
    </row>
    <row r="44" spans="1:53" x14ac:dyDescent="0.25">
      <c r="A44" s="3" t="s">
        <v>11</v>
      </c>
      <c r="B44" s="2">
        <v>21</v>
      </c>
      <c r="C44" s="2">
        <v>9</v>
      </c>
      <c r="D44" s="2">
        <v>2020</v>
      </c>
      <c r="E44" s="52">
        <f>Elect!AK46</f>
        <v>462</v>
      </c>
      <c r="F44" s="52">
        <f>Elect!H46</f>
        <v>33760</v>
      </c>
      <c r="G44" s="52">
        <f>Elect!G46</f>
        <v>2.0979999999999999</v>
      </c>
      <c r="H44" s="52">
        <f>Elect!E46</f>
        <v>8160</v>
      </c>
      <c r="I44" s="52">
        <f>Elect!D46</f>
        <v>1.921</v>
      </c>
      <c r="J44" s="52">
        <f>Elect!T46</f>
        <v>69900</v>
      </c>
      <c r="K44" s="52">
        <f>Elect!S46</f>
        <v>2.2360000000000002</v>
      </c>
      <c r="L44" s="52">
        <f>Elect!AI46</f>
        <v>1560</v>
      </c>
      <c r="M44" s="52">
        <f>Elect!AH46</f>
        <v>0.33100000000000002</v>
      </c>
      <c r="N44" s="52">
        <f>Elect!W46</f>
        <v>68700</v>
      </c>
      <c r="O44" s="52">
        <f>Elect!V46</f>
        <v>2.0950000000000002</v>
      </c>
      <c r="P44" s="52">
        <f>Elect!N46</f>
        <v>9200</v>
      </c>
      <c r="Q44" s="52">
        <f>Elect!M46</f>
        <v>2.2200000000000002</v>
      </c>
      <c r="R44" s="52">
        <f>Elect!K46</f>
        <v>8000</v>
      </c>
      <c r="S44" s="52">
        <f>Elect!J46</f>
        <v>1.89</v>
      </c>
      <c r="T44" s="52">
        <f>Elect!Q46</f>
        <v>8000</v>
      </c>
      <c r="U44" s="52">
        <f>Elect!P46</f>
        <v>1.7</v>
      </c>
      <c r="V44" s="52">
        <f>Elect!Z46</f>
        <v>5600</v>
      </c>
      <c r="W44" s="52">
        <f>Elect!Y46</f>
        <v>3.32</v>
      </c>
      <c r="X44" s="52">
        <f>Elect!AC46</f>
        <v>2400</v>
      </c>
      <c r="Y44" s="52">
        <f>Elect!AB46</f>
        <v>2.19</v>
      </c>
      <c r="Z44" s="52">
        <f>Elect!AF46</f>
        <v>51200</v>
      </c>
      <c r="AA44" s="52">
        <f>Elect!AE46</f>
        <v>2.0529999999999999</v>
      </c>
      <c r="AB44" s="52">
        <f>Elect!AW46</f>
        <v>2000</v>
      </c>
      <c r="AC44" s="52">
        <f>Elect!AU46</f>
        <v>14700</v>
      </c>
      <c r="AD44" s="52">
        <f>Elect!AY46</f>
        <v>913</v>
      </c>
      <c r="AE44" s="52">
        <f>Elect!BA46</f>
        <v>1240</v>
      </c>
      <c r="AF44" s="54">
        <f>('Wtr-Gas'!E46)*0.0038</f>
        <v>3576.788</v>
      </c>
      <c r="AG44" s="54">
        <f>('Wtr-Gas'!H46)*0.0038</f>
        <v>282.56799999999998</v>
      </c>
      <c r="AH44" s="54">
        <f>'Wtr-Gas'!K46*0.0038</f>
        <v>0.64600000000000002</v>
      </c>
      <c r="AI44" s="54">
        <f>'Wtr-Gas'!N46*0.0038</f>
        <v>2382.6</v>
      </c>
      <c r="AJ44" s="54">
        <f>'Wtr-Gas'!Q46*0.0038</f>
        <v>77.900000000000006</v>
      </c>
      <c r="AK44" s="57">
        <f>'Wtr-Gas'!U46*0.0038</f>
        <v>642.20000000000005</v>
      </c>
      <c r="AL44" s="57">
        <f>'Wtr-Gas'!X46*0.0038</f>
        <v>896.8</v>
      </c>
      <c r="AM44" s="54">
        <f>'Wtr-Gas'!AB46*0.0038</f>
        <v>9842</v>
      </c>
      <c r="AN44" s="54">
        <f>'Wtr-Gas'!AD46*0.0038</f>
        <v>2224.3946000000001</v>
      </c>
      <c r="AO44" s="54">
        <f>'Wtr-Gas'!AF46*0.0038</f>
        <v>0.34200000000000003</v>
      </c>
      <c r="AP44" s="54">
        <f>'Wtr-Gas'!AH46*0.0038</f>
        <v>524.13400000000001</v>
      </c>
      <c r="AQ44" s="54">
        <f>'Wtr-Gas'!AJ46*0.0038</f>
        <v>21.754999999999999</v>
      </c>
      <c r="AR44" s="54">
        <f>'Wtr-Gas'!AL46*0.0038</f>
        <v>410.4</v>
      </c>
      <c r="AS44" s="54">
        <f>'Wtr-Gas'!AN46*0.0038</f>
        <v>0</v>
      </c>
      <c r="AT44" s="54">
        <f>'Wtr-Gas'!AP46*0.0038</f>
        <v>24.7</v>
      </c>
      <c r="AU44" s="57">
        <f>'Wtr-Gas'!AT46*0.0038</f>
        <v>0.27360000000000001</v>
      </c>
      <c r="AV44" s="54">
        <f>'Wtr-Gas'!AW46*0.0038</f>
        <v>232.74619999999999</v>
      </c>
      <c r="AW44" s="55">
        <f>'Wtr-Gas'!AY46*0.0038</f>
        <v>198.79947000000001</v>
      </c>
      <c r="AX44" s="54">
        <f>'Wtr-Gas'!AZ46*0.0038</f>
        <v>33.946729999999995</v>
      </c>
      <c r="AY44" s="54">
        <f>'Wtr-Gas'!BB46*0.0038</f>
        <v>6.84</v>
      </c>
      <c r="AZ44" s="54">
        <f>'Wtr-Gas'!BD46*0.0038</f>
        <v>2.66</v>
      </c>
      <c r="BA44" s="54">
        <f>'Wtr-Gas'!BF46*0.0038</f>
        <v>32.6648</v>
      </c>
    </row>
    <row r="45" spans="1:53" x14ac:dyDescent="0.25">
      <c r="A45" s="3" t="s">
        <v>11</v>
      </c>
      <c r="B45" s="2">
        <v>28</v>
      </c>
      <c r="C45" s="2">
        <v>9</v>
      </c>
      <c r="D45" s="2">
        <v>2020</v>
      </c>
      <c r="E45" s="52">
        <f>Elect!AK47</f>
        <v>462</v>
      </c>
      <c r="F45" s="52">
        <f>Elect!H47</f>
        <v>43040</v>
      </c>
      <c r="G45" s="52">
        <f>Elect!G47</f>
        <v>2</v>
      </c>
      <c r="H45" s="52">
        <f>Elect!E47</f>
        <v>40640</v>
      </c>
      <c r="I45" s="52">
        <f>Elect!D47</f>
        <v>1.98</v>
      </c>
      <c r="J45" s="52">
        <f>Elect!T47</f>
        <v>74100</v>
      </c>
      <c r="K45" s="52">
        <f>Elect!S47</f>
        <v>2.3210000000000002</v>
      </c>
      <c r="L45" s="52">
        <f>Elect!AI47</f>
        <v>1600</v>
      </c>
      <c r="M45" s="52">
        <f>Elect!AH47</f>
        <v>0.34200000000000003</v>
      </c>
      <c r="N45" s="52">
        <f>Elect!W47</f>
        <v>56400</v>
      </c>
      <c r="O45" s="52">
        <f>Elect!V47</f>
        <v>1.96</v>
      </c>
      <c r="P45" s="52">
        <f>Elect!N47</f>
        <v>9600</v>
      </c>
      <c r="Q45" s="52">
        <f>Elect!M47</f>
        <v>1.88</v>
      </c>
      <c r="R45" s="52">
        <f>Elect!K47</f>
        <v>8400</v>
      </c>
      <c r="S45" s="52">
        <f>Elect!J47</f>
        <v>1.81</v>
      </c>
      <c r="T45" s="52">
        <f>Elect!Q47</f>
        <v>8400</v>
      </c>
      <c r="U45" s="52">
        <f>Elect!P47</f>
        <v>1.8</v>
      </c>
      <c r="V45" s="52">
        <f>Elect!Z47</f>
        <v>5760</v>
      </c>
      <c r="W45" s="52">
        <f>Elect!Y47</f>
        <v>3.01</v>
      </c>
      <c r="X45" s="52">
        <f>Elect!AC47</f>
        <v>2400</v>
      </c>
      <c r="Y45" s="52">
        <f>Elect!AB47</f>
        <v>1.95</v>
      </c>
      <c r="Z45" s="52">
        <f>Elect!AF47</f>
        <v>51000</v>
      </c>
      <c r="AA45" s="52">
        <f>Elect!AE47</f>
        <v>2.0489999999999999</v>
      </c>
      <c r="AB45" s="52">
        <f>Elect!AW47</f>
        <v>1800</v>
      </c>
      <c r="AC45" s="52">
        <f>Elect!AU47</f>
        <v>14300</v>
      </c>
      <c r="AD45" s="52">
        <f>Elect!AY47</f>
        <v>912</v>
      </c>
      <c r="AE45" s="52">
        <f>Elect!BA47</f>
        <v>2360</v>
      </c>
      <c r="AF45" s="54">
        <f>('Wtr-Gas'!E47)*0.0038</f>
        <v>3771.5</v>
      </c>
      <c r="AG45" s="54">
        <f>('Wtr-Gas'!H47)*0.0038</f>
        <v>313.76600000000002</v>
      </c>
      <c r="AH45" s="54">
        <f>'Wtr-Gas'!K47*0.0038</f>
        <v>2.6219999999999999</v>
      </c>
      <c r="AI45" s="54">
        <f>'Wtr-Gas'!N47*0.0038</f>
        <v>2595.4</v>
      </c>
      <c r="AJ45" s="54">
        <f>'Wtr-Gas'!Q47*0.0038</f>
        <v>76</v>
      </c>
      <c r="AK45" s="57">
        <f>'Wtr-Gas'!U47*0.0038</f>
        <v>670.7</v>
      </c>
      <c r="AL45" s="57">
        <f>'Wtr-Gas'!X47*0.0038</f>
        <v>1641.6</v>
      </c>
      <c r="AM45" s="54">
        <f>'Wtr-Gas'!AB47*0.0038</f>
        <v>9576</v>
      </c>
      <c r="AN45" s="54">
        <f>'Wtr-Gas'!AD47*0.0038</f>
        <v>2108.7339999999999</v>
      </c>
      <c r="AO45" s="54">
        <f>'Wtr-Gas'!AF47*0.0038</f>
        <v>5.4720000000000004</v>
      </c>
      <c r="AP45" s="54">
        <f>'Wtr-Gas'!AH47*0.0038</f>
        <v>327.56</v>
      </c>
      <c r="AQ45" s="54">
        <f>'Wtr-Gas'!AJ47*0.0038</f>
        <v>33.614800000000002</v>
      </c>
      <c r="AR45" s="54">
        <f>'Wtr-Gas'!AL47*0.0038</f>
        <v>532</v>
      </c>
      <c r="AS45" s="54">
        <f>'Wtr-Gas'!AN47*0.0038</f>
        <v>0</v>
      </c>
      <c r="AT45" s="54">
        <f>'Wtr-Gas'!AP47*0.0038</f>
        <v>36.1</v>
      </c>
      <c r="AU45" s="57">
        <f>'Wtr-Gas'!AT47*0.0038</f>
        <v>0.2394</v>
      </c>
      <c r="AV45" s="54">
        <f>'Wtr-Gas'!AW47*0.0038</f>
        <v>232.40799999999999</v>
      </c>
      <c r="AW45" s="55">
        <f>'Wtr-Gas'!AY47*0.0038</f>
        <v>199.25049199999998</v>
      </c>
      <c r="AX45" s="54">
        <f>'Wtr-Gas'!AZ47*0.0038</f>
        <v>33.157508000000014</v>
      </c>
      <c r="AY45" s="54">
        <f>'Wtr-Gas'!BB47*0.0038</f>
        <v>11.4</v>
      </c>
      <c r="AZ45" s="54">
        <f>'Wtr-Gas'!BD47*0.0038</f>
        <v>3.04</v>
      </c>
      <c r="BA45" s="54">
        <f>'Wtr-Gas'!BF47*0.0038</f>
        <v>32.102400000000003</v>
      </c>
    </row>
    <row r="46" spans="1:53" x14ac:dyDescent="0.25">
      <c r="A46" s="3" t="s">
        <v>11</v>
      </c>
      <c r="B46" s="2">
        <v>1</v>
      </c>
      <c r="C46" s="2">
        <v>10</v>
      </c>
      <c r="D46" s="2">
        <v>2020</v>
      </c>
      <c r="E46" s="52">
        <f>Elect!AK48</f>
        <v>0</v>
      </c>
      <c r="F46" s="52">
        <f>Elect!H48</f>
        <v>0</v>
      </c>
      <c r="G46" s="52">
        <f>Elect!G48</f>
        <v>2</v>
      </c>
      <c r="H46" s="52">
        <f>Elect!E48</f>
        <v>0</v>
      </c>
      <c r="I46" s="52">
        <f>Elect!D48</f>
        <v>1.98</v>
      </c>
      <c r="J46" s="52">
        <f>Elect!T48</f>
        <v>0</v>
      </c>
      <c r="K46" s="52">
        <f>Elect!S48</f>
        <v>2.3210000000000002</v>
      </c>
      <c r="L46" s="52">
        <f>Elect!AI48</f>
        <v>0</v>
      </c>
      <c r="M46" s="52">
        <f>Elect!AH48</f>
        <v>0.34200000000000003</v>
      </c>
      <c r="N46" s="52">
        <f>Elect!W48</f>
        <v>0</v>
      </c>
      <c r="O46" s="52">
        <f>Elect!V48</f>
        <v>1.96</v>
      </c>
      <c r="P46" s="52">
        <f>Elect!N48</f>
        <v>0</v>
      </c>
      <c r="Q46" s="52">
        <f>Elect!M48</f>
        <v>1.88</v>
      </c>
      <c r="R46" s="52">
        <f>Elect!K48</f>
        <v>0</v>
      </c>
      <c r="S46" s="52">
        <f>Elect!J48</f>
        <v>1.81</v>
      </c>
      <c r="T46" s="52">
        <f>Elect!Q48</f>
        <v>0</v>
      </c>
      <c r="U46" s="52">
        <f>Elect!P48</f>
        <v>1.8</v>
      </c>
      <c r="V46" s="52">
        <f>Elect!Z48</f>
        <v>0</v>
      </c>
      <c r="W46" s="52">
        <f>Elect!Y48</f>
        <v>3.01</v>
      </c>
      <c r="X46" s="52">
        <f>Elect!AC48</f>
        <v>0</v>
      </c>
      <c r="Y46" s="52">
        <f>Elect!AB48</f>
        <v>1.95</v>
      </c>
      <c r="Z46" s="52">
        <f>Elect!AF48</f>
        <v>0</v>
      </c>
      <c r="AA46" s="52">
        <f>Elect!AE48</f>
        <v>2.0489999999999999</v>
      </c>
      <c r="AB46" s="52">
        <f>Elect!AW48</f>
        <v>1100</v>
      </c>
      <c r="AC46" s="52">
        <f>Elect!AU48</f>
        <v>7700</v>
      </c>
      <c r="AD46" s="52">
        <f>Elect!AY48</f>
        <v>540</v>
      </c>
      <c r="AE46" s="52">
        <f>Elect!BA48</f>
        <v>680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0.15579999999999999</v>
      </c>
      <c r="AV46" s="54">
        <f>'Wtr-Gas'!AW48*0.0038</f>
        <v>136.648</v>
      </c>
      <c r="AW46" s="55">
        <f>'Wtr-Gas'!AY48*0.0038</f>
        <v>116.009516</v>
      </c>
      <c r="AX46" s="54">
        <f>'Wtr-Gas'!AZ48*0.0038</f>
        <v>20.638484000000002</v>
      </c>
      <c r="AY46" s="54">
        <f>'Wtr-Gas'!BB48*0.0038</f>
        <v>18.62</v>
      </c>
      <c r="AZ46" s="54">
        <f>'Wtr-Gas'!BD48*0.0038</f>
        <v>2.66</v>
      </c>
      <c r="BA46" s="54">
        <f>'Wtr-Gas'!BF48*0.0038</f>
        <v>17.901800000000001</v>
      </c>
    </row>
    <row r="47" spans="1:53" x14ac:dyDescent="0.25">
      <c r="A47" s="3" t="s">
        <v>11</v>
      </c>
      <c r="B47" s="2">
        <v>5</v>
      </c>
      <c r="C47" s="2">
        <v>10</v>
      </c>
      <c r="D47" s="2">
        <v>2020</v>
      </c>
      <c r="E47" s="52">
        <f>Elect!AK49</f>
        <v>482</v>
      </c>
      <c r="F47" s="52">
        <f>Elect!H49</f>
        <v>38240</v>
      </c>
      <c r="G47" s="52">
        <f>Elect!G49</f>
        <v>2</v>
      </c>
      <c r="H47" s="52">
        <f>Elect!E49</f>
        <v>40800</v>
      </c>
      <c r="I47" s="52">
        <f>Elect!D49</f>
        <v>1.98</v>
      </c>
      <c r="J47" s="52">
        <f>Elect!T49</f>
        <v>56100</v>
      </c>
      <c r="K47" s="52">
        <f>Elect!S49</f>
        <v>2.3250000000000002</v>
      </c>
      <c r="L47" s="52">
        <f>Elect!AI49</f>
        <v>1440</v>
      </c>
      <c r="M47" s="52">
        <f>Elect!AH49</f>
        <v>0.34200000000000003</v>
      </c>
      <c r="N47" s="52">
        <f>Elect!W49</f>
        <v>55200</v>
      </c>
      <c r="O47" s="52">
        <f>Elect!V49</f>
        <v>2.0640000000000001</v>
      </c>
      <c r="P47" s="52">
        <f>Elect!N49</f>
        <v>8800</v>
      </c>
      <c r="Q47" s="52">
        <f>Elect!M49</f>
        <v>1.88</v>
      </c>
      <c r="R47" s="52">
        <f>Elect!K49</f>
        <v>9200</v>
      </c>
      <c r="S47" s="52">
        <f>Elect!J49</f>
        <v>1.91</v>
      </c>
      <c r="T47" s="52">
        <f>Elect!Q49</f>
        <v>8400</v>
      </c>
      <c r="U47" s="52">
        <f>Elect!P49</f>
        <v>1.8</v>
      </c>
      <c r="V47" s="52">
        <f>Elect!Z49</f>
        <v>5280</v>
      </c>
      <c r="W47" s="52">
        <f>Elect!Y49</f>
        <v>3.05</v>
      </c>
      <c r="X47" s="52">
        <f>Elect!AC49</f>
        <v>2720</v>
      </c>
      <c r="Y47" s="52">
        <f>Elect!AB49</f>
        <v>1.95</v>
      </c>
      <c r="Z47" s="52">
        <f>Elect!AF49</f>
        <v>49400</v>
      </c>
      <c r="AA47" s="52">
        <f>Elect!AE49</f>
        <v>2.0489999999999999</v>
      </c>
      <c r="AB47" s="52">
        <f>Elect!AW49</f>
        <v>700</v>
      </c>
      <c r="AC47" s="52">
        <f>Elect!AU49</f>
        <v>5900</v>
      </c>
      <c r="AD47" s="52">
        <f>Elect!AY49</f>
        <v>446</v>
      </c>
      <c r="AE47" s="52">
        <f>Elect!BA49</f>
        <v>800</v>
      </c>
      <c r="AF47" s="54">
        <f>('Wtr-Gas'!E49)*0.0038</f>
        <v>3095.7080000000001</v>
      </c>
      <c r="AG47" s="54">
        <f>('Wtr-Gas'!H49)*0.0038</f>
        <v>230.24199999999999</v>
      </c>
      <c r="AH47" s="54">
        <f>'Wtr-Gas'!K49*0.0038</f>
        <v>0.64600000000000002</v>
      </c>
      <c r="AI47" s="54">
        <f>'Wtr-Gas'!N49*0.0038</f>
        <v>2215.4</v>
      </c>
      <c r="AJ47" s="54">
        <f>'Wtr-Gas'!Q49*0.0038</f>
        <v>81.7</v>
      </c>
      <c r="AK47" s="57">
        <f>'Wtr-Gas'!U49*0.0038</f>
        <v>671.84</v>
      </c>
      <c r="AL47" s="57">
        <f>'Wtr-Gas'!X49*0.0038</f>
        <v>2356</v>
      </c>
      <c r="AM47" s="54">
        <f>'Wtr-Gas'!AB49*0.0038</f>
        <v>7790</v>
      </c>
      <c r="AN47" s="54">
        <f>'Wtr-Gas'!AD49*0.0038</f>
        <v>1901.4059999999999</v>
      </c>
      <c r="AO47" s="54">
        <f>'Wtr-Gas'!AF49*0.0038</f>
        <v>0.91200000000000003</v>
      </c>
      <c r="AP47" s="54">
        <f>'Wtr-Gas'!AH49*0.0038</f>
        <v>311.48599999999999</v>
      </c>
      <c r="AQ47" s="54">
        <f>'Wtr-Gas'!AJ49*0.0038</f>
        <v>18.973400000000002</v>
      </c>
      <c r="AR47" s="54">
        <f>'Wtr-Gas'!AL49*0.0038</f>
        <v>319.2</v>
      </c>
      <c r="AS47" s="54">
        <f>'Wtr-Gas'!AN49*0.0038</f>
        <v>0</v>
      </c>
      <c r="AT47" s="54">
        <f>'Wtr-Gas'!AP49*0.0038</f>
        <v>14.82</v>
      </c>
      <c r="AU47" s="57">
        <f>'Wtr-Gas'!AT49*0.0038</f>
        <v>0</v>
      </c>
      <c r="AV47" s="54">
        <f>'Wtr-Gas'!AW49*0.0038</f>
        <v>100.3048</v>
      </c>
      <c r="AW47" s="55">
        <f>'Wtr-Gas'!AY49*0.0038</f>
        <v>87.839545999999999</v>
      </c>
      <c r="AX47" s="54">
        <f>'Wtr-Gas'!AZ49*0.0038</f>
        <v>12.465254000000007</v>
      </c>
      <c r="AY47" s="54">
        <f>'Wtr-Gas'!BB49*0.0038</f>
        <v>1.52</v>
      </c>
      <c r="AZ47" s="54">
        <f>'Wtr-Gas'!BD49*0.0038</f>
        <v>0.76</v>
      </c>
      <c r="BA47" s="54">
        <f>'Wtr-Gas'!BF49*0.0038</f>
        <v>14.2728</v>
      </c>
    </row>
    <row r="48" spans="1:53" x14ac:dyDescent="0.25">
      <c r="A48" s="3" t="s">
        <v>11</v>
      </c>
      <c r="B48" s="2">
        <v>12</v>
      </c>
      <c r="C48" s="2">
        <v>10</v>
      </c>
      <c r="D48" s="2">
        <v>2020</v>
      </c>
      <c r="E48" s="52">
        <f>Elect!AK50</f>
        <v>477</v>
      </c>
      <c r="F48" s="52">
        <f>Elect!H50</f>
        <v>47680</v>
      </c>
      <c r="G48" s="52">
        <f>Elect!G50</f>
        <v>2.0499999999999998</v>
      </c>
      <c r="H48" s="52">
        <f>Elect!E50</f>
        <v>40800</v>
      </c>
      <c r="I48" s="52">
        <f>Elect!D50</f>
        <v>1.98</v>
      </c>
      <c r="J48" s="52">
        <f>Elect!T50</f>
        <v>72000</v>
      </c>
      <c r="K48" s="52">
        <f>Elect!S50</f>
        <v>2.3250000000000002</v>
      </c>
      <c r="L48" s="52">
        <f>Elect!AI50</f>
        <v>1600</v>
      </c>
      <c r="M48" s="52">
        <f>Elect!AH50</f>
        <v>0.34200000000000003</v>
      </c>
      <c r="N48" s="52">
        <f>Elect!W50</f>
        <v>73500</v>
      </c>
      <c r="O48" s="52">
        <f>Elect!V50</f>
        <v>2.129</v>
      </c>
      <c r="P48" s="52">
        <f>Elect!N50</f>
        <v>8400</v>
      </c>
      <c r="Q48" s="52">
        <f>Elect!M50</f>
        <v>1.88</v>
      </c>
      <c r="R48" s="52">
        <f>Elect!K50</f>
        <v>8800</v>
      </c>
      <c r="S48" s="52">
        <f>Elect!J50</f>
        <v>1.97</v>
      </c>
      <c r="T48" s="52">
        <f>Elect!Q50</f>
        <v>8800</v>
      </c>
      <c r="U48" s="52">
        <f>Elect!P50</f>
        <v>2.09</v>
      </c>
      <c r="V48" s="52">
        <f>Elect!Z50</f>
        <v>5760</v>
      </c>
      <c r="W48" s="52">
        <f>Elect!Y50</f>
        <v>3.05</v>
      </c>
      <c r="X48" s="52">
        <f>Elect!AC50</f>
        <v>2560</v>
      </c>
      <c r="Y48" s="52">
        <f>Elect!AB50</f>
        <v>2</v>
      </c>
      <c r="Z48" s="52">
        <f>Elect!AF50</f>
        <v>50000</v>
      </c>
      <c r="AA48" s="52">
        <f>Elect!AE50</f>
        <v>2.0489999999999999</v>
      </c>
      <c r="AB48" s="52">
        <f>Elect!AW50</f>
        <v>1900</v>
      </c>
      <c r="AC48" s="52">
        <f>Elect!AU50</f>
        <v>15200</v>
      </c>
      <c r="AD48" s="52">
        <f>Elect!AY50</f>
        <v>1016</v>
      </c>
      <c r="AE48" s="52">
        <f>Elect!BA50</f>
        <v>2360</v>
      </c>
      <c r="AF48" s="54">
        <f>('Wtr-Gas'!E50)*0.0038</f>
        <v>3736.8440000000001</v>
      </c>
      <c r="AG48" s="54">
        <f>('Wtr-Gas'!H50)*0.0038</f>
        <v>362.52</v>
      </c>
      <c r="AH48" s="54">
        <f>'Wtr-Gas'!K50*0.0038</f>
        <v>0.60799999999999998</v>
      </c>
      <c r="AI48" s="54">
        <f>'Wtr-Gas'!N50*0.0038</f>
        <v>2553.6</v>
      </c>
      <c r="AJ48" s="54">
        <f>'Wtr-Gas'!Q50*0.0038</f>
        <v>83.22</v>
      </c>
      <c r="AK48" s="57">
        <f>'Wtr-Gas'!U50*0.0038</f>
        <v>676.78</v>
      </c>
      <c r="AL48" s="57">
        <f>'Wtr-Gas'!X50*0.0038</f>
        <v>881.6</v>
      </c>
      <c r="AM48" s="54">
        <f>'Wtr-Gas'!AB50*0.0038</f>
        <v>9500</v>
      </c>
      <c r="AN48" s="54">
        <f>'Wtr-Gas'!AD50*0.0038</f>
        <v>1384.3019999999999</v>
      </c>
      <c r="AO48" s="54">
        <f>'Wtr-Gas'!AF50*0.0038</f>
        <v>0.874</v>
      </c>
      <c r="AP48" s="54">
        <f>'Wtr-Gas'!AH50*0.0038</f>
        <v>369.36</v>
      </c>
      <c r="AQ48" s="54">
        <f>'Wtr-Gas'!AJ50*0.0038</f>
        <v>30.02</v>
      </c>
      <c r="AR48" s="54">
        <f>'Wtr-Gas'!AL50*0.0038</f>
        <v>566.20000000000005</v>
      </c>
      <c r="AS48" s="54">
        <f>'Wtr-Gas'!AN50*0.0038</f>
        <v>0</v>
      </c>
      <c r="AT48" s="54">
        <f>'Wtr-Gas'!AP50*0.0038</f>
        <v>12.54</v>
      </c>
      <c r="AU48" s="57">
        <f>'Wtr-Gas'!AT50*0.0038</f>
        <v>0.4294</v>
      </c>
      <c r="AV48" s="54">
        <f>'Wtr-Gas'!AW50*0.0038</f>
        <v>192.0444</v>
      </c>
      <c r="AW48" s="55">
        <f>'Wtr-Gas'!AY50*0.0038</f>
        <v>159.53540000000001</v>
      </c>
      <c r="AX48" s="54">
        <f>'Wtr-Gas'!AZ50*0.0038</f>
        <v>32.509</v>
      </c>
      <c r="AY48" s="54">
        <f>'Wtr-Gas'!BB50*0.0038</f>
        <v>15.58</v>
      </c>
      <c r="AZ48" s="54">
        <f>'Wtr-Gas'!BD50*0.0038</f>
        <v>2.66</v>
      </c>
      <c r="BA48" s="54">
        <f>'Wtr-Gas'!BF50*0.0038</f>
        <v>31.418399999999998</v>
      </c>
    </row>
    <row r="49" spans="1:53" x14ac:dyDescent="0.25">
      <c r="A49" s="3" t="s">
        <v>11</v>
      </c>
      <c r="B49" s="2">
        <v>19</v>
      </c>
      <c r="C49" s="2">
        <v>10</v>
      </c>
      <c r="D49" s="2">
        <v>2020</v>
      </c>
      <c r="E49" s="52">
        <f>Elect!AK51</f>
        <v>476</v>
      </c>
      <c r="F49" s="52">
        <f>Elect!H51</f>
        <v>43840</v>
      </c>
      <c r="G49" s="52">
        <f>Elect!G51</f>
        <v>2.0499999999999998</v>
      </c>
      <c r="H49" s="52">
        <f>Elect!E51</f>
        <v>40640</v>
      </c>
      <c r="I49" s="52">
        <f>Elect!D51</f>
        <v>1.98</v>
      </c>
      <c r="J49" s="52">
        <f>Elect!T51</f>
        <v>60000</v>
      </c>
      <c r="K49" s="52">
        <f>Elect!S51</f>
        <v>2.3439999999999999</v>
      </c>
      <c r="L49" s="52">
        <f>Elect!AI51</f>
        <v>1640</v>
      </c>
      <c r="M49" s="52">
        <f>Elect!AH51</f>
        <v>0.34200000000000003</v>
      </c>
      <c r="N49" s="52">
        <f>Elect!W51</f>
        <v>68100</v>
      </c>
      <c r="O49" s="52">
        <f>Elect!V51</f>
        <v>2.2189999999999999</v>
      </c>
      <c r="P49" s="52">
        <f>Elect!N51</f>
        <v>8400</v>
      </c>
      <c r="Q49" s="52">
        <f>Elect!M51</f>
        <v>1.88</v>
      </c>
      <c r="R49" s="52">
        <f>Elect!K51</f>
        <v>8800</v>
      </c>
      <c r="S49" s="52">
        <f>Elect!J51</f>
        <v>1.91</v>
      </c>
      <c r="T49" s="52">
        <f>Elect!Q51</f>
        <v>9200</v>
      </c>
      <c r="U49" s="52">
        <f>Elect!P51</f>
        <v>2.09</v>
      </c>
      <c r="V49" s="52">
        <f>Elect!Z51</f>
        <v>5760</v>
      </c>
      <c r="W49" s="52">
        <f>Elect!Y51</f>
        <v>3.05</v>
      </c>
      <c r="X49" s="52">
        <f>Elect!AC51</f>
        <v>2880</v>
      </c>
      <c r="Y49" s="52">
        <f>Elect!AB51</f>
        <v>2.08</v>
      </c>
      <c r="Z49" s="52">
        <f>Elect!AF51</f>
        <v>47800</v>
      </c>
      <c r="AA49" s="52">
        <f>Elect!AE51</f>
        <v>2.0489999999999999</v>
      </c>
      <c r="AB49" s="52">
        <f>Elect!AW51</f>
        <v>1900</v>
      </c>
      <c r="AC49" s="52">
        <f>Elect!AU51</f>
        <v>14200</v>
      </c>
      <c r="AD49" s="52">
        <f>Elect!AY51</f>
        <v>993</v>
      </c>
      <c r="AE49" s="52">
        <f>Elect!BA51</f>
        <v>2760</v>
      </c>
      <c r="AF49" s="54">
        <f>('Wtr-Gas'!E51)*0.0038</f>
        <v>4047.4180000000001</v>
      </c>
      <c r="AG49" s="54">
        <f>('Wtr-Gas'!H51)*0.0038</f>
        <v>455.96199999999999</v>
      </c>
      <c r="AH49" s="54">
        <f>'Wtr-Gas'!K51*0.0038</f>
        <v>0.60799999999999998</v>
      </c>
      <c r="AI49" s="54">
        <f>'Wtr-Gas'!N51*0.0038</f>
        <v>2766.4</v>
      </c>
      <c r="AJ49" s="54">
        <f>'Wtr-Gas'!Q51*0.0038</f>
        <v>84.36</v>
      </c>
      <c r="AK49" s="57">
        <f>'Wtr-Gas'!U51*0.0038</f>
        <v>688.56</v>
      </c>
      <c r="AL49" s="57">
        <f>'Wtr-Gas'!X51*0.0038</f>
        <v>1235</v>
      </c>
      <c r="AM49" s="54">
        <f>'Wtr-Gas'!AB51*0.0038</f>
        <v>10450</v>
      </c>
      <c r="AN49" s="54">
        <f>'Wtr-Gas'!AD51*0.0038</f>
        <v>3386.7439199999999</v>
      </c>
      <c r="AO49" s="54">
        <f>'Wtr-Gas'!AF51*0.0038</f>
        <v>5.5860000000000003</v>
      </c>
      <c r="AP49" s="54">
        <f>'Wtr-Gas'!AH51*0.0038</f>
        <v>407.39800000000002</v>
      </c>
      <c r="AQ49" s="54">
        <f>'Wtr-Gas'!AJ51*0.0038</f>
        <v>31.832599999999999</v>
      </c>
      <c r="AR49" s="54">
        <f>'Wtr-Gas'!AL51*0.0038</f>
        <v>642.20000000000005</v>
      </c>
      <c r="AS49" s="54">
        <f>'Wtr-Gas'!AN51*0.0038</f>
        <v>0</v>
      </c>
      <c r="AT49" s="54">
        <f>'Wtr-Gas'!AP51*0.0038</f>
        <v>22.8</v>
      </c>
      <c r="AU49" s="57">
        <f>'Wtr-Gas'!AT51*0.0038</f>
        <v>0.31919999999999998</v>
      </c>
      <c r="AV49" s="54">
        <f>'Wtr-Gas'!AW51*0.0038</f>
        <v>199.00219999999999</v>
      </c>
      <c r="AW49" s="55">
        <f>'Wtr-Gas'!AY51*0.0038</f>
        <v>151.8176</v>
      </c>
      <c r="AX49" s="54">
        <f>'Wtr-Gas'!AZ51*0.0038</f>
        <v>47.184600000000003</v>
      </c>
      <c r="AY49" s="54">
        <f>'Wtr-Gas'!BB51*0.0038</f>
        <v>8.74</v>
      </c>
      <c r="AZ49" s="54">
        <f>'Wtr-Gas'!BD51*0.0038</f>
        <v>2.66</v>
      </c>
      <c r="BA49" s="54">
        <f>'Wtr-Gas'!BF51*0.0038</f>
        <v>613.90520000000004</v>
      </c>
    </row>
    <row r="50" spans="1:53" x14ac:dyDescent="0.25">
      <c r="A50" s="3" t="s">
        <v>11</v>
      </c>
      <c r="B50" s="2">
        <v>26</v>
      </c>
      <c r="C50" s="2">
        <v>10</v>
      </c>
      <c r="D50" s="2">
        <v>2020</v>
      </c>
      <c r="E50" s="52">
        <f>Elect!AK52</f>
        <v>493</v>
      </c>
      <c r="F50" s="52">
        <f>Elect!H52</f>
        <v>43840</v>
      </c>
      <c r="G50" s="52">
        <f>Elect!G52</f>
        <v>2.0219999999999998</v>
      </c>
      <c r="H50" s="52">
        <f>Elect!E52</f>
        <v>39360</v>
      </c>
      <c r="I50" s="52">
        <f>Elect!D52</f>
        <v>1.9039999999999999</v>
      </c>
      <c r="J50" s="52">
        <f>Elect!T52</f>
        <v>71100</v>
      </c>
      <c r="K50" s="52">
        <f>Elect!S52</f>
        <v>2.121</v>
      </c>
      <c r="L50" s="52">
        <f>Elect!AI52</f>
        <v>1520</v>
      </c>
      <c r="M50" s="52">
        <f>Elect!AH52</f>
        <v>0.308</v>
      </c>
      <c r="N50" s="52">
        <f>Elect!W52</f>
        <v>57300</v>
      </c>
      <c r="O50" s="52">
        <f>Elect!V52</f>
        <v>0.751</v>
      </c>
      <c r="P50" s="52">
        <f>Elect!N52</f>
        <v>8000</v>
      </c>
      <c r="Q50" s="52">
        <f>Elect!M52</f>
        <v>1.51</v>
      </c>
      <c r="R50" s="52">
        <f>Elect!K52</f>
        <v>8000</v>
      </c>
      <c r="S50" s="52">
        <f>Elect!J52</f>
        <v>1.48</v>
      </c>
      <c r="T50" s="52">
        <f>Elect!Q52</f>
        <v>8400</v>
      </c>
      <c r="U50" s="52">
        <f>Elect!P52</f>
        <v>1.76</v>
      </c>
      <c r="V50" s="52">
        <f>Elect!Z52</f>
        <v>5760</v>
      </c>
      <c r="W50" s="52">
        <f>Elect!Y52</f>
        <v>2.73</v>
      </c>
      <c r="X50" s="52">
        <f>Elect!AC52</f>
        <v>2720</v>
      </c>
      <c r="Y50" s="52">
        <f>Elect!AB52</f>
        <v>1.69</v>
      </c>
      <c r="Z50" s="52">
        <f>Elect!AF52</f>
        <v>47800</v>
      </c>
      <c r="AA50" s="52">
        <f>Elect!AE52</f>
        <v>1.8540000000000001</v>
      </c>
      <c r="AB50" s="52">
        <f>Elect!AW52</f>
        <v>1800</v>
      </c>
      <c r="AC50" s="52">
        <f>Elect!AU52</f>
        <v>14600</v>
      </c>
      <c r="AD50" s="52">
        <f>Elect!AY52</f>
        <v>908</v>
      </c>
      <c r="AE50" s="52">
        <f>Elect!BA52</f>
        <v>1080</v>
      </c>
      <c r="AF50" s="54">
        <f>('Wtr-Gas'!E52)*0.0038</f>
        <v>4066.4180000000001</v>
      </c>
      <c r="AG50" s="54">
        <f>('Wtr-Gas'!H52)*0.0038</f>
        <v>285.03800000000001</v>
      </c>
      <c r="AH50" s="54">
        <f>'Wtr-Gas'!K52*0.0038</f>
        <v>0.60799999999999998</v>
      </c>
      <c r="AI50" s="54">
        <f>'Wtr-Gas'!N52*0.0038</f>
        <v>2576.4</v>
      </c>
      <c r="AJ50" s="54">
        <f>'Wtr-Gas'!Q52*0.0038</f>
        <v>83.6</v>
      </c>
      <c r="AK50" s="57">
        <f>'Wtr-Gas'!U52*0.0038</f>
        <v>644.86</v>
      </c>
      <c r="AL50" s="57">
        <f>'Wtr-Gas'!X52*0.0038</f>
        <v>2025.4</v>
      </c>
      <c r="AM50" s="54">
        <f>'Wtr-Gas'!AB52*0.0038</f>
        <v>9766</v>
      </c>
      <c r="AN50" s="54">
        <f>'Wtr-Gas'!AD52*0.0038</f>
        <v>3089.7708800000005</v>
      </c>
      <c r="AO50" s="54">
        <f>'Wtr-Gas'!AF52*0.0038</f>
        <v>4.0279999999999996</v>
      </c>
      <c r="AP50" s="54">
        <f>'Wtr-Gas'!AH52*0.0038</f>
        <v>706.76199999999994</v>
      </c>
      <c r="AQ50" s="54">
        <f>'Wtr-Gas'!AJ52*0.0038</f>
        <v>39.687199999999997</v>
      </c>
      <c r="AR50" s="54">
        <f>'Wtr-Gas'!AL52*0.0038</f>
        <v>532</v>
      </c>
      <c r="AS50" s="54">
        <f>'Wtr-Gas'!AN52*0.0038</f>
        <v>3.8</v>
      </c>
      <c r="AT50" s="54">
        <f>'Wtr-Gas'!AP52*0.0038</f>
        <v>13.68</v>
      </c>
      <c r="AU50" s="57">
        <f>'Wtr-Gas'!AT52*0.0038</f>
        <v>0.437</v>
      </c>
      <c r="AV50" s="54">
        <f>'Wtr-Gas'!AW52*0.0038</f>
        <v>192.4434</v>
      </c>
      <c r="AW50" s="55">
        <f>'Wtr-Gas'!AY52*0.0038</f>
        <v>153.15759399999999</v>
      </c>
      <c r="AX50" s="54">
        <f>'Wtr-Gas'!AZ52*0.0038</f>
        <v>39.285806000000008</v>
      </c>
      <c r="AY50" s="54">
        <f>'Wtr-Gas'!BB52*0.0038</f>
        <v>20.9</v>
      </c>
      <c r="AZ50" s="54">
        <f>'Wtr-Gas'!BD52*0.0038</f>
        <v>2.66</v>
      </c>
      <c r="BA50" s="54">
        <f>'Wtr-Gas'!BF52*0.0038</f>
        <v>34.431800000000003</v>
      </c>
    </row>
    <row r="51" spans="1:53" x14ac:dyDescent="0.25">
      <c r="A51" s="3" t="s">
        <v>11</v>
      </c>
      <c r="B51" s="2">
        <v>1</v>
      </c>
      <c r="C51" s="2">
        <v>11</v>
      </c>
      <c r="D51" s="2">
        <v>2020</v>
      </c>
      <c r="E51" s="52">
        <f>Elect!AK53</f>
        <v>504</v>
      </c>
      <c r="F51" s="52">
        <f>Elect!H53</f>
        <v>42880</v>
      </c>
      <c r="G51" s="52">
        <f>Elect!G53</f>
        <v>2.0219999999999998</v>
      </c>
      <c r="H51" s="52">
        <f>Elect!E53</f>
        <v>39040</v>
      </c>
      <c r="I51" s="52">
        <f>Elect!D53</f>
        <v>1.9039999999999999</v>
      </c>
      <c r="J51" s="52">
        <f>Elect!T53</f>
        <v>53700</v>
      </c>
      <c r="K51" s="52">
        <f>Elect!S53</f>
        <v>2.2050000000000001</v>
      </c>
      <c r="L51" s="52">
        <f>Elect!AI53</f>
        <v>1600</v>
      </c>
      <c r="M51" s="52">
        <f>Elect!AH53</f>
        <v>0.317</v>
      </c>
      <c r="N51" s="52">
        <f>Elect!W53</f>
        <v>56700</v>
      </c>
      <c r="O51" s="52">
        <f>Elect!V53</f>
        <v>1.885</v>
      </c>
      <c r="P51" s="52">
        <f>Elect!N53</f>
        <v>8000</v>
      </c>
      <c r="Q51" s="52">
        <f>Elect!M53</f>
        <v>1.51</v>
      </c>
      <c r="R51" s="52">
        <f>Elect!K53</f>
        <v>7600</v>
      </c>
      <c r="S51" s="52">
        <f>Elect!J53</f>
        <v>1.5</v>
      </c>
      <c r="T51" s="52">
        <f>Elect!Q53</f>
        <v>8000</v>
      </c>
      <c r="U51" s="52">
        <f>Elect!P53</f>
        <v>1.76</v>
      </c>
      <c r="V51" s="52">
        <f>Elect!Z53</f>
        <v>5440</v>
      </c>
      <c r="W51" s="52">
        <f>Elect!Y53</f>
        <v>2.96</v>
      </c>
      <c r="X51" s="52">
        <f>Elect!AC53</f>
        <v>2400</v>
      </c>
      <c r="Y51" s="52">
        <f>Elect!AB53</f>
        <v>1.69</v>
      </c>
      <c r="Z51" s="52">
        <f>Elect!AF53</f>
        <v>48000</v>
      </c>
      <c r="AA51" s="52">
        <f>Elect!AE53</f>
        <v>1.976</v>
      </c>
      <c r="AB51" s="52">
        <f>Elect!AW53</f>
        <v>1500</v>
      </c>
      <c r="AC51" s="52">
        <f>Elect!AU53</f>
        <v>11900</v>
      </c>
      <c r="AD51" s="52">
        <f>Elect!AY53</f>
        <v>761</v>
      </c>
      <c r="AE51" s="52">
        <f>Elect!BA53</f>
        <v>2080</v>
      </c>
      <c r="AF51" s="54">
        <f>('Wtr-Gas'!E53)*0.0038</f>
        <v>3543.2339999999999</v>
      </c>
      <c r="AG51" s="54">
        <f>('Wtr-Gas'!H53)*0.0038</f>
        <v>360.50599999999997</v>
      </c>
      <c r="AH51" s="54">
        <f>'Wtr-Gas'!K53*0.0038</f>
        <v>0.64600000000000002</v>
      </c>
      <c r="AI51" s="54">
        <f>'Wtr-Gas'!N53*0.0038</f>
        <v>2302.8000000000002</v>
      </c>
      <c r="AJ51" s="54">
        <f>'Wtr-Gas'!Q53*0.0038</f>
        <v>68.02</v>
      </c>
      <c r="AK51" s="57">
        <f>'Wtr-Gas'!U53*0.0038</f>
        <v>590.14</v>
      </c>
      <c r="AL51" s="57">
        <f>'Wtr-Gas'!X53*0.0038</f>
        <v>2029.2</v>
      </c>
      <c r="AM51" s="54">
        <f>'Wtr-Gas'!AB53*0.0038</f>
        <v>8664</v>
      </c>
      <c r="AN51" s="54">
        <f>'Wtr-Gas'!AD53*0.0038</f>
        <v>2149.0865799999997</v>
      </c>
      <c r="AO51" s="54">
        <f>'Wtr-Gas'!AF53*0.0038</f>
        <v>12.311999999999999</v>
      </c>
      <c r="AP51" s="54">
        <f>'Wtr-Gas'!AH53*0.0038</f>
        <v>391.89400000000001</v>
      </c>
      <c r="AQ51" s="54">
        <f>'Wtr-Gas'!AJ53*0.0038</f>
        <v>42.575200000000002</v>
      </c>
      <c r="AR51" s="54">
        <f>'Wtr-Gas'!AL53*0.0038</f>
        <v>623.20000000000005</v>
      </c>
      <c r="AS51" s="54">
        <f>'Wtr-Gas'!AN53*0.0038</f>
        <v>0</v>
      </c>
      <c r="AT51" s="54">
        <f>'Wtr-Gas'!AP53*0.0038</f>
        <v>12.16</v>
      </c>
      <c r="AU51" s="57">
        <f>'Wtr-Gas'!AT53*0.0038</f>
        <v>0.22420000000000001</v>
      </c>
      <c r="AV51" s="54">
        <f>'Wtr-Gas'!AW53*0.0038</f>
        <v>164.8022</v>
      </c>
      <c r="AW51" s="55">
        <f>'Wtr-Gas'!AY53*0.0038</f>
        <v>137.69341800000001</v>
      </c>
      <c r="AX51" s="54">
        <f>'Wtr-Gas'!AZ53*0.0038</f>
        <v>27.108781999999998</v>
      </c>
      <c r="AY51" s="54">
        <f>'Wtr-Gas'!BB53*0.0038</f>
        <v>8.74</v>
      </c>
      <c r="AZ51" s="54">
        <f>'Wtr-Gas'!BD53*0.0038</f>
        <v>2.66</v>
      </c>
      <c r="BA51" s="54">
        <f>'Wtr-Gas'!BF53*0.0038</f>
        <v>370.13139999999999</v>
      </c>
    </row>
    <row r="52" spans="1:53" x14ac:dyDescent="0.25">
      <c r="A52" s="3" t="s">
        <v>11</v>
      </c>
      <c r="B52" s="2">
        <v>2</v>
      </c>
      <c r="C52" s="2">
        <v>11</v>
      </c>
      <c r="D52" s="2">
        <v>2020</v>
      </c>
      <c r="E52" s="52">
        <f>Elect!AK54</f>
        <v>0</v>
      </c>
      <c r="F52" s="52">
        <f>Elect!H54</f>
        <v>0</v>
      </c>
      <c r="G52" s="52">
        <f>Elect!G54</f>
        <v>2.0219999999999998</v>
      </c>
      <c r="H52" s="52">
        <f>Elect!E54</f>
        <v>0</v>
      </c>
      <c r="I52" s="52">
        <f>Elect!D54</f>
        <v>1.9039999999999999</v>
      </c>
      <c r="J52" s="52">
        <f>Elect!T54</f>
        <v>0</v>
      </c>
      <c r="K52" s="52">
        <f>Elect!S54</f>
        <v>2.2050000000000001</v>
      </c>
      <c r="L52" s="52">
        <f>Elect!AI54</f>
        <v>0</v>
      </c>
      <c r="M52" s="52">
        <f>Elect!AH54</f>
        <v>0.317</v>
      </c>
      <c r="N52" s="52">
        <f>Elect!W54</f>
        <v>0</v>
      </c>
      <c r="O52" s="52">
        <f>Elect!V54</f>
        <v>1.885</v>
      </c>
      <c r="P52" s="52">
        <f>Elect!N54</f>
        <v>0</v>
      </c>
      <c r="Q52" s="52">
        <f>Elect!M54</f>
        <v>1.51</v>
      </c>
      <c r="R52" s="52">
        <f>Elect!K54</f>
        <v>0</v>
      </c>
      <c r="S52" s="52">
        <f>Elect!J54</f>
        <v>1.5</v>
      </c>
      <c r="T52" s="52">
        <f>Elect!Q54</f>
        <v>0</v>
      </c>
      <c r="U52" s="52">
        <f>Elect!P54</f>
        <v>1.76</v>
      </c>
      <c r="V52" s="52">
        <f>Elect!Z54</f>
        <v>0</v>
      </c>
      <c r="W52" s="52">
        <f>Elect!Y54</f>
        <v>2.96</v>
      </c>
      <c r="X52" s="52">
        <f>Elect!AC54</f>
        <v>0</v>
      </c>
      <c r="Y52" s="52">
        <f>Elect!AB54</f>
        <v>1.69</v>
      </c>
      <c r="Z52" s="52">
        <f>Elect!AF54</f>
        <v>0</v>
      </c>
      <c r="AA52" s="52">
        <f>Elect!AE54</f>
        <v>1.976</v>
      </c>
      <c r="AB52" s="52">
        <f>Elect!AW54</f>
        <v>0</v>
      </c>
      <c r="AC52" s="52">
        <f>Elect!AU54</f>
        <v>0</v>
      </c>
      <c r="AD52" s="52">
        <f>Elect!AY54</f>
        <v>0</v>
      </c>
      <c r="AE52" s="52">
        <f>Elect!BA54</f>
        <v>0</v>
      </c>
      <c r="AF52" s="54">
        <f>('Wtr-Gas'!E54)*0.0038</f>
        <v>0</v>
      </c>
      <c r="AG52" s="54">
        <f>('Wtr-Gas'!H54)*0.0038</f>
        <v>0</v>
      </c>
      <c r="AH52" s="54">
        <f>'Wtr-Gas'!K54*0.0038</f>
        <v>0</v>
      </c>
      <c r="AI52" s="54">
        <f>'Wtr-Gas'!N54*0.0038</f>
        <v>0</v>
      </c>
      <c r="AJ52" s="54">
        <f>'Wtr-Gas'!Q54*0.0038</f>
        <v>0</v>
      </c>
      <c r="AK52" s="57">
        <f>'Wtr-Gas'!U54*0.0038</f>
        <v>0</v>
      </c>
      <c r="AL52" s="57">
        <f>'Wtr-Gas'!X54*0.0038</f>
        <v>0</v>
      </c>
      <c r="AM52" s="54">
        <f>'Wtr-Gas'!AB54*0.0038</f>
        <v>0</v>
      </c>
      <c r="AN52" s="54">
        <f>'Wtr-Gas'!AD54*0.0038</f>
        <v>0</v>
      </c>
      <c r="AO52" s="54">
        <f>'Wtr-Gas'!AF54*0.0038</f>
        <v>0</v>
      </c>
      <c r="AP52" s="54">
        <f>'Wtr-Gas'!AH54*0.0038</f>
        <v>0</v>
      </c>
      <c r="AQ52" s="54">
        <f>'Wtr-Gas'!AJ54*0.0038</f>
        <v>0</v>
      </c>
      <c r="AR52" s="54">
        <f>'Wtr-Gas'!AL54*0.0038</f>
        <v>0</v>
      </c>
      <c r="AS52" s="54">
        <f>'Wtr-Gas'!AN54*0.0038</f>
        <v>0</v>
      </c>
      <c r="AT52" s="54">
        <f>'Wtr-Gas'!AP54*0.0038</f>
        <v>0</v>
      </c>
      <c r="AU52" s="57">
        <f>'Wtr-Gas'!AT54*0.0038</f>
        <v>0</v>
      </c>
      <c r="AV52" s="54">
        <f>'Wtr-Gas'!AW54*0.0038</f>
        <v>0</v>
      </c>
      <c r="AW52" s="55">
        <f>'Wtr-Gas'!AY54*0.0038</f>
        <v>0</v>
      </c>
      <c r="AX52" s="54">
        <f>'Wtr-Gas'!AZ54*0.0038</f>
        <v>0</v>
      </c>
      <c r="AY52" s="54">
        <f>'Wtr-Gas'!BB54*0.0038</f>
        <v>0</v>
      </c>
      <c r="AZ52" s="54">
        <f>'Wtr-Gas'!BD54*0.0038</f>
        <v>0</v>
      </c>
      <c r="BA52" s="54">
        <f>'Wtr-Gas'!BF54*0.0038</f>
        <v>0</v>
      </c>
    </row>
    <row r="53" spans="1:53" x14ac:dyDescent="0.25">
      <c r="A53" s="3" t="s">
        <v>11</v>
      </c>
      <c r="B53" s="2">
        <v>9</v>
      </c>
      <c r="C53" s="2">
        <v>11</v>
      </c>
      <c r="D53" s="2">
        <v>2020</v>
      </c>
      <c r="E53" s="52">
        <f>Elect!AK55</f>
        <v>504</v>
      </c>
      <c r="F53" s="52">
        <f>Elect!H55</f>
        <v>43200</v>
      </c>
      <c r="G53" s="52">
        <f>Elect!G55</f>
        <v>2.0219999999999998</v>
      </c>
      <c r="H53" s="52">
        <f>Elect!E55</f>
        <v>40000</v>
      </c>
      <c r="I53" s="52">
        <f>Elect!D55</f>
        <v>1.925</v>
      </c>
      <c r="J53" s="52">
        <f>Elect!T55</f>
        <v>61500</v>
      </c>
      <c r="K53" s="52">
        <f>Elect!S55</f>
        <v>2.2050000000000001</v>
      </c>
      <c r="L53" s="52">
        <f>Elect!AI55</f>
        <v>1520</v>
      </c>
      <c r="M53" s="52">
        <f>Elect!AH55</f>
        <v>0.317</v>
      </c>
      <c r="N53" s="52">
        <f>Elect!W55</f>
        <v>34800</v>
      </c>
      <c r="O53" s="52">
        <f>Elect!V55</f>
        <v>2.036</v>
      </c>
      <c r="P53" s="52">
        <f>Elect!N55</f>
        <v>8800</v>
      </c>
      <c r="Q53" s="52">
        <f>Elect!M55</f>
        <v>1.63</v>
      </c>
      <c r="R53" s="52">
        <f>Elect!K55</f>
        <v>8000</v>
      </c>
      <c r="S53" s="52">
        <f>Elect!J55</f>
        <v>1.9</v>
      </c>
      <c r="T53" s="52">
        <f>Elect!Q55</f>
        <v>8000</v>
      </c>
      <c r="U53" s="52">
        <f>Elect!P55</f>
        <v>1.77</v>
      </c>
      <c r="V53" s="52">
        <f>Elect!Z55</f>
        <v>5440</v>
      </c>
      <c r="W53" s="52">
        <f>Elect!Y55</f>
        <v>3.12</v>
      </c>
      <c r="X53" s="52">
        <f>Elect!AC55</f>
        <v>2560</v>
      </c>
      <c r="Y53" s="52">
        <f>Elect!AB55</f>
        <v>1.69</v>
      </c>
      <c r="Z53" s="52">
        <f>Elect!AF55</f>
        <v>46000</v>
      </c>
      <c r="AA53" s="52">
        <f>Elect!AE55</f>
        <v>1.9890000000000001</v>
      </c>
      <c r="AB53" s="52">
        <f>Elect!AW55</f>
        <v>2000</v>
      </c>
      <c r="AC53" s="52">
        <f>Elect!AU55</f>
        <v>13400</v>
      </c>
      <c r="AD53" s="52">
        <f>Elect!AY55</f>
        <v>1030</v>
      </c>
      <c r="AE53" s="52">
        <f>Elect!BA55</f>
        <v>8040</v>
      </c>
      <c r="AF53" s="54">
        <f>('Wtr-Gas'!E55)*0.0038</f>
        <v>3290.306</v>
      </c>
      <c r="AG53" s="54">
        <f>('Wtr-Gas'!H55)*0.0038</f>
        <v>489.70600000000002</v>
      </c>
      <c r="AH53" s="54">
        <f>'Wtr-Gas'!K55*0.0038</f>
        <v>0.64600000000000002</v>
      </c>
      <c r="AI53" s="54">
        <f>'Wtr-Gas'!N55*0.0038</f>
        <v>2048.1999999999998</v>
      </c>
      <c r="AJ53" s="54">
        <f>'Wtr-Gas'!Q55*0.0038</f>
        <v>68.78</v>
      </c>
      <c r="AK53" s="57">
        <f>'Wtr-Gas'!U55*0.0038</f>
        <v>659.3</v>
      </c>
      <c r="AL53" s="57">
        <f>'Wtr-Gas'!X55*0.0038</f>
        <v>4647.3999999999996</v>
      </c>
      <c r="AM53" s="54">
        <f>'Wtr-Gas'!AB55*0.0038</f>
        <v>5966</v>
      </c>
      <c r="AN53" s="54">
        <f>'Wtr-Gas'!AD55*0.0038</f>
        <v>680.51996000000008</v>
      </c>
      <c r="AO53" s="54">
        <f>'Wtr-Gas'!AF55*0.0038</f>
        <v>4.9020000000000001</v>
      </c>
      <c r="AP53" s="54">
        <f>'Wtr-Gas'!AH55*0.0038</f>
        <v>387.63799999999998</v>
      </c>
      <c r="AQ53" s="54">
        <f>'Wtr-Gas'!AJ55*0.0038</f>
        <v>37.2438</v>
      </c>
      <c r="AR53" s="54">
        <f>'Wtr-Gas'!AL55*0.0038</f>
        <v>668.8</v>
      </c>
      <c r="AS53" s="54">
        <f>'Wtr-Gas'!AN55*0.0038</f>
        <v>0</v>
      </c>
      <c r="AT53" s="54">
        <f>'Wtr-Gas'!AP55*0.0038</f>
        <v>3.42</v>
      </c>
      <c r="AU53" s="57">
        <f>'Wtr-Gas'!AT55*0.0038</f>
        <v>0.27739999999999998</v>
      </c>
      <c r="AV53" s="54">
        <f>'Wtr-Gas'!AW55*0.0038</f>
        <v>201.8142</v>
      </c>
      <c r="AW53" s="55">
        <f>'Wtr-Gas'!AY55*0.0038</f>
        <v>174.33982</v>
      </c>
      <c r="AX53" s="54">
        <f>'Wtr-Gas'!AZ55*0.0038</f>
        <v>27.474379999999993</v>
      </c>
      <c r="AY53" s="54">
        <f>'Wtr-Gas'!BB55*0.0038</f>
        <v>6.46</v>
      </c>
      <c r="AZ53" s="54">
        <f>'Wtr-Gas'!BD55*0.0038</f>
        <v>3.42</v>
      </c>
      <c r="BA53" s="54">
        <f>'Wtr-Gas'!BF55*0.0038</f>
        <v>2219.3519999999999</v>
      </c>
    </row>
    <row r="54" spans="1:53" x14ac:dyDescent="0.25">
      <c r="A54" s="3" t="s">
        <v>11</v>
      </c>
      <c r="B54" s="2">
        <v>16</v>
      </c>
      <c r="C54" s="2">
        <v>11</v>
      </c>
      <c r="D54" s="2">
        <v>2020</v>
      </c>
      <c r="E54" s="52">
        <f>Elect!AK56</f>
        <v>508</v>
      </c>
      <c r="F54" s="52">
        <f>Elect!H56</f>
        <v>43360</v>
      </c>
      <c r="G54" s="52">
        <f>Elect!G56</f>
        <v>2.0219999999999998</v>
      </c>
      <c r="H54" s="52">
        <f>Elect!E56</f>
        <v>39360</v>
      </c>
      <c r="I54" s="52">
        <f>Elect!D56</f>
        <v>1.925</v>
      </c>
      <c r="J54" s="52">
        <f>Elect!T56</f>
        <v>53700</v>
      </c>
      <c r="K54" s="52">
        <f>Elect!S56</f>
        <v>2.3759999999999999</v>
      </c>
      <c r="L54" s="52">
        <f>Elect!AI56</f>
        <v>1520</v>
      </c>
      <c r="M54" s="52">
        <f>Elect!AH56</f>
        <v>0.317</v>
      </c>
      <c r="N54" s="52">
        <f>Elect!W56</f>
        <v>70500</v>
      </c>
      <c r="O54" s="52">
        <f>Elect!V56</f>
        <v>2.036</v>
      </c>
      <c r="P54" s="52">
        <f>Elect!N56</f>
        <v>8000</v>
      </c>
      <c r="Q54" s="52">
        <f>Elect!M56</f>
        <v>1.63</v>
      </c>
      <c r="R54" s="52">
        <f>Elect!K56</f>
        <v>8400</v>
      </c>
      <c r="S54" s="52">
        <f>Elect!J56</f>
        <v>1.9</v>
      </c>
      <c r="T54" s="52">
        <f>Elect!Q56</f>
        <v>8000</v>
      </c>
      <c r="U54" s="52">
        <f>Elect!P56</f>
        <v>1.77</v>
      </c>
      <c r="V54" s="52">
        <f>Elect!Z56</f>
        <v>5280</v>
      </c>
      <c r="W54" s="52">
        <f>Elect!Y56</f>
        <v>3.12</v>
      </c>
      <c r="X54" s="52">
        <f>Elect!AC56</f>
        <v>2560</v>
      </c>
      <c r="Y54" s="52">
        <f>Elect!AB56</f>
        <v>1.74</v>
      </c>
      <c r="Z54" s="52">
        <f>Elect!AF56</f>
        <v>49600</v>
      </c>
      <c r="AA54" s="52">
        <f>Elect!AE56</f>
        <v>2.0379999999999998</v>
      </c>
      <c r="AB54" s="52">
        <f>Elect!AW56</f>
        <v>1900</v>
      </c>
      <c r="AC54" s="52">
        <f>Elect!AU56</f>
        <v>16200</v>
      </c>
      <c r="AD54" s="52">
        <f>Elect!AY56</f>
        <v>860</v>
      </c>
      <c r="AE54" s="52">
        <f>Elect!BA56</f>
        <v>1880</v>
      </c>
      <c r="AF54" s="54">
        <f>('Wtr-Gas'!E56)*0.0038</f>
        <v>3075.1880000000001</v>
      </c>
      <c r="AG54" s="54">
        <f>('Wtr-Gas'!H56)*0.0038</f>
        <v>237.994</v>
      </c>
      <c r="AH54" s="54">
        <f>'Wtr-Gas'!K56*0.0038</f>
        <v>0.64600000000000002</v>
      </c>
      <c r="AI54" s="54">
        <f>'Wtr-Gas'!N56*0.0038</f>
        <v>2223</v>
      </c>
      <c r="AJ54" s="54">
        <f>'Wtr-Gas'!Q56*0.0038</f>
        <v>70.680000000000007</v>
      </c>
      <c r="AK54" s="57">
        <f>'Wtr-Gas'!U56*0.0038</f>
        <v>669.56</v>
      </c>
      <c r="AL54" s="57">
        <f>'Wtr-Gas'!X56*0.0038</f>
        <v>2663.8</v>
      </c>
      <c r="AM54" s="54">
        <f>'Wtr-Gas'!AB56*0.0038</f>
        <v>8550</v>
      </c>
      <c r="AN54" s="54">
        <f>'Wtr-Gas'!AD56*0.0038</f>
        <v>1967.8999200000001</v>
      </c>
      <c r="AO54" s="54">
        <f>'Wtr-Gas'!AF56*0.0038</f>
        <v>1.216</v>
      </c>
      <c r="AP54" s="54">
        <f>'Wtr-Gas'!AH56*0.0038</f>
        <v>386.23199999999997</v>
      </c>
      <c r="AQ54" s="54">
        <f>'Wtr-Gas'!AJ56*0.0038</f>
        <v>14.7934</v>
      </c>
      <c r="AR54" s="54">
        <f>'Wtr-Gas'!AL56*0.0038</f>
        <v>345.8</v>
      </c>
      <c r="AS54" s="54">
        <f>'Wtr-Gas'!AN56*0.0038</f>
        <v>0.60419999999999996</v>
      </c>
      <c r="AT54" s="54">
        <f>'Wtr-Gas'!AP56*0.0038</f>
        <v>3.8</v>
      </c>
      <c r="AU54" s="57">
        <f>'Wtr-Gas'!AT56*0.0038</f>
        <v>0.37240000000000001</v>
      </c>
      <c r="AV54" s="54">
        <f>'Wtr-Gas'!AW56*0.0038</f>
        <v>211.0026</v>
      </c>
      <c r="AW54" s="55">
        <f>'Wtr-Gas'!AY56*0.0038</f>
        <v>175.5866</v>
      </c>
      <c r="AX54" s="54">
        <f>'Wtr-Gas'!AZ56*0.0038</f>
        <v>35.417139999999996</v>
      </c>
      <c r="AY54" s="54">
        <f>'Wtr-Gas'!BB56*0.0038</f>
        <v>6.84</v>
      </c>
      <c r="AZ54" s="54">
        <f>'Wtr-Gas'!BD56*0.0038</f>
        <v>2.66</v>
      </c>
      <c r="BA54" s="54">
        <f>'Wtr-Gas'!BF56*0.0038</f>
        <v>35.298200000000001</v>
      </c>
    </row>
    <row r="55" spans="1:53" x14ac:dyDescent="0.25">
      <c r="A55" s="3" t="s">
        <v>11</v>
      </c>
      <c r="B55" s="2">
        <v>23</v>
      </c>
      <c r="C55" s="2">
        <v>11</v>
      </c>
      <c r="D55" s="2">
        <v>2020</v>
      </c>
      <c r="E55" s="52">
        <f>Elect!AK57</f>
        <v>0</v>
      </c>
      <c r="F55" s="52">
        <f>Elect!H57</f>
        <v>0</v>
      </c>
      <c r="G55" s="52">
        <f>Elect!G57</f>
        <v>0</v>
      </c>
      <c r="H55" s="52">
        <f>Elect!E57</f>
        <v>0</v>
      </c>
      <c r="I55" s="52">
        <f>Elect!D57</f>
        <v>0</v>
      </c>
      <c r="J55" s="52">
        <f>Elect!T57</f>
        <v>0</v>
      </c>
      <c r="K55" s="52">
        <f>Elect!S57</f>
        <v>0</v>
      </c>
      <c r="L55" s="52">
        <f>Elect!AI57</f>
        <v>0</v>
      </c>
      <c r="M55" s="52">
        <f>Elect!AH57</f>
        <v>0</v>
      </c>
      <c r="N55" s="52">
        <f>Elect!W57</f>
        <v>0</v>
      </c>
      <c r="O55" s="52">
        <f>Elect!V57</f>
        <v>0</v>
      </c>
      <c r="P55" s="52">
        <f>Elect!N57</f>
        <v>0</v>
      </c>
      <c r="Q55" s="52">
        <f>Elect!M57</f>
        <v>0</v>
      </c>
      <c r="R55" s="52">
        <f>Elect!K57</f>
        <v>0</v>
      </c>
      <c r="S55" s="52">
        <f>Elect!J57</f>
        <v>0</v>
      </c>
      <c r="T55" s="52">
        <f>Elect!Q57</f>
        <v>0</v>
      </c>
      <c r="U55" s="52">
        <f>Elect!P57</f>
        <v>0</v>
      </c>
      <c r="V55" s="52">
        <f>Elect!Z57</f>
        <v>0</v>
      </c>
      <c r="W55" s="52">
        <f>Elect!Y57</f>
        <v>0</v>
      </c>
      <c r="X55" s="52">
        <f>Elect!AC57</f>
        <v>0</v>
      </c>
      <c r="Y55" s="52">
        <f>Elect!AB57</f>
        <v>0</v>
      </c>
      <c r="Z55" s="52">
        <f>Elect!AF57</f>
        <v>0</v>
      </c>
      <c r="AA55" s="52">
        <f>Elect!AE57</f>
        <v>0</v>
      </c>
      <c r="AB55" s="52">
        <f>Elect!AW57</f>
        <v>0</v>
      </c>
      <c r="AC55" s="52">
        <f>Elect!AU57</f>
        <v>0</v>
      </c>
      <c r="AD55" s="52">
        <f>Elect!AY57</f>
        <v>0</v>
      </c>
      <c r="AE55" s="52">
        <f>Elect!BA57</f>
        <v>0</v>
      </c>
      <c r="AF55" s="54">
        <f>('Wtr-Gas'!E57)*0.0038</f>
        <v>0</v>
      </c>
      <c r="AG55" s="54">
        <f>('Wtr-Gas'!H57)*0.0038</f>
        <v>0</v>
      </c>
      <c r="AH55" s="54">
        <f>'Wtr-Gas'!K57*0.0038</f>
        <v>0</v>
      </c>
      <c r="AI55" s="54">
        <f>'Wtr-Gas'!N57*0.0038</f>
        <v>0</v>
      </c>
      <c r="AJ55" s="54">
        <f>'Wtr-Gas'!Q57*0.0038</f>
        <v>0</v>
      </c>
      <c r="AK55" s="57">
        <f>'Wtr-Gas'!U57*0.0038</f>
        <v>0</v>
      </c>
      <c r="AL55" s="57">
        <f>'Wtr-Gas'!X57*0.0038</f>
        <v>0</v>
      </c>
      <c r="AM55" s="54">
        <f>'Wtr-Gas'!AB57*0.0038</f>
        <v>0</v>
      </c>
      <c r="AN55" s="54">
        <f>'Wtr-Gas'!AD57*0.0038</f>
        <v>0</v>
      </c>
      <c r="AO55" s="54">
        <f>'Wtr-Gas'!AF57*0.0038</f>
        <v>0</v>
      </c>
      <c r="AP55" s="54">
        <f>'Wtr-Gas'!AH57*0.0038</f>
        <v>0</v>
      </c>
      <c r="AQ55" s="54">
        <f>'Wtr-Gas'!AJ57*0.0038</f>
        <v>0</v>
      </c>
      <c r="AR55" s="54">
        <f>'Wtr-Gas'!AL57*0.0038</f>
        <v>0</v>
      </c>
      <c r="AS55" s="54">
        <f>'Wtr-Gas'!AN57*0.0038</f>
        <v>0</v>
      </c>
      <c r="AT55" s="54">
        <f>'Wtr-Gas'!AP57*0.0038</f>
        <v>0</v>
      </c>
      <c r="AU55" s="57">
        <f>'Wtr-Gas'!AT57*0.0038</f>
        <v>0</v>
      </c>
      <c r="AV55" s="54">
        <f>'Wtr-Gas'!AW57*0.0038</f>
        <v>0</v>
      </c>
      <c r="AW55" s="55">
        <f>'Wtr-Gas'!AY57*0.0038</f>
        <v>0</v>
      </c>
      <c r="AX55" s="54">
        <f>'Wtr-Gas'!AZ57*0.0038</f>
        <v>0</v>
      </c>
      <c r="AY55" s="54">
        <f>'Wtr-Gas'!BB57*0.0038</f>
        <v>0</v>
      </c>
      <c r="AZ55" s="54">
        <f>'Wtr-Gas'!BD57*0.0038</f>
        <v>0</v>
      </c>
      <c r="BA55" s="54">
        <f>'Wtr-Gas'!BF57*0.0038</f>
        <v>0</v>
      </c>
    </row>
    <row r="56" spans="1:53" x14ac:dyDescent="0.25">
      <c r="A56" s="3" t="s">
        <v>11</v>
      </c>
      <c r="B56" s="2">
        <v>30</v>
      </c>
      <c r="C56" s="2">
        <v>11</v>
      </c>
      <c r="D56" s="2">
        <v>2020</v>
      </c>
      <c r="E56" s="52">
        <f>Elect!AK58</f>
        <v>0</v>
      </c>
      <c r="F56" s="52">
        <f>Elect!H58</f>
        <v>0</v>
      </c>
      <c r="G56" s="52">
        <f>Elect!G58</f>
        <v>0</v>
      </c>
      <c r="H56" s="52">
        <f>Elect!E58</f>
        <v>0</v>
      </c>
      <c r="I56" s="52">
        <f>Elect!D58</f>
        <v>0</v>
      </c>
      <c r="J56" s="52">
        <f>Elect!T58</f>
        <v>0</v>
      </c>
      <c r="K56" s="52">
        <f>Elect!S58</f>
        <v>0</v>
      </c>
      <c r="L56" s="52">
        <f>Elect!AI58</f>
        <v>0</v>
      </c>
      <c r="M56" s="52">
        <f>Elect!AH58</f>
        <v>0</v>
      </c>
      <c r="N56" s="52">
        <f>Elect!W58</f>
        <v>0</v>
      </c>
      <c r="O56" s="52">
        <f>Elect!V58</f>
        <v>0</v>
      </c>
      <c r="P56" s="52">
        <f>Elect!N58</f>
        <v>0</v>
      </c>
      <c r="Q56" s="52">
        <f>Elect!M58</f>
        <v>0</v>
      </c>
      <c r="R56" s="52">
        <f>Elect!K58</f>
        <v>0</v>
      </c>
      <c r="S56" s="52">
        <f>Elect!J58</f>
        <v>0</v>
      </c>
      <c r="T56" s="52">
        <f>Elect!Q58</f>
        <v>0</v>
      </c>
      <c r="U56" s="52">
        <f>Elect!P58</f>
        <v>0</v>
      </c>
      <c r="V56" s="52">
        <f>Elect!Z58</f>
        <v>0</v>
      </c>
      <c r="W56" s="52">
        <f>Elect!Y58</f>
        <v>0</v>
      </c>
      <c r="X56" s="52">
        <f>Elect!AC58</f>
        <v>0</v>
      </c>
      <c r="Y56" s="52">
        <f>Elect!AB58</f>
        <v>0</v>
      </c>
      <c r="Z56" s="52">
        <f>Elect!AF58</f>
        <v>0</v>
      </c>
      <c r="AA56" s="52">
        <f>Elect!AE58</f>
        <v>0</v>
      </c>
      <c r="AB56" s="52">
        <f>Elect!AW58</f>
        <v>0</v>
      </c>
      <c r="AC56" s="52">
        <f>Elect!AU58</f>
        <v>0</v>
      </c>
      <c r="AD56" s="52">
        <f>Elect!AY58</f>
        <v>0</v>
      </c>
      <c r="AE56" s="52">
        <f>Elect!BA58</f>
        <v>0</v>
      </c>
      <c r="AF56" s="54">
        <f>('Wtr-Gas'!E58)*0.0038</f>
        <v>0</v>
      </c>
      <c r="AG56" s="54">
        <f>('Wtr-Gas'!H58)*0.0038</f>
        <v>0</v>
      </c>
      <c r="AH56" s="54">
        <f>'Wtr-Gas'!K58*0.0038</f>
        <v>0</v>
      </c>
      <c r="AI56" s="54">
        <f>'Wtr-Gas'!N58*0.0038</f>
        <v>0</v>
      </c>
      <c r="AJ56" s="54">
        <f>'Wtr-Gas'!Q58*0.0038</f>
        <v>0</v>
      </c>
      <c r="AK56" s="57">
        <f>'Wtr-Gas'!U58*0.0038</f>
        <v>0</v>
      </c>
      <c r="AL56" s="57">
        <f>'Wtr-Gas'!X58*0.0038</f>
        <v>0</v>
      </c>
      <c r="AM56" s="54">
        <f>'Wtr-Gas'!AB58*0.0038</f>
        <v>0</v>
      </c>
      <c r="AN56" s="54">
        <f>'Wtr-Gas'!AD58*0.0038</f>
        <v>0</v>
      </c>
      <c r="AO56" s="54">
        <f>'Wtr-Gas'!AF58*0.0038</f>
        <v>0</v>
      </c>
      <c r="AP56" s="54">
        <f>'Wtr-Gas'!AH58*0.0038</f>
        <v>0</v>
      </c>
      <c r="AQ56" s="54">
        <f>'Wtr-Gas'!AJ58*0.0038</f>
        <v>0</v>
      </c>
      <c r="AR56" s="54">
        <f>'Wtr-Gas'!AL58*0.0038</f>
        <v>0</v>
      </c>
      <c r="AS56" s="54">
        <f>'Wtr-Gas'!AN58*0.0038</f>
        <v>0</v>
      </c>
      <c r="AT56" s="54">
        <f>'Wtr-Gas'!AP58*0.0038</f>
        <v>0</v>
      </c>
      <c r="AU56" s="57">
        <f>'Wtr-Gas'!AT58*0.0038</f>
        <v>0</v>
      </c>
      <c r="AV56" s="54">
        <f>'Wtr-Gas'!AW58*0.0038</f>
        <v>0</v>
      </c>
      <c r="AW56" s="55">
        <f>'Wtr-Gas'!AY58*0.0038</f>
        <v>0</v>
      </c>
      <c r="AX56" s="54">
        <f>'Wtr-Gas'!AZ58*0.0038</f>
        <v>0</v>
      </c>
      <c r="AY56" s="54">
        <f>'Wtr-Gas'!BB58*0.0038</f>
        <v>0</v>
      </c>
      <c r="AZ56" s="54">
        <f>'Wtr-Gas'!BD58*0.0038</f>
        <v>0</v>
      </c>
      <c r="BA56" s="54">
        <f>'Wtr-Gas'!BF58*0.0038</f>
        <v>0</v>
      </c>
    </row>
    <row r="57" spans="1:53" x14ac:dyDescent="0.25">
      <c r="A57" s="3" t="s">
        <v>11</v>
      </c>
      <c r="B57" s="2">
        <v>1</v>
      </c>
      <c r="C57" s="2">
        <v>12</v>
      </c>
      <c r="D57" s="2">
        <v>2020</v>
      </c>
      <c r="E57" s="52">
        <f>Elect!AK59</f>
        <v>0</v>
      </c>
      <c r="F57" s="52">
        <f>Elect!H59</f>
        <v>0</v>
      </c>
      <c r="G57" s="52">
        <f>Elect!G59</f>
        <v>0</v>
      </c>
      <c r="H57" s="52">
        <f>Elect!E59</f>
        <v>0</v>
      </c>
      <c r="I57" s="52">
        <f>Elect!D59</f>
        <v>0</v>
      </c>
      <c r="J57" s="52">
        <f>Elect!T59</f>
        <v>0</v>
      </c>
      <c r="K57" s="52">
        <f>Elect!S59</f>
        <v>0</v>
      </c>
      <c r="L57" s="52">
        <f>Elect!AI59</f>
        <v>0</v>
      </c>
      <c r="M57" s="52">
        <f>Elect!AH59</f>
        <v>0</v>
      </c>
      <c r="N57" s="52">
        <f>Elect!W59</f>
        <v>0</v>
      </c>
      <c r="O57" s="52">
        <f>Elect!V59</f>
        <v>0</v>
      </c>
      <c r="P57" s="52">
        <f>Elect!N59</f>
        <v>0</v>
      </c>
      <c r="Q57" s="52">
        <f>Elect!M59</f>
        <v>0</v>
      </c>
      <c r="R57" s="52">
        <f>Elect!K59</f>
        <v>0</v>
      </c>
      <c r="S57" s="52">
        <f>Elect!J59</f>
        <v>0</v>
      </c>
      <c r="T57" s="52">
        <f>Elect!Q59</f>
        <v>0</v>
      </c>
      <c r="U57" s="52">
        <f>Elect!P59</f>
        <v>0</v>
      </c>
      <c r="V57" s="52">
        <f>Elect!Z59</f>
        <v>0</v>
      </c>
      <c r="W57" s="52">
        <f>Elect!Y59</f>
        <v>0</v>
      </c>
      <c r="X57" s="52">
        <f>Elect!AC59</f>
        <v>0</v>
      </c>
      <c r="Y57" s="52">
        <f>Elect!AB59</f>
        <v>0</v>
      </c>
      <c r="Z57" s="52">
        <f>Elect!AF59</f>
        <v>0</v>
      </c>
      <c r="AA57" s="52">
        <f>Elect!AE59</f>
        <v>0</v>
      </c>
      <c r="AB57" s="52">
        <f>Elect!AW59</f>
        <v>0</v>
      </c>
      <c r="AC57" s="52">
        <f>Elect!AU59</f>
        <v>0</v>
      </c>
      <c r="AD57" s="52">
        <f>Elect!AY59</f>
        <v>0</v>
      </c>
      <c r="AE57" s="52">
        <f>Elect!BA59</f>
        <v>0</v>
      </c>
      <c r="AF57" s="54">
        <f>('Wtr-Gas'!E59)*0.0038</f>
        <v>0</v>
      </c>
      <c r="AG57" s="54">
        <f>('Wtr-Gas'!H59)*0.0038</f>
        <v>0</v>
      </c>
      <c r="AH57" s="54">
        <f>'Wtr-Gas'!K59*0.0038</f>
        <v>0</v>
      </c>
      <c r="AI57" s="54">
        <f>'Wtr-Gas'!N59*0.0038</f>
        <v>0</v>
      </c>
      <c r="AJ57" s="54">
        <f>'Wtr-Gas'!Q59*0.0038</f>
        <v>0</v>
      </c>
      <c r="AK57" s="57">
        <f>'Wtr-Gas'!U59*0.0038</f>
        <v>0</v>
      </c>
      <c r="AL57" s="57">
        <f>'Wtr-Gas'!X59*0.0038</f>
        <v>0</v>
      </c>
      <c r="AM57" s="54">
        <f>'Wtr-Gas'!AB59*0.0038</f>
        <v>0</v>
      </c>
      <c r="AN57" s="54">
        <f>'Wtr-Gas'!AD59*0.0038</f>
        <v>0</v>
      </c>
      <c r="AO57" s="54">
        <f>'Wtr-Gas'!AF59*0.0038</f>
        <v>0</v>
      </c>
      <c r="AP57" s="54">
        <f>'Wtr-Gas'!AH59*0.0038</f>
        <v>0</v>
      </c>
      <c r="AQ57" s="54">
        <f>'Wtr-Gas'!AJ59*0.0038</f>
        <v>0</v>
      </c>
      <c r="AR57" s="54">
        <f>'Wtr-Gas'!AL59*0.0038</f>
        <v>0</v>
      </c>
      <c r="AS57" s="54">
        <f>'Wtr-Gas'!AN59*0.0038</f>
        <v>0</v>
      </c>
      <c r="AT57" s="54">
        <f>'Wtr-Gas'!AP59*0.0038</f>
        <v>0</v>
      </c>
      <c r="AU57" s="57">
        <f>'Wtr-Gas'!AT59*0.0038</f>
        <v>0</v>
      </c>
      <c r="AV57" s="54">
        <f>'Wtr-Gas'!AW59*0.0038</f>
        <v>0</v>
      </c>
      <c r="AW57" s="55">
        <f>'Wtr-Gas'!AY59*0.0038</f>
        <v>0</v>
      </c>
      <c r="AX57" s="54">
        <f>'Wtr-Gas'!AZ59*0.0038</f>
        <v>0</v>
      </c>
      <c r="AY57" s="54">
        <f>'Wtr-Gas'!BB59*0.0038</f>
        <v>0</v>
      </c>
      <c r="AZ57" s="54">
        <f>'Wtr-Gas'!BD59*0.0038</f>
        <v>0</v>
      </c>
      <c r="BA57" s="54">
        <f>'Wtr-Gas'!BF59*0.0038</f>
        <v>0</v>
      </c>
    </row>
    <row r="58" spans="1:53" x14ac:dyDescent="0.25">
      <c r="A58" s="3" t="s">
        <v>11</v>
      </c>
      <c r="B58" s="2">
        <v>7</v>
      </c>
      <c r="C58" s="2">
        <v>12</v>
      </c>
      <c r="D58" s="2">
        <v>2020</v>
      </c>
      <c r="E58" s="52">
        <f>Elect!AK60</f>
        <v>0</v>
      </c>
      <c r="F58" s="52">
        <f>Elect!H60</f>
        <v>0</v>
      </c>
      <c r="G58" s="52">
        <f>Elect!G60</f>
        <v>0</v>
      </c>
      <c r="H58" s="52">
        <f>Elect!E60</f>
        <v>0</v>
      </c>
      <c r="I58" s="52">
        <f>Elect!D60</f>
        <v>0</v>
      </c>
      <c r="J58" s="52">
        <f>Elect!T60</f>
        <v>0</v>
      </c>
      <c r="K58" s="52">
        <f>Elect!S60</f>
        <v>0</v>
      </c>
      <c r="L58" s="52">
        <f>Elect!AI60</f>
        <v>0</v>
      </c>
      <c r="M58" s="52">
        <f>Elect!AH60</f>
        <v>0</v>
      </c>
      <c r="N58" s="52">
        <f>Elect!W60</f>
        <v>0</v>
      </c>
      <c r="O58" s="52">
        <f>Elect!V60</f>
        <v>0</v>
      </c>
      <c r="P58" s="52">
        <f>Elect!N60</f>
        <v>0</v>
      </c>
      <c r="Q58" s="52">
        <f>Elect!M60</f>
        <v>0</v>
      </c>
      <c r="R58" s="52">
        <f>Elect!K60</f>
        <v>0</v>
      </c>
      <c r="S58" s="52">
        <f>Elect!J60</f>
        <v>0</v>
      </c>
      <c r="T58" s="52">
        <f>Elect!Q60</f>
        <v>0</v>
      </c>
      <c r="U58" s="52">
        <f>Elect!P60</f>
        <v>0</v>
      </c>
      <c r="V58" s="52">
        <f>Elect!Z60</f>
        <v>0</v>
      </c>
      <c r="W58" s="52">
        <f>Elect!Y60</f>
        <v>0</v>
      </c>
      <c r="X58" s="52">
        <f>Elect!AC60</f>
        <v>0</v>
      </c>
      <c r="Y58" s="52">
        <f>Elect!AB60</f>
        <v>0</v>
      </c>
      <c r="Z58" s="52">
        <f>Elect!AF60</f>
        <v>0</v>
      </c>
      <c r="AA58" s="52">
        <f>Elect!AE60</f>
        <v>0</v>
      </c>
      <c r="AB58" s="52">
        <f>Elect!AW60</f>
        <v>0</v>
      </c>
      <c r="AC58" s="52">
        <f>Elect!AU60</f>
        <v>0</v>
      </c>
      <c r="AD58" s="52">
        <f>Elect!AY60</f>
        <v>0</v>
      </c>
      <c r="AE58" s="52">
        <f>Elect!BA60</f>
        <v>0</v>
      </c>
      <c r="AF58" s="54">
        <f>('Wtr-Gas'!E60)*0.0038</f>
        <v>0</v>
      </c>
      <c r="AG58" s="54">
        <f>('Wtr-Gas'!H60)*0.0038</f>
        <v>0</v>
      </c>
      <c r="AH58" s="54">
        <f>'Wtr-Gas'!K60*0.0038</f>
        <v>0</v>
      </c>
      <c r="AI58" s="54">
        <f>'Wtr-Gas'!N60*0.0038</f>
        <v>0</v>
      </c>
      <c r="AJ58" s="54">
        <f>'Wtr-Gas'!Q60*0.0038</f>
        <v>0</v>
      </c>
      <c r="AK58" s="57">
        <f>'Wtr-Gas'!U60*0.0038</f>
        <v>0</v>
      </c>
      <c r="AL58" s="57">
        <f>'Wtr-Gas'!X60*0.0038</f>
        <v>0</v>
      </c>
      <c r="AM58" s="54">
        <f>'Wtr-Gas'!AB60*0.0038</f>
        <v>0</v>
      </c>
      <c r="AN58" s="54">
        <f>'Wtr-Gas'!AD60*0.0038</f>
        <v>0</v>
      </c>
      <c r="AO58" s="54">
        <f>'Wtr-Gas'!AF60*0.0038</f>
        <v>0</v>
      </c>
      <c r="AP58" s="54">
        <f>'Wtr-Gas'!AH60*0.0038</f>
        <v>0</v>
      </c>
      <c r="AQ58" s="54">
        <f>'Wtr-Gas'!AJ60*0.0038</f>
        <v>0</v>
      </c>
      <c r="AR58" s="54">
        <f>'Wtr-Gas'!AL60*0.0038</f>
        <v>0</v>
      </c>
      <c r="AS58" s="54">
        <f>'Wtr-Gas'!AN60*0.0038</f>
        <v>0</v>
      </c>
      <c r="AT58" s="54">
        <f>'Wtr-Gas'!AP60*0.0038</f>
        <v>0</v>
      </c>
      <c r="AU58" s="57">
        <f>'Wtr-Gas'!AT60*0.0038</f>
        <v>0</v>
      </c>
      <c r="AV58" s="54">
        <f>'Wtr-Gas'!AW60*0.0038</f>
        <v>0</v>
      </c>
      <c r="AW58" s="55">
        <f>'Wtr-Gas'!AY60*0.0038</f>
        <v>0</v>
      </c>
      <c r="AX58" s="54">
        <f>'Wtr-Gas'!AZ60*0.0038</f>
        <v>0</v>
      </c>
      <c r="AY58" s="54">
        <f>'Wtr-Gas'!BB60*0.0038</f>
        <v>0</v>
      </c>
      <c r="AZ58" s="54">
        <f>'Wtr-Gas'!BD60*0.0038</f>
        <v>0</v>
      </c>
      <c r="BA58" s="54">
        <f>'Wtr-Gas'!BF60*0.0038</f>
        <v>0</v>
      </c>
    </row>
    <row r="59" spans="1:53" x14ac:dyDescent="0.25">
      <c r="A59" s="3" t="s">
        <v>11</v>
      </c>
      <c r="B59" s="2">
        <v>14</v>
      </c>
      <c r="C59" s="2">
        <v>12</v>
      </c>
      <c r="D59" s="2">
        <v>2020</v>
      </c>
      <c r="E59" s="52">
        <f>Elect!AK61</f>
        <v>0</v>
      </c>
      <c r="F59" s="52">
        <f>Elect!H61</f>
        <v>0</v>
      </c>
      <c r="G59" s="52">
        <f>Elect!G61</f>
        <v>0</v>
      </c>
      <c r="H59" s="52">
        <f>Elect!E61</f>
        <v>0</v>
      </c>
      <c r="I59" s="52">
        <f>Elect!D61</f>
        <v>0</v>
      </c>
      <c r="J59" s="52">
        <f>Elect!T61</f>
        <v>0</v>
      </c>
      <c r="K59" s="52">
        <f>Elect!S61</f>
        <v>0</v>
      </c>
      <c r="L59" s="52">
        <f>Elect!AI61</f>
        <v>0</v>
      </c>
      <c r="M59" s="52">
        <f>Elect!AH61</f>
        <v>0</v>
      </c>
      <c r="N59" s="52">
        <f>Elect!W61</f>
        <v>0</v>
      </c>
      <c r="O59" s="52">
        <f>Elect!V61</f>
        <v>0</v>
      </c>
      <c r="P59" s="52">
        <f>Elect!N61</f>
        <v>0</v>
      </c>
      <c r="Q59" s="52">
        <f>Elect!M61</f>
        <v>0</v>
      </c>
      <c r="R59" s="52">
        <f>Elect!K61</f>
        <v>0</v>
      </c>
      <c r="S59" s="52">
        <f>Elect!J61</f>
        <v>0</v>
      </c>
      <c r="T59" s="52">
        <f>Elect!Q61</f>
        <v>0</v>
      </c>
      <c r="U59" s="52">
        <f>Elect!P61</f>
        <v>0</v>
      </c>
      <c r="V59" s="52">
        <f>Elect!Z61</f>
        <v>0</v>
      </c>
      <c r="W59" s="52">
        <f>Elect!Y61</f>
        <v>0</v>
      </c>
      <c r="X59" s="52">
        <f>Elect!AC61</f>
        <v>0</v>
      </c>
      <c r="Y59" s="52">
        <f>Elect!AB61</f>
        <v>0</v>
      </c>
      <c r="Z59" s="52">
        <f>Elect!AF61</f>
        <v>0</v>
      </c>
      <c r="AA59" s="52">
        <f>Elect!AE61</f>
        <v>0</v>
      </c>
      <c r="AB59" s="52">
        <f>Elect!AW61</f>
        <v>0</v>
      </c>
      <c r="AC59" s="52">
        <f>Elect!AU61</f>
        <v>0</v>
      </c>
      <c r="AD59" s="52">
        <f>Elect!AY61</f>
        <v>0</v>
      </c>
      <c r="AE59" s="52">
        <f>Elect!BA61</f>
        <v>0</v>
      </c>
      <c r="AF59" s="54">
        <f>('Wtr-Gas'!E61)*0.0038</f>
        <v>0</v>
      </c>
      <c r="AG59" s="54">
        <f>('Wtr-Gas'!H61)*0.0038</f>
        <v>0</v>
      </c>
      <c r="AH59" s="54">
        <f>'Wtr-Gas'!K61*0.0038</f>
        <v>0</v>
      </c>
      <c r="AI59" s="54">
        <f>'Wtr-Gas'!N61*0.0038</f>
        <v>0</v>
      </c>
      <c r="AJ59" s="54">
        <f>'Wtr-Gas'!Q61*0.0038</f>
        <v>0</v>
      </c>
      <c r="AK59" s="57">
        <f>'Wtr-Gas'!U61*0.0038</f>
        <v>0</v>
      </c>
      <c r="AL59" s="57">
        <f>'Wtr-Gas'!X61*0.0038</f>
        <v>0</v>
      </c>
      <c r="AM59" s="54">
        <f>'Wtr-Gas'!AB61*0.0038</f>
        <v>0</v>
      </c>
      <c r="AN59" s="54">
        <f>'Wtr-Gas'!AD61*0.0038</f>
        <v>0</v>
      </c>
      <c r="AO59" s="54">
        <f>'Wtr-Gas'!AF61*0.0038</f>
        <v>0</v>
      </c>
      <c r="AP59" s="54">
        <f>'Wtr-Gas'!AH61*0.0038</f>
        <v>0</v>
      </c>
      <c r="AQ59" s="54">
        <f>'Wtr-Gas'!AJ61*0.0038</f>
        <v>0</v>
      </c>
      <c r="AR59" s="54">
        <f>'Wtr-Gas'!AL61*0.0038</f>
        <v>0</v>
      </c>
      <c r="AS59" s="54">
        <f>'Wtr-Gas'!AN61*0.0038</f>
        <v>0</v>
      </c>
      <c r="AT59" s="54">
        <f>'Wtr-Gas'!AP61*0.0038</f>
        <v>0</v>
      </c>
      <c r="AU59" s="57">
        <f>'Wtr-Gas'!AT61*0.0038</f>
        <v>0</v>
      </c>
      <c r="AV59" s="54">
        <f>'Wtr-Gas'!AW61*0.0038</f>
        <v>0</v>
      </c>
      <c r="AW59" s="55">
        <f>'Wtr-Gas'!AY61*0.0038</f>
        <v>0</v>
      </c>
      <c r="AX59" s="54">
        <f>'Wtr-Gas'!AZ61*0.0038</f>
        <v>0</v>
      </c>
      <c r="AY59" s="54">
        <f>'Wtr-Gas'!BB61*0.0038</f>
        <v>0</v>
      </c>
      <c r="AZ59" s="54">
        <f>'Wtr-Gas'!BD61*0.0038</f>
        <v>0</v>
      </c>
      <c r="BA59" s="54">
        <f>'Wtr-Gas'!BF61*0.0038</f>
        <v>0</v>
      </c>
    </row>
    <row r="60" spans="1:53" x14ac:dyDescent="0.25">
      <c r="A60" s="3" t="s">
        <v>11</v>
      </c>
      <c r="B60" s="2">
        <v>21</v>
      </c>
      <c r="C60" s="2">
        <v>12</v>
      </c>
      <c r="D60" s="2">
        <v>2020</v>
      </c>
      <c r="E60" s="52">
        <f>Elect!AK62</f>
        <v>0</v>
      </c>
      <c r="F60" s="52">
        <f>Elect!H62</f>
        <v>0</v>
      </c>
      <c r="G60" s="52">
        <f>Elect!G62</f>
        <v>0</v>
      </c>
      <c r="H60" s="52">
        <f>Elect!E62</f>
        <v>0</v>
      </c>
      <c r="I60" s="52">
        <f>Elect!D62</f>
        <v>0</v>
      </c>
      <c r="J60" s="52">
        <f>Elect!T62</f>
        <v>0</v>
      </c>
      <c r="K60" s="52">
        <f>Elect!S62</f>
        <v>0</v>
      </c>
      <c r="L60" s="52">
        <f>Elect!AI62</f>
        <v>0</v>
      </c>
      <c r="M60" s="52">
        <f>Elect!AH62</f>
        <v>0</v>
      </c>
      <c r="N60" s="52">
        <f>Elect!W62</f>
        <v>0</v>
      </c>
      <c r="O60" s="52">
        <f>Elect!V62</f>
        <v>0</v>
      </c>
      <c r="P60" s="52">
        <f>Elect!N62</f>
        <v>0</v>
      </c>
      <c r="Q60" s="52">
        <f>Elect!M62</f>
        <v>0</v>
      </c>
      <c r="R60" s="52">
        <f>Elect!K62</f>
        <v>0</v>
      </c>
      <c r="S60" s="52">
        <f>Elect!J62</f>
        <v>0</v>
      </c>
      <c r="T60" s="52">
        <f>Elect!Q62</f>
        <v>0</v>
      </c>
      <c r="U60" s="52">
        <f>Elect!P62</f>
        <v>0</v>
      </c>
      <c r="V60" s="52">
        <f>Elect!Z62</f>
        <v>0</v>
      </c>
      <c r="W60" s="52">
        <f>Elect!Y62</f>
        <v>0</v>
      </c>
      <c r="X60" s="52">
        <f>Elect!AC62</f>
        <v>0</v>
      </c>
      <c r="Y60" s="52">
        <f>Elect!AB62</f>
        <v>0</v>
      </c>
      <c r="Z60" s="52">
        <f>Elect!AF62</f>
        <v>0</v>
      </c>
      <c r="AA60" s="52">
        <f>Elect!AE62</f>
        <v>0</v>
      </c>
      <c r="AB60" s="52">
        <f>Elect!AW62</f>
        <v>0</v>
      </c>
      <c r="AC60" s="52">
        <f>Elect!AU62</f>
        <v>0</v>
      </c>
      <c r="AD60" s="52">
        <f>Elect!AY62</f>
        <v>0</v>
      </c>
      <c r="AE60" s="52">
        <f>Elect!BA62</f>
        <v>0</v>
      </c>
      <c r="AF60" s="54">
        <f>('Wtr-Gas'!E62)*0.0038</f>
        <v>0</v>
      </c>
      <c r="AG60" s="54">
        <f>('Wtr-Gas'!H62)*0.0038</f>
        <v>0</v>
      </c>
      <c r="AH60" s="54">
        <f>'Wtr-Gas'!K62*0.0038</f>
        <v>0</v>
      </c>
      <c r="AI60" s="54">
        <f>'Wtr-Gas'!N62*0.0038</f>
        <v>0</v>
      </c>
      <c r="AJ60" s="54">
        <f>'Wtr-Gas'!Q62*0.0038</f>
        <v>0</v>
      </c>
      <c r="AK60" s="57">
        <f>'Wtr-Gas'!U62*0.0038</f>
        <v>0</v>
      </c>
      <c r="AL60" s="57">
        <f>'Wtr-Gas'!X62*0.0038</f>
        <v>0</v>
      </c>
      <c r="AM60" s="54">
        <f>'Wtr-Gas'!AB62*0.0038</f>
        <v>0</v>
      </c>
      <c r="AN60" s="54">
        <f>'Wtr-Gas'!AD62*0.0038</f>
        <v>0</v>
      </c>
      <c r="AO60" s="54">
        <f>'Wtr-Gas'!AF62*0.0038</f>
        <v>0</v>
      </c>
      <c r="AP60" s="54">
        <f>'Wtr-Gas'!AH62*0.0038</f>
        <v>0</v>
      </c>
      <c r="AQ60" s="54">
        <f>'Wtr-Gas'!AJ62*0.0038</f>
        <v>0</v>
      </c>
      <c r="AR60" s="54">
        <f>'Wtr-Gas'!AL62*0.0038</f>
        <v>0</v>
      </c>
      <c r="AS60" s="54">
        <f>'Wtr-Gas'!AN62*0.0038</f>
        <v>0</v>
      </c>
      <c r="AT60" s="54">
        <f>'Wtr-Gas'!AP62*0.0038</f>
        <v>0</v>
      </c>
      <c r="AU60" s="57">
        <f>'Wtr-Gas'!AT62*0.0038</f>
        <v>0</v>
      </c>
      <c r="AV60" s="54">
        <f>'Wtr-Gas'!AW62*0.0038</f>
        <v>0</v>
      </c>
      <c r="AW60" s="55">
        <f>'Wtr-Gas'!AY62*0.0038</f>
        <v>0</v>
      </c>
      <c r="AX60" s="54">
        <f>'Wtr-Gas'!AZ62*0.0038</f>
        <v>0</v>
      </c>
      <c r="AY60" s="54">
        <f>'Wtr-Gas'!BB62*0.0038</f>
        <v>0</v>
      </c>
      <c r="AZ60" s="54">
        <f>'Wtr-Gas'!BD62*0.0038</f>
        <v>0</v>
      </c>
      <c r="BA60" s="54">
        <f>'Wtr-Gas'!BF62*0.0038</f>
        <v>0</v>
      </c>
    </row>
    <row r="61" spans="1:53" x14ac:dyDescent="0.25">
      <c r="A61" s="3" t="s">
        <v>11</v>
      </c>
      <c r="B61" s="2">
        <v>28</v>
      </c>
      <c r="C61" s="2">
        <v>12</v>
      </c>
      <c r="D61" s="2">
        <v>2020</v>
      </c>
      <c r="E61" s="52">
        <f>Elect!AK63</f>
        <v>0</v>
      </c>
      <c r="F61" s="52">
        <f>Elect!H63</f>
        <v>0</v>
      </c>
      <c r="G61" s="52">
        <f>Elect!G63</f>
        <v>0</v>
      </c>
      <c r="H61" s="52">
        <f>Elect!E63</f>
        <v>0</v>
      </c>
      <c r="I61" s="52">
        <f>Elect!D63</f>
        <v>0</v>
      </c>
      <c r="J61" s="52">
        <f>Elect!T63</f>
        <v>0</v>
      </c>
      <c r="K61" s="52">
        <f>Elect!S63</f>
        <v>0</v>
      </c>
      <c r="L61" s="52">
        <f>Elect!AI63</f>
        <v>0</v>
      </c>
      <c r="M61" s="52">
        <f>Elect!AH63</f>
        <v>0</v>
      </c>
      <c r="N61" s="52">
        <f>Elect!W63</f>
        <v>0</v>
      </c>
      <c r="O61" s="52">
        <f>Elect!V63</f>
        <v>0</v>
      </c>
      <c r="P61" s="52">
        <f>Elect!N63</f>
        <v>0</v>
      </c>
      <c r="Q61" s="52">
        <f>Elect!M63</f>
        <v>0</v>
      </c>
      <c r="R61" s="52">
        <f>Elect!K63</f>
        <v>0</v>
      </c>
      <c r="S61" s="52">
        <f>Elect!J63</f>
        <v>0</v>
      </c>
      <c r="T61" s="52">
        <f>Elect!Q63</f>
        <v>0</v>
      </c>
      <c r="U61" s="52">
        <f>Elect!P63</f>
        <v>0</v>
      </c>
      <c r="V61" s="52">
        <f>Elect!Z63</f>
        <v>0</v>
      </c>
      <c r="W61" s="52">
        <f>Elect!Y63</f>
        <v>0</v>
      </c>
      <c r="X61" s="52">
        <f>Elect!AC63</f>
        <v>0</v>
      </c>
      <c r="Y61" s="52">
        <f>Elect!AB63</f>
        <v>0</v>
      </c>
      <c r="Z61" s="52">
        <f>Elect!AF63</f>
        <v>0</v>
      </c>
      <c r="AA61" s="52">
        <f>Elect!AE63</f>
        <v>0</v>
      </c>
      <c r="AB61" s="52">
        <f>Elect!AW63</f>
        <v>0</v>
      </c>
      <c r="AC61" s="52">
        <f>Elect!AU63</f>
        <v>0</v>
      </c>
      <c r="AD61" s="52">
        <f>Elect!AY63</f>
        <v>0</v>
      </c>
      <c r="AE61" s="52">
        <f>Elect!BA63</f>
        <v>0</v>
      </c>
      <c r="AF61" s="54">
        <f>('Wtr-Gas'!E63)*0.0038</f>
        <v>0</v>
      </c>
      <c r="AG61" s="54">
        <f>('Wtr-Gas'!H63)*0.0038</f>
        <v>0</v>
      </c>
      <c r="AH61" s="54">
        <f>'Wtr-Gas'!K63*0.0038</f>
        <v>0</v>
      </c>
      <c r="AI61" s="54">
        <f>'Wtr-Gas'!N63*0.0038</f>
        <v>0</v>
      </c>
      <c r="AJ61" s="54">
        <f>'Wtr-Gas'!Q63*0.0038</f>
        <v>0</v>
      </c>
      <c r="AK61" s="57">
        <f>'Wtr-Gas'!U63*0.0038</f>
        <v>0</v>
      </c>
      <c r="AL61" s="57">
        <f>'Wtr-Gas'!X63*0.0038</f>
        <v>0</v>
      </c>
      <c r="AM61" s="54">
        <f>'Wtr-Gas'!AB63*0.0038</f>
        <v>0</v>
      </c>
      <c r="AN61" s="54">
        <f>'Wtr-Gas'!AD63*0.0038</f>
        <v>0</v>
      </c>
      <c r="AO61" s="54">
        <f>'Wtr-Gas'!AF63*0.0038</f>
        <v>0</v>
      </c>
      <c r="AP61" s="54">
        <f>'Wtr-Gas'!AH63*0.0038</f>
        <v>0</v>
      </c>
      <c r="AQ61" s="54">
        <f>'Wtr-Gas'!AJ63*0.0038</f>
        <v>0</v>
      </c>
      <c r="AR61" s="54">
        <f>'Wtr-Gas'!AL63*0.0038</f>
        <v>0</v>
      </c>
      <c r="AS61" s="54">
        <f>'Wtr-Gas'!AN63*0.0038</f>
        <v>0</v>
      </c>
      <c r="AT61" s="54">
        <f>'Wtr-Gas'!AP63*0.0038</f>
        <v>0</v>
      </c>
      <c r="AU61" s="57">
        <f>'Wtr-Gas'!AT63*0.0038</f>
        <v>0</v>
      </c>
      <c r="AV61" s="54">
        <f>'Wtr-Gas'!AW63*0.0038</f>
        <v>0</v>
      </c>
      <c r="AW61" s="55">
        <f>'Wtr-Gas'!AY63*0.0038</f>
        <v>0</v>
      </c>
      <c r="AX61" s="54">
        <f>'Wtr-Gas'!AZ63*0.0038</f>
        <v>0</v>
      </c>
      <c r="AY61" s="54">
        <f>'Wtr-Gas'!BB63*0.0038</f>
        <v>0</v>
      </c>
      <c r="AZ61" s="54">
        <f>'Wtr-Gas'!BD63*0.0038</f>
        <v>0</v>
      </c>
      <c r="BA61" s="54">
        <f>'Wtr-Gas'!BF63*0.0038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52">
        <f>Elect!AK64</f>
        <v>0</v>
      </c>
      <c r="F62" s="52">
        <f>Elect!H64</f>
        <v>0</v>
      </c>
      <c r="G62" s="52">
        <f>Elect!G64</f>
        <v>0</v>
      </c>
      <c r="H62" s="52">
        <f>Elect!E64</f>
        <v>0</v>
      </c>
      <c r="I62" s="52">
        <f>Elect!D64</f>
        <v>0</v>
      </c>
      <c r="J62" s="52">
        <f>Elect!T64</f>
        <v>0</v>
      </c>
      <c r="K62" s="52">
        <f>Elect!S64</f>
        <v>0</v>
      </c>
      <c r="L62" s="52">
        <f>Elect!AI64</f>
        <v>0</v>
      </c>
      <c r="M62" s="52">
        <f>Elect!AH64</f>
        <v>0</v>
      </c>
      <c r="N62" s="52">
        <f>Elect!W64</f>
        <v>0</v>
      </c>
      <c r="O62" s="52">
        <f>Elect!V64</f>
        <v>0</v>
      </c>
      <c r="P62" s="52">
        <f>Elect!N64</f>
        <v>0</v>
      </c>
      <c r="Q62" s="52">
        <f>Elect!M64</f>
        <v>0</v>
      </c>
      <c r="R62" s="52">
        <f>Elect!K64</f>
        <v>0</v>
      </c>
      <c r="S62" s="52">
        <f>Elect!J64</f>
        <v>0</v>
      </c>
      <c r="T62" s="52">
        <f>Elect!Q64</f>
        <v>0</v>
      </c>
      <c r="U62" s="52">
        <f>Elect!P64</f>
        <v>0</v>
      </c>
      <c r="V62" s="52">
        <f>Elect!Z64</f>
        <v>0</v>
      </c>
      <c r="W62" s="52">
        <f>Elect!Y64</f>
        <v>0</v>
      </c>
      <c r="X62" s="52">
        <f>Elect!AC64</f>
        <v>0</v>
      </c>
      <c r="Y62" s="52">
        <f>Elect!AB64</f>
        <v>0</v>
      </c>
      <c r="Z62" s="52">
        <f>Elect!AF64</f>
        <v>0</v>
      </c>
      <c r="AA62" s="52">
        <f>Elect!AE64</f>
        <v>0</v>
      </c>
      <c r="AB62" s="52">
        <f>Elect!AW64</f>
        <v>0</v>
      </c>
      <c r="AC62" s="52">
        <f>Elect!AU64</f>
        <v>0</v>
      </c>
      <c r="AD62" s="52">
        <f>Elect!AY64</f>
        <v>0</v>
      </c>
      <c r="AE62" s="52">
        <f>Elect!BA64</f>
        <v>0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9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9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40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41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41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9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42" t="s">
        <v>287</v>
      </c>
      <c r="C1" s="142"/>
      <c r="D1" s="142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</row>
    <row r="2" spans="1:19" ht="15.75" thickBot="1" x14ac:dyDescent="0.3"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 t="s">
        <v>288</v>
      </c>
      <c r="O2" s="143"/>
    </row>
    <row r="3" spans="1:19" ht="15.75" thickBot="1" x14ac:dyDescent="0.3">
      <c r="B3" s="144" t="s">
        <v>289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  <c r="O3" s="147"/>
    </row>
    <row r="4" spans="1:19" x14ac:dyDescent="0.25">
      <c r="B4" s="219">
        <v>74860172</v>
      </c>
      <c r="C4" s="220"/>
      <c r="D4" s="219">
        <v>74860173</v>
      </c>
      <c r="E4" s="220"/>
      <c r="F4" s="219">
        <v>44553004</v>
      </c>
      <c r="G4" s="220"/>
      <c r="H4" s="219">
        <v>70275191</v>
      </c>
      <c r="I4" s="220"/>
      <c r="J4" s="219">
        <v>2130521</v>
      </c>
      <c r="K4" s="220"/>
      <c r="L4" s="219" t="s">
        <v>277</v>
      </c>
      <c r="M4" s="220"/>
      <c r="N4" s="215">
        <v>93477704</v>
      </c>
      <c r="O4" s="216"/>
    </row>
    <row r="5" spans="1:19" x14ac:dyDescent="0.25">
      <c r="B5" s="148"/>
      <c r="C5" s="149"/>
      <c r="D5" s="148"/>
      <c r="E5" s="149"/>
      <c r="F5" s="148"/>
      <c r="G5" s="149"/>
      <c r="H5" s="148"/>
      <c r="I5" s="149" t="s">
        <v>290</v>
      </c>
      <c r="J5" s="148"/>
      <c r="K5" s="149"/>
      <c r="L5" s="148" t="s">
        <v>204</v>
      </c>
      <c r="M5" s="149" t="s">
        <v>204</v>
      </c>
      <c r="N5" s="148"/>
      <c r="O5" s="149"/>
    </row>
    <row r="6" spans="1:19" x14ac:dyDescent="0.25">
      <c r="B6" s="217" t="s">
        <v>131</v>
      </c>
      <c r="C6" s="218"/>
      <c r="D6" s="217" t="s">
        <v>133</v>
      </c>
      <c r="E6" s="218"/>
      <c r="F6" s="217" t="s">
        <v>134</v>
      </c>
      <c r="G6" s="218"/>
      <c r="H6" s="217" t="s">
        <v>291</v>
      </c>
      <c r="I6" s="218"/>
      <c r="J6" s="217" t="s">
        <v>136</v>
      </c>
      <c r="K6" s="218"/>
      <c r="L6" s="217" t="s">
        <v>292</v>
      </c>
      <c r="M6" s="218"/>
      <c r="N6" s="150" t="s">
        <v>293</v>
      </c>
      <c r="O6" s="151"/>
      <c r="S6" s="152"/>
    </row>
    <row r="7" spans="1:19" ht="26.25" customHeight="1" x14ac:dyDescent="0.5">
      <c r="A7" s="153"/>
      <c r="B7" s="223"/>
      <c r="C7" s="223"/>
      <c r="D7" s="223"/>
      <c r="E7" s="223"/>
      <c r="F7" s="223"/>
      <c r="G7" s="223"/>
      <c r="H7" s="223"/>
      <c r="I7" s="223"/>
      <c r="J7" s="224"/>
      <c r="K7" s="225"/>
      <c r="L7" s="224"/>
      <c r="M7" s="225"/>
      <c r="N7" s="154"/>
      <c r="O7" s="155"/>
    </row>
    <row r="8" spans="1:19" ht="7.5" customHeight="1" x14ac:dyDescent="0.5">
      <c r="A8" s="153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8"/>
      <c r="O8" s="149"/>
    </row>
    <row r="9" spans="1:19" x14ac:dyDescent="0.25">
      <c r="B9" s="221">
        <v>85492530</v>
      </c>
      <c r="C9" s="222"/>
      <c r="D9" s="221">
        <v>79305675</v>
      </c>
      <c r="E9" s="222"/>
      <c r="F9" s="221">
        <v>79190041</v>
      </c>
      <c r="G9" s="222"/>
      <c r="H9" s="221" t="s">
        <v>49</v>
      </c>
      <c r="I9" s="222"/>
      <c r="J9" s="221">
        <v>79190039</v>
      </c>
      <c r="K9" s="222"/>
      <c r="L9" s="221">
        <v>79324776</v>
      </c>
      <c r="M9" s="222"/>
      <c r="N9" s="159"/>
      <c r="O9" s="160"/>
    </row>
    <row r="10" spans="1:19" x14ac:dyDescent="0.25">
      <c r="B10" s="219" t="s">
        <v>258</v>
      </c>
      <c r="C10" s="220"/>
      <c r="D10" s="219" t="s">
        <v>258</v>
      </c>
      <c r="E10" s="220"/>
      <c r="F10" s="219" t="s">
        <v>262</v>
      </c>
      <c r="G10" s="220"/>
      <c r="H10" s="219" t="s">
        <v>262</v>
      </c>
      <c r="I10" s="220"/>
      <c r="J10" s="219" t="s">
        <v>265</v>
      </c>
      <c r="K10" s="220"/>
      <c r="L10" s="219" t="s">
        <v>266</v>
      </c>
      <c r="M10" s="220"/>
      <c r="N10" s="226" t="s">
        <v>294</v>
      </c>
      <c r="O10" s="227"/>
    </row>
    <row r="11" spans="1:19" x14ac:dyDescent="0.25">
      <c r="B11" s="217" t="s">
        <v>295</v>
      </c>
      <c r="C11" s="218"/>
      <c r="D11" s="217" t="s">
        <v>296</v>
      </c>
      <c r="E11" s="218"/>
      <c r="F11" s="217" t="s">
        <v>264</v>
      </c>
      <c r="G11" s="218"/>
      <c r="H11" s="217" t="s">
        <v>297</v>
      </c>
      <c r="I11" s="218"/>
      <c r="J11" s="217" t="s">
        <v>297</v>
      </c>
      <c r="K11" s="218"/>
      <c r="L11" s="217" t="s">
        <v>264</v>
      </c>
      <c r="M11" s="218"/>
      <c r="N11" s="228" t="s">
        <v>298</v>
      </c>
      <c r="O11" s="229"/>
    </row>
    <row r="12" spans="1:19" ht="29.25" customHeight="1" x14ac:dyDescent="0.5">
      <c r="A12" s="153"/>
      <c r="B12" s="223"/>
      <c r="C12" s="223"/>
      <c r="D12" s="223"/>
      <c r="E12" s="223"/>
      <c r="F12" s="223"/>
      <c r="G12" s="223"/>
      <c r="H12" s="223"/>
      <c r="I12" s="223"/>
      <c r="J12" s="224"/>
      <c r="K12" s="225"/>
      <c r="L12" s="224"/>
      <c r="M12" s="225"/>
      <c r="N12" s="161"/>
      <c r="O12" s="162"/>
    </row>
    <row r="13" spans="1:19" ht="7.5" customHeight="1" thickBot="1" x14ac:dyDescent="0.55000000000000004">
      <c r="A13" s="15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4"/>
      <c r="O13" s="164"/>
    </row>
    <row r="14" spans="1:19" ht="15.75" thickBot="1" x14ac:dyDescent="0.3">
      <c r="B14" s="230" t="s">
        <v>299</v>
      </c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146"/>
      <c r="O14" s="147"/>
    </row>
    <row r="15" spans="1:19" x14ac:dyDescent="0.25">
      <c r="B15" s="219" t="s">
        <v>149</v>
      </c>
      <c r="C15" s="220"/>
      <c r="D15" s="219" t="s">
        <v>150</v>
      </c>
      <c r="E15" s="220"/>
      <c r="F15" s="219" t="s">
        <v>151</v>
      </c>
      <c r="G15" s="220"/>
      <c r="H15" s="219" t="s">
        <v>152</v>
      </c>
      <c r="I15" s="220"/>
      <c r="J15" s="219" t="s">
        <v>153</v>
      </c>
      <c r="K15" s="220"/>
      <c r="L15" s="232"/>
      <c r="M15" s="233"/>
      <c r="N15" s="165"/>
      <c r="O15" s="166"/>
    </row>
    <row r="16" spans="1:19" x14ac:dyDescent="0.25">
      <c r="B16" s="167" t="s">
        <v>107</v>
      </c>
      <c r="C16" s="167" t="s">
        <v>108</v>
      </c>
      <c r="D16" s="167" t="s">
        <v>105</v>
      </c>
      <c r="E16" s="167" t="s">
        <v>106</v>
      </c>
      <c r="F16" s="167" t="s">
        <v>117</v>
      </c>
      <c r="G16" s="167" t="s">
        <v>118</v>
      </c>
      <c r="H16" s="167" t="s">
        <v>115</v>
      </c>
      <c r="I16" s="167" t="s">
        <v>116</v>
      </c>
      <c r="J16" s="167" t="s">
        <v>119</v>
      </c>
      <c r="K16" s="167" t="s">
        <v>120</v>
      </c>
      <c r="L16" s="168"/>
      <c r="M16" s="168"/>
      <c r="N16" s="169"/>
      <c r="O16" s="169"/>
    </row>
    <row r="17" spans="1:15" x14ac:dyDescent="0.25">
      <c r="B17" s="170" t="s">
        <v>77</v>
      </c>
      <c r="C17" s="170" t="s">
        <v>79</v>
      </c>
      <c r="D17" s="170" t="s">
        <v>77</v>
      </c>
      <c r="E17" s="170" t="s">
        <v>79</v>
      </c>
      <c r="F17" s="170" t="s">
        <v>77</v>
      </c>
      <c r="G17" s="170" t="s">
        <v>79</v>
      </c>
      <c r="H17" s="170" t="s">
        <v>77</v>
      </c>
      <c r="I17" s="170" t="s">
        <v>79</v>
      </c>
      <c r="J17" s="170" t="s">
        <v>77</v>
      </c>
      <c r="K17" s="170" t="s">
        <v>79</v>
      </c>
      <c r="L17" s="168"/>
      <c r="M17" s="168"/>
      <c r="N17" s="169"/>
      <c r="O17" s="169"/>
    </row>
    <row r="18" spans="1:15" ht="30" customHeight="1" x14ac:dyDescent="0.5">
      <c r="A18" s="153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2"/>
      <c r="M18" s="172"/>
      <c r="N18" s="169"/>
      <c r="O18" s="169"/>
    </row>
    <row r="19" spans="1:15" ht="7.5" customHeight="1" thickBot="1" x14ac:dyDescent="0.55000000000000004">
      <c r="A19" s="153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8"/>
      <c r="O19" s="149"/>
    </row>
    <row r="20" spans="1:15" x14ac:dyDescent="0.25">
      <c r="B20" s="234" t="s">
        <v>300</v>
      </c>
      <c r="C20" s="235"/>
      <c r="D20" s="235"/>
      <c r="E20" s="235"/>
      <c r="F20" s="235"/>
      <c r="G20" s="235"/>
      <c r="H20" s="235"/>
      <c r="I20" s="236"/>
      <c r="J20" s="237" t="s">
        <v>262</v>
      </c>
      <c r="K20" s="235"/>
      <c r="L20" s="235"/>
      <c r="M20" s="235"/>
      <c r="N20" s="235"/>
      <c r="O20" s="173"/>
    </row>
    <row r="21" spans="1:15" x14ac:dyDescent="0.25">
      <c r="B21" s="221" t="s">
        <v>154</v>
      </c>
      <c r="C21" s="222"/>
      <c r="D21" s="221" t="s">
        <v>155</v>
      </c>
      <c r="E21" s="222"/>
      <c r="F21" s="221" t="s">
        <v>156</v>
      </c>
      <c r="G21" s="222"/>
      <c r="H21" s="221" t="s">
        <v>157</v>
      </c>
      <c r="I21" s="222"/>
      <c r="J21" s="238" t="s">
        <v>158</v>
      </c>
      <c r="K21" s="238"/>
      <c r="L21" s="221" t="s">
        <v>159</v>
      </c>
      <c r="M21" s="222"/>
      <c r="N21" s="174"/>
      <c r="O21" s="175"/>
    </row>
    <row r="22" spans="1:15" x14ac:dyDescent="0.25">
      <c r="B22" s="167" t="s">
        <v>109</v>
      </c>
      <c r="C22" s="167" t="s">
        <v>110</v>
      </c>
      <c r="D22" s="167" t="s">
        <v>113</v>
      </c>
      <c r="E22" s="167" t="s">
        <v>114</v>
      </c>
      <c r="F22" s="167" t="s">
        <v>121</v>
      </c>
      <c r="G22" s="167" t="s">
        <v>122</v>
      </c>
      <c r="H22" s="167" t="s">
        <v>123</v>
      </c>
      <c r="I22" s="167" t="s">
        <v>124</v>
      </c>
      <c r="J22" s="167" t="s">
        <v>125</v>
      </c>
      <c r="K22" s="167" t="s">
        <v>126</v>
      </c>
      <c r="L22" s="167" t="s">
        <v>111</v>
      </c>
      <c r="M22" s="167" t="s">
        <v>112</v>
      </c>
      <c r="N22" s="169"/>
      <c r="O22" s="169"/>
    </row>
    <row r="23" spans="1:15" x14ac:dyDescent="0.25">
      <c r="B23" s="170" t="s">
        <v>77</v>
      </c>
      <c r="C23" s="170" t="s">
        <v>79</v>
      </c>
      <c r="D23" s="170" t="s">
        <v>77</v>
      </c>
      <c r="E23" s="170" t="s">
        <v>79</v>
      </c>
      <c r="F23" s="170" t="s">
        <v>77</v>
      </c>
      <c r="G23" s="170" t="s">
        <v>79</v>
      </c>
      <c r="H23" s="170" t="s">
        <v>77</v>
      </c>
      <c r="I23" s="170" t="s">
        <v>79</v>
      </c>
      <c r="J23" s="170" t="s">
        <v>77</v>
      </c>
      <c r="K23" s="170" t="s">
        <v>79</v>
      </c>
      <c r="L23" s="170" t="s">
        <v>77</v>
      </c>
      <c r="M23" s="170" t="s">
        <v>79</v>
      </c>
      <c r="N23" s="169"/>
      <c r="O23" s="169"/>
    </row>
    <row r="24" spans="1:15" ht="33" customHeight="1" x14ac:dyDescent="0.5">
      <c r="A24" s="153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/>
      <c r="O24" s="169"/>
    </row>
    <row r="25" spans="1:15" ht="7.5" customHeight="1" x14ac:dyDescent="0.5">
      <c r="A25" s="153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8"/>
      <c r="O25" s="149"/>
    </row>
    <row r="26" spans="1:15" x14ac:dyDescent="0.25">
      <c r="B26" s="239" t="s">
        <v>301</v>
      </c>
      <c r="C26" s="240"/>
      <c r="D26" s="239" t="s">
        <v>302</v>
      </c>
      <c r="E26" s="240"/>
      <c r="F26" s="176"/>
      <c r="G26" s="176"/>
      <c r="H26" s="176"/>
      <c r="I26" s="176"/>
      <c r="J26" s="241">
        <v>112014001775</v>
      </c>
      <c r="K26" s="242"/>
      <c r="L26" s="241">
        <v>112014001771</v>
      </c>
      <c r="M26" s="242"/>
      <c r="N26" s="174"/>
      <c r="O26" s="175"/>
    </row>
    <row r="27" spans="1:15" x14ac:dyDescent="0.25">
      <c r="B27" s="221" t="s">
        <v>160</v>
      </c>
      <c r="C27" s="222"/>
      <c r="D27" s="221" t="s">
        <v>303</v>
      </c>
      <c r="E27" s="222"/>
      <c r="F27" s="158"/>
      <c r="G27" s="158"/>
      <c r="H27" s="158"/>
      <c r="I27" s="158"/>
      <c r="J27" s="221" t="s">
        <v>269</v>
      </c>
      <c r="K27" s="222"/>
      <c r="L27" s="221" t="s">
        <v>143</v>
      </c>
      <c r="M27" s="222"/>
      <c r="N27" s="177"/>
      <c r="O27" s="178"/>
    </row>
    <row r="28" spans="1:15" x14ac:dyDescent="0.25">
      <c r="B28" s="170" t="s">
        <v>103</v>
      </c>
      <c r="C28" s="170" t="s">
        <v>239</v>
      </c>
      <c r="D28" s="243" t="s">
        <v>304</v>
      </c>
      <c r="E28" s="244"/>
      <c r="F28" s="158"/>
      <c r="G28" s="158"/>
      <c r="H28" s="158"/>
      <c r="I28" s="158"/>
      <c r="J28" s="245" t="s">
        <v>305</v>
      </c>
      <c r="K28" s="246"/>
      <c r="L28" s="217" t="s">
        <v>306</v>
      </c>
      <c r="M28" s="218"/>
      <c r="N28" s="165"/>
      <c r="O28" s="166"/>
    </row>
    <row r="29" spans="1:15" x14ac:dyDescent="0.25">
      <c r="B29" s="243" t="s">
        <v>77</v>
      </c>
      <c r="C29" s="244"/>
      <c r="D29" s="243" t="s">
        <v>307</v>
      </c>
      <c r="E29" s="244"/>
      <c r="F29" s="158"/>
      <c r="G29" s="158"/>
      <c r="H29" s="158"/>
      <c r="I29" s="158"/>
      <c r="J29" s="223" t="s">
        <v>308</v>
      </c>
      <c r="K29" s="223"/>
      <c r="L29" s="223" t="s">
        <v>308</v>
      </c>
      <c r="M29" s="223"/>
      <c r="N29" s="174"/>
      <c r="O29" s="175"/>
    </row>
    <row r="30" spans="1:15" ht="33.75" x14ac:dyDescent="0.5">
      <c r="A30" s="153"/>
      <c r="B30" s="224"/>
      <c r="C30" s="225"/>
      <c r="D30" s="224"/>
      <c r="E30" s="225"/>
      <c r="F30" s="179"/>
      <c r="G30" s="179"/>
      <c r="H30" s="179"/>
      <c r="I30" s="179"/>
      <c r="J30" s="154"/>
      <c r="K30" s="155"/>
      <c r="L30" s="154"/>
      <c r="M30" s="155"/>
      <c r="N30" s="174"/>
      <c r="O30" s="175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47" t="s">
        <v>309</v>
      </c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</row>
    <row r="3" spans="1:13" x14ac:dyDescent="0.25">
      <c r="B3" s="248">
        <v>73337589</v>
      </c>
      <c r="C3" s="249"/>
      <c r="D3" s="248">
        <v>65956268</v>
      </c>
      <c r="E3" s="249"/>
      <c r="F3" s="248">
        <v>1334021</v>
      </c>
      <c r="G3" s="249"/>
      <c r="H3" s="248">
        <v>63265094</v>
      </c>
      <c r="I3" s="249"/>
      <c r="J3" s="248">
        <v>80606729</v>
      </c>
      <c r="K3" s="249"/>
      <c r="L3" s="248" t="s">
        <v>204</v>
      </c>
      <c r="M3" s="249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252" t="s">
        <v>310</v>
      </c>
      <c r="C5" s="253"/>
      <c r="D5" s="252" t="s">
        <v>311</v>
      </c>
      <c r="E5" s="253"/>
      <c r="F5" s="252" t="s">
        <v>144</v>
      </c>
      <c r="G5" s="253"/>
      <c r="H5" s="252" t="s">
        <v>148</v>
      </c>
      <c r="I5" s="253"/>
      <c r="J5" s="252" t="s">
        <v>312</v>
      </c>
      <c r="K5" s="253"/>
      <c r="L5" s="252" t="s">
        <v>204</v>
      </c>
      <c r="M5" s="253"/>
    </row>
    <row r="6" spans="1:13" ht="33.75" x14ac:dyDescent="0.5">
      <c r="A6" s="153"/>
      <c r="B6" s="254"/>
      <c r="C6" s="254"/>
      <c r="D6" s="254"/>
      <c r="E6" s="254"/>
      <c r="F6" s="254"/>
      <c r="G6" s="254"/>
      <c r="H6" s="254"/>
      <c r="I6" s="254"/>
      <c r="J6" s="250"/>
      <c r="K6" s="251"/>
      <c r="L6" s="250"/>
      <c r="M6" s="251"/>
    </row>
    <row r="7" spans="1:13" ht="33.75" x14ac:dyDescent="0.5">
      <c r="A7" s="153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247" t="s">
        <v>313</v>
      </c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</row>
    <row r="9" spans="1:13" x14ac:dyDescent="0.25">
      <c r="B9" s="248" t="s">
        <v>164</v>
      </c>
      <c r="C9" s="249"/>
      <c r="D9" s="248" t="s">
        <v>165</v>
      </c>
      <c r="E9" s="249"/>
      <c r="F9" s="248"/>
      <c r="G9" s="249"/>
      <c r="H9" s="248" t="s">
        <v>314</v>
      </c>
      <c r="I9" s="249"/>
      <c r="J9" s="248" t="s">
        <v>243</v>
      </c>
      <c r="K9" s="249"/>
      <c r="L9" s="248" t="s">
        <v>204</v>
      </c>
      <c r="M9" s="249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255" t="s">
        <v>130</v>
      </c>
      <c r="K10" s="256"/>
      <c r="L10" s="33" t="s">
        <v>204</v>
      </c>
      <c r="M10" s="34" t="s">
        <v>204</v>
      </c>
    </row>
    <row r="11" spans="1:13" x14ac:dyDescent="0.25">
      <c r="B11" s="252" t="s">
        <v>310</v>
      </c>
      <c r="C11" s="253"/>
      <c r="D11" s="252" t="s">
        <v>144</v>
      </c>
      <c r="E11" s="253"/>
      <c r="F11" s="252"/>
      <c r="G11" s="253"/>
      <c r="H11" s="252" t="s">
        <v>148</v>
      </c>
      <c r="I11" s="253"/>
      <c r="J11" s="252" t="s">
        <v>244</v>
      </c>
      <c r="K11" s="253"/>
      <c r="L11" s="252" t="s">
        <v>204</v>
      </c>
      <c r="M11" s="253"/>
    </row>
    <row r="12" spans="1:13" ht="33.75" x14ac:dyDescent="0.5">
      <c r="A12" s="153"/>
      <c r="B12" s="254"/>
      <c r="C12" s="254"/>
      <c r="D12" s="254"/>
      <c r="E12" s="254"/>
      <c r="F12" s="254"/>
      <c r="G12" s="254"/>
      <c r="H12" s="257"/>
      <c r="I12" s="257"/>
      <c r="J12" s="250"/>
      <c r="K12" s="251"/>
      <c r="L12" s="250"/>
      <c r="M12" s="251"/>
    </row>
    <row r="13" spans="1:13" ht="33.75" x14ac:dyDescent="0.5">
      <c r="A13" s="153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247" t="s">
        <v>315</v>
      </c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</row>
    <row r="15" spans="1:13" x14ac:dyDescent="0.25">
      <c r="B15" s="248" t="s">
        <v>66</v>
      </c>
      <c r="C15" s="249"/>
      <c r="D15" s="248" t="s">
        <v>316</v>
      </c>
      <c r="E15" s="249"/>
      <c r="F15" s="248" t="s">
        <v>317</v>
      </c>
      <c r="G15" s="249"/>
      <c r="H15" s="248" t="s">
        <v>318</v>
      </c>
      <c r="I15" s="249"/>
      <c r="J15" s="248" t="s">
        <v>319</v>
      </c>
      <c r="K15" s="249"/>
      <c r="L15" s="248" t="s">
        <v>320</v>
      </c>
      <c r="M15" s="249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255" t="s">
        <v>204</v>
      </c>
      <c r="K16" s="256"/>
      <c r="L16" s="33" t="s">
        <v>204</v>
      </c>
      <c r="M16" s="34" t="s">
        <v>204</v>
      </c>
    </row>
    <row r="17" spans="1:13" x14ac:dyDescent="0.25">
      <c r="B17" s="252" t="s">
        <v>321</v>
      </c>
      <c r="C17" s="253"/>
      <c r="D17" s="252" t="s">
        <v>144</v>
      </c>
      <c r="E17" s="253"/>
      <c r="F17" s="252" t="s">
        <v>144</v>
      </c>
      <c r="G17" s="253"/>
      <c r="H17" s="252" t="s">
        <v>322</v>
      </c>
      <c r="I17" s="253"/>
      <c r="J17" s="252" t="s">
        <v>144</v>
      </c>
      <c r="K17" s="253"/>
      <c r="L17" s="252" t="s">
        <v>144</v>
      </c>
      <c r="M17" s="253"/>
    </row>
    <row r="18" spans="1:13" ht="33.75" x14ac:dyDescent="0.5">
      <c r="A18" s="153"/>
      <c r="B18" s="254"/>
      <c r="C18" s="254"/>
      <c r="D18" s="254"/>
      <c r="E18" s="254"/>
      <c r="F18" s="254"/>
      <c r="G18" s="254"/>
      <c r="H18" s="257"/>
      <c r="I18" s="257"/>
      <c r="J18" s="250"/>
      <c r="K18" s="251"/>
      <c r="L18" s="250"/>
      <c r="M18" s="251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80" t="s">
        <v>338</v>
      </c>
    </row>
    <row r="4" spans="2:98" ht="18.75" x14ac:dyDescent="0.3">
      <c r="B4" s="180" t="s">
        <v>339</v>
      </c>
    </row>
    <row r="5" spans="2:98" ht="18.75" x14ac:dyDescent="0.3">
      <c r="B5" s="180" t="s">
        <v>340</v>
      </c>
    </row>
    <row r="7" spans="2:98" x14ac:dyDescent="0.25"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</row>
    <row r="8" spans="2:98" x14ac:dyDescent="0.25">
      <c r="Q8" s="34"/>
      <c r="CT8" s="182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CT11" s="34"/>
    </row>
    <row r="12" spans="2:98" x14ac:dyDescent="0.25">
      <c r="Q12" s="34"/>
      <c r="V12" s="34"/>
      <c r="BS12" s="182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81"/>
      <c r="AY17" s="181"/>
      <c r="AZ17" s="181"/>
      <c r="BA17" s="181"/>
      <c r="BB17" s="181"/>
      <c r="BC17" s="181"/>
      <c r="BD17" s="181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82"/>
      <c r="BS18" s="34"/>
      <c r="BX18" s="183"/>
      <c r="BY18" s="184"/>
      <c r="BZ18" s="184"/>
      <c r="CA18" s="184"/>
      <c r="CB18" s="184"/>
      <c r="CC18" s="184"/>
      <c r="CD18" s="182"/>
      <c r="CK18" s="183"/>
      <c r="CL18" s="184" t="s">
        <v>145</v>
      </c>
      <c r="CM18" s="184"/>
      <c r="CN18" s="184"/>
      <c r="CO18" s="184"/>
      <c r="CP18" s="184"/>
      <c r="CQ18" s="182"/>
      <c r="CT18" s="34"/>
    </row>
    <row r="19" spans="7:98" x14ac:dyDescent="0.25">
      <c r="P19" s="59"/>
      <c r="Q19" s="34"/>
      <c r="R19" s="59"/>
      <c r="S19" s="59"/>
      <c r="V19" s="34"/>
      <c r="AT19" s="181"/>
      <c r="AU19" s="181"/>
      <c r="AV19" s="181"/>
      <c r="AW19" s="185"/>
      <c r="AY19" t="s">
        <v>347</v>
      </c>
      <c r="BD19" s="34"/>
      <c r="BS19" s="34"/>
      <c r="BT19" s="186"/>
      <c r="BU19" s="181"/>
      <c r="BV19" s="181"/>
      <c r="BW19" s="181"/>
      <c r="BX19" s="33"/>
      <c r="BY19" s="59" t="s">
        <v>145</v>
      </c>
      <c r="BZ19" s="59"/>
      <c r="CA19" s="59"/>
      <c r="CB19" s="59"/>
      <c r="CC19" s="59"/>
      <c r="CD19" s="34"/>
      <c r="CE19" s="186"/>
      <c r="CF19" s="181"/>
      <c r="CG19" s="181"/>
      <c r="CH19" s="181"/>
      <c r="CI19" s="181"/>
      <c r="CJ19" s="181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87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258">
        <v>73337589</v>
      </c>
      <c r="BZ20" s="258"/>
      <c r="CA20" s="258"/>
      <c r="CB20" s="258"/>
      <c r="CC20" s="258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87"/>
      <c r="R21" s="59"/>
      <c r="S21" s="59"/>
      <c r="V21" s="34"/>
      <c r="Z21" s="181"/>
      <c r="AA21" s="181"/>
      <c r="AB21" s="181"/>
      <c r="AC21" s="181"/>
      <c r="AD21" s="181"/>
      <c r="AE21" s="181"/>
      <c r="AF21" s="181"/>
      <c r="AS21" s="34"/>
      <c r="AW21" s="34"/>
      <c r="AX21" s="186"/>
      <c r="AY21" s="260">
        <v>44553004</v>
      </c>
      <c r="AZ21" s="260"/>
      <c r="BA21" s="260"/>
      <c r="BB21" s="260"/>
      <c r="BC21" s="260"/>
      <c r="BD21" s="185"/>
      <c r="BS21" s="34"/>
      <c r="BX21" s="186"/>
      <c r="BY21" s="181"/>
      <c r="BZ21" s="181"/>
      <c r="CA21" s="181"/>
      <c r="CB21" s="181"/>
      <c r="CC21" s="181"/>
      <c r="CD21" s="185"/>
      <c r="CK21" s="186"/>
      <c r="CL21" s="260">
        <v>65956268</v>
      </c>
      <c r="CM21" s="260"/>
      <c r="CN21" s="260"/>
      <c r="CO21" s="260"/>
      <c r="CP21" s="260"/>
      <c r="CQ21" s="185"/>
      <c r="CT21" s="34"/>
    </row>
    <row r="22" spans="7:98" x14ac:dyDescent="0.25">
      <c r="G22" s="3" t="s">
        <v>351</v>
      </c>
      <c r="J22" s="59"/>
      <c r="Q22" s="187"/>
      <c r="R22" s="59"/>
      <c r="S22" s="59"/>
      <c r="V22" s="34"/>
      <c r="Y22" s="34"/>
      <c r="AA22" t="s">
        <v>352</v>
      </c>
      <c r="AF22" s="182"/>
      <c r="AS22" s="34"/>
      <c r="BS22" s="34"/>
      <c r="CT22" s="34"/>
    </row>
    <row r="23" spans="7:98" x14ac:dyDescent="0.25">
      <c r="G23" s="3" t="s">
        <v>353</v>
      </c>
      <c r="J23" s="59"/>
      <c r="L23" s="181"/>
      <c r="M23" s="181"/>
      <c r="N23" s="181"/>
      <c r="O23" s="181"/>
      <c r="P23" s="181"/>
      <c r="Q23" s="187"/>
      <c r="R23" s="59"/>
      <c r="S23" s="181"/>
      <c r="T23" s="181"/>
      <c r="U23" s="181"/>
      <c r="V23" s="185"/>
      <c r="W23" s="181"/>
      <c r="X23" s="181"/>
      <c r="Y23" s="185"/>
      <c r="AA23" t="s">
        <v>354</v>
      </c>
      <c r="AF23" s="34"/>
      <c r="AG23" s="186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5"/>
      <c r="BS23" s="34"/>
      <c r="CT23" s="34"/>
    </row>
    <row r="24" spans="7:98" x14ac:dyDescent="0.25">
      <c r="G24" s="3" t="s">
        <v>355</v>
      </c>
      <c r="J24" s="59"/>
      <c r="Q24" s="187"/>
      <c r="R24" s="59"/>
      <c r="S24" s="59"/>
      <c r="Y24" s="34"/>
      <c r="AA24" s="259">
        <v>74860172</v>
      </c>
      <c r="AB24" s="259"/>
      <c r="AC24" s="259"/>
      <c r="AD24" s="259"/>
      <c r="AE24" s="259"/>
      <c r="AF24" s="34"/>
      <c r="AS24" s="34"/>
      <c r="AX24" s="181"/>
      <c r="AY24" s="181"/>
      <c r="AZ24" s="181"/>
      <c r="BA24" s="181"/>
      <c r="BB24" s="181"/>
      <c r="BC24" s="181"/>
      <c r="BD24" s="181"/>
      <c r="BS24" s="34"/>
      <c r="CT24" s="34"/>
    </row>
    <row r="25" spans="7:98" x14ac:dyDescent="0.25">
      <c r="P25" s="59"/>
      <c r="Q25" s="187"/>
      <c r="R25" s="59"/>
      <c r="S25" s="59"/>
      <c r="Y25" s="34"/>
      <c r="Z25" s="186"/>
      <c r="AA25" s="181"/>
      <c r="AB25" s="181"/>
      <c r="AC25" s="181"/>
      <c r="AD25" s="181"/>
      <c r="AE25" s="181"/>
      <c r="AF25" s="185"/>
      <c r="AS25" s="34"/>
      <c r="AW25" s="34"/>
      <c r="AY25" t="s">
        <v>356</v>
      </c>
      <c r="BD25" s="182"/>
      <c r="BS25" s="34"/>
      <c r="BX25" s="183"/>
      <c r="BY25" s="184" t="s">
        <v>357</v>
      </c>
      <c r="BZ25" s="184"/>
      <c r="CA25" s="184"/>
      <c r="CB25" s="184"/>
      <c r="CC25" s="184"/>
      <c r="CD25" s="182"/>
      <c r="CT25" s="34"/>
    </row>
    <row r="26" spans="7:98" x14ac:dyDescent="0.25">
      <c r="P26" s="59"/>
      <c r="Q26" s="187"/>
      <c r="R26" s="181"/>
      <c r="S26" s="181"/>
      <c r="T26" s="181"/>
      <c r="U26" s="181"/>
      <c r="V26" s="181"/>
      <c r="AS26" s="34"/>
      <c r="AT26" s="186"/>
      <c r="AU26" s="181"/>
      <c r="AV26" s="181"/>
      <c r="AW26" s="185"/>
      <c r="AY26" t="s">
        <v>358</v>
      </c>
      <c r="BD26" s="34"/>
      <c r="BS26" s="34"/>
      <c r="BT26" s="186"/>
      <c r="BU26" s="181"/>
      <c r="BV26" s="181"/>
      <c r="BW26" s="181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8"/>
      <c r="R27" s="59"/>
      <c r="S27" s="59"/>
      <c r="V27" s="34"/>
      <c r="AS27" s="34"/>
      <c r="AW27" s="34"/>
      <c r="AY27" s="259">
        <v>70275191</v>
      </c>
      <c r="AZ27" s="259"/>
      <c r="BA27" s="259"/>
      <c r="BB27" s="259"/>
      <c r="BC27" s="259"/>
      <c r="BD27" s="34"/>
      <c r="BS27" s="34"/>
      <c r="BX27" s="33"/>
      <c r="BY27" s="258">
        <v>1334021</v>
      </c>
      <c r="BZ27" s="258"/>
      <c r="CA27" s="258"/>
      <c r="CB27" s="258"/>
      <c r="CC27" s="258"/>
      <c r="CD27" s="34"/>
      <c r="CJ27" s="181"/>
      <c r="CK27" s="181"/>
      <c r="CL27" s="181"/>
      <c r="CM27" s="181"/>
      <c r="CN27" s="181"/>
      <c r="CO27" s="181"/>
      <c r="CP27" s="181"/>
      <c r="CT27" s="34"/>
    </row>
    <row r="28" spans="7:98" x14ac:dyDescent="0.25">
      <c r="P28" s="59"/>
      <c r="Q28" s="188"/>
      <c r="R28" s="59"/>
      <c r="S28" s="59"/>
      <c r="V28" s="34"/>
      <c r="Z28" s="181"/>
      <c r="AA28" s="181"/>
      <c r="AB28" s="181"/>
      <c r="AC28" s="181"/>
      <c r="AD28" s="181"/>
      <c r="AE28" s="181"/>
      <c r="AF28" s="181"/>
      <c r="AS28" s="34"/>
      <c r="AW28" s="34"/>
      <c r="AX28" s="186"/>
      <c r="AY28" s="181"/>
      <c r="AZ28" s="181"/>
      <c r="BA28" s="181"/>
      <c r="BB28" s="181"/>
      <c r="BC28" s="181"/>
      <c r="BD28" s="185"/>
      <c r="BS28" s="34"/>
      <c r="BX28" s="186"/>
      <c r="BY28" s="181"/>
      <c r="BZ28" s="181"/>
      <c r="CA28" s="181"/>
      <c r="CB28" s="181"/>
      <c r="CC28" s="181"/>
      <c r="CD28" s="185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8"/>
      <c r="R29" s="59"/>
      <c r="S29" s="59"/>
      <c r="V29" s="34"/>
      <c r="Y29" s="34"/>
      <c r="AA29" t="s">
        <v>362</v>
      </c>
      <c r="AF29" s="182"/>
      <c r="AS29" s="34"/>
      <c r="BS29" s="34"/>
      <c r="CI29" s="34"/>
      <c r="CK29" t="s">
        <v>363</v>
      </c>
      <c r="CP29" s="34"/>
      <c r="CQ29" s="181"/>
      <c r="CR29" s="181"/>
      <c r="CS29" s="181"/>
      <c r="CT29" s="185"/>
    </row>
    <row r="30" spans="7:98" x14ac:dyDescent="0.25">
      <c r="M30" s="3" t="s">
        <v>364</v>
      </c>
      <c r="P30" s="59"/>
      <c r="Q30" s="188"/>
      <c r="R30" s="59"/>
      <c r="S30" s="181"/>
      <c r="T30" s="181"/>
      <c r="U30" s="181"/>
      <c r="V30" s="185"/>
      <c r="W30" s="181"/>
      <c r="X30" s="181"/>
      <c r="Y30" s="185"/>
      <c r="AA30" t="s">
        <v>354</v>
      </c>
      <c r="AF30" s="34"/>
      <c r="AG30" s="186"/>
      <c r="AH30" s="181"/>
      <c r="AI30" s="181"/>
      <c r="AJ30" s="181"/>
      <c r="AK30" s="181"/>
      <c r="AL30" s="181"/>
      <c r="AS30" s="34"/>
      <c r="BS30" s="34"/>
      <c r="CI30" s="34"/>
      <c r="CK30" s="258">
        <v>67327447</v>
      </c>
      <c r="CL30" s="258"/>
      <c r="CM30" s="258"/>
      <c r="CN30" s="258"/>
      <c r="CO30" s="258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259">
        <v>74860173</v>
      </c>
      <c r="AB31" s="259"/>
      <c r="AC31" s="259"/>
      <c r="AD31" s="259"/>
      <c r="AE31" s="259"/>
      <c r="AF31" s="34"/>
      <c r="AL31" s="182"/>
      <c r="AS31" s="34"/>
      <c r="BS31" s="34"/>
      <c r="BX31" s="181"/>
      <c r="BY31" s="181"/>
      <c r="BZ31" s="181"/>
      <c r="CA31" s="181"/>
      <c r="CB31" s="181"/>
      <c r="CC31" s="181"/>
      <c r="CD31" s="181"/>
      <c r="CI31" s="34"/>
      <c r="CJ31" s="186"/>
      <c r="CK31" s="181"/>
      <c r="CL31" s="181"/>
      <c r="CM31" s="181"/>
      <c r="CN31" s="181"/>
      <c r="CO31" s="181"/>
      <c r="CP31" s="185"/>
    </row>
    <row r="32" spans="7:98" x14ac:dyDescent="0.25">
      <c r="P32" s="59"/>
      <c r="Q32" s="59"/>
      <c r="R32" s="59"/>
      <c r="S32" s="59"/>
      <c r="Y32" s="34"/>
      <c r="Z32" s="186"/>
      <c r="AA32" s="181"/>
      <c r="AB32" s="181"/>
      <c r="AC32" s="181"/>
      <c r="AD32" s="181"/>
      <c r="AE32" s="181"/>
      <c r="AF32" s="185"/>
      <c r="AL32" s="34"/>
      <c r="AS32" s="34"/>
      <c r="AX32" s="181"/>
      <c r="AY32" s="181"/>
      <c r="AZ32" s="181"/>
      <c r="BA32" s="181"/>
      <c r="BB32" s="181"/>
      <c r="BC32" s="181"/>
      <c r="BD32" s="181"/>
      <c r="BS32" s="34"/>
      <c r="BW32" s="34"/>
      <c r="BY32" t="s">
        <v>360</v>
      </c>
      <c r="CD32" s="182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82"/>
      <c r="BT33" s="186"/>
      <c r="BU33" s="181"/>
      <c r="BV33" s="181"/>
      <c r="BW33" s="185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86"/>
      <c r="AU34" s="181"/>
      <c r="AV34" s="181"/>
      <c r="AW34" s="185"/>
      <c r="AY34" t="s">
        <v>366</v>
      </c>
      <c r="BD34" s="34"/>
      <c r="BW34" s="182"/>
      <c r="BY34" s="258">
        <v>63265094</v>
      </c>
      <c r="BZ34" s="258"/>
      <c r="CA34" s="258"/>
      <c r="CB34" s="258"/>
      <c r="CC34" s="258"/>
      <c r="CD34" s="34"/>
    </row>
    <row r="35" spans="3:82" x14ac:dyDescent="0.25">
      <c r="AL35" s="34"/>
      <c r="AS35" s="34"/>
      <c r="AW35" s="34"/>
      <c r="AY35" s="259">
        <v>2130521</v>
      </c>
      <c r="AZ35" s="259"/>
      <c r="BA35" s="259"/>
      <c r="BB35" s="259"/>
      <c r="BC35" s="259"/>
      <c r="BD35" s="34"/>
      <c r="BW35" s="34"/>
      <c r="BX35" s="186"/>
      <c r="BY35" s="181"/>
      <c r="BZ35" s="181"/>
      <c r="CA35" s="181"/>
      <c r="CB35" s="181"/>
      <c r="CC35" s="181"/>
      <c r="CD35" s="185"/>
    </row>
    <row r="36" spans="3:82" x14ac:dyDescent="0.25">
      <c r="C36" s="59"/>
      <c r="D36" s="261"/>
      <c r="E36" s="261"/>
      <c r="AJ36" t="s">
        <v>367</v>
      </c>
      <c r="AS36" s="34"/>
      <c r="AW36" s="34"/>
      <c r="AX36" s="186"/>
      <c r="AY36" s="181"/>
      <c r="AZ36" s="181"/>
      <c r="BA36" s="181"/>
      <c r="BB36" s="181"/>
      <c r="BC36" s="181"/>
      <c r="BD36" s="185"/>
    </row>
    <row r="37" spans="3:82" x14ac:dyDescent="0.25">
      <c r="C37" s="59"/>
      <c r="D37" s="158"/>
      <c r="E37" s="158"/>
      <c r="AJ37" t="s">
        <v>368</v>
      </c>
      <c r="AS37" s="34"/>
    </row>
    <row r="38" spans="3:82" x14ac:dyDescent="0.25">
      <c r="C38" s="59"/>
      <c r="D38" s="189"/>
      <c r="E38" s="189"/>
      <c r="AS38" s="34"/>
    </row>
    <row r="39" spans="3:82" x14ac:dyDescent="0.25">
      <c r="AS39" s="34"/>
      <c r="AX39" s="181"/>
      <c r="AY39" s="181"/>
      <c r="AZ39" s="181"/>
      <c r="BA39" s="181"/>
      <c r="BB39" s="181"/>
      <c r="BC39" s="181"/>
      <c r="BD39" s="181"/>
      <c r="BK39" s="181"/>
      <c r="BL39" s="181"/>
      <c r="BM39" s="181"/>
      <c r="BN39" s="181"/>
      <c r="BO39" s="181"/>
      <c r="BP39" s="181"/>
    </row>
    <row r="40" spans="3:82" x14ac:dyDescent="0.25">
      <c r="AS40" s="34"/>
      <c r="AW40" s="34"/>
      <c r="AY40" t="s">
        <v>369</v>
      </c>
      <c r="BD40" s="182"/>
      <c r="BJ40" s="34"/>
      <c r="BL40" t="s">
        <v>370</v>
      </c>
      <c r="BP40" s="182"/>
    </row>
    <row r="41" spans="3:82" x14ac:dyDescent="0.25">
      <c r="Z41" s="183"/>
      <c r="AA41" s="184" t="s">
        <v>237</v>
      </c>
      <c r="AB41" s="184"/>
      <c r="AC41" s="184"/>
      <c r="AD41" s="184"/>
      <c r="AE41" s="184"/>
      <c r="AF41" s="182"/>
      <c r="AS41" s="34"/>
      <c r="AT41" s="186"/>
      <c r="AU41" s="181"/>
      <c r="AV41" s="181"/>
      <c r="AW41" s="185"/>
      <c r="AY41" t="s">
        <v>308</v>
      </c>
      <c r="BD41" s="34"/>
      <c r="BE41" s="186"/>
      <c r="BF41" s="181"/>
      <c r="BG41" s="181"/>
      <c r="BH41" s="181"/>
      <c r="BI41" s="181"/>
      <c r="BJ41" s="185"/>
      <c r="BL41" t="s">
        <v>371</v>
      </c>
      <c r="BP41" s="34"/>
    </row>
    <row r="42" spans="3:82" x14ac:dyDescent="0.25">
      <c r="W42" s="181"/>
      <c r="X42" s="181"/>
      <c r="Y42" s="185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259">
        <v>79177804</v>
      </c>
      <c r="AZ42" s="259"/>
      <c r="BA42" s="259"/>
      <c r="BB42" s="259"/>
      <c r="BC42" s="259"/>
      <c r="BD42" s="34"/>
      <c r="BJ42" s="34"/>
      <c r="BL42" t="s">
        <v>372</v>
      </c>
      <c r="BP42" s="34"/>
    </row>
    <row r="43" spans="3:82" x14ac:dyDescent="0.25">
      <c r="V43" s="34"/>
      <c r="Z43" s="33"/>
      <c r="AA43" s="263">
        <v>93477704</v>
      </c>
      <c r="AB43" s="264"/>
      <c r="AC43" s="264"/>
      <c r="AD43" s="264"/>
      <c r="AE43" s="264"/>
      <c r="AF43" s="34"/>
      <c r="AS43" s="34"/>
      <c r="AW43" s="34"/>
      <c r="AX43" s="186"/>
      <c r="AY43" s="181"/>
      <c r="AZ43" s="181"/>
      <c r="BA43" s="181"/>
      <c r="BB43" s="181"/>
      <c r="BC43" s="181"/>
      <c r="BD43" s="185"/>
      <c r="BJ43" s="34"/>
      <c r="BK43" s="186"/>
      <c r="BL43" s="260">
        <v>79305675</v>
      </c>
      <c r="BM43" s="260"/>
      <c r="BN43" s="260"/>
      <c r="BO43" s="260"/>
      <c r="BP43" s="185"/>
    </row>
    <row r="44" spans="3:82" x14ac:dyDescent="0.25">
      <c r="V44" s="34"/>
      <c r="Z44" s="186"/>
      <c r="AA44" s="181"/>
      <c r="AB44" s="181"/>
      <c r="AC44" s="181"/>
      <c r="AD44" s="181"/>
      <c r="AE44" s="181"/>
      <c r="AF44" s="185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81"/>
      <c r="T47" s="181"/>
      <c r="U47" s="181"/>
      <c r="V47" s="185"/>
      <c r="AS47" s="34"/>
      <c r="AX47" s="183"/>
      <c r="AY47" s="184" t="s">
        <v>375</v>
      </c>
      <c r="AZ47" s="184"/>
      <c r="BA47" s="184"/>
      <c r="BB47" s="184"/>
      <c r="BC47" s="184"/>
      <c r="BD47" s="182"/>
    </row>
    <row r="48" spans="3:82" x14ac:dyDescent="0.25">
      <c r="M48" s="3" t="s">
        <v>376</v>
      </c>
      <c r="V48" s="182"/>
      <c r="Z48" s="183"/>
      <c r="AA48" s="184" t="s">
        <v>377</v>
      </c>
      <c r="AB48" s="184"/>
      <c r="AC48" s="184"/>
      <c r="AD48" s="184"/>
      <c r="AE48" s="184"/>
      <c r="AF48" s="182"/>
      <c r="AS48" s="34"/>
      <c r="AT48" s="186"/>
      <c r="AU48" s="181"/>
      <c r="AV48" s="181"/>
      <c r="AW48" s="181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86"/>
      <c r="X49" s="181"/>
      <c r="Y49" s="181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259">
        <v>79190041</v>
      </c>
      <c r="AZ49" s="259"/>
      <c r="BA49" s="259"/>
      <c r="BB49" s="259"/>
      <c r="BC49" s="259"/>
      <c r="BD49" s="34"/>
    </row>
    <row r="50" spans="2:56" ht="15.75" x14ac:dyDescent="0.25">
      <c r="V50" s="34"/>
      <c r="Z50" s="33"/>
      <c r="AA50" s="190" t="s">
        <v>62</v>
      </c>
      <c r="AB50" s="190"/>
      <c r="AC50" s="191"/>
      <c r="AD50" s="59"/>
      <c r="AE50" s="59"/>
      <c r="AF50" s="34"/>
      <c r="AS50" s="34"/>
      <c r="AX50" s="186"/>
      <c r="AY50" s="181"/>
      <c r="AZ50" s="181"/>
      <c r="BA50" s="181"/>
      <c r="BB50" s="181"/>
      <c r="BC50" s="181"/>
      <c r="BD50" s="185"/>
    </row>
    <row r="51" spans="2:56" x14ac:dyDescent="0.25">
      <c r="V51" s="34"/>
      <c r="Z51" s="186"/>
      <c r="AA51" s="181"/>
      <c r="AB51" s="181"/>
      <c r="AC51" s="181"/>
      <c r="AD51" s="181"/>
      <c r="AE51" s="181"/>
      <c r="AF51" s="185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81"/>
      <c r="AY53" s="181"/>
      <c r="AZ53" s="181"/>
      <c r="BA53" s="181"/>
      <c r="BB53" s="181"/>
      <c r="BC53" s="181"/>
      <c r="BD53" s="181"/>
    </row>
    <row r="54" spans="2:56" x14ac:dyDescent="0.25">
      <c r="V54" s="34"/>
      <c r="AS54" s="34"/>
      <c r="AW54" s="34"/>
      <c r="AY54" t="s">
        <v>90</v>
      </c>
      <c r="BD54" s="182"/>
    </row>
    <row r="55" spans="2:56" x14ac:dyDescent="0.25">
      <c r="V55" s="34"/>
      <c r="AS55" s="34"/>
      <c r="AT55" s="186"/>
      <c r="AU55" s="181"/>
      <c r="AV55" s="181"/>
      <c r="AW55" s="185"/>
      <c r="AY55" t="s">
        <v>141</v>
      </c>
      <c r="BD55" s="34"/>
    </row>
    <row r="56" spans="2:56" x14ac:dyDescent="0.25">
      <c r="V56" s="34"/>
      <c r="Z56" s="183"/>
      <c r="AA56" s="184" t="s">
        <v>145</v>
      </c>
      <c r="AB56" s="184"/>
      <c r="AC56" s="184"/>
      <c r="AD56" s="184"/>
      <c r="AE56" s="184"/>
      <c r="AF56" s="182"/>
      <c r="AS56" s="34"/>
      <c r="AW56" s="34"/>
      <c r="AY56" s="259">
        <v>79190039</v>
      </c>
      <c r="AZ56" s="259"/>
      <c r="BA56" s="259"/>
      <c r="BB56" s="259"/>
      <c r="BC56" s="259"/>
      <c r="BD56" s="34"/>
    </row>
    <row r="57" spans="2:56" x14ac:dyDescent="0.25">
      <c r="V57" s="34"/>
      <c r="W57" s="186"/>
      <c r="X57" s="181"/>
      <c r="Y57" s="181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86"/>
      <c r="AY57" s="181"/>
      <c r="AZ57" s="181"/>
      <c r="BA57" s="181"/>
      <c r="BB57" s="181"/>
      <c r="BC57" s="181"/>
      <c r="BD57" s="185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86"/>
      <c r="AA59" s="192" t="s">
        <v>66</v>
      </c>
      <c r="AB59" s="193"/>
      <c r="AC59" s="181"/>
      <c r="AD59" s="181"/>
      <c r="AE59" s="181"/>
      <c r="AF59" s="185"/>
      <c r="AS59" s="34"/>
    </row>
    <row r="60" spans="2:56" x14ac:dyDescent="0.25">
      <c r="AS60" s="34"/>
    </row>
    <row r="61" spans="2:56" x14ac:dyDescent="0.25">
      <c r="C61" s="181"/>
      <c r="D61" s="181"/>
      <c r="E61" s="3" t="s">
        <v>378</v>
      </c>
      <c r="AS61" s="34"/>
      <c r="AX61" s="183"/>
      <c r="AY61" s="184" t="s">
        <v>266</v>
      </c>
      <c r="AZ61" s="184"/>
      <c r="BA61" s="184"/>
      <c r="BB61" s="184"/>
      <c r="BC61" s="184"/>
      <c r="BD61" s="182"/>
    </row>
    <row r="62" spans="2:56" x14ac:dyDescent="0.25">
      <c r="B62" s="34"/>
      <c r="E62" s="3" t="s">
        <v>379</v>
      </c>
      <c r="AS62" s="34"/>
      <c r="AT62" s="186"/>
      <c r="AU62" s="181"/>
      <c r="AV62" s="181"/>
      <c r="AW62" s="181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259">
        <v>79324776</v>
      </c>
      <c r="AZ63" s="259"/>
      <c r="BA63" s="259"/>
      <c r="BB63" s="259"/>
      <c r="BC63" s="259"/>
      <c r="BD63" s="34"/>
    </row>
    <row r="64" spans="2:56" x14ac:dyDescent="0.25">
      <c r="B64" s="34"/>
      <c r="AS64" s="34"/>
      <c r="AX64" s="186"/>
      <c r="AY64" s="181"/>
      <c r="AZ64" s="181"/>
      <c r="BA64" s="181"/>
      <c r="BB64" s="181"/>
      <c r="BC64" s="181"/>
      <c r="BD64" s="185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83"/>
      <c r="P66" s="184"/>
      <c r="Q66" s="184"/>
      <c r="R66" s="184"/>
      <c r="S66" s="182"/>
      <c r="V66" s="183"/>
      <c r="W66" s="184"/>
      <c r="X66" s="184"/>
      <c r="Y66" s="184"/>
      <c r="Z66" s="182"/>
      <c r="AC66" s="183"/>
      <c r="AD66" s="184"/>
      <c r="AE66" s="184"/>
      <c r="AF66" s="184"/>
      <c r="AG66" s="182"/>
      <c r="AJ66" s="183"/>
      <c r="AK66" s="184"/>
      <c r="AL66" s="184"/>
      <c r="AM66" s="184"/>
      <c r="AN66" s="182"/>
      <c r="AS66" s="34"/>
    </row>
    <row r="67" spans="2:56" x14ac:dyDescent="0.25">
      <c r="B67" s="34"/>
      <c r="C67" s="186"/>
      <c r="D67" s="181"/>
      <c r="E67" s="181"/>
      <c r="F67" s="181" t="s">
        <v>382</v>
      </c>
      <c r="G67" s="181"/>
      <c r="H67" s="181"/>
      <c r="I67" s="181"/>
      <c r="J67" s="181"/>
      <c r="K67" s="181"/>
      <c r="L67" s="181"/>
      <c r="M67" s="181"/>
      <c r="N67" s="185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86"/>
      <c r="AB67" s="185"/>
      <c r="AC67" s="33"/>
      <c r="AD67" t="s">
        <v>122</v>
      </c>
      <c r="AE67" s="59"/>
      <c r="AF67" s="59"/>
      <c r="AG67" s="34"/>
      <c r="AH67" s="186"/>
      <c r="AI67" s="185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83"/>
      <c r="U68" s="182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83"/>
      <c r="AY68" s="184" t="s">
        <v>384</v>
      </c>
      <c r="AZ68" s="184"/>
      <c r="BA68" s="184"/>
      <c r="BB68" s="184"/>
      <c r="BC68" s="184"/>
      <c r="BD68" s="182"/>
    </row>
    <row r="69" spans="2:56" x14ac:dyDescent="0.25">
      <c r="B69" s="34"/>
      <c r="O69" s="186"/>
      <c r="P69" s="181"/>
      <c r="Q69" s="181"/>
      <c r="R69" s="181"/>
      <c r="S69" s="185"/>
      <c r="V69" s="186"/>
      <c r="W69" s="181"/>
      <c r="X69" s="181"/>
      <c r="Y69" s="181"/>
      <c r="Z69" s="185"/>
      <c r="AC69" s="186"/>
      <c r="AD69" s="181"/>
      <c r="AE69" s="181"/>
      <c r="AF69" s="181"/>
      <c r="AG69" s="185"/>
      <c r="AJ69" s="186"/>
      <c r="AK69" s="181"/>
      <c r="AL69" s="181"/>
      <c r="AM69" s="181"/>
      <c r="AN69" s="185"/>
      <c r="AS69" s="34"/>
      <c r="AT69" s="186"/>
      <c r="AU69" s="181"/>
      <c r="AV69" s="181"/>
      <c r="AW69" s="181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86"/>
      <c r="AY71" s="262" t="s">
        <v>64</v>
      </c>
      <c r="AZ71" s="262"/>
      <c r="BA71" s="262"/>
      <c r="BB71" s="262"/>
      <c r="BC71" s="262"/>
      <c r="BD71" s="185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83"/>
      <c r="J75" s="184"/>
      <c r="K75" s="184"/>
      <c r="L75" s="184"/>
      <c r="M75" s="182"/>
      <c r="P75" s="183"/>
      <c r="Q75" s="184"/>
      <c r="R75" s="184"/>
      <c r="S75" s="184"/>
      <c r="T75" s="182"/>
      <c r="W75" s="183"/>
      <c r="X75" s="184"/>
      <c r="Y75" s="184"/>
      <c r="Z75" s="184"/>
      <c r="AA75" s="182"/>
      <c r="AD75" s="183"/>
      <c r="AE75" s="184"/>
      <c r="AF75" s="184"/>
      <c r="AG75" s="184"/>
      <c r="AH75" s="182"/>
      <c r="AK75" s="183"/>
      <c r="AL75" s="184"/>
      <c r="AM75" s="184"/>
      <c r="AN75" s="184"/>
      <c r="AO75" s="182"/>
      <c r="AS75" s="34"/>
      <c r="AX75" s="183"/>
      <c r="AY75" s="184" t="s">
        <v>387</v>
      </c>
      <c r="AZ75" s="184"/>
      <c r="BA75" s="184"/>
      <c r="BB75" s="184"/>
      <c r="BC75" s="184"/>
      <c r="BD75" s="182"/>
    </row>
    <row r="76" spans="2:56" x14ac:dyDescent="0.25">
      <c r="B76" s="34"/>
      <c r="C76" s="186"/>
      <c r="D76" s="181" t="s">
        <v>388</v>
      </c>
      <c r="E76" s="181"/>
      <c r="F76" s="181"/>
      <c r="G76" s="181"/>
      <c r="H76" s="185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81"/>
      <c r="AU76" s="181"/>
      <c r="AV76" s="181"/>
      <c r="AW76" s="181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83"/>
      <c r="O77" s="182"/>
      <c r="P77" s="33"/>
      <c r="Q77" t="s">
        <v>105</v>
      </c>
      <c r="R77" s="59"/>
      <c r="S77" s="59"/>
      <c r="T77" s="34"/>
      <c r="U77" s="183"/>
      <c r="V77" s="182"/>
      <c r="W77" s="33"/>
      <c r="X77" t="s">
        <v>117</v>
      </c>
      <c r="Y77" s="59"/>
      <c r="Z77" s="59"/>
      <c r="AA77" s="34"/>
      <c r="AB77" s="183"/>
      <c r="AC77" s="182"/>
      <c r="AD77" s="33"/>
      <c r="AE77" t="s">
        <v>115</v>
      </c>
      <c r="AF77" s="59"/>
      <c r="AG77" s="59"/>
      <c r="AH77" s="34"/>
      <c r="AI77" s="183"/>
      <c r="AJ77" s="182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86"/>
      <c r="J78" s="181"/>
      <c r="K78" s="181"/>
      <c r="L78" s="181"/>
      <c r="M78" s="185"/>
      <c r="P78" s="186"/>
      <c r="Q78" s="181"/>
      <c r="R78" s="181"/>
      <c r="S78" s="181"/>
      <c r="T78" s="185"/>
      <c r="W78" s="186"/>
      <c r="X78" s="181"/>
      <c r="Y78" s="181"/>
      <c r="Z78" s="181"/>
      <c r="AA78" s="185"/>
      <c r="AD78" s="186"/>
      <c r="AE78" s="181"/>
      <c r="AF78" s="181"/>
      <c r="AG78" s="181"/>
      <c r="AH78" s="185"/>
      <c r="AK78" s="186"/>
      <c r="AL78" s="181"/>
      <c r="AM78" s="181"/>
      <c r="AN78" s="181"/>
      <c r="AO78" s="185"/>
      <c r="AX78" s="186"/>
      <c r="AY78" s="262" t="s">
        <v>65</v>
      </c>
      <c r="AZ78" s="262"/>
      <c r="BA78" s="262"/>
      <c r="BB78" s="262"/>
      <c r="BC78" s="262"/>
      <c r="BD78" s="185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83"/>
      <c r="Q84" s="184"/>
      <c r="R84" s="184"/>
      <c r="S84" s="184"/>
      <c r="T84" s="182"/>
      <c r="W84" s="183"/>
      <c r="X84" s="184"/>
      <c r="Y84" s="184"/>
      <c r="Z84" s="184"/>
      <c r="AA84" s="182"/>
    </row>
    <row r="85" spans="2:39" x14ac:dyDescent="0.25">
      <c r="B85" s="34"/>
      <c r="C85" s="186"/>
      <c r="D85" s="181"/>
      <c r="E85" s="181"/>
      <c r="F85" s="181"/>
      <c r="G85" s="181"/>
      <c r="H85" s="181"/>
      <c r="I85" s="181"/>
      <c r="J85" s="181" t="s">
        <v>388</v>
      </c>
      <c r="K85" s="181"/>
      <c r="L85" s="181"/>
      <c r="M85" s="181"/>
      <c r="N85" s="181"/>
      <c r="O85" s="185"/>
      <c r="P85" s="33"/>
      <c r="Q85" t="s">
        <v>126</v>
      </c>
      <c r="R85" s="59"/>
      <c r="S85" s="59"/>
      <c r="T85" s="34"/>
      <c r="V85" s="185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83"/>
      <c r="W86" s="33"/>
      <c r="X86" t="s">
        <v>111</v>
      </c>
      <c r="Y86" s="59"/>
      <c r="Z86" s="59"/>
      <c r="AA86" s="34"/>
    </row>
    <row r="87" spans="2:39" x14ac:dyDescent="0.25">
      <c r="B87" s="34"/>
      <c r="P87" s="186"/>
      <c r="Q87" s="181"/>
      <c r="R87" s="181"/>
      <c r="S87" s="181"/>
      <c r="T87" s="185"/>
      <c r="W87" s="186"/>
      <c r="X87" s="181"/>
      <c r="Y87" s="181"/>
      <c r="Z87" s="181"/>
      <c r="AA87" s="185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83"/>
      <c r="O93" s="184"/>
      <c r="P93" s="184"/>
      <c r="Q93" s="184"/>
      <c r="R93" s="182"/>
      <c r="U93" s="183"/>
      <c r="V93" s="184"/>
      <c r="W93" s="184"/>
      <c r="X93" s="184"/>
      <c r="Y93" s="182"/>
      <c r="AB93" s="183"/>
      <c r="AC93" s="184"/>
      <c r="AD93" s="184"/>
      <c r="AE93" s="184"/>
      <c r="AF93" s="182"/>
      <c r="AI93" s="183"/>
      <c r="AJ93" s="184"/>
      <c r="AK93" s="184"/>
      <c r="AL93" s="184"/>
      <c r="AM93" s="182"/>
    </row>
    <row r="94" spans="2:39" x14ac:dyDescent="0.25">
      <c r="B94" s="34"/>
      <c r="C94" s="186"/>
      <c r="D94" s="181"/>
      <c r="E94" s="181"/>
      <c r="F94" s="181"/>
      <c r="G94" s="181" t="s">
        <v>392</v>
      </c>
      <c r="H94" s="181"/>
      <c r="I94" s="181"/>
      <c r="J94" s="181"/>
      <c r="K94" s="181"/>
      <c r="L94" s="181"/>
      <c r="M94" s="185"/>
      <c r="N94" s="33"/>
      <c r="O94" s="194" t="s">
        <v>310</v>
      </c>
      <c r="P94" s="195"/>
      <c r="Q94" s="59"/>
      <c r="R94" s="34"/>
      <c r="U94" s="33"/>
      <c r="V94" s="194" t="s">
        <v>393</v>
      </c>
      <c r="W94" s="195"/>
      <c r="X94" s="59"/>
      <c r="Y94" s="34"/>
      <c r="AB94" s="196" t="s">
        <v>394</v>
      </c>
      <c r="AD94" s="195"/>
      <c r="AE94" s="59"/>
      <c r="AF94" s="34"/>
      <c r="AG94" s="186"/>
      <c r="AH94" s="185"/>
      <c r="AI94" s="33"/>
      <c r="AJ94" s="194" t="s">
        <v>297</v>
      </c>
      <c r="AK94" s="195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83"/>
      <c r="T95" s="182"/>
      <c r="U95" s="33"/>
      <c r="V95" s="59" t="s">
        <v>127</v>
      </c>
      <c r="W95" s="59"/>
      <c r="X95" s="59"/>
      <c r="Y95" s="34"/>
      <c r="Z95" s="183"/>
      <c r="AA95" s="182"/>
      <c r="AB95" s="33"/>
      <c r="AC95" s="59" t="s">
        <v>129</v>
      </c>
      <c r="AD95" s="59"/>
      <c r="AE95" s="59"/>
      <c r="AF95" s="34"/>
      <c r="AI95" s="33"/>
      <c r="AJ95" s="194" t="s">
        <v>130</v>
      </c>
      <c r="AK95" s="195"/>
      <c r="AL95" s="59"/>
      <c r="AM95" s="34"/>
    </row>
    <row r="96" spans="2:39" x14ac:dyDescent="0.25">
      <c r="N96" s="186"/>
      <c r="O96" s="181"/>
      <c r="P96" s="181"/>
      <c r="Q96" s="181"/>
      <c r="R96" s="185"/>
      <c r="U96" s="186"/>
      <c r="V96" s="181"/>
      <c r="W96" s="181"/>
      <c r="X96" s="181"/>
      <c r="Y96" s="185"/>
      <c r="AB96" s="186"/>
      <c r="AC96" s="181"/>
      <c r="AD96" s="181"/>
      <c r="AE96" s="181"/>
      <c r="AF96" s="185"/>
      <c r="AI96" s="186"/>
      <c r="AJ96" s="181"/>
      <c r="AK96" s="181"/>
      <c r="AL96" s="181"/>
      <c r="AM96" s="185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H11" sqref="H11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3" t="s">
        <v>396</v>
      </c>
      <c r="C3" s="3" t="s">
        <v>397</v>
      </c>
      <c r="E3" s="197" t="s">
        <v>395</v>
      </c>
      <c r="F3" s="3">
        <v>2020</v>
      </c>
      <c r="G3" s="3"/>
      <c r="H3" s="3"/>
      <c r="I3" s="3" t="s">
        <v>396</v>
      </c>
      <c r="J3" s="3" t="s">
        <v>397</v>
      </c>
    </row>
    <row r="4" spans="1:10" x14ac:dyDescent="0.25">
      <c r="A4" t="s">
        <v>323</v>
      </c>
      <c r="B4">
        <v>159</v>
      </c>
      <c r="C4">
        <v>46</v>
      </c>
      <c r="E4" s="197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</row>
    <row r="5" spans="1:10" x14ac:dyDescent="0.25">
      <c r="A5" t="s">
        <v>324</v>
      </c>
      <c r="B5">
        <v>156</v>
      </c>
      <c r="C5">
        <v>76</v>
      </c>
      <c r="E5" s="197">
        <v>78.599999999999994</v>
      </c>
      <c r="F5">
        <v>0.78600000000000003</v>
      </c>
      <c r="G5">
        <v>12432</v>
      </c>
      <c r="H5">
        <f t="shared" ref="H5:H15" si="0">SUM(F5*G5)</f>
        <v>9771.5519999999997</v>
      </c>
      <c r="I5">
        <v>292</v>
      </c>
      <c r="J5">
        <v>30</v>
      </c>
    </row>
    <row r="6" spans="1:10" x14ac:dyDescent="0.25">
      <c r="A6" t="s">
        <v>325</v>
      </c>
      <c r="B6">
        <v>264</v>
      </c>
      <c r="C6">
        <v>18</v>
      </c>
      <c r="E6" s="197">
        <v>28.3</v>
      </c>
      <c r="F6">
        <v>0.28299999999999997</v>
      </c>
      <c r="G6">
        <v>13764</v>
      </c>
      <c r="H6">
        <f t="shared" si="0"/>
        <v>3895.2119999999995</v>
      </c>
      <c r="I6">
        <v>313</v>
      </c>
      <c r="J6">
        <v>9</v>
      </c>
    </row>
    <row r="7" spans="1:10" x14ac:dyDescent="0.25">
      <c r="A7" t="s">
        <v>326</v>
      </c>
      <c r="B7">
        <v>415</v>
      </c>
      <c r="C7">
        <v>0</v>
      </c>
      <c r="E7" s="197">
        <v>0</v>
      </c>
      <c r="F7">
        <v>0</v>
      </c>
      <c r="G7">
        <v>13320</v>
      </c>
      <c r="H7">
        <f t="shared" si="0"/>
        <v>0</v>
      </c>
      <c r="I7">
        <v>372</v>
      </c>
      <c r="J7">
        <v>6</v>
      </c>
    </row>
    <row r="8" spans="1:10" x14ac:dyDescent="0.25">
      <c r="A8" t="s">
        <v>327</v>
      </c>
      <c r="B8">
        <v>487</v>
      </c>
      <c r="C8">
        <v>0</v>
      </c>
      <c r="E8" s="197">
        <v>0</v>
      </c>
      <c r="F8">
        <v>0</v>
      </c>
      <c r="G8">
        <v>13764</v>
      </c>
      <c r="H8">
        <f t="shared" si="0"/>
        <v>0</v>
      </c>
      <c r="I8">
        <v>480</v>
      </c>
      <c r="J8">
        <v>0</v>
      </c>
    </row>
    <row r="9" spans="1:10" x14ac:dyDescent="0.25">
      <c r="A9" t="s">
        <v>328</v>
      </c>
      <c r="B9">
        <v>502</v>
      </c>
      <c r="C9">
        <v>0</v>
      </c>
      <c r="E9" s="197">
        <v>0</v>
      </c>
      <c r="F9">
        <v>0</v>
      </c>
      <c r="G9">
        <v>13320</v>
      </c>
      <c r="H9">
        <f t="shared" si="0"/>
        <v>0</v>
      </c>
      <c r="I9">
        <v>520</v>
      </c>
      <c r="J9">
        <v>0</v>
      </c>
    </row>
    <row r="10" spans="1:10" x14ac:dyDescent="0.25">
      <c r="A10" t="s">
        <v>329</v>
      </c>
      <c r="B10">
        <v>492</v>
      </c>
      <c r="C10">
        <v>0</v>
      </c>
      <c r="E10" s="197">
        <v>20.5</v>
      </c>
      <c r="F10">
        <v>0.20499999999999999</v>
      </c>
      <c r="G10">
        <v>13764</v>
      </c>
      <c r="H10">
        <f t="shared" si="0"/>
        <v>2821.62</v>
      </c>
    </row>
    <row r="11" spans="1:10" x14ac:dyDescent="0.25">
      <c r="A11" t="s">
        <v>330</v>
      </c>
      <c r="B11">
        <v>475</v>
      </c>
      <c r="C11">
        <v>0</v>
      </c>
      <c r="E11" s="197">
        <v>25.5</v>
      </c>
      <c r="F11">
        <v>0.255</v>
      </c>
      <c r="G11">
        <v>13764</v>
      </c>
      <c r="H11">
        <f t="shared" si="0"/>
        <v>3509.82</v>
      </c>
    </row>
    <row r="12" spans="1:10" x14ac:dyDescent="0.25">
      <c r="A12" t="s">
        <v>331</v>
      </c>
      <c r="B12">
        <v>500</v>
      </c>
      <c r="C12">
        <v>0</v>
      </c>
      <c r="E12" s="197"/>
      <c r="G12">
        <v>13320</v>
      </c>
      <c r="H12">
        <f t="shared" si="0"/>
        <v>0</v>
      </c>
    </row>
    <row r="13" spans="1:10" x14ac:dyDescent="0.25">
      <c r="A13" t="s">
        <v>332</v>
      </c>
      <c r="B13">
        <v>431</v>
      </c>
      <c r="C13">
        <v>66</v>
      </c>
      <c r="E13" s="197"/>
      <c r="G13">
        <v>13764</v>
      </c>
      <c r="H13">
        <f t="shared" si="0"/>
        <v>0</v>
      </c>
    </row>
    <row r="14" spans="1:10" x14ac:dyDescent="0.25">
      <c r="A14" t="s">
        <v>333</v>
      </c>
      <c r="B14">
        <v>167</v>
      </c>
      <c r="C14">
        <v>80</v>
      </c>
      <c r="E14" s="197"/>
      <c r="G14">
        <v>13320</v>
      </c>
      <c r="H14">
        <f t="shared" si="0"/>
        <v>0</v>
      </c>
    </row>
    <row r="15" spans="1:10" x14ac:dyDescent="0.25">
      <c r="A15" t="s">
        <v>334</v>
      </c>
      <c r="B15">
        <v>140</v>
      </c>
      <c r="C15">
        <v>133</v>
      </c>
      <c r="E15" s="198"/>
      <c r="G15">
        <v>13764</v>
      </c>
      <c r="H15">
        <f t="shared" si="0"/>
        <v>0</v>
      </c>
    </row>
    <row r="16" spans="1:10" x14ac:dyDescent="0.25">
      <c r="E16" s="197"/>
      <c r="G16">
        <f>SUM(G4:G15)</f>
        <v>162060</v>
      </c>
      <c r="H16">
        <f>SUM(H4:H15)</f>
        <v>29825.699999999997</v>
      </c>
    </row>
    <row r="25" spans="11:14" x14ac:dyDescent="0.25">
      <c r="K25" s="22"/>
      <c r="L25" s="22">
        <v>2017</v>
      </c>
      <c r="M25" s="22">
        <v>2018</v>
      </c>
      <c r="N25" s="22">
        <v>2019</v>
      </c>
    </row>
    <row r="26" spans="11:14" x14ac:dyDescent="0.25">
      <c r="K26" s="22" t="s">
        <v>398</v>
      </c>
      <c r="L26" s="22">
        <v>120328</v>
      </c>
      <c r="M26" s="22">
        <v>119350</v>
      </c>
      <c r="N26" s="22">
        <v>91868</v>
      </c>
    </row>
    <row r="27" spans="11:14" x14ac:dyDescent="0.25">
      <c r="K27" s="22" t="s">
        <v>399</v>
      </c>
      <c r="L27" s="22">
        <v>17910500</v>
      </c>
      <c r="M27" s="22">
        <v>17636409</v>
      </c>
      <c r="N27" s="22">
        <v>13838299</v>
      </c>
    </row>
    <row r="28" spans="11:14" x14ac:dyDescent="0.25">
      <c r="K28" s="22" t="s">
        <v>400</v>
      </c>
      <c r="L28" s="22">
        <f>SUM(L27/L26)</f>
        <v>148.84731733262416</v>
      </c>
      <c r="M28" s="22">
        <f t="shared" ref="M28:N28" si="1">SUM(M27/M26)</f>
        <v>147.77049853372435</v>
      </c>
      <c r="N28" s="22">
        <f t="shared" si="1"/>
        <v>150.63241825227502</v>
      </c>
    </row>
    <row r="29" spans="11:14" x14ac:dyDescent="0.25">
      <c r="K29" s="22" t="s">
        <v>401</v>
      </c>
      <c r="L29" s="22">
        <v>600069</v>
      </c>
      <c r="M29" s="22">
        <v>584640</v>
      </c>
      <c r="N29" s="22">
        <v>432248</v>
      </c>
    </row>
    <row r="30" spans="11:14" x14ac:dyDescent="0.25">
      <c r="K30" s="22" t="s">
        <v>402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</row>
    <row r="32" spans="11:14" x14ac:dyDescent="0.25">
      <c r="K32" s="3" t="s">
        <v>403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64"/>
  <sheetViews>
    <sheetView topLeftCell="B31" zoomScaleNormal="100" workbookViewId="0">
      <pane xSplit="1" topLeftCell="AE1" activePane="topRight" state="frozen"/>
      <selection activeCell="B223" sqref="B223"/>
      <selection pane="topRight" activeCell="AY58" sqref="AY58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11" customWidth="1"/>
    <col min="7" max="7" width="9.5703125" bestFit="1" customWidth="1"/>
    <col min="8" max="8" width="10.42578125" customWidth="1"/>
    <col min="9" max="9" width="10.85546875" customWidth="1"/>
    <col min="11" max="12" width="10.28515625" customWidth="1"/>
    <col min="14" max="14" width="10.42578125" customWidth="1"/>
    <col min="15" max="15" width="10.28515625" customWidth="1"/>
    <col min="17" max="18" width="10.140625" customWidth="1"/>
    <col min="20" max="20" width="12" bestFit="1" customWidth="1"/>
    <col min="21" max="21" width="10.42578125" customWidth="1"/>
    <col min="23" max="23" width="10.140625" bestFit="1" customWidth="1"/>
    <col min="24" max="24" width="10.85546875" customWidth="1"/>
    <col min="27" max="27" width="10.140625" customWidth="1"/>
    <col min="29" max="29" width="10.42578125" customWidth="1"/>
    <col min="30" max="30" width="9.85546875" customWidth="1"/>
    <col min="32" max="32" width="10.7109375" customWidth="1"/>
    <col min="33" max="33" width="9.85546875" customWidth="1"/>
    <col min="35" max="35" width="10.28515625" customWidth="1"/>
    <col min="37" max="37" width="10.7109375" customWidth="1"/>
    <col min="38" max="38" width="0" hidden="1" customWidth="1"/>
    <col min="39" max="39" width="1.7109375" customWidth="1"/>
    <col min="40" max="40" width="11.42578125" customWidth="1"/>
    <col min="43" max="43" width="11.7109375" customWidth="1"/>
    <col min="44" max="44" width="1.7109375" customWidth="1"/>
    <col min="45" max="45" width="12.5703125" customWidth="1"/>
    <col min="46" max="46" width="12.7109375" customWidth="1"/>
    <col min="47" max="47" width="10.7109375" customWidth="1"/>
    <col min="48" max="48" width="12.7109375" customWidth="1"/>
    <col min="49" max="49" width="9.85546875" customWidth="1"/>
    <col min="50" max="50" width="12.7109375" customWidth="1"/>
    <col min="51" max="51" width="10.28515625" customWidth="1"/>
    <col min="52" max="52" width="12.7109375" customWidth="1"/>
    <col min="53" max="53" width="10.7109375" customWidth="1"/>
    <col min="54" max="54" width="0" hidden="1" customWidth="1"/>
    <col min="55" max="55" width="1.7109375" style="60" customWidth="1"/>
    <col min="56" max="58" width="10.7109375" style="60" customWidth="1"/>
    <col min="59" max="59" width="9.140625" style="60"/>
    <col min="60" max="60" width="1.7109375" customWidth="1"/>
    <col min="62" max="62" width="11.85546875" customWidth="1"/>
    <col min="63" max="64" width="10.7109375" customWidth="1"/>
    <col min="65" max="65" width="10.7109375" style="61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61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61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61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61" customWidth="1"/>
    <col min="102" max="105" width="8.7109375" customWidth="1"/>
    <col min="106" max="106" width="8.7109375" style="62" customWidth="1"/>
    <col min="107" max="107" width="11.7109375" customWidth="1"/>
    <col min="108" max="108" width="12.7109375" customWidth="1"/>
    <col min="109" max="109" width="10.7109375" customWidth="1"/>
    <col min="110" max="110" width="11.7109375" style="61" customWidth="1"/>
    <col min="111" max="114" width="8.7109375" customWidth="1"/>
    <col min="115" max="115" width="8.7109375" style="62" customWidth="1"/>
    <col min="116" max="116" width="10.7109375" customWidth="1"/>
    <col min="117" max="117" width="12.7109375" customWidth="1"/>
    <col min="118" max="118" width="10.7109375" customWidth="1"/>
    <col min="119" max="119" width="10.7109375" style="61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61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61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61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61" customWidth="1"/>
    <col min="156" max="156" width="10.7109375" style="63" customWidth="1"/>
    <col min="157" max="158" width="10.7109375" style="64" customWidth="1"/>
    <col min="159" max="159" width="11.7109375" style="63" customWidth="1"/>
    <col min="160" max="160" width="10.7109375" style="63" customWidth="1"/>
    <col min="161" max="161" width="13.140625" style="63" customWidth="1"/>
    <col min="162" max="162" width="12.7109375" customWidth="1"/>
    <col min="163" max="163" width="10.7109375" style="63" customWidth="1"/>
    <col min="164" max="164" width="12.28515625" style="63" customWidth="1"/>
    <col min="165" max="165" width="2.7109375" style="63" customWidth="1"/>
    <col min="166" max="166" width="12.7109375" style="65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61" customWidth="1"/>
    <col min="181" max="185" width="8.7109375" customWidth="1"/>
    <col min="186" max="188" width="10.7109375" customWidth="1"/>
    <col min="189" max="189" width="10.7109375" style="61" customWidth="1"/>
    <col min="190" max="192" width="8.7109375" customWidth="1"/>
    <col min="193" max="194" width="10.7109375" customWidth="1"/>
    <col min="195" max="195" width="10.7109375" style="61" customWidth="1"/>
    <col min="196" max="200" width="8.7109375" customWidth="1"/>
    <col min="201" max="203" width="10.7109375" customWidth="1"/>
    <col min="204" max="204" width="10.7109375" style="61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90" customFormat="1" ht="26.25" x14ac:dyDescent="0.4">
      <c r="B1" s="91">
        <v>2020</v>
      </c>
      <c r="C1" s="270" t="s">
        <v>149</v>
      </c>
      <c r="D1" s="271"/>
      <c r="E1" s="271"/>
      <c r="F1" s="270" t="s">
        <v>150</v>
      </c>
      <c r="G1" s="271"/>
      <c r="H1" s="271"/>
      <c r="I1" s="270" t="s">
        <v>151</v>
      </c>
      <c r="J1" s="271"/>
      <c r="K1" s="271"/>
      <c r="L1" s="270" t="s">
        <v>152</v>
      </c>
      <c r="M1" s="271"/>
      <c r="N1" s="271"/>
      <c r="O1" s="270" t="s">
        <v>153</v>
      </c>
      <c r="P1" s="271"/>
      <c r="Q1" s="271"/>
      <c r="R1" s="270" t="s">
        <v>154</v>
      </c>
      <c r="S1" s="271"/>
      <c r="T1" s="271"/>
      <c r="U1" s="270" t="s">
        <v>155</v>
      </c>
      <c r="V1" s="271"/>
      <c r="W1" s="271"/>
      <c r="X1" s="270" t="s">
        <v>156</v>
      </c>
      <c r="Y1" s="271"/>
      <c r="Z1" s="271"/>
      <c r="AA1" s="270" t="s">
        <v>157</v>
      </c>
      <c r="AB1" s="271"/>
      <c r="AC1" s="271"/>
      <c r="AD1" s="270" t="s">
        <v>158</v>
      </c>
      <c r="AE1" s="271"/>
      <c r="AF1" s="271"/>
      <c r="AG1" s="270" t="s">
        <v>159</v>
      </c>
      <c r="AH1" s="271"/>
      <c r="AI1" s="271"/>
      <c r="AJ1" s="204" t="s">
        <v>160</v>
      </c>
      <c r="AK1" s="205"/>
      <c r="AL1" s="206"/>
      <c r="AM1" s="92"/>
      <c r="AN1" s="92"/>
      <c r="AO1" s="93" t="s">
        <v>161</v>
      </c>
      <c r="AP1" s="93" t="s">
        <v>162</v>
      </c>
      <c r="AQ1" s="93"/>
      <c r="AR1" s="92"/>
      <c r="AS1" s="92"/>
      <c r="AT1" s="270" t="s">
        <v>164</v>
      </c>
      <c r="AU1" s="271"/>
      <c r="AV1" s="270" t="s">
        <v>165</v>
      </c>
      <c r="AW1" s="271"/>
      <c r="AX1" s="270" t="s">
        <v>166</v>
      </c>
      <c r="AY1" s="271"/>
      <c r="AZ1" s="270" t="s">
        <v>167</v>
      </c>
      <c r="BA1" s="271"/>
      <c r="BB1" s="272"/>
      <c r="BC1" s="88"/>
      <c r="BD1" s="88"/>
      <c r="BE1" s="88"/>
      <c r="BF1" s="17" t="s">
        <v>77</v>
      </c>
      <c r="BG1" s="88"/>
      <c r="BJ1" s="265" t="s">
        <v>168</v>
      </c>
      <c r="BK1" s="266"/>
      <c r="BL1" s="266"/>
      <c r="BM1" s="267"/>
      <c r="BN1" s="265" t="s">
        <v>169</v>
      </c>
      <c r="BO1" s="266"/>
      <c r="BP1" s="266"/>
      <c r="BQ1" s="266"/>
      <c r="BR1" s="266"/>
      <c r="BS1" s="266"/>
      <c r="BT1" s="266"/>
      <c r="BU1" s="266"/>
      <c r="BV1" s="267"/>
      <c r="BW1" s="265" t="s">
        <v>170</v>
      </c>
      <c r="BX1" s="266"/>
      <c r="BY1" s="266"/>
      <c r="BZ1" s="266"/>
      <c r="CA1" s="266"/>
      <c r="CB1" s="266"/>
      <c r="CC1" s="266"/>
      <c r="CD1" s="266"/>
      <c r="CE1" s="267"/>
      <c r="CF1" s="265" t="s">
        <v>171</v>
      </c>
      <c r="CG1" s="266"/>
      <c r="CH1" s="266"/>
      <c r="CI1" s="266"/>
      <c r="CJ1" s="266"/>
      <c r="CK1" s="266"/>
      <c r="CL1" s="266"/>
      <c r="CM1" s="266"/>
      <c r="CN1" s="267"/>
      <c r="CO1" s="265" t="s">
        <v>172</v>
      </c>
      <c r="CP1" s="266"/>
      <c r="CQ1" s="266"/>
      <c r="CR1" s="266"/>
      <c r="CS1" s="266"/>
      <c r="CT1" s="266"/>
      <c r="CU1" s="266"/>
      <c r="CV1" s="266"/>
      <c r="CW1" s="267"/>
      <c r="CX1" s="265" t="s">
        <v>173</v>
      </c>
      <c r="CY1" s="266"/>
      <c r="CZ1" s="266"/>
      <c r="DA1" s="266"/>
      <c r="DB1" s="266"/>
      <c r="DC1" s="266"/>
      <c r="DD1" s="266"/>
      <c r="DE1" s="266"/>
      <c r="DF1" s="267"/>
      <c r="DG1" s="265" t="s">
        <v>174</v>
      </c>
      <c r="DH1" s="266"/>
      <c r="DI1" s="266"/>
      <c r="DJ1" s="266"/>
      <c r="DK1" s="266"/>
      <c r="DL1" s="266"/>
      <c r="DM1" s="266"/>
      <c r="DN1" s="266"/>
      <c r="DO1" s="267"/>
      <c r="DP1" s="265" t="s">
        <v>175</v>
      </c>
      <c r="DQ1" s="266"/>
      <c r="DR1" s="266"/>
      <c r="DS1" s="266"/>
      <c r="DT1" s="266"/>
      <c r="DU1" s="266"/>
      <c r="DV1" s="266"/>
      <c r="DW1" s="266"/>
      <c r="DX1" s="267"/>
      <c r="DY1" s="265" t="s">
        <v>176</v>
      </c>
      <c r="DZ1" s="266"/>
      <c r="EA1" s="266"/>
      <c r="EB1" s="266"/>
      <c r="EC1" s="266"/>
      <c r="ED1" s="266"/>
      <c r="EE1" s="266"/>
      <c r="EF1" s="266"/>
      <c r="EG1" s="267"/>
      <c r="EH1" s="265" t="s">
        <v>177</v>
      </c>
      <c r="EI1" s="266"/>
      <c r="EJ1" s="266"/>
      <c r="EK1" s="266"/>
      <c r="EL1" s="266"/>
      <c r="EM1" s="266"/>
      <c r="EN1" s="266"/>
      <c r="EO1" s="266"/>
      <c r="EP1" s="267"/>
      <c r="EQ1" s="265" t="s">
        <v>178</v>
      </c>
      <c r="ER1" s="266"/>
      <c r="ES1" s="266"/>
      <c r="ET1" s="266"/>
      <c r="EU1" s="266"/>
      <c r="EV1" s="266"/>
      <c r="EW1" s="266"/>
      <c r="EX1" s="266"/>
      <c r="EY1" s="267"/>
      <c r="EZ1" s="265" t="s">
        <v>179</v>
      </c>
      <c r="FA1" s="266"/>
      <c r="FB1" s="266"/>
      <c r="FC1" s="266"/>
      <c r="FD1" s="266"/>
      <c r="FE1" s="266"/>
      <c r="FF1" s="266"/>
      <c r="FG1" s="266"/>
      <c r="FH1" s="267"/>
      <c r="FI1" s="66"/>
      <c r="FJ1" s="94"/>
      <c r="FK1" s="95" t="s">
        <v>104</v>
      </c>
      <c r="FL1" s="95" t="s">
        <v>204</v>
      </c>
      <c r="FM1" s="95"/>
      <c r="FN1" s="16"/>
      <c r="FO1" s="95"/>
      <c r="FP1" s="265" t="s">
        <v>180</v>
      </c>
      <c r="FQ1" s="266"/>
      <c r="FR1" s="266"/>
      <c r="FS1" s="266"/>
      <c r="FT1" s="266"/>
      <c r="FU1" s="266"/>
      <c r="FV1" s="266"/>
      <c r="FW1" s="266"/>
      <c r="FX1" s="267"/>
      <c r="FY1" s="265" t="s">
        <v>181</v>
      </c>
      <c r="FZ1" s="266"/>
      <c r="GA1" s="266"/>
      <c r="GB1" s="266"/>
      <c r="GC1" s="266"/>
      <c r="GD1" s="266"/>
      <c r="GE1" s="266"/>
      <c r="GF1" s="266"/>
      <c r="GG1" s="267"/>
      <c r="GH1" s="265" t="s">
        <v>182</v>
      </c>
      <c r="GI1" s="266"/>
      <c r="GJ1" s="266"/>
      <c r="GK1" s="266"/>
      <c r="GL1" s="266"/>
      <c r="GM1" s="267"/>
      <c r="GN1" s="265" t="s">
        <v>183</v>
      </c>
      <c r="GO1" s="266"/>
      <c r="GP1" s="266"/>
      <c r="GQ1" s="266"/>
      <c r="GR1" s="266"/>
      <c r="GS1" s="266"/>
      <c r="GT1" s="266"/>
      <c r="GU1" s="266"/>
      <c r="GV1" s="267"/>
      <c r="GW1" s="96"/>
      <c r="GX1" s="95" t="s">
        <v>204</v>
      </c>
      <c r="HA1" s="60"/>
    </row>
    <row r="2" spans="2:213" ht="18.75" x14ac:dyDescent="0.3">
      <c r="B2" s="35" t="s">
        <v>61</v>
      </c>
      <c r="C2" s="24" t="s">
        <v>107</v>
      </c>
      <c r="D2" s="4" t="s">
        <v>108</v>
      </c>
      <c r="E2" s="69" t="s">
        <v>184</v>
      </c>
      <c r="F2" s="70" t="s">
        <v>105</v>
      </c>
      <c r="G2" s="4" t="s">
        <v>106</v>
      </c>
      <c r="H2" s="69" t="s">
        <v>184</v>
      </c>
      <c r="I2" s="4" t="s">
        <v>117</v>
      </c>
      <c r="J2" s="4" t="s">
        <v>118</v>
      </c>
      <c r="K2" s="69" t="s">
        <v>184</v>
      </c>
      <c r="L2" s="4" t="s">
        <v>115</v>
      </c>
      <c r="M2" s="4" t="s">
        <v>116</v>
      </c>
      <c r="N2" s="69" t="s">
        <v>184</v>
      </c>
      <c r="O2" s="4" t="s">
        <v>119</v>
      </c>
      <c r="P2" s="4" t="s">
        <v>120</v>
      </c>
      <c r="Q2" s="69" t="s">
        <v>184</v>
      </c>
      <c r="R2" s="4" t="s">
        <v>109</v>
      </c>
      <c r="S2" s="4" t="s">
        <v>110</v>
      </c>
      <c r="T2" s="69" t="s">
        <v>184</v>
      </c>
      <c r="U2" s="4" t="s">
        <v>113</v>
      </c>
      <c r="V2" s="4" t="s">
        <v>114</v>
      </c>
      <c r="W2" s="69" t="s">
        <v>184</v>
      </c>
      <c r="X2" s="4" t="s">
        <v>121</v>
      </c>
      <c r="Y2" s="4" t="s">
        <v>122</v>
      </c>
      <c r="Z2" s="69" t="s">
        <v>184</v>
      </c>
      <c r="AA2" s="4" t="s">
        <v>123</v>
      </c>
      <c r="AB2" s="4" t="s">
        <v>124</v>
      </c>
      <c r="AC2" s="69" t="s">
        <v>184</v>
      </c>
      <c r="AD2" s="4" t="s">
        <v>125</v>
      </c>
      <c r="AE2" s="4" t="s">
        <v>126</v>
      </c>
      <c r="AF2" s="69" t="s">
        <v>184</v>
      </c>
      <c r="AG2" s="4" t="s">
        <v>111</v>
      </c>
      <c r="AH2" s="4" t="s">
        <v>112</v>
      </c>
      <c r="AI2" s="69" t="s">
        <v>184</v>
      </c>
      <c r="AJ2" s="202" t="s">
        <v>103</v>
      </c>
      <c r="AK2" s="69" t="s">
        <v>184</v>
      </c>
      <c r="AL2" s="69" t="s">
        <v>79</v>
      </c>
      <c r="AN2" s="71" t="s">
        <v>185</v>
      </c>
      <c r="AO2" s="71" t="s">
        <v>77</v>
      </c>
      <c r="AP2" s="67"/>
      <c r="AQ2" t="s">
        <v>163</v>
      </c>
      <c r="AR2" s="19"/>
      <c r="AS2" s="67"/>
      <c r="AT2" s="72" t="s">
        <v>128</v>
      </c>
      <c r="AU2" s="69" t="s">
        <v>184</v>
      </c>
      <c r="AV2" s="72" t="s">
        <v>127</v>
      </c>
      <c r="AW2" s="69" t="s">
        <v>184</v>
      </c>
      <c r="AX2" s="72" t="s">
        <v>129</v>
      </c>
      <c r="AY2" s="69" t="s">
        <v>184</v>
      </c>
      <c r="AZ2" s="72" t="s">
        <v>130</v>
      </c>
      <c r="BA2" s="69" t="s">
        <v>184</v>
      </c>
      <c r="BB2" s="69" t="s">
        <v>79</v>
      </c>
      <c r="BC2" s="19"/>
      <c r="BD2" s="17" t="s">
        <v>185</v>
      </c>
      <c r="BE2" s="17" t="s">
        <v>163</v>
      </c>
      <c r="BF2" s="73" t="s">
        <v>81</v>
      </c>
      <c r="BG2" s="67"/>
      <c r="BH2" s="19"/>
      <c r="BJ2" s="268" t="s">
        <v>186</v>
      </c>
      <c r="BK2" s="269"/>
      <c r="BL2" s="269"/>
      <c r="BM2" s="269"/>
      <c r="BN2" s="17" t="s">
        <v>138</v>
      </c>
      <c r="BO2" s="17" t="s">
        <v>187</v>
      </c>
      <c r="BP2" s="17"/>
      <c r="BQ2" s="17" t="s">
        <v>77</v>
      </c>
      <c r="BR2" s="17" t="s">
        <v>79</v>
      </c>
      <c r="BS2" s="17" t="s">
        <v>77</v>
      </c>
      <c r="BT2" s="17" t="s">
        <v>188</v>
      </c>
      <c r="BU2" s="17" t="s">
        <v>79</v>
      </c>
      <c r="BV2" s="17" t="s">
        <v>81</v>
      </c>
      <c r="BW2" s="17" t="s">
        <v>138</v>
      </c>
      <c r="BX2" s="17" t="s">
        <v>187</v>
      </c>
      <c r="BY2" s="17"/>
      <c r="BZ2" s="17" t="s">
        <v>77</v>
      </c>
      <c r="CA2" s="17" t="s">
        <v>79</v>
      </c>
      <c r="CB2" s="17" t="s">
        <v>77</v>
      </c>
      <c r="CC2" s="17" t="s">
        <v>188</v>
      </c>
      <c r="CD2" s="17" t="s">
        <v>79</v>
      </c>
      <c r="CE2" s="17" t="s">
        <v>81</v>
      </c>
      <c r="CF2" s="17" t="s">
        <v>138</v>
      </c>
      <c r="CG2" s="17" t="s">
        <v>187</v>
      </c>
      <c r="CH2" s="17"/>
      <c r="CI2" s="17" t="s">
        <v>77</v>
      </c>
      <c r="CJ2" s="17" t="s">
        <v>79</v>
      </c>
      <c r="CK2" s="17" t="s">
        <v>77</v>
      </c>
      <c r="CL2" s="17" t="s">
        <v>188</v>
      </c>
      <c r="CM2" s="17" t="s">
        <v>79</v>
      </c>
      <c r="CN2" s="17" t="s">
        <v>81</v>
      </c>
      <c r="CO2" s="17" t="s">
        <v>138</v>
      </c>
      <c r="CP2" s="17" t="s">
        <v>187</v>
      </c>
      <c r="CQ2" s="17"/>
      <c r="CR2" s="17" t="s">
        <v>77</v>
      </c>
      <c r="CS2" s="17" t="s">
        <v>79</v>
      </c>
      <c r="CT2" s="17" t="s">
        <v>77</v>
      </c>
      <c r="CU2" s="17" t="s">
        <v>188</v>
      </c>
      <c r="CV2" s="17" t="s">
        <v>79</v>
      </c>
      <c r="CW2" s="17" t="s">
        <v>81</v>
      </c>
      <c r="CX2" s="17" t="s">
        <v>138</v>
      </c>
      <c r="CY2" s="17" t="s">
        <v>187</v>
      </c>
      <c r="CZ2" s="17"/>
      <c r="DA2" s="17" t="s">
        <v>77</v>
      </c>
      <c r="DB2" s="18" t="s">
        <v>79</v>
      </c>
      <c r="DC2" s="17" t="s">
        <v>77</v>
      </c>
      <c r="DD2" s="17" t="s">
        <v>188</v>
      </c>
      <c r="DE2" s="17" t="s">
        <v>79</v>
      </c>
      <c r="DF2" s="17" t="s">
        <v>81</v>
      </c>
      <c r="DG2" s="17" t="s">
        <v>138</v>
      </c>
      <c r="DH2" s="17" t="s">
        <v>187</v>
      </c>
      <c r="DI2" s="17"/>
      <c r="DJ2" s="17" t="s">
        <v>77</v>
      </c>
      <c r="DK2" s="18" t="s">
        <v>79</v>
      </c>
      <c r="DL2" s="17" t="s">
        <v>77</v>
      </c>
      <c r="DM2" s="17" t="s">
        <v>188</v>
      </c>
      <c r="DN2" s="17" t="s">
        <v>79</v>
      </c>
      <c r="DO2" s="17" t="s">
        <v>81</v>
      </c>
      <c r="DP2" s="17" t="s">
        <v>138</v>
      </c>
      <c r="DQ2" s="17" t="s">
        <v>187</v>
      </c>
      <c r="DR2" s="17"/>
      <c r="DS2" s="17" t="s">
        <v>77</v>
      </c>
      <c r="DT2" s="17" t="s">
        <v>79</v>
      </c>
      <c r="DU2" s="17" t="s">
        <v>77</v>
      </c>
      <c r="DV2" s="17" t="s">
        <v>188</v>
      </c>
      <c r="DW2" s="17" t="s">
        <v>79</v>
      </c>
      <c r="DX2" s="17" t="s">
        <v>81</v>
      </c>
      <c r="DY2" s="17" t="s">
        <v>138</v>
      </c>
      <c r="DZ2" s="17" t="s">
        <v>187</v>
      </c>
      <c r="EA2" s="17"/>
      <c r="EB2" s="17" t="s">
        <v>77</v>
      </c>
      <c r="EC2" s="17" t="s">
        <v>79</v>
      </c>
      <c r="ED2" s="17" t="s">
        <v>77</v>
      </c>
      <c r="EE2" s="17" t="s">
        <v>188</v>
      </c>
      <c r="EF2" s="17" t="s">
        <v>79</v>
      </c>
      <c r="EG2" s="17" t="s">
        <v>81</v>
      </c>
      <c r="EH2" s="17" t="s">
        <v>138</v>
      </c>
      <c r="EI2" s="17" t="s">
        <v>187</v>
      </c>
      <c r="EJ2" s="17"/>
      <c r="EK2" s="17" t="s">
        <v>77</v>
      </c>
      <c r="EL2" s="17" t="s">
        <v>79</v>
      </c>
      <c r="EM2" s="17" t="s">
        <v>77</v>
      </c>
      <c r="EN2" s="17" t="s">
        <v>188</v>
      </c>
      <c r="EO2" s="17" t="s">
        <v>79</v>
      </c>
      <c r="EP2" s="17" t="s">
        <v>81</v>
      </c>
      <c r="EQ2" s="17" t="s">
        <v>138</v>
      </c>
      <c r="ER2" s="17" t="s">
        <v>187</v>
      </c>
      <c r="ES2" s="17"/>
      <c r="ET2" s="17" t="s">
        <v>77</v>
      </c>
      <c r="EU2" s="17" t="s">
        <v>79</v>
      </c>
      <c r="EV2" s="17" t="s">
        <v>77</v>
      </c>
      <c r="EW2" s="17" t="s">
        <v>188</v>
      </c>
      <c r="EX2" s="17" t="s">
        <v>79</v>
      </c>
      <c r="EY2" s="17" t="s">
        <v>81</v>
      </c>
      <c r="EZ2" s="17" t="s">
        <v>138</v>
      </c>
      <c r="FA2" s="74" t="s">
        <v>187</v>
      </c>
      <c r="FB2" s="74"/>
      <c r="FC2" s="17" t="s">
        <v>77</v>
      </c>
      <c r="FD2" s="17" t="s">
        <v>79</v>
      </c>
      <c r="FE2" s="17" t="s">
        <v>77</v>
      </c>
      <c r="FF2" s="17" t="s">
        <v>188</v>
      </c>
      <c r="FG2" s="17" t="s">
        <v>79</v>
      </c>
      <c r="FH2" s="17" t="s">
        <v>81</v>
      </c>
      <c r="FI2" s="19"/>
      <c r="FJ2" s="65" t="s">
        <v>81</v>
      </c>
      <c r="FK2" s="67" t="s">
        <v>81</v>
      </c>
      <c r="FL2" s="75" t="s">
        <v>79</v>
      </c>
      <c r="FM2" s="75" t="s">
        <v>81</v>
      </c>
      <c r="FN2" s="16"/>
      <c r="FP2" s="17" t="s">
        <v>138</v>
      </c>
      <c r="FQ2" s="17" t="s">
        <v>187</v>
      </c>
      <c r="FR2" s="17"/>
      <c r="FS2" s="17" t="s">
        <v>77</v>
      </c>
      <c r="FT2" s="17" t="s">
        <v>79</v>
      </c>
      <c r="FU2" s="17" t="s">
        <v>77</v>
      </c>
      <c r="FV2" s="17" t="s">
        <v>188</v>
      </c>
      <c r="FW2" s="17" t="s">
        <v>79</v>
      </c>
      <c r="FX2" s="17" t="s">
        <v>81</v>
      </c>
      <c r="FY2" s="17" t="s">
        <v>138</v>
      </c>
      <c r="FZ2" s="17" t="s">
        <v>187</v>
      </c>
      <c r="GA2" s="17"/>
      <c r="GB2" s="17" t="s">
        <v>77</v>
      </c>
      <c r="GC2" s="17" t="s">
        <v>79</v>
      </c>
      <c r="GD2" s="17" t="s">
        <v>77</v>
      </c>
      <c r="GE2" s="17" t="s">
        <v>188</v>
      </c>
      <c r="GF2" s="17" t="s">
        <v>79</v>
      </c>
      <c r="GG2" s="17" t="s">
        <v>81</v>
      </c>
      <c r="GH2" s="17" t="s">
        <v>138</v>
      </c>
      <c r="GI2" s="17" t="s">
        <v>187</v>
      </c>
      <c r="GJ2" s="17" t="s">
        <v>77</v>
      </c>
      <c r="GK2" s="17" t="s">
        <v>77</v>
      </c>
      <c r="GL2" s="17" t="s">
        <v>188</v>
      </c>
      <c r="GM2" s="17" t="s">
        <v>81</v>
      </c>
      <c r="GN2" s="17" t="s">
        <v>138</v>
      </c>
      <c r="GO2" s="17" t="s">
        <v>187</v>
      </c>
      <c r="GP2" s="17"/>
      <c r="GQ2" s="17" t="s">
        <v>77</v>
      </c>
      <c r="GR2" s="17" t="s">
        <v>79</v>
      </c>
      <c r="GS2" s="17" t="s">
        <v>77</v>
      </c>
      <c r="GT2" s="17" t="s">
        <v>188</v>
      </c>
      <c r="GU2" s="17" t="s">
        <v>79</v>
      </c>
      <c r="GV2" s="17" t="s">
        <v>81</v>
      </c>
      <c r="GW2" s="99" t="s">
        <v>81</v>
      </c>
      <c r="GX2" s="68" t="s">
        <v>81</v>
      </c>
      <c r="GY2" s="68" t="s">
        <v>81</v>
      </c>
      <c r="GZ2" s="68" t="s">
        <v>81</v>
      </c>
      <c r="HA2" s="20"/>
      <c r="HB2" s="69" t="s">
        <v>205</v>
      </c>
      <c r="HC2" s="69" t="s">
        <v>205</v>
      </c>
      <c r="HD2" s="69" t="s">
        <v>205</v>
      </c>
      <c r="HE2" s="69" t="s">
        <v>205</v>
      </c>
    </row>
    <row r="3" spans="2:213" x14ac:dyDescent="0.25">
      <c r="B3" s="76"/>
      <c r="C3" s="4" t="s">
        <v>77</v>
      </c>
      <c r="D3" s="72" t="s">
        <v>79</v>
      </c>
      <c r="E3" s="24" t="s">
        <v>189</v>
      </c>
      <c r="F3" s="70" t="s">
        <v>77</v>
      </c>
      <c r="G3" s="4" t="s">
        <v>79</v>
      </c>
      <c r="H3" s="24" t="s">
        <v>189</v>
      </c>
      <c r="I3" s="4" t="s">
        <v>77</v>
      </c>
      <c r="J3" s="4" t="s">
        <v>79</v>
      </c>
      <c r="K3" s="24" t="s">
        <v>190</v>
      </c>
      <c r="L3" s="4" t="s">
        <v>77</v>
      </c>
      <c r="M3" s="4" t="s">
        <v>79</v>
      </c>
      <c r="N3" s="24" t="s">
        <v>190</v>
      </c>
      <c r="O3" s="4" t="s">
        <v>77</v>
      </c>
      <c r="P3" s="4" t="s">
        <v>79</v>
      </c>
      <c r="Q3" s="24" t="s">
        <v>190</v>
      </c>
      <c r="R3" s="4" t="s">
        <v>77</v>
      </c>
      <c r="S3" s="4" t="s">
        <v>79</v>
      </c>
      <c r="T3" s="24" t="s">
        <v>191</v>
      </c>
      <c r="U3" s="4" t="s">
        <v>77</v>
      </c>
      <c r="V3" s="4" t="s">
        <v>79</v>
      </c>
      <c r="W3" s="24" t="s">
        <v>191</v>
      </c>
      <c r="X3" s="4" t="s">
        <v>77</v>
      </c>
      <c r="Y3" s="4" t="s">
        <v>79</v>
      </c>
      <c r="Z3" s="24" t="s">
        <v>189</v>
      </c>
      <c r="AA3" s="4" t="s">
        <v>77</v>
      </c>
      <c r="AB3" s="4" t="s">
        <v>79</v>
      </c>
      <c r="AC3" s="24" t="s">
        <v>189</v>
      </c>
      <c r="AD3" s="4" t="s">
        <v>77</v>
      </c>
      <c r="AE3" s="4" t="s">
        <v>79</v>
      </c>
      <c r="AF3" s="24" t="s">
        <v>192</v>
      </c>
      <c r="AG3" s="4" t="s">
        <v>77</v>
      </c>
      <c r="AH3" s="4" t="s">
        <v>79</v>
      </c>
      <c r="AI3" s="24" t="s">
        <v>193</v>
      </c>
      <c r="AJ3" s="202" t="s">
        <v>77</v>
      </c>
      <c r="AK3" s="24" t="s">
        <v>194</v>
      </c>
      <c r="AL3" s="24" t="s">
        <v>81</v>
      </c>
      <c r="AQ3" s="67" t="s">
        <v>77</v>
      </c>
      <c r="AR3" s="16"/>
      <c r="AT3" s="72" t="s">
        <v>77</v>
      </c>
      <c r="AU3" s="24" t="s">
        <v>195</v>
      </c>
      <c r="AV3" s="72" t="s">
        <v>77</v>
      </c>
      <c r="AW3" s="24" t="s">
        <v>195</v>
      </c>
      <c r="AX3" s="72" t="s">
        <v>77</v>
      </c>
      <c r="AY3" s="24" t="s">
        <v>194</v>
      </c>
      <c r="AZ3" s="72" t="s">
        <v>77</v>
      </c>
      <c r="BA3" s="24" t="s">
        <v>193</v>
      </c>
      <c r="BB3" s="24" t="s">
        <v>81</v>
      </c>
      <c r="BC3" s="19"/>
      <c r="BD3" s="28" t="s">
        <v>196</v>
      </c>
      <c r="BE3" s="28" t="s">
        <v>196</v>
      </c>
      <c r="BF3" s="28" t="s">
        <v>197</v>
      </c>
      <c r="BG3" s="67"/>
      <c r="BH3" s="16"/>
      <c r="BJ3" s="21" t="s">
        <v>76</v>
      </c>
      <c r="BK3" s="22" t="s">
        <v>198</v>
      </c>
      <c r="BL3" s="21" t="s">
        <v>104</v>
      </c>
      <c r="BM3" s="77" t="s">
        <v>81</v>
      </c>
      <c r="BN3" s="23" t="s">
        <v>199</v>
      </c>
      <c r="BO3" s="24" t="s">
        <v>199</v>
      </c>
      <c r="BP3" s="24" t="s">
        <v>78</v>
      </c>
      <c r="BQ3" s="23" t="s">
        <v>104</v>
      </c>
      <c r="BR3" s="23" t="s">
        <v>104</v>
      </c>
      <c r="BS3" s="23" t="s">
        <v>81</v>
      </c>
      <c r="BT3" s="23" t="s">
        <v>81</v>
      </c>
      <c r="BU3" s="23" t="s">
        <v>81</v>
      </c>
      <c r="BV3" s="78" t="s">
        <v>104</v>
      </c>
      <c r="BW3" s="23" t="s">
        <v>199</v>
      </c>
      <c r="BX3" s="24" t="s">
        <v>199</v>
      </c>
      <c r="BY3" s="24" t="s">
        <v>78</v>
      </c>
      <c r="BZ3" s="23" t="s">
        <v>104</v>
      </c>
      <c r="CA3" s="23" t="s">
        <v>104</v>
      </c>
      <c r="CB3" s="23" t="s">
        <v>81</v>
      </c>
      <c r="CC3" s="23" t="s">
        <v>81</v>
      </c>
      <c r="CD3" s="23" t="s">
        <v>81</v>
      </c>
      <c r="CE3" s="78" t="s">
        <v>104</v>
      </c>
      <c r="CF3" s="23" t="s">
        <v>199</v>
      </c>
      <c r="CG3" s="24" t="s">
        <v>199</v>
      </c>
      <c r="CH3" s="24" t="s">
        <v>78</v>
      </c>
      <c r="CI3" s="23" t="s">
        <v>104</v>
      </c>
      <c r="CJ3" s="23" t="s">
        <v>104</v>
      </c>
      <c r="CK3" s="23" t="s">
        <v>81</v>
      </c>
      <c r="CL3" s="23" t="s">
        <v>81</v>
      </c>
      <c r="CM3" s="23" t="s">
        <v>81</v>
      </c>
      <c r="CN3" s="78" t="s">
        <v>104</v>
      </c>
      <c r="CO3" s="23" t="s">
        <v>199</v>
      </c>
      <c r="CP3" s="24" t="s">
        <v>199</v>
      </c>
      <c r="CQ3" s="24" t="s">
        <v>78</v>
      </c>
      <c r="CR3" s="23" t="s">
        <v>104</v>
      </c>
      <c r="CS3" s="23" t="s">
        <v>104</v>
      </c>
      <c r="CT3" s="23" t="s">
        <v>81</v>
      </c>
      <c r="CU3" s="23" t="s">
        <v>81</v>
      </c>
      <c r="CV3" s="23" t="s">
        <v>81</v>
      </c>
      <c r="CW3" s="78" t="s">
        <v>104</v>
      </c>
      <c r="CX3" s="23" t="s">
        <v>199</v>
      </c>
      <c r="CY3" s="24" t="s">
        <v>199</v>
      </c>
      <c r="CZ3" s="24" t="s">
        <v>78</v>
      </c>
      <c r="DA3" s="23" t="s">
        <v>104</v>
      </c>
      <c r="DB3" s="79" t="s">
        <v>104</v>
      </c>
      <c r="DC3" s="23" t="s">
        <v>81</v>
      </c>
      <c r="DD3" s="23" t="s">
        <v>81</v>
      </c>
      <c r="DE3" s="23" t="s">
        <v>81</v>
      </c>
      <c r="DF3" s="78" t="s">
        <v>104</v>
      </c>
      <c r="DG3" s="23" t="s">
        <v>199</v>
      </c>
      <c r="DH3" s="24" t="s">
        <v>199</v>
      </c>
      <c r="DI3" s="24" t="s">
        <v>78</v>
      </c>
      <c r="DJ3" s="23" t="s">
        <v>104</v>
      </c>
      <c r="DK3" s="79" t="s">
        <v>104</v>
      </c>
      <c r="DL3" s="23" t="s">
        <v>81</v>
      </c>
      <c r="DM3" s="23" t="s">
        <v>81</v>
      </c>
      <c r="DN3" s="23" t="s">
        <v>81</v>
      </c>
      <c r="DO3" s="78" t="s">
        <v>104</v>
      </c>
      <c r="DP3" s="23" t="s">
        <v>199</v>
      </c>
      <c r="DQ3" s="24" t="s">
        <v>199</v>
      </c>
      <c r="DR3" s="24" t="s">
        <v>78</v>
      </c>
      <c r="DS3" s="23" t="s">
        <v>104</v>
      </c>
      <c r="DT3" s="23" t="s">
        <v>104</v>
      </c>
      <c r="DU3" s="23" t="s">
        <v>81</v>
      </c>
      <c r="DV3" s="23" t="s">
        <v>81</v>
      </c>
      <c r="DW3" s="23" t="s">
        <v>81</v>
      </c>
      <c r="DX3" s="78" t="s">
        <v>104</v>
      </c>
      <c r="DY3" s="23" t="s">
        <v>199</v>
      </c>
      <c r="DZ3" s="24" t="s">
        <v>199</v>
      </c>
      <c r="EA3" s="24" t="s">
        <v>78</v>
      </c>
      <c r="EB3" s="23" t="s">
        <v>104</v>
      </c>
      <c r="EC3" s="23" t="s">
        <v>104</v>
      </c>
      <c r="ED3" s="23" t="s">
        <v>81</v>
      </c>
      <c r="EE3" s="23" t="s">
        <v>81</v>
      </c>
      <c r="EF3" s="23" t="s">
        <v>81</v>
      </c>
      <c r="EG3" s="78" t="s">
        <v>104</v>
      </c>
      <c r="EH3" s="23" t="s">
        <v>199</v>
      </c>
      <c r="EI3" s="24" t="s">
        <v>199</v>
      </c>
      <c r="EJ3" s="24" t="s">
        <v>78</v>
      </c>
      <c r="EK3" s="23" t="s">
        <v>104</v>
      </c>
      <c r="EL3" s="23" t="s">
        <v>104</v>
      </c>
      <c r="EM3" s="23" t="s">
        <v>81</v>
      </c>
      <c r="EN3" s="23" t="s">
        <v>81</v>
      </c>
      <c r="EO3" s="23" t="s">
        <v>81</v>
      </c>
      <c r="EP3" s="78" t="s">
        <v>104</v>
      </c>
      <c r="EQ3" s="23" t="s">
        <v>199</v>
      </c>
      <c r="ER3" s="24" t="s">
        <v>199</v>
      </c>
      <c r="ES3" s="24" t="s">
        <v>78</v>
      </c>
      <c r="ET3" s="23" t="s">
        <v>104</v>
      </c>
      <c r="EU3" s="23" t="s">
        <v>104</v>
      </c>
      <c r="EV3" s="23" t="s">
        <v>81</v>
      </c>
      <c r="EW3" s="23" t="s">
        <v>81</v>
      </c>
      <c r="EX3" s="23" t="s">
        <v>81</v>
      </c>
      <c r="EY3" s="78" t="s">
        <v>104</v>
      </c>
      <c r="EZ3" s="23" t="s">
        <v>199</v>
      </c>
      <c r="FA3" s="80" t="s">
        <v>199</v>
      </c>
      <c r="FB3" s="80" t="s">
        <v>78</v>
      </c>
      <c r="FC3" s="23" t="s">
        <v>104</v>
      </c>
      <c r="FD3" s="23" t="s">
        <v>104</v>
      </c>
      <c r="FE3" s="23" t="s">
        <v>81</v>
      </c>
      <c r="FF3" s="23" t="s">
        <v>81</v>
      </c>
      <c r="FG3" s="23" t="s">
        <v>81</v>
      </c>
      <c r="FH3" s="78" t="s">
        <v>104</v>
      </c>
      <c r="FI3" s="81"/>
      <c r="FJ3" s="65" t="s">
        <v>200</v>
      </c>
      <c r="FK3" t="s">
        <v>201</v>
      </c>
      <c r="FL3" t="s">
        <v>81</v>
      </c>
      <c r="FM3" t="s">
        <v>202</v>
      </c>
      <c r="FN3" s="16"/>
      <c r="FP3" s="23" t="s">
        <v>199</v>
      </c>
      <c r="FQ3" s="24" t="s">
        <v>199</v>
      </c>
      <c r="FR3" s="24" t="s">
        <v>78</v>
      </c>
      <c r="FS3" s="23" t="s">
        <v>104</v>
      </c>
      <c r="FT3" s="23" t="s">
        <v>104</v>
      </c>
      <c r="FU3" s="23" t="s">
        <v>81</v>
      </c>
      <c r="FV3" s="23" t="s">
        <v>81</v>
      </c>
      <c r="FW3" s="23" t="s">
        <v>81</v>
      </c>
      <c r="FX3" s="78" t="s">
        <v>104</v>
      </c>
      <c r="FY3" s="23" t="s">
        <v>199</v>
      </c>
      <c r="FZ3" s="24" t="s">
        <v>199</v>
      </c>
      <c r="GA3" s="24" t="s">
        <v>78</v>
      </c>
      <c r="GB3" s="23" t="s">
        <v>104</v>
      </c>
      <c r="GC3" s="23" t="s">
        <v>104</v>
      </c>
      <c r="GD3" s="23" t="s">
        <v>81</v>
      </c>
      <c r="GE3" s="23" t="s">
        <v>81</v>
      </c>
      <c r="GF3" s="23" t="s">
        <v>81</v>
      </c>
      <c r="GG3" s="78" t="s">
        <v>104</v>
      </c>
      <c r="GH3" s="23" t="s">
        <v>199</v>
      </c>
      <c r="GI3" s="24" t="s">
        <v>199</v>
      </c>
      <c r="GJ3" s="23" t="s">
        <v>104</v>
      </c>
      <c r="GK3" s="23" t="s">
        <v>81</v>
      </c>
      <c r="GL3" s="23" t="s">
        <v>81</v>
      </c>
      <c r="GM3" s="78" t="s">
        <v>104</v>
      </c>
      <c r="GN3" s="23" t="s">
        <v>199</v>
      </c>
      <c r="GO3" s="24" t="s">
        <v>199</v>
      </c>
      <c r="GP3" s="24" t="s">
        <v>78</v>
      </c>
      <c r="GQ3" s="23" t="s">
        <v>104</v>
      </c>
      <c r="GR3" s="23" t="s">
        <v>104</v>
      </c>
      <c r="GS3" s="23" t="s">
        <v>81</v>
      </c>
      <c r="GT3" s="23" t="s">
        <v>81</v>
      </c>
      <c r="GU3" s="23" t="s">
        <v>81</v>
      </c>
      <c r="GV3" s="78" t="s">
        <v>104</v>
      </c>
      <c r="GW3" s="100" t="s">
        <v>77</v>
      </c>
      <c r="GX3" s="25" t="s">
        <v>201</v>
      </c>
      <c r="GY3" s="25" t="s">
        <v>79</v>
      </c>
      <c r="GZ3" s="25" t="s">
        <v>203</v>
      </c>
      <c r="HA3" s="20"/>
      <c r="HB3" s="24" t="s">
        <v>77</v>
      </c>
      <c r="HC3" s="24" t="s">
        <v>201</v>
      </c>
      <c r="HD3" s="24" t="s">
        <v>79</v>
      </c>
      <c r="HE3" s="24" t="s">
        <v>203</v>
      </c>
    </row>
    <row r="4" spans="2:213" x14ac:dyDescent="0.25">
      <c r="B4" s="82">
        <v>43831</v>
      </c>
      <c r="C4" s="22">
        <v>86230</v>
      </c>
      <c r="D4" s="22">
        <v>2.15</v>
      </c>
      <c r="E4" s="46">
        <v>0</v>
      </c>
      <c r="F4" s="22">
        <v>81797</v>
      </c>
      <c r="G4" s="22">
        <v>2.5379999999999998</v>
      </c>
      <c r="H4" s="46">
        <v>0</v>
      </c>
      <c r="I4" s="22">
        <v>9749</v>
      </c>
      <c r="J4" s="22">
        <v>0.32400000000000001</v>
      </c>
      <c r="K4" s="46">
        <v>0</v>
      </c>
      <c r="L4" s="22">
        <v>9644</v>
      </c>
      <c r="M4" s="22">
        <v>0.27100000000000002</v>
      </c>
      <c r="N4" s="46">
        <v>0</v>
      </c>
      <c r="O4" s="22">
        <v>10343</v>
      </c>
      <c r="P4" s="22">
        <v>0.311</v>
      </c>
      <c r="Q4" s="46">
        <v>0</v>
      </c>
      <c r="R4" s="22">
        <v>68047</v>
      </c>
      <c r="S4" s="22">
        <v>2.516</v>
      </c>
      <c r="T4" s="46">
        <v>0</v>
      </c>
      <c r="U4" s="22">
        <v>64573</v>
      </c>
      <c r="V4" s="22">
        <v>1.679</v>
      </c>
      <c r="W4" s="46">
        <v>0</v>
      </c>
      <c r="X4" s="22">
        <v>16096</v>
      </c>
      <c r="Y4" s="22">
        <v>0.312</v>
      </c>
      <c r="Z4" s="46">
        <v>0</v>
      </c>
      <c r="AA4" s="22">
        <v>10963</v>
      </c>
      <c r="AB4" s="22">
        <v>0.217</v>
      </c>
      <c r="AC4" s="46">
        <v>0</v>
      </c>
      <c r="AD4" s="22">
        <v>82267</v>
      </c>
      <c r="AE4" s="22">
        <v>1.976</v>
      </c>
      <c r="AF4" s="46">
        <v>0</v>
      </c>
      <c r="AG4" s="22">
        <v>15574</v>
      </c>
      <c r="AH4" s="22">
        <v>0.313</v>
      </c>
      <c r="AI4" s="46">
        <v>0</v>
      </c>
      <c r="AJ4" s="203">
        <v>49414</v>
      </c>
      <c r="AK4" s="46">
        <v>0</v>
      </c>
      <c r="AL4" s="46"/>
      <c r="AN4" s="46">
        <v>0</v>
      </c>
      <c r="AO4" s="22">
        <v>0</v>
      </c>
      <c r="AP4" s="22">
        <v>0</v>
      </c>
      <c r="AQ4" s="22"/>
      <c r="AR4" s="16"/>
      <c r="AS4" s="89">
        <f t="shared" ref="AS4:AS44" si="0">B4</f>
        <v>43831</v>
      </c>
      <c r="AT4" s="22">
        <v>56373</v>
      </c>
      <c r="AU4" s="46">
        <v>0</v>
      </c>
      <c r="AV4" s="22">
        <v>7133</v>
      </c>
      <c r="AW4" s="46">
        <v>0</v>
      </c>
      <c r="AX4" s="22">
        <v>85497</v>
      </c>
      <c r="AY4" s="46">
        <v>0</v>
      </c>
      <c r="AZ4" s="22">
        <v>46922</v>
      </c>
      <c r="BA4" s="46">
        <v>0</v>
      </c>
      <c r="BC4" s="83"/>
      <c r="BD4" s="46">
        <v>0</v>
      </c>
      <c r="BE4" s="22"/>
      <c r="BF4" s="22"/>
      <c r="BH4" s="16"/>
      <c r="BJ4" s="21">
        <f t="shared" ref="BJ4:BJ44" si="1">SUM(AJ4)</f>
        <v>49414</v>
      </c>
      <c r="BK4" s="22">
        <v>48845</v>
      </c>
      <c r="BN4" s="85">
        <f t="shared" ref="BN4:BN44" si="2">SUM(F4)</f>
        <v>81797</v>
      </c>
      <c r="BO4" s="22">
        <v>81830</v>
      </c>
      <c r="BP4" s="22">
        <v>2.4830000000000001</v>
      </c>
      <c r="BW4" s="85">
        <f t="shared" ref="BW4:BW45" si="3">SUM(C4)</f>
        <v>86230</v>
      </c>
      <c r="BX4" s="22">
        <v>86258</v>
      </c>
      <c r="BY4" s="22">
        <v>2.2320000000000002</v>
      </c>
      <c r="CF4" s="85">
        <f t="shared" ref="CF4:CF44" si="4">SUM(R4)</f>
        <v>68047</v>
      </c>
      <c r="CG4" s="22">
        <v>67906</v>
      </c>
      <c r="CH4" s="22">
        <v>2.3879999999999999</v>
      </c>
      <c r="CO4" s="85">
        <f t="shared" ref="CO4:CO44" si="5">SUM(AG4)</f>
        <v>15574</v>
      </c>
      <c r="CP4" s="22">
        <v>15553</v>
      </c>
      <c r="CQ4" s="22">
        <v>0.315</v>
      </c>
      <c r="CX4" s="85">
        <f t="shared" ref="CX4:CX44" si="6">SUM(U4)</f>
        <v>64573</v>
      </c>
      <c r="CY4" s="22">
        <v>64505</v>
      </c>
      <c r="CZ4" s="22">
        <v>1.9119999999999999</v>
      </c>
      <c r="DG4" s="85">
        <f t="shared" ref="DG4:DG44" si="7">SUM(L4)</f>
        <v>9644</v>
      </c>
      <c r="DH4" s="22">
        <v>9621</v>
      </c>
      <c r="DI4" s="22">
        <v>0.28399999999999997</v>
      </c>
      <c r="DP4" s="85">
        <f t="shared" ref="DP4:DP44" si="8">SUM(R4)</f>
        <v>68047</v>
      </c>
      <c r="DQ4" s="22">
        <v>9753</v>
      </c>
      <c r="DR4" s="22">
        <v>0.33600000000000002</v>
      </c>
      <c r="DY4" s="85">
        <f t="shared" ref="DY4:DY44" si="9">SUM(O4)</f>
        <v>10343</v>
      </c>
      <c r="DZ4" s="22">
        <v>10346</v>
      </c>
      <c r="EA4" s="22">
        <v>0.32900000000000001</v>
      </c>
      <c r="EH4" s="85">
        <f t="shared" ref="EH4:EH44" si="10">SUM(X4)</f>
        <v>16096</v>
      </c>
      <c r="EI4" s="22">
        <v>16079</v>
      </c>
      <c r="EJ4" s="22">
        <v>0.38300000000000001</v>
      </c>
      <c r="EQ4" s="85">
        <f t="shared" ref="EQ4:EQ44" si="11">SUM(AA4)</f>
        <v>10963</v>
      </c>
      <c r="ER4" s="22">
        <v>10951</v>
      </c>
      <c r="ES4" s="22">
        <v>0.442</v>
      </c>
      <c r="EZ4" s="21">
        <f t="shared" ref="EZ4:EZ44" si="12">SUM(AD4)</f>
        <v>82267</v>
      </c>
      <c r="FA4" s="97">
        <v>82046</v>
      </c>
      <c r="FB4" s="97">
        <v>2.0129999999999999</v>
      </c>
      <c r="FI4" s="66"/>
      <c r="FN4" s="16"/>
      <c r="FP4" s="85">
        <f t="shared" ref="FP4:FP38" si="13">SUM(AV4)</f>
        <v>7133</v>
      </c>
      <c r="FQ4" s="22">
        <v>7119</v>
      </c>
      <c r="FR4" s="22">
        <v>0.222</v>
      </c>
      <c r="FY4" s="85">
        <f t="shared" ref="FY4:FY44" si="14">SUM(AT4)</f>
        <v>56373</v>
      </c>
      <c r="FZ4" s="22">
        <v>56256</v>
      </c>
      <c r="GA4" s="22">
        <v>1.575</v>
      </c>
      <c r="GH4" s="85">
        <f t="shared" ref="GH4:GH44" si="15">SUM(AX4)</f>
        <v>85497</v>
      </c>
      <c r="GI4" s="22">
        <v>85579</v>
      </c>
      <c r="GN4" s="85">
        <f t="shared" ref="GN4:GN44" si="16">SUM(AZ4)</f>
        <v>46922</v>
      </c>
      <c r="GO4" s="22">
        <v>46925</v>
      </c>
      <c r="GP4" s="22">
        <v>3.7040000000000002</v>
      </c>
      <c r="HA4" s="20"/>
    </row>
    <row r="5" spans="2:213" x14ac:dyDescent="0.25">
      <c r="B5" s="82">
        <v>43835</v>
      </c>
      <c r="C5" s="22">
        <v>86475</v>
      </c>
      <c r="D5" s="22">
        <v>2.2909999999999999</v>
      </c>
      <c r="E5" s="46">
        <f t="shared" ref="E5:E56" si="17">SUM(C5-C4)*160</f>
        <v>39200</v>
      </c>
      <c r="F5" s="22">
        <v>82057</v>
      </c>
      <c r="G5" s="22">
        <v>2.6030000000000002</v>
      </c>
      <c r="H5" s="46">
        <f t="shared" ref="H5:H56" si="18">SUM(F5-F4)*160</f>
        <v>41600</v>
      </c>
      <c r="I5" s="22">
        <v>9777</v>
      </c>
      <c r="J5" s="22">
        <v>0.33900000000000002</v>
      </c>
      <c r="K5" s="46">
        <f t="shared" ref="K5:K55" si="19">SUM(I5-I4)*400</f>
        <v>11200</v>
      </c>
      <c r="L5" s="22">
        <v>9669</v>
      </c>
      <c r="M5" s="22">
        <v>0.28599999999999998</v>
      </c>
      <c r="N5" s="46">
        <f t="shared" ref="N5:N55" si="20">SUM(L5-L4)*400</f>
        <v>10000</v>
      </c>
      <c r="O5" s="22">
        <v>10371</v>
      </c>
      <c r="P5" s="22">
        <v>0.315</v>
      </c>
      <c r="Q5" s="46">
        <f t="shared" ref="Q5:Q55" si="21">SUM(O5-O4)*400</f>
        <v>11200</v>
      </c>
      <c r="R5" s="22">
        <v>68173</v>
      </c>
      <c r="S5" s="22">
        <v>2.516</v>
      </c>
      <c r="T5" s="46">
        <f t="shared" ref="T5:T55" si="22">SUM(R5-R4)*300</f>
        <v>37800</v>
      </c>
      <c r="U5" s="22">
        <v>64685</v>
      </c>
      <c r="V5" s="22">
        <v>1.968</v>
      </c>
      <c r="W5" s="46">
        <f t="shared" ref="W5:W55" si="23">SUM(U5-U4)*300</f>
        <v>33600</v>
      </c>
      <c r="X5" s="22">
        <v>16123</v>
      </c>
      <c r="Y5" s="22">
        <v>0.312</v>
      </c>
      <c r="Z5" s="46">
        <f t="shared" ref="Z5:Z55" si="24">SUM(X5-X4)*160</f>
        <v>4320</v>
      </c>
      <c r="AA5" s="22">
        <v>10980</v>
      </c>
      <c r="AB5" s="22">
        <v>0.27800000000000002</v>
      </c>
      <c r="AC5" s="46">
        <f t="shared" ref="AC5:AC55" si="25">SUM(AA5-AA4)*160</f>
        <v>2720</v>
      </c>
      <c r="AD5" s="22">
        <v>82444</v>
      </c>
      <c r="AE5" s="22">
        <v>1.976</v>
      </c>
      <c r="AF5" s="46">
        <f t="shared" ref="AF5:AF55" si="26">SUM(AD5-AD4)*200</f>
        <v>35400</v>
      </c>
      <c r="AG5" s="22">
        <v>15606</v>
      </c>
      <c r="AH5" s="22">
        <v>0.313</v>
      </c>
      <c r="AI5" s="46">
        <f t="shared" ref="AI5:AI55" si="27">SUM(AG5-AG4)*40</f>
        <v>1280</v>
      </c>
      <c r="AJ5" s="203">
        <v>49756</v>
      </c>
      <c r="AK5" s="46">
        <f t="shared" ref="AK5:AK55" si="28">SUM(AJ5-AJ4)</f>
        <v>342</v>
      </c>
      <c r="AL5" s="46"/>
      <c r="AN5" s="46">
        <f t="shared" ref="AN5:AN55" si="29">SUM(AF5+AC5+Z5+W5+T5+Q5+N5+K5+H5+E5+AI5+AK5)</f>
        <v>228662</v>
      </c>
      <c r="AO5" s="22">
        <f t="shared" ref="AO5:AO55" si="30">SUM(AF5+AI5)</f>
        <v>36680</v>
      </c>
      <c r="AP5" s="22">
        <f t="shared" ref="AP5:AP44" si="31">SUM(AO5/AN5)</f>
        <v>0.1604114369681014</v>
      </c>
      <c r="AQ5" s="22"/>
      <c r="AR5" s="16"/>
      <c r="AS5" s="89">
        <f t="shared" si="0"/>
        <v>43835</v>
      </c>
      <c r="AT5" s="22">
        <v>56483</v>
      </c>
      <c r="AU5" s="46">
        <f t="shared" ref="AU5:AU55" si="32">SUM(AT5-AT4)*100</f>
        <v>11000</v>
      </c>
      <c r="AV5" s="22">
        <v>7146</v>
      </c>
      <c r="AW5" s="46">
        <f t="shared" ref="AW5:AW55" si="33">SUM(AV5-AV4)*100</f>
        <v>1300</v>
      </c>
      <c r="AX5" s="22">
        <v>86351</v>
      </c>
      <c r="AY5" s="46">
        <f t="shared" ref="AY5:AY27" si="34">SUM(AX5-AX4)</f>
        <v>854</v>
      </c>
      <c r="AZ5" s="22">
        <v>46935</v>
      </c>
      <c r="BA5" s="46">
        <f t="shared" ref="BA5:BA55" si="35">SUM(AZ5-AZ4)*40</f>
        <v>520</v>
      </c>
      <c r="BC5" s="83"/>
      <c r="BD5" s="27">
        <f t="shared" ref="BD5:BD56" si="36">SUM(AU5+AW5,AY5,BA5)</f>
        <v>13674</v>
      </c>
      <c r="BE5" s="22"/>
      <c r="BF5" s="22"/>
      <c r="BH5" s="16"/>
      <c r="BJ5" s="21">
        <f t="shared" si="1"/>
        <v>49756</v>
      </c>
      <c r="BN5" s="85">
        <f t="shared" si="2"/>
        <v>82057</v>
      </c>
      <c r="BW5" s="85">
        <f t="shared" si="3"/>
        <v>86475</v>
      </c>
      <c r="CF5" s="85">
        <f t="shared" si="4"/>
        <v>68173</v>
      </c>
      <c r="CO5" s="85">
        <f t="shared" si="5"/>
        <v>15606</v>
      </c>
      <c r="CX5" s="85">
        <f t="shared" si="6"/>
        <v>64685</v>
      </c>
      <c r="DG5" s="85">
        <f t="shared" si="7"/>
        <v>9669</v>
      </c>
      <c r="DP5" s="85">
        <f t="shared" si="8"/>
        <v>68173</v>
      </c>
      <c r="DY5" s="85">
        <f t="shared" si="9"/>
        <v>10371</v>
      </c>
      <c r="EH5" s="85">
        <f t="shared" si="10"/>
        <v>16123</v>
      </c>
      <c r="EQ5" s="85">
        <f t="shared" si="11"/>
        <v>10980</v>
      </c>
      <c r="EZ5" s="21">
        <f t="shared" si="12"/>
        <v>82444</v>
      </c>
      <c r="FI5" s="66"/>
      <c r="FN5" s="16"/>
      <c r="FP5" s="85">
        <f t="shared" si="13"/>
        <v>7146</v>
      </c>
      <c r="FY5" s="85">
        <f t="shared" si="14"/>
        <v>56483</v>
      </c>
      <c r="GH5" s="85">
        <f t="shared" si="15"/>
        <v>86351</v>
      </c>
      <c r="GN5" s="85">
        <f t="shared" si="16"/>
        <v>46935</v>
      </c>
      <c r="HA5" s="20"/>
    </row>
    <row r="6" spans="2:213" x14ac:dyDescent="0.25">
      <c r="B6" s="82">
        <v>43842</v>
      </c>
      <c r="C6" s="22">
        <v>86771</v>
      </c>
      <c r="D6" s="22">
        <v>2.2909999999999999</v>
      </c>
      <c r="E6" s="46">
        <f t="shared" si="17"/>
        <v>47360</v>
      </c>
      <c r="F6" s="22">
        <v>82369</v>
      </c>
      <c r="G6" s="22">
        <v>2.6030000000000002</v>
      </c>
      <c r="H6" s="46">
        <f t="shared" si="18"/>
        <v>49920</v>
      </c>
      <c r="I6" s="22">
        <v>9807</v>
      </c>
      <c r="J6" s="22">
        <v>0.33900000000000002</v>
      </c>
      <c r="K6" s="46">
        <f t="shared" si="19"/>
        <v>12000</v>
      </c>
      <c r="L6" s="22">
        <v>9698</v>
      </c>
      <c r="M6" s="22">
        <v>0.28599999999999998</v>
      </c>
      <c r="N6" s="46">
        <f t="shared" si="20"/>
        <v>11600</v>
      </c>
      <c r="O6" s="22">
        <v>10402</v>
      </c>
      <c r="P6" s="22">
        <v>0.315</v>
      </c>
      <c r="Q6" s="46">
        <f t="shared" si="21"/>
        <v>12400</v>
      </c>
      <c r="R6" s="22">
        <v>68322</v>
      </c>
      <c r="S6" s="22">
        <v>2.516</v>
      </c>
      <c r="T6" s="46">
        <f t="shared" si="22"/>
        <v>44700</v>
      </c>
      <c r="U6" s="22">
        <v>64833</v>
      </c>
      <c r="V6" s="22">
        <v>1.992</v>
      </c>
      <c r="W6" s="46">
        <f t="shared" si="23"/>
        <v>44400</v>
      </c>
      <c r="X6" s="22">
        <v>16161</v>
      </c>
      <c r="Y6" s="22">
        <v>0.36499999999999999</v>
      </c>
      <c r="Z6" s="46">
        <f t="shared" si="24"/>
        <v>6080</v>
      </c>
      <c r="AA6" s="22">
        <v>11007</v>
      </c>
      <c r="AB6" s="22">
        <v>0.31</v>
      </c>
      <c r="AC6" s="46">
        <f t="shared" si="25"/>
        <v>4320</v>
      </c>
      <c r="AD6" s="22">
        <v>82666</v>
      </c>
      <c r="AE6" s="22">
        <v>1.976</v>
      </c>
      <c r="AF6" s="46">
        <f t="shared" si="26"/>
        <v>44400</v>
      </c>
      <c r="AG6" s="22">
        <v>15646</v>
      </c>
      <c r="AH6" s="22">
        <v>0.313</v>
      </c>
      <c r="AI6" s="46">
        <f t="shared" si="27"/>
        <v>1600</v>
      </c>
      <c r="AJ6" s="203">
        <v>50224</v>
      </c>
      <c r="AK6" s="46">
        <f t="shared" si="28"/>
        <v>468</v>
      </c>
      <c r="AL6" s="46"/>
      <c r="AN6" s="46">
        <f t="shared" si="29"/>
        <v>279248</v>
      </c>
      <c r="AO6" s="22">
        <f t="shared" si="30"/>
        <v>46000</v>
      </c>
      <c r="AP6" s="22">
        <f t="shared" si="31"/>
        <v>0.16472812696957542</v>
      </c>
      <c r="AQ6" s="22"/>
      <c r="AR6" s="16"/>
      <c r="AS6" s="89">
        <f t="shared" si="0"/>
        <v>43842</v>
      </c>
      <c r="AT6" s="22">
        <v>56615</v>
      </c>
      <c r="AU6" s="46">
        <f t="shared" si="32"/>
        <v>13200</v>
      </c>
      <c r="AV6" s="22">
        <v>7164</v>
      </c>
      <c r="AW6" s="46">
        <f t="shared" si="33"/>
        <v>1800</v>
      </c>
      <c r="AX6" s="22">
        <v>87331</v>
      </c>
      <c r="AY6" s="46">
        <f t="shared" si="34"/>
        <v>980</v>
      </c>
      <c r="AZ6" s="22">
        <v>46957</v>
      </c>
      <c r="BA6" s="46">
        <f t="shared" si="35"/>
        <v>880</v>
      </c>
      <c r="BC6" s="83"/>
      <c r="BD6" s="27">
        <f t="shared" si="36"/>
        <v>16860</v>
      </c>
      <c r="BE6" s="22"/>
      <c r="BF6" s="22"/>
      <c r="BH6" s="16"/>
      <c r="BJ6" s="21">
        <f t="shared" si="1"/>
        <v>50224</v>
      </c>
      <c r="BN6" s="85">
        <f t="shared" si="2"/>
        <v>82369</v>
      </c>
      <c r="BW6" s="85">
        <f t="shared" si="3"/>
        <v>86771</v>
      </c>
      <c r="CF6" s="85">
        <f t="shared" si="4"/>
        <v>68322</v>
      </c>
      <c r="CO6" s="85">
        <f t="shared" si="5"/>
        <v>15646</v>
      </c>
      <c r="CX6" s="85">
        <f t="shared" si="6"/>
        <v>64833</v>
      </c>
      <c r="DG6" s="85">
        <f t="shared" si="7"/>
        <v>9698</v>
      </c>
      <c r="DP6" s="85">
        <f t="shared" si="8"/>
        <v>68322</v>
      </c>
      <c r="DY6" s="85">
        <f t="shared" si="9"/>
        <v>10402</v>
      </c>
      <c r="EH6" s="85">
        <f t="shared" si="10"/>
        <v>16161</v>
      </c>
      <c r="EQ6" s="85">
        <f t="shared" si="11"/>
        <v>11007</v>
      </c>
      <c r="EZ6" s="21">
        <f t="shared" si="12"/>
        <v>82666</v>
      </c>
      <c r="FI6" s="66"/>
      <c r="FN6" s="16"/>
      <c r="FP6" s="85">
        <f t="shared" si="13"/>
        <v>7164</v>
      </c>
      <c r="FY6" s="85">
        <f t="shared" si="14"/>
        <v>56615</v>
      </c>
      <c r="GH6" s="85">
        <f t="shared" si="15"/>
        <v>87331</v>
      </c>
      <c r="GN6" s="85">
        <f t="shared" si="16"/>
        <v>46957</v>
      </c>
      <c r="HA6" s="20"/>
      <c r="HB6" s="61"/>
    </row>
    <row r="7" spans="2:213" x14ac:dyDescent="0.25">
      <c r="B7" s="82">
        <v>43849</v>
      </c>
      <c r="C7" s="22">
        <v>87066</v>
      </c>
      <c r="D7" s="22">
        <v>2.2909999999999999</v>
      </c>
      <c r="E7" s="46">
        <f t="shared" si="17"/>
        <v>47200</v>
      </c>
      <c r="F7" s="22">
        <v>82677</v>
      </c>
      <c r="G7" s="22">
        <v>2.6030000000000002</v>
      </c>
      <c r="H7" s="46">
        <f t="shared" si="18"/>
        <v>49280</v>
      </c>
      <c r="I7" s="22">
        <v>9838</v>
      </c>
      <c r="J7" s="22">
        <v>0.33900000000000002</v>
      </c>
      <c r="K7" s="46">
        <f t="shared" si="19"/>
        <v>12400</v>
      </c>
      <c r="L7" s="22">
        <v>9727</v>
      </c>
      <c r="M7" s="22">
        <v>0.28599999999999998</v>
      </c>
      <c r="N7" s="46">
        <f t="shared" si="20"/>
        <v>11600</v>
      </c>
      <c r="O7" s="22">
        <v>10432</v>
      </c>
      <c r="P7" s="22">
        <v>0.315</v>
      </c>
      <c r="Q7" s="46">
        <f t="shared" si="21"/>
        <v>12000</v>
      </c>
      <c r="R7" s="22">
        <v>68493</v>
      </c>
      <c r="S7" s="22">
        <v>2.516</v>
      </c>
      <c r="T7" s="46">
        <f t="shared" si="22"/>
        <v>51300</v>
      </c>
      <c r="U7" s="22">
        <v>65036</v>
      </c>
      <c r="V7" s="22">
        <v>2.0019999999999998</v>
      </c>
      <c r="W7" s="46">
        <f t="shared" si="23"/>
        <v>60900</v>
      </c>
      <c r="X7" s="22">
        <v>16205</v>
      </c>
      <c r="Y7" s="22">
        <v>0.38400000000000001</v>
      </c>
      <c r="Z7" s="46">
        <f t="shared" si="24"/>
        <v>7040</v>
      </c>
      <c r="AA7" s="22">
        <v>11041</v>
      </c>
      <c r="AB7" s="22">
        <v>0.39100000000000001</v>
      </c>
      <c r="AC7" s="46">
        <f t="shared" si="25"/>
        <v>5440</v>
      </c>
      <c r="AD7" s="22">
        <v>82901</v>
      </c>
      <c r="AE7" s="22">
        <v>1.976</v>
      </c>
      <c r="AF7" s="46">
        <f t="shared" si="26"/>
        <v>47000</v>
      </c>
      <c r="AG7" s="22">
        <v>15687</v>
      </c>
      <c r="AH7" s="22">
        <v>0.313</v>
      </c>
      <c r="AI7" s="46">
        <f t="shared" si="27"/>
        <v>1640</v>
      </c>
      <c r="AJ7" s="203">
        <v>50689</v>
      </c>
      <c r="AK7" s="46">
        <f t="shared" si="28"/>
        <v>465</v>
      </c>
      <c r="AL7" s="46"/>
      <c r="AN7" s="46">
        <f t="shared" si="29"/>
        <v>306265</v>
      </c>
      <c r="AO7" s="22">
        <f t="shared" si="30"/>
        <v>48640</v>
      </c>
      <c r="AP7" s="22">
        <f t="shared" si="31"/>
        <v>0.15881671101823583</v>
      </c>
      <c r="AQ7" s="22"/>
      <c r="AR7" s="16"/>
      <c r="AS7" s="89">
        <f t="shared" si="0"/>
        <v>43849</v>
      </c>
      <c r="AT7" s="22">
        <v>56779</v>
      </c>
      <c r="AU7" s="46">
        <f t="shared" si="32"/>
        <v>16400</v>
      </c>
      <c r="AV7" s="22">
        <v>7187</v>
      </c>
      <c r="AW7" s="46">
        <f t="shared" si="33"/>
        <v>2300</v>
      </c>
      <c r="AX7" s="22">
        <v>88331</v>
      </c>
      <c r="AY7" s="46">
        <f t="shared" si="34"/>
        <v>1000</v>
      </c>
      <c r="AZ7" s="22">
        <v>46968</v>
      </c>
      <c r="BA7" s="46">
        <f t="shared" si="35"/>
        <v>440</v>
      </c>
      <c r="BC7" s="83"/>
      <c r="BD7" s="27">
        <f t="shared" si="36"/>
        <v>20140</v>
      </c>
      <c r="BE7" s="22"/>
      <c r="BF7" s="22"/>
      <c r="BH7" s="16"/>
      <c r="BJ7" s="21">
        <f t="shared" si="1"/>
        <v>50689</v>
      </c>
      <c r="BN7" s="85">
        <f t="shared" si="2"/>
        <v>82677</v>
      </c>
      <c r="BW7" s="85">
        <f t="shared" si="3"/>
        <v>87066</v>
      </c>
      <c r="CF7" s="85">
        <f t="shared" si="4"/>
        <v>68493</v>
      </c>
      <c r="CO7" s="85">
        <f t="shared" si="5"/>
        <v>15687</v>
      </c>
      <c r="CX7" s="85">
        <f t="shared" si="6"/>
        <v>65036</v>
      </c>
      <c r="DG7" s="85">
        <f t="shared" si="7"/>
        <v>9727</v>
      </c>
      <c r="DP7" s="85">
        <f t="shared" si="8"/>
        <v>68493</v>
      </c>
      <c r="DY7" s="85">
        <f t="shared" si="9"/>
        <v>10432</v>
      </c>
      <c r="EH7" s="85">
        <f t="shared" si="10"/>
        <v>16205</v>
      </c>
      <c r="EQ7" s="85">
        <f t="shared" si="11"/>
        <v>11041</v>
      </c>
      <c r="EZ7" s="21">
        <f t="shared" si="12"/>
        <v>82901</v>
      </c>
      <c r="FI7" s="66"/>
      <c r="FN7" s="16"/>
      <c r="FP7" s="85">
        <f t="shared" si="13"/>
        <v>7187</v>
      </c>
      <c r="FY7" s="85">
        <f t="shared" si="14"/>
        <v>56779</v>
      </c>
      <c r="GH7" s="85">
        <f t="shared" si="15"/>
        <v>88331</v>
      </c>
      <c r="GN7" s="85">
        <f t="shared" si="16"/>
        <v>46968</v>
      </c>
      <c r="HA7" s="20"/>
    </row>
    <row r="8" spans="2:213" x14ac:dyDescent="0.25">
      <c r="B8" s="82">
        <v>43856</v>
      </c>
      <c r="C8" s="22">
        <v>87365</v>
      </c>
      <c r="D8" s="22">
        <v>2.1629999999999998</v>
      </c>
      <c r="E8" s="46">
        <f t="shared" si="17"/>
        <v>47840</v>
      </c>
      <c r="F8" s="22">
        <v>83002</v>
      </c>
      <c r="G8" s="22">
        <v>2.5059999999999998</v>
      </c>
      <c r="H8" s="46">
        <f t="shared" si="18"/>
        <v>52000</v>
      </c>
      <c r="I8" s="22">
        <v>9878</v>
      </c>
      <c r="J8" s="22">
        <v>0.35199999999999998</v>
      </c>
      <c r="K8" s="46">
        <f t="shared" si="19"/>
        <v>16000</v>
      </c>
      <c r="L8" s="22">
        <v>9762</v>
      </c>
      <c r="M8" s="22">
        <v>0.33300000000000002</v>
      </c>
      <c r="N8" s="46">
        <f t="shared" si="20"/>
        <v>14000</v>
      </c>
      <c r="O8" s="22">
        <v>10470</v>
      </c>
      <c r="P8" s="22">
        <v>0.4</v>
      </c>
      <c r="Q8" s="46">
        <f t="shared" si="21"/>
        <v>15200</v>
      </c>
      <c r="R8" s="22">
        <v>68620</v>
      </c>
      <c r="S8" s="22">
        <v>1.655</v>
      </c>
      <c r="T8" s="46">
        <f t="shared" si="22"/>
        <v>38100</v>
      </c>
      <c r="U8" s="22">
        <v>65146</v>
      </c>
      <c r="V8" s="22">
        <v>1.488</v>
      </c>
      <c r="W8" s="46">
        <f t="shared" si="23"/>
        <v>33000</v>
      </c>
      <c r="X8" s="22">
        <v>16250</v>
      </c>
      <c r="Y8" s="22">
        <v>0.38900000000000001</v>
      </c>
      <c r="Z8" s="46">
        <f t="shared" si="24"/>
        <v>7200</v>
      </c>
      <c r="AA8" s="22">
        <v>11078</v>
      </c>
      <c r="AB8" s="22">
        <v>0.45100000000000001</v>
      </c>
      <c r="AC8" s="46">
        <f t="shared" si="25"/>
        <v>5920</v>
      </c>
      <c r="AD8" s="22">
        <v>83092</v>
      </c>
      <c r="AE8" s="22">
        <v>1.6419999999999999</v>
      </c>
      <c r="AF8" s="46">
        <f t="shared" si="26"/>
        <v>38200</v>
      </c>
      <c r="AG8" s="22">
        <v>15727</v>
      </c>
      <c r="AH8" s="22">
        <v>0.31</v>
      </c>
      <c r="AI8" s="46">
        <f t="shared" si="27"/>
        <v>1600</v>
      </c>
      <c r="AJ8" s="203">
        <v>51154</v>
      </c>
      <c r="AK8" s="46">
        <f t="shared" si="28"/>
        <v>465</v>
      </c>
      <c r="AL8" s="46"/>
      <c r="AN8" s="46">
        <f t="shared" si="29"/>
        <v>269525</v>
      </c>
      <c r="AO8" s="22">
        <f t="shared" si="30"/>
        <v>39800</v>
      </c>
      <c r="AP8" s="22">
        <f t="shared" si="31"/>
        <v>0.1476671922827196</v>
      </c>
      <c r="AQ8" s="22"/>
      <c r="AR8" s="16"/>
      <c r="AS8" s="89">
        <f t="shared" si="0"/>
        <v>43856</v>
      </c>
      <c r="AT8" s="22">
        <v>56895</v>
      </c>
      <c r="AU8" s="46">
        <f t="shared" si="32"/>
        <v>11600</v>
      </c>
      <c r="AV8" s="22">
        <v>7204</v>
      </c>
      <c r="AW8" s="46">
        <f t="shared" si="33"/>
        <v>1700</v>
      </c>
      <c r="AX8" s="22">
        <v>89304</v>
      </c>
      <c r="AY8" s="46">
        <f t="shared" si="34"/>
        <v>973</v>
      </c>
      <c r="AZ8" s="22">
        <v>47035</v>
      </c>
      <c r="BA8" s="46">
        <f t="shared" si="35"/>
        <v>2680</v>
      </c>
      <c r="BC8" s="83"/>
      <c r="BD8" s="27">
        <f t="shared" si="36"/>
        <v>16953</v>
      </c>
      <c r="BE8" s="22"/>
      <c r="BF8" s="22"/>
      <c r="BH8" s="16"/>
      <c r="BJ8" s="21">
        <f t="shared" si="1"/>
        <v>51154</v>
      </c>
      <c r="BN8" s="85">
        <f t="shared" si="2"/>
        <v>83002</v>
      </c>
      <c r="BW8" s="85">
        <f t="shared" si="3"/>
        <v>87365</v>
      </c>
      <c r="CF8" s="85">
        <f t="shared" si="4"/>
        <v>68620</v>
      </c>
      <c r="CO8" s="85">
        <f t="shared" si="5"/>
        <v>15727</v>
      </c>
      <c r="CX8" s="85">
        <f t="shared" si="6"/>
        <v>65146</v>
      </c>
      <c r="DG8" s="85">
        <f t="shared" si="7"/>
        <v>9762</v>
      </c>
      <c r="DP8" s="85">
        <f t="shared" si="8"/>
        <v>68620</v>
      </c>
      <c r="DY8" s="85">
        <f t="shared" si="9"/>
        <v>10470</v>
      </c>
      <c r="EH8" s="85">
        <f t="shared" si="10"/>
        <v>16250</v>
      </c>
      <c r="EQ8" s="85">
        <f t="shared" si="11"/>
        <v>11078</v>
      </c>
      <c r="EZ8" s="21">
        <f t="shared" si="12"/>
        <v>83092</v>
      </c>
      <c r="FI8" s="66"/>
      <c r="FN8" s="16"/>
      <c r="FP8" s="85">
        <f t="shared" si="13"/>
        <v>7204</v>
      </c>
      <c r="FY8" s="85">
        <f t="shared" si="14"/>
        <v>56895</v>
      </c>
      <c r="GH8" s="85">
        <f t="shared" si="15"/>
        <v>89304</v>
      </c>
      <c r="GN8" s="85">
        <f t="shared" si="16"/>
        <v>47035</v>
      </c>
      <c r="HA8" s="20"/>
    </row>
    <row r="9" spans="2:213" x14ac:dyDescent="0.25">
      <c r="B9" s="82">
        <v>43862</v>
      </c>
      <c r="C9" s="22">
        <v>87663</v>
      </c>
      <c r="D9" s="22">
        <v>2.1629999999999998</v>
      </c>
      <c r="E9" s="46">
        <f t="shared" si="17"/>
        <v>47680</v>
      </c>
      <c r="F9" s="22">
        <v>83312</v>
      </c>
      <c r="G9" s="22">
        <v>2.5059999999999998</v>
      </c>
      <c r="H9" s="46">
        <f t="shared" si="18"/>
        <v>49600</v>
      </c>
      <c r="I9" s="22">
        <v>9914</v>
      </c>
      <c r="J9" s="22">
        <v>0.35199999999999998</v>
      </c>
      <c r="K9" s="46">
        <f t="shared" si="19"/>
        <v>14400</v>
      </c>
      <c r="L9" s="22">
        <v>9793</v>
      </c>
      <c r="M9" s="22">
        <v>0.33300000000000002</v>
      </c>
      <c r="N9" s="46">
        <f t="shared" si="20"/>
        <v>12400</v>
      </c>
      <c r="O9" s="22">
        <v>10503</v>
      </c>
      <c r="P9" s="22">
        <v>0.4</v>
      </c>
      <c r="Q9" s="46">
        <f t="shared" si="21"/>
        <v>13200</v>
      </c>
      <c r="R9" s="22">
        <v>68734</v>
      </c>
      <c r="S9" s="22">
        <v>1.903</v>
      </c>
      <c r="T9" s="46">
        <f t="shared" si="22"/>
        <v>34200</v>
      </c>
      <c r="U9" s="22">
        <v>65273</v>
      </c>
      <c r="V9" s="22">
        <v>1.706</v>
      </c>
      <c r="W9" s="46">
        <f t="shared" si="23"/>
        <v>38100</v>
      </c>
      <c r="X9" s="22">
        <v>16293</v>
      </c>
      <c r="Y9" s="22">
        <v>0.41499999999999998</v>
      </c>
      <c r="Z9" s="46">
        <f t="shared" si="24"/>
        <v>6880</v>
      </c>
      <c r="AA9" s="22">
        <v>11109</v>
      </c>
      <c r="AB9" s="22">
        <v>0.45100000000000001</v>
      </c>
      <c r="AC9" s="46">
        <f t="shared" si="25"/>
        <v>4960</v>
      </c>
      <c r="AD9" s="22">
        <v>83295</v>
      </c>
      <c r="AE9" s="22">
        <v>1.7889999999999999</v>
      </c>
      <c r="AF9" s="46">
        <f t="shared" si="26"/>
        <v>40600</v>
      </c>
      <c r="AG9" s="22">
        <v>15763</v>
      </c>
      <c r="AH9" s="22">
        <v>0.31</v>
      </c>
      <c r="AI9" s="46">
        <f t="shared" si="27"/>
        <v>1440</v>
      </c>
      <c r="AJ9" s="203">
        <v>51620</v>
      </c>
      <c r="AK9" s="46">
        <f t="shared" si="28"/>
        <v>466</v>
      </c>
      <c r="AL9" s="46"/>
      <c r="AN9" s="46">
        <f t="shared" si="29"/>
        <v>263926</v>
      </c>
      <c r="AO9" s="22">
        <f t="shared" si="30"/>
        <v>42040</v>
      </c>
      <c r="AP9" s="22">
        <f t="shared" si="31"/>
        <v>0.15928707289164387</v>
      </c>
      <c r="AQ9" s="22">
        <f>SUM(AN5:AN9)</f>
        <v>1347626</v>
      </c>
      <c r="AR9" s="16"/>
      <c r="AS9" s="89">
        <f t="shared" si="0"/>
        <v>43862</v>
      </c>
      <c r="AT9" s="22">
        <v>57019</v>
      </c>
      <c r="AU9" s="46">
        <f t="shared" si="32"/>
        <v>12400</v>
      </c>
      <c r="AV9" s="22">
        <v>7219</v>
      </c>
      <c r="AW9" s="46">
        <f t="shared" si="33"/>
        <v>1500</v>
      </c>
      <c r="AX9" s="22">
        <v>90281</v>
      </c>
      <c r="AY9" s="46">
        <f t="shared" si="34"/>
        <v>977</v>
      </c>
      <c r="AZ9" s="22">
        <v>47077</v>
      </c>
      <c r="BA9" s="46">
        <f t="shared" si="35"/>
        <v>1680</v>
      </c>
      <c r="BC9" s="83"/>
      <c r="BD9" s="27">
        <f t="shared" si="36"/>
        <v>16557</v>
      </c>
      <c r="BE9" s="22">
        <f>SUM(BD5:BD9)</f>
        <v>84184</v>
      </c>
      <c r="BF9" s="22">
        <f>SUM(AQ9+BE9)</f>
        <v>1431810</v>
      </c>
      <c r="BH9" s="16"/>
      <c r="BJ9" s="21">
        <f t="shared" si="1"/>
        <v>51620</v>
      </c>
      <c r="BK9" s="22">
        <v>50726</v>
      </c>
      <c r="BL9" s="21">
        <f>SUM(BK9-BK4)</f>
        <v>1881</v>
      </c>
      <c r="BM9" s="84">
        <f>SUM(BL9*0.11895+BL9*0.02531)*1.09+2.85</f>
        <v>298.62483539999999</v>
      </c>
      <c r="BN9" s="85">
        <f t="shared" si="2"/>
        <v>83312</v>
      </c>
      <c r="BO9" s="22">
        <v>82766</v>
      </c>
      <c r="BP9" s="22">
        <v>2.4830000000000001</v>
      </c>
      <c r="BQ9" s="21">
        <f>SUM(BO9-BO4)*160</f>
        <v>149760</v>
      </c>
      <c r="BR9" s="21">
        <f>(BP9)*160</f>
        <v>397.28000000000003</v>
      </c>
      <c r="BS9" s="84">
        <f>SUM(BQ9*0.0406)</f>
        <v>6080.2559999999994</v>
      </c>
      <c r="BT9" s="84">
        <f>SUM(BQ9*0.02531)</f>
        <v>3790.4256</v>
      </c>
      <c r="BU9" s="84">
        <f>SUM(BR9*6.99)</f>
        <v>2776.9872000000005</v>
      </c>
      <c r="BV9" s="84">
        <f>SUM(BS9+BT9)*1.09</f>
        <v>10759.042944000001</v>
      </c>
      <c r="BW9" s="85">
        <f t="shared" si="3"/>
        <v>87663</v>
      </c>
      <c r="BX9" s="22">
        <v>87147</v>
      </c>
      <c r="BY9" s="22">
        <v>2.2320000000000002</v>
      </c>
      <c r="BZ9" s="21">
        <f>SUM(BX9-BX4)*160</f>
        <v>142240</v>
      </c>
      <c r="CA9" s="21">
        <f>(BY9)*160</f>
        <v>357.12</v>
      </c>
      <c r="CB9" s="84">
        <f>SUM(BZ9*0.0406)</f>
        <v>5774.9439999999995</v>
      </c>
      <c r="CC9" s="84">
        <f>SUM(BZ9*0.02531)</f>
        <v>3600.0944</v>
      </c>
      <c r="CD9" s="84">
        <f>SUM(CA9*6.99)</f>
        <v>2496.2688000000003</v>
      </c>
      <c r="CE9" s="84">
        <f>SUM((CB9+CC9)+20)* 1.08</f>
        <v>10146.641471999999</v>
      </c>
      <c r="CF9" s="85">
        <f t="shared" si="4"/>
        <v>68734</v>
      </c>
      <c r="CG9" s="22">
        <v>68526</v>
      </c>
      <c r="CH9" s="22">
        <v>2.3879999999999999</v>
      </c>
      <c r="CI9" s="21">
        <f>SUM(CG9-CG4)*300</f>
        <v>186000</v>
      </c>
      <c r="CJ9" s="21">
        <f>(CH9)*300</f>
        <v>716.4</v>
      </c>
      <c r="CK9" s="84">
        <f>SUM(CI9*0.0406)</f>
        <v>7551.5999999999995</v>
      </c>
      <c r="CL9" s="84">
        <f>SUM(CI9*0.02531)</f>
        <v>4707.66</v>
      </c>
      <c r="CM9" s="84">
        <f>SUM(CJ9*6.99)</f>
        <v>5007.6360000000004</v>
      </c>
      <c r="CN9" s="84">
        <f>SUM((CK9+CL9)+20)*1.09</f>
        <v>13384.393399999999</v>
      </c>
      <c r="CO9" s="85">
        <f t="shared" si="5"/>
        <v>15763</v>
      </c>
      <c r="CP9" s="22">
        <v>15698</v>
      </c>
      <c r="CQ9" s="22">
        <v>0.315</v>
      </c>
      <c r="CR9" s="21">
        <f>(CP9-CP4)*40</f>
        <v>5800</v>
      </c>
      <c r="CS9" s="21">
        <f>(CQ9)*40</f>
        <v>12.6</v>
      </c>
      <c r="CT9" s="84">
        <f>SUM(CR9*0.0406)</f>
        <v>235.48</v>
      </c>
      <c r="CU9" s="84">
        <f>SUM(CR9*0.02531)</f>
        <v>146.798</v>
      </c>
      <c r="CV9" s="84">
        <f>SUM(CS9*6.99)</f>
        <v>88.073999999999998</v>
      </c>
      <c r="CW9" s="84">
        <f>SUM((CT9+CU9)+20)*1.09</f>
        <v>438.48302000000007</v>
      </c>
      <c r="CX9" s="85">
        <f t="shared" si="6"/>
        <v>65273</v>
      </c>
      <c r="CY9" s="22">
        <v>65061</v>
      </c>
      <c r="CZ9" s="22">
        <v>1.9119999999999999</v>
      </c>
      <c r="DA9" s="21">
        <f>SUM(CY9-CY4)*300</f>
        <v>166800</v>
      </c>
      <c r="DB9" s="86">
        <f>(CZ9)*300</f>
        <v>573.6</v>
      </c>
      <c r="DC9" s="84">
        <f>SUM(DA9*0.0406)</f>
        <v>6772.08</v>
      </c>
      <c r="DD9" s="84">
        <f>SUM(DA9*0.02531)</f>
        <v>4221.7079999999996</v>
      </c>
      <c r="DE9" s="84">
        <f>SUM(DB9*6.99)</f>
        <v>4009.4640000000004</v>
      </c>
      <c r="DF9" s="84">
        <f>SUM((DC9+DD9)+20)*1.085</f>
        <v>11949.95998</v>
      </c>
      <c r="DG9" s="85">
        <f t="shared" si="7"/>
        <v>9793</v>
      </c>
      <c r="DH9" s="22">
        <v>9738</v>
      </c>
      <c r="DI9" s="22">
        <v>0.28399999999999997</v>
      </c>
      <c r="DJ9" s="21">
        <f>SUM(DH9-DH4)*400</f>
        <v>46800</v>
      </c>
      <c r="DK9" s="86">
        <f>(DI9)*400</f>
        <v>113.6</v>
      </c>
      <c r="DL9" s="84">
        <f>SUM(DJ9*0.0406)</f>
        <v>1900.08</v>
      </c>
      <c r="DM9" s="84">
        <f>SUM(DJ9*0.02531)</f>
        <v>1184.508</v>
      </c>
      <c r="DN9" s="84">
        <f>SUM(DK9*6.99)</f>
        <v>794.06399999999996</v>
      </c>
      <c r="DO9" s="84">
        <f>SUM((DL9+DM9)+20)*1.09</f>
        <v>3384.00092</v>
      </c>
      <c r="DP9" s="85">
        <f t="shared" si="8"/>
        <v>68734</v>
      </c>
      <c r="DQ9" s="22">
        <v>9849</v>
      </c>
      <c r="DR9" s="22">
        <v>0.33600000000000002</v>
      </c>
      <c r="DS9" s="21">
        <f>SUM(DQ9-DQ4)*400</f>
        <v>38400</v>
      </c>
      <c r="DT9" s="21">
        <f>(DR9)*400</f>
        <v>134.4</v>
      </c>
      <c r="DU9" s="84">
        <f>SUM(DS9*0.0406)</f>
        <v>1559.04</v>
      </c>
      <c r="DV9" s="84">
        <f>SUM(DS9*0.02531)</f>
        <v>971.904</v>
      </c>
      <c r="DW9" s="84">
        <f>SUM(DT9*6.99)</f>
        <v>939.45600000000002</v>
      </c>
      <c r="DX9" s="84">
        <f>SUM((DU9+DV9)+20)*1.09</f>
        <v>2780.5289600000001</v>
      </c>
      <c r="DY9" s="85">
        <f t="shared" si="9"/>
        <v>10503</v>
      </c>
      <c r="DZ9" s="22">
        <v>10444</v>
      </c>
      <c r="EA9" s="22">
        <v>0.32900000000000001</v>
      </c>
      <c r="EB9" s="21">
        <f>SUM(DZ9-DZ4)*400</f>
        <v>39200</v>
      </c>
      <c r="EC9" s="21">
        <f>(EA9)*400</f>
        <v>131.6</v>
      </c>
      <c r="ED9" s="84">
        <f>SUM(EB9*0.0406)</f>
        <v>1591.52</v>
      </c>
      <c r="EE9" s="84">
        <f>SUM(EB9*0.02531)</f>
        <v>992.15199999999993</v>
      </c>
      <c r="EF9" s="84">
        <f>SUM(EC9*6.99)</f>
        <v>919.88400000000001</v>
      </c>
      <c r="EG9" s="84">
        <f>SUM((ED9+EE9)+20)*1.09</f>
        <v>2838.0024800000001</v>
      </c>
      <c r="EH9" s="85">
        <f t="shared" si="10"/>
        <v>16293</v>
      </c>
      <c r="EI9" s="22">
        <v>16219</v>
      </c>
      <c r="EJ9" s="22">
        <v>0.38300000000000001</v>
      </c>
      <c r="EK9" s="21">
        <f>SUM(EI9-EI4)*160</f>
        <v>22400</v>
      </c>
      <c r="EL9" s="21">
        <f>(EJ9)*160</f>
        <v>61.28</v>
      </c>
      <c r="EM9" s="84">
        <f>SUM(EK9*0.0406)</f>
        <v>909.43999999999994</v>
      </c>
      <c r="EN9" s="84">
        <f>SUM(EK9*0.02531)</f>
        <v>566.94399999999996</v>
      </c>
      <c r="EO9" s="84">
        <f>SUM(EL9*6.99)</f>
        <v>428.34720000000004</v>
      </c>
      <c r="EP9" s="84">
        <f>SUM((EM9+EN9)+20)*1.09</f>
        <v>1631.0585600000002</v>
      </c>
      <c r="EQ9" s="85">
        <f t="shared" si="11"/>
        <v>11109</v>
      </c>
      <c r="ER9" s="22">
        <v>11051</v>
      </c>
      <c r="ES9" s="22">
        <v>0.442</v>
      </c>
      <c r="ET9" s="21">
        <f>SUM(ER9-ER4)*160</f>
        <v>16000</v>
      </c>
      <c r="EU9" s="21">
        <f>(ES9)*160</f>
        <v>70.72</v>
      </c>
      <c r="EV9" s="84">
        <f>SUM(ET9*0.0406)</f>
        <v>649.59999999999991</v>
      </c>
      <c r="EW9" s="84">
        <f>SUM(ET9*0.02531)</f>
        <v>404.96</v>
      </c>
      <c r="EX9" s="84">
        <f>SUM(EU9*6.99)</f>
        <v>494.33280000000002</v>
      </c>
      <c r="EY9" s="84">
        <f>SUM((EV9+EW9)+20)*1.09</f>
        <v>1171.2704000000001</v>
      </c>
      <c r="EZ9" s="21">
        <f t="shared" si="12"/>
        <v>83295</v>
      </c>
      <c r="FA9" s="97">
        <v>82953</v>
      </c>
      <c r="FB9" s="97">
        <v>2.0129999999999999</v>
      </c>
      <c r="FC9" s="21">
        <f>SUM(FA9-FA4)*200</f>
        <v>181400</v>
      </c>
      <c r="FD9" s="21">
        <f>(FB9)*200</f>
        <v>402.59999999999997</v>
      </c>
      <c r="FE9" s="84">
        <f>SUM(FC9*0.0406)</f>
        <v>7364.8399999999992</v>
      </c>
      <c r="FF9" s="84">
        <f>SUM(FC9*0.02531)</f>
        <v>4591.2339999999995</v>
      </c>
      <c r="FG9" s="84">
        <f>SUM(FD9*6.99)</f>
        <v>2814.174</v>
      </c>
      <c r="FH9" s="84">
        <f>SUM((FE9+FF9)+20)*1.09</f>
        <v>13053.92066</v>
      </c>
      <c r="FI9" s="66"/>
      <c r="FJ9" s="101">
        <f>SUM(BL9+BQ9+BZ9+CI9+CR9+DA9+DJ9+DS9+EB9+EK9+ET9+FC9)</f>
        <v>996681</v>
      </c>
      <c r="FK9" s="102">
        <f>SUM(BM9+BV9,CE9,CN9,CW9,DF9,DO9,DX9,EG9,EP9,EY9+FH9)</f>
        <v>71835.927631400002</v>
      </c>
      <c r="FL9" s="102">
        <f>SUM(BU9,CD9,CM9,CV9,DE9,DN9,DW9,EF9,EO9,EX9,FG9)</f>
        <v>20768.688000000002</v>
      </c>
      <c r="FM9" s="102">
        <f>SUM(FK9:FL9)</f>
        <v>92604.615631399996</v>
      </c>
      <c r="FN9" s="16"/>
      <c r="FP9" s="85">
        <f t="shared" si="13"/>
        <v>7219</v>
      </c>
      <c r="FQ9" s="22">
        <v>7191</v>
      </c>
      <c r="FR9" s="22">
        <v>0.222</v>
      </c>
      <c r="FS9" s="21">
        <f>SUM(FQ9-FQ4)*100</f>
        <v>7200</v>
      </c>
      <c r="FT9" s="21">
        <f>SUM(FR9)*100</f>
        <v>22.2</v>
      </c>
      <c r="FU9" s="87">
        <f>SUM(FS9*0.0406)</f>
        <v>292.32</v>
      </c>
      <c r="FV9" s="87">
        <f>SUM(FS9*0.02531)</f>
        <v>182.232</v>
      </c>
      <c r="FW9" s="87">
        <f>SUM(FT9*6.99)</f>
        <v>155.178</v>
      </c>
      <c r="FX9" s="84">
        <f>SUM(FV9+FU9+20)*1.1048</f>
        <v>546.38104959999998</v>
      </c>
      <c r="FY9" s="85">
        <f t="shared" si="14"/>
        <v>57019</v>
      </c>
      <c r="FZ9" s="22">
        <v>56805</v>
      </c>
      <c r="GA9" s="22">
        <v>1.575</v>
      </c>
      <c r="GB9" s="21">
        <f>SUM(FZ9-FZ4)*100</f>
        <v>54900</v>
      </c>
      <c r="GC9" s="21">
        <f>SUM(GA9)*100</f>
        <v>157.5</v>
      </c>
      <c r="GD9" s="87">
        <f>SUM(GB9*0.0406)</f>
        <v>2228.94</v>
      </c>
      <c r="GE9" s="87">
        <f>SUM(GB9*0.02531)</f>
        <v>1389.519</v>
      </c>
      <c r="GF9" s="87">
        <f>SUM(GC9*6.99)</f>
        <v>1100.925</v>
      </c>
      <c r="GG9" s="84">
        <f>SUM(GE9+GD9+20)*1.1048</f>
        <v>4019.7695031999997</v>
      </c>
      <c r="GH9" s="85">
        <f t="shared" si="15"/>
        <v>90281</v>
      </c>
      <c r="GI9" s="22">
        <v>88571</v>
      </c>
      <c r="GJ9" s="21">
        <f>SUM(GI9-GI4)</f>
        <v>2992</v>
      </c>
      <c r="GK9" s="84">
        <f>SUM(GJ9*0.11895)</f>
        <v>355.89839999999998</v>
      </c>
      <c r="GL9" s="84">
        <f>SUM(GJ9*0.02531)</f>
        <v>75.727519999999998</v>
      </c>
      <c r="GM9" s="84">
        <f>SUM(GK9+GL9+2.32)*1.07</f>
        <v>464.32213439999998</v>
      </c>
      <c r="GN9" s="85">
        <f t="shared" si="16"/>
        <v>47077</v>
      </c>
      <c r="GO9" s="22">
        <v>46991</v>
      </c>
      <c r="GP9" s="22">
        <v>3.7040000000000002</v>
      </c>
      <c r="GQ9" s="21">
        <f>SUM(GO9-GO4)*40</f>
        <v>2640</v>
      </c>
      <c r="GR9" s="21">
        <f>SUM(GP9)*40</f>
        <v>148.16</v>
      </c>
      <c r="GS9" s="84">
        <f>SUM(GQ9*0.0406)</f>
        <v>107.184</v>
      </c>
      <c r="GT9" s="84">
        <f>SUM(GQ9*0.02531)</f>
        <v>66.818399999999997</v>
      </c>
      <c r="GU9" s="84">
        <f>SUM(GR9*6.99)</f>
        <v>1035.6384</v>
      </c>
      <c r="GV9" s="84">
        <f>SUM(GT9+GS9+20)*1.2</f>
        <v>232.80287999999999</v>
      </c>
      <c r="GW9" s="22">
        <f>SUM(FS9+GB9+GJ9+GQ9)</f>
        <v>67732</v>
      </c>
      <c r="GX9" s="102">
        <f>SUM(GV9+GM9+GG9+FX9)</f>
        <v>5263.2755671999994</v>
      </c>
      <c r="GY9" s="102">
        <f>SUM(FW9+GF9+GU9)</f>
        <v>2291.7413999999999</v>
      </c>
      <c r="GZ9" s="102">
        <f>SUM(GX9:GY9)</f>
        <v>7555.0169671999993</v>
      </c>
      <c r="HA9" s="20"/>
      <c r="HB9" s="101">
        <f t="shared" ref="HB9:HD9" si="37">(FJ9+GW9)</f>
        <v>1064413</v>
      </c>
      <c r="HC9" s="102">
        <f t="shared" si="37"/>
        <v>77099.203198600007</v>
      </c>
      <c r="HD9" s="102">
        <f t="shared" si="37"/>
        <v>23060.429400000001</v>
      </c>
      <c r="HE9" s="102">
        <f t="shared" ref="HE9" si="38">(HC9+HD9)</f>
        <v>100159.6325986</v>
      </c>
    </row>
    <row r="10" spans="2:213" x14ac:dyDescent="0.25">
      <c r="B10" s="82">
        <v>43870</v>
      </c>
      <c r="C10" s="22">
        <v>87959</v>
      </c>
      <c r="D10" s="22">
        <v>2.1629999999999998</v>
      </c>
      <c r="E10" s="46">
        <f t="shared" si="17"/>
        <v>47360</v>
      </c>
      <c r="F10" s="22">
        <v>83618</v>
      </c>
      <c r="G10" s="22">
        <v>2.5059999999999998</v>
      </c>
      <c r="H10" s="46">
        <f t="shared" si="18"/>
        <v>48960</v>
      </c>
      <c r="I10" s="22">
        <v>9949</v>
      </c>
      <c r="J10" s="22">
        <v>0.35199999999999998</v>
      </c>
      <c r="K10" s="46">
        <f t="shared" si="19"/>
        <v>14000</v>
      </c>
      <c r="L10" s="22">
        <v>9825</v>
      </c>
      <c r="M10" s="22">
        <v>0.33300000000000002</v>
      </c>
      <c r="N10" s="46">
        <f t="shared" si="20"/>
        <v>12800</v>
      </c>
      <c r="O10" s="22">
        <v>10535</v>
      </c>
      <c r="P10" s="22">
        <v>0.4</v>
      </c>
      <c r="Q10" s="46">
        <f t="shared" si="21"/>
        <v>12800</v>
      </c>
      <c r="R10" s="22">
        <v>68875</v>
      </c>
      <c r="S10" s="22">
        <v>2.4950000000000001</v>
      </c>
      <c r="T10" s="46">
        <f t="shared" si="22"/>
        <v>42300</v>
      </c>
      <c r="U10" s="22">
        <v>65431</v>
      </c>
      <c r="V10" s="22">
        <v>1.9279999999999999</v>
      </c>
      <c r="W10" s="46">
        <f t="shared" si="23"/>
        <v>47400</v>
      </c>
      <c r="X10" s="22">
        <v>16339</v>
      </c>
      <c r="Y10" s="22">
        <v>0.49099999999999999</v>
      </c>
      <c r="Z10" s="46">
        <f t="shared" si="24"/>
        <v>7360</v>
      </c>
      <c r="AA10" s="22">
        <v>11142</v>
      </c>
      <c r="AB10" s="22">
        <v>0.45100000000000001</v>
      </c>
      <c r="AC10" s="46">
        <f t="shared" si="25"/>
        <v>5280</v>
      </c>
      <c r="AD10" s="22">
        <v>83528</v>
      </c>
      <c r="AE10" s="22">
        <v>1.865</v>
      </c>
      <c r="AF10" s="46">
        <f t="shared" si="26"/>
        <v>46600</v>
      </c>
      <c r="AG10" s="22">
        <v>15809</v>
      </c>
      <c r="AH10" s="22">
        <v>0.34899999999999998</v>
      </c>
      <c r="AI10" s="46">
        <f t="shared" si="27"/>
        <v>1840</v>
      </c>
      <c r="AJ10" s="203">
        <v>52074</v>
      </c>
      <c r="AK10" s="46">
        <f t="shared" si="28"/>
        <v>454</v>
      </c>
      <c r="AL10" s="46"/>
      <c r="AN10" s="46">
        <f t="shared" si="29"/>
        <v>287154</v>
      </c>
      <c r="AO10" s="22">
        <f t="shared" si="30"/>
        <v>48440</v>
      </c>
      <c r="AP10" s="22">
        <f t="shared" si="31"/>
        <v>0.16868997123494711</v>
      </c>
      <c r="AQ10" s="22"/>
      <c r="AR10" s="16"/>
      <c r="AS10" s="89">
        <f t="shared" si="0"/>
        <v>43870</v>
      </c>
      <c r="AT10" s="22">
        <v>57151</v>
      </c>
      <c r="AU10" s="46">
        <f t="shared" si="32"/>
        <v>13200</v>
      </c>
      <c r="AV10" s="22">
        <v>7235</v>
      </c>
      <c r="AW10" s="46">
        <f t="shared" si="33"/>
        <v>1600</v>
      </c>
      <c r="AX10" s="68">
        <v>91280</v>
      </c>
      <c r="AY10" s="46">
        <f t="shared" si="34"/>
        <v>999</v>
      </c>
      <c r="AZ10" s="22">
        <v>47109</v>
      </c>
      <c r="BA10" s="46">
        <f t="shared" si="35"/>
        <v>1280</v>
      </c>
      <c r="BC10" s="83"/>
      <c r="BD10" s="27">
        <f t="shared" si="36"/>
        <v>17079</v>
      </c>
      <c r="BE10" s="22"/>
      <c r="BF10" s="22"/>
      <c r="BH10" s="16"/>
      <c r="BJ10" s="21">
        <f t="shared" si="1"/>
        <v>52074</v>
      </c>
      <c r="BN10" s="85">
        <f t="shared" si="2"/>
        <v>83618</v>
      </c>
      <c r="BW10" s="85">
        <f t="shared" si="3"/>
        <v>87959</v>
      </c>
      <c r="CF10" s="85">
        <f t="shared" si="4"/>
        <v>68875</v>
      </c>
      <c r="CO10" s="85">
        <f t="shared" si="5"/>
        <v>15809</v>
      </c>
      <c r="CX10" s="85">
        <f t="shared" si="6"/>
        <v>65431</v>
      </c>
      <c r="DG10" s="85">
        <f t="shared" si="7"/>
        <v>9825</v>
      </c>
      <c r="DP10" s="85">
        <f t="shared" si="8"/>
        <v>68875</v>
      </c>
      <c r="DY10" s="85">
        <f t="shared" si="9"/>
        <v>10535</v>
      </c>
      <c r="EH10" s="85">
        <f t="shared" si="10"/>
        <v>16339</v>
      </c>
      <c r="EQ10" s="85">
        <f t="shared" si="11"/>
        <v>11142</v>
      </c>
      <c r="EZ10" s="21">
        <f t="shared" si="12"/>
        <v>83528</v>
      </c>
      <c r="FI10" s="66"/>
      <c r="FN10" s="16"/>
      <c r="FP10" s="85">
        <f t="shared" si="13"/>
        <v>7235</v>
      </c>
      <c r="FY10" s="85">
        <f t="shared" si="14"/>
        <v>57151</v>
      </c>
      <c r="GH10" s="85">
        <f t="shared" si="15"/>
        <v>91280</v>
      </c>
      <c r="GN10" s="85">
        <f t="shared" si="16"/>
        <v>47109</v>
      </c>
      <c r="HA10" s="20"/>
    </row>
    <row r="11" spans="2:213" x14ac:dyDescent="0.25">
      <c r="B11" s="82">
        <v>43877</v>
      </c>
      <c r="C11" s="22">
        <v>88261</v>
      </c>
      <c r="D11" s="22">
        <v>2.222</v>
      </c>
      <c r="E11" s="46">
        <f t="shared" si="17"/>
        <v>48320</v>
      </c>
      <c r="F11" s="22">
        <v>83932</v>
      </c>
      <c r="G11" s="22">
        <v>2.5059999999999998</v>
      </c>
      <c r="H11" s="46">
        <f t="shared" si="18"/>
        <v>50240</v>
      </c>
      <c r="I11" s="22">
        <v>9979</v>
      </c>
      <c r="J11" s="22">
        <v>0.35199999999999998</v>
      </c>
      <c r="K11" s="46">
        <f t="shared" si="19"/>
        <v>12000</v>
      </c>
      <c r="L11" s="22">
        <v>9854</v>
      </c>
      <c r="M11" s="22">
        <v>0.33300000000000002</v>
      </c>
      <c r="N11" s="46">
        <f t="shared" si="20"/>
        <v>11600</v>
      </c>
      <c r="O11" s="22">
        <v>10565</v>
      </c>
      <c r="P11" s="22">
        <v>0.4</v>
      </c>
      <c r="Q11" s="46">
        <f t="shared" si="21"/>
        <v>12000</v>
      </c>
      <c r="R11" s="22">
        <v>69114</v>
      </c>
      <c r="S11" s="22">
        <v>2.508</v>
      </c>
      <c r="T11" s="46">
        <f t="shared" si="22"/>
        <v>71700</v>
      </c>
      <c r="U11" s="22">
        <v>65604</v>
      </c>
      <c r="V11" s="22">
        <v>1.9279999999999999</v>
      </c>
      <c r="W11" s="46">
        <f t="shared" si="23"/>
        <v>51900</v>
      </c>
      <c r="X11" s="22">
        <v>16381</v>
      </c>
      <c r="Y11" s="22">
        <v>0.49099999999999999</v>
      </c>
      <c r="Z11" s="46">
        <f t="shared" si="24"/>
        <v>6720</v>
      </c>
      <c r="AA11" s="22">
        <v>11172</v>
      </c>
      <c r="AB11" s="22">
        <v>0.45100000000000001</v>
      </c>
      <c r="AC11" s="46">
        <f t="shared" si="25"/>
        <v>4800</v>
      </c>
      <c r="AD11" s="22">
        <v>83773</v>
      </c>
      <c r="AE11" s="22">
        <v>2.0489999999999999</v>
      </c>
      <c r="AF11" s="46">
        <f t="shared" si="26"/>
        <v>49000</v>
      </c>
      <c r="AG11" s="22">
        <v>15853</v>
      </c>
      <c r="AH11" s="22">
        <v>0.34899999999999998</v>
      </c>
      <c r="AI11" s="46">
        <f t="shared" si="27"/>
        <v>1760</v>
      </c>
      <c r="AJ11" s="203">
        <v>52515</v>
      </c>
      <c r="AK11" s="46">
        <f t="shared" si="28"/>
        <v>441</v>
      </c>
      <c r="AL11" s="46"/>
      <c r="AN11" s="46">
        <f t="shared" si="29"/>
        <v>320481</v>
      </c>
      <c r="AO11" s="22">
        <f t="shared" si="30"/>
        <v>50760</v>
      </c>
      <c r="AP11" s="22">
        <f t="shared" si="31"/>
        <v>0.15838692465387963</v>
      </c>
      <c r="AQ11" s="22"/>
      <c r="AR11" s="16"/>
      <c r="AS11" s="89">
        <f t="shared" si="0"/>
        <v>43877</v>
      </c>
      <c r="AT11" s="22">
        <v>57294</v>
      </c>
      <c r="AU11" s="46">
        <f t="shared" si="32"/>
        <v>14300</v>
      </c>
      <c r="AV11" s="22">
        <v>7251</v>
      </c>
      <c r="AW11" s="46">
        <f t="shared" si="33"/>
        <v>1600</v>
      </c>
      <c r="AX11" s="103">
        <v>92228</v>
      </c>
      <c r="AY11" s="104">
        <f t="shared" si="34"/>
        <v>948</v>
      </c>
      <c r="AZ11" s="22">
        <v>47173</v>
      </c>
      <c r="BA11" s="46">
        <f t="shared" si="35"/>
        <v>2560</v>
      </c>
      <c r="BC11" s="83"/>
      <c r="BD11" s="27">
        <f t="shared" si="36"/>
        <v>19408</v>
      </c>
      <c r="BE11" s="22"/>
      <c r="BF11" s="22"/>
      <c r="BH11" s="16"/>
      <c r="BJ11" s="21">
        <f t="shared" si="1"/>
        <v>52515</v>
      </c>
      <c r="BN11" s="85">
        <f t="shared" si="2"/>
        <v>83932</v>
      </c>
      <c r="BW11" s="85">
        <f t="shared" si="3"/>
        <v>88261</v>
      </c>
      <c r="CF11" s="85">
        <f t="shared" si="4"/>
        <v>69114</v>
      </c>
      <c r="CO11" s="85">
        <f t="shared" si="5"/>
        <v>15853</v>
      </c>
      <c r="CX11" s="85">
        <f t="shared" si="6"/>
        <v>65604</v>
      </c>
      <c r="DG11" s="85">
        <f t="shared" si="7"/>
        <v>9854</v>
      </c>
      <c r="DP11" s="85">
        <f t="shared" si="8"/>
        <v>69114</v>
      </c>
      <c r="DY11" s="85">
        <f t="shared" si="9"/>
        <v>10565</v>
      </c>
      <c r="EH11" s="85">
        <f t="shared" si="10"/>
        <v>16381</v>
      </c>
      <c r="EQ11" s="85">
        <f t="shared" si="11"/>
        <v>11172</v>
      </c>
      <c r="EZ11" s="21">
        <f t="shared" si="12"/>
        <v>83773</v>
      </c>
      <c r="FI11" s="66"/>
      <c r="FN11" s="16"/>
      <c r="FP11" s="85">
        <f t="shared" si="13"/>
        <v>7251</v>
      </c>
      <c r="FY11" s="85">
        <f t="shared" si="14"/>
        <v>57294</v>
      </c>
      <c r="GH11" s="85">
        <f t="shared" si="15"/>
        <v>92228</v>
      </c>
      <c r="GN11" s="85">
        <f t="shared" si="16"/>
        <v>47173</v>
      </c>
      <c r="HA11" s="20"/>
    </row>
    <row r="12" spans="2:213" x14ac:dyDescent="0.25">
      <c r="B12" s="82">
        <v>43885</v>
      </c>
      <c r="C12" s="22">
        <v>88558</v>
      </c>
      <c r="D12" s="22">
        <v>2.133</v>
      </c>
      <c r="E12" s="46">
        <f t="shared" si="17"/>
        <v>47520</v>
      </c>
      <c r="F12" s="22">
        <v>84243</v>
      </c>
      <c r="G12" s="22">
        <v>2.3780000000000001</v>
      </c>
      <c r="H12" s="46">
        <f t="shared" si="18"/>
        <v>49760</v>
      </c>
      <c r="I12" s="22">
        <v>10014</v>
      </c>
      <c r="J12" s="22">
        <v>0.32400000000000001</v>
      </c>
      <c r="K12" s="46">
        <f t="shared" si="19"/>
        <v>14000</v>
      </c>
      <c r="L12" s="22">
        <v>9885</v>
      </c>
      <c r="M12" s="22">
        <v>0.254</v>
      </c>
      <c r="N12" s="46">
        <f t="shared" si="20"/>
        <v>12400</v>
      </c>
      <c r="O12" s="22">
        <v>10597</v>
      </c>
      <c r="P12" s="22">
        <v>0.29799999999999999</v>
      </c>
      <c r="Q12" s="46">
        <f t="shared" si="21"/>
        <v>12800</v>
      </c>
      <c r="R12" s="22">
        <v>69289</v>
      </c>
      <c r="S12" s="22">
        <v>0.874</v>
      </c>
      <c r="T12" s="46">
        <f t="shared" si="22"/>
        <v>52500</v>
      </c>
      <c r="U12" s="22">
        <v>65797</v>
      </c>
      <c r="V12" s="22">
        <v>1.345</v>
      </c>
      <c r="W12" s="46">
        <f t="shared" si="23"/>
        <v>57900</v>
      </c>
      <c r="X12" s="22">
        <v>16435</v>
      </c>
      <c r="Y12" s="22">
        <v>0.36699999999999999</v>
      </c>
      <c r="Z12" s="46">
        <f t="shared" si="24"/>
        <v>8640</v>
      </c>
      <c r="AA12" s="22">
        <v>11203</v>
      </c>
      <c r="AB12" s="22">
        <v>0.28899999999999998</v>
      </c>
      <c r="AC12" s="46">
        <f t="shared" si="25"/>
        <v>4960</v>
      </c>
      <c r="AD12" s="22">
        <v>84025</v>
      </c>
      <c r="AE12" s="22">
        <v>1.9770000000000001</v>
      </c>
      <c r="AF12" s="46">
        <f t="shared" si="26"/>
        <v>50400</v>
      </c>
      <c r="AG12" s="22">
        <v>15894</v>
      </c>
      <c r="AH12" s="22">
        <v>0.30399999999999999</v>
      </c>
      <c r="AI12" s="46">
        <f t="shared" si="27"/>
        <v>1640</v>
      </c>
      <c r="AJ12" s="203">
        <v>52959</v>
      </c>
      <c r="AK12" s="46">
        <f t="shared" si="28"/>
        <v>444</v>
      </c>
      <c r="AL12" s="46"/>
      <c r="AN12" s="46">
        <f t="shared" si="29"/>
        <v>312964</v>
      </c>
      <c r="AO12" s="22">
        <f t="shared" si="30"/>
        <v>52040</v>
      </c>
      <c r="AP12" s="22">
        <f t="shared" si="31"/>
        <v>0.16628110581408725</v>
      </c>
      <c r="AQ12" s="22"/>
      <c r="AR12" s="16"/>
      <c r="AS12" s="89">
        <f t="shared" si="0"/>
        <v>43885</v>
      </c>
      <c r="AT12" s="22">
        <v>57441</v>
      </c>
      <c r="AU12" s="46">
        <f t="shared" si="32"/>
        <v>14700</v>
      </c>
      <c r="AV12" s="22">
        <v>7267</v>
      </c>
      <c r="AW12" s="46">
        <f t="shared" si="33"/>
        <v>1600</v>
      </c>
      <c r="AX12" s="103">
        <v>93255</v>
      </c>
      <c r="AY12" s="104">
        <f t="shared" si="34"/>
        <v>1027</v>
      </c>
      <c r="AZ12" s="22">
        <v>47258</v>
      </c>
      <c r="BA12" s="46">
        <f t="shared" si="35"/>
        <v>3400</v>
      </c>
      <c r="BC12" s="83"/>
      <c r="BD12" s="27">
        <f t="shared" si="36"/>
        <v>20727</v>
      </c>
      <c r="BE12" s="22"/>
      <c r="BF12" s="22"/>
      <c r="BH12" s="16"/>
      <c r="BJ12" s="21">
        <f t="shared" si="1"/>
        <v>52959</v>
      </c>
      <c r="BN12" s="85">
        <f t="shared" si="2"/>
        <v>84243</v>
      </c>
      <c r="BW12" s="85">
        <f t="shared" si="3"/>
        <v>88558</v>
      </c>
      <c r="CF12" s="85">
        <f t="shared" si="4"/>
        <v>69289</v>
      </c>
      <c r="CO12" s="85">
        <f t="shared" si="5"/>
        <v>15894</v>
      </c>
      <c r="CX12" s="85">
        <f t="shared" si="6"/>
        <v>65797</v>
      </c>
      <c r="DG12" s="85">
        <f t="shared" si="7"/>
        <v>9885</v>
      </c>
      <c r="DP12" s="85">
        <f t="shared" si="8"/>
        <v>69289</v>
      </c>
      <c r="DY12" s="85">
        <f t="shared" si="9"/>
        <v>10597</v>
      </c>
      <c r="EH12" s="85">
        <f t="shared" si="10"/>
        <v>16435</v>
      </c>
      <c r="EQ12" s="85">
        <f t="shared" si="11"/>
        <v>11203</v>
      </c>
      <c r="EZ12" s="21">
        <f t="shared" si="12"/>
        <v>84025</v>
      </c>
      <c r="FI12" s="66"/>
      <c r="FN12" s="16"/>
      <c r="FP12" s="85">
        <f t="shared" si="13"/>
        <v>7267</v>
      </c>
      <c r="FY12" s="85">
        <f t="shared" si="14"/>
        <v>57441</v>
      </c>
      <c r="GH12" s="85">
        <f t="shared" si="15"/>
        <v>93255</v>
      </c>
      <c r="GN12" s="85">
        <f t="shared" si="16"/>
        <v>47258</v>
      </c>
      <c r="HA12" s="20"/>
    </row>
    <row r="13" spans="2:213" x14ac:dyDescent="0.25">
      <c r="B13" s="82">
        <v>43891</v>
      </c>
      <c r="C13" s="22">
        <v>88827</v>
      </c>
      <c r="D13" s="22">
        <v>2.33</v>
      </c>
      <c r="E13" s="46">
        <f t="shared" si="17"/>
        <v>43040</v>
      </c>
      <c r="F13" s="22">
        <v>84520</v>
      </c>
      <c r="G13" s="22">
        <v>2.4260000000000002</v>
      </c>
      <c r="H13" s="46">
        <f t="shared" si="18"/>
        <v>44320</v>
      </c>
      <c r="I13" s="22">
        <v>10045</v>
      </c>
      <c r="J13" s="22">
        <v>0.32400000000000001</v>
      </c>
      <c r="K13" s="46">
        <f t="shared" si="19"/>
        <v>12400</v>
      </c>
      <c r="L13" s="22">
        <v>9912</v>
      </c>
      <c r="M13" s="22">
        <v>0.254</v>
      </c>
      <c r="N13" s="46">
        <f t="shared" si="20"/>
        <v>10800</v>
      </c>
      <c r="O13" s="22">
        <v>10626</v>
      </c>
      <c r="P13" s="22">
        <v>0.29799999999999999</v>
      </c>
      <c r="Q13" s="46">
        <f t="shared" si="21"/>
        <v>11600</v>
      </c>
      <c r="R13" s="22">
        <v>69429</v>
      </c>
      <c r="S13" s="22">
        <v>1.7829999999999999</v>
      </c>
      <c r="T13" s="46">
        <f t="shared" si="22"/>
        <v>42000</v>
      </c>
      <c r="U13" s="22">
        <v>65909</v>
      </c>
      <c r="V13" s="22">
        <v>1.8320000000000001</v>
      </c>
      <c r="W13" s="46">
        <f t="shared" si="23"/>
        <v>33600</v>
      </c>
      <c r="X13" s="22">
        <v>16477</v>
      </c>
      <c r="Y13" s="22">
        <v>0.51100000000000001</v>
      </c>
      <c r="Z13" s="46">
        <f t="shared" si="24"/>
        <v>6720</v>
      </c>
      <c r="AA13" s="22">
        <v>11228</v>
      </c>
      <c r="AB13" s="22">
        <v>0.34699999999999998</v>
      </c>
      <c r="AC13" s="46">
        <f t="shared" si="25"/>
        <v>4000</v>
      </c>
      <c r="AD13" s="22">
        <v>84251</v>
      </c>
      <c r="AE13" s="22">
        <v>2</v>
      </c>
      <c r="AF13" s="46">
        <f t="shared" si="26"/>
        <v>45200</v>
      </c>
      <c r="AG13" s="22">
        <v>15930</v>
      </c>
      <c r="AH13" s="22">
        <v>0.311</v>
      </c>
      <c r="AI13" s="46">
        <f t="shared" si="27"/>
        <v>1440</v>
      </c>
      <c r="AJ13" s="203">
        <v>53341</v>
      </c>
      <c r="AK13" s="46">
        <f t="shared" si="28"/>
        <v>382</v>
      </c>
      <c r="AL13" s="46"/>
      <c r="AN13" s="46">
        <f t="shared" si="29"/>
        <v>255502</v>
      </c>
      <c r="AO13" s="22">
        <f t="shared" si="30"/>
        <v>46640</v>
      </c>
      <c r="AP13" s="22">
        <f t="shared" si="31"/>
        <v>0.1825426024062434</v>
      </c>
      <c r="AQ13" s="22">
        <f>SUM(AN10:AN13)</f>
        <v>1176101</v>
      </c>
      <c r="AR13" s="16"/>
      <c r="AS13" s="89">
        <f t="shared" si="0"/>
        <v>43891</v>
      </c>
      <c r="AT13" s="22">
        <v>57568</v>
      </c>
      <c r="AU13" s="46">
        <f t="shared" si="32"/>
        <v>12700</v>
      </c>
      <c r="AV13" s="22">
        <v>7283</v>
      </c>
      <c r="AW13" s="46">
        <f t="shared" si="33"/>
        <v>1600</v>
      </c>
      <c r="AX13" s="103">
        <v>94139</v>
      </c>
      <c r="AY13" s="104">
        <f t="shared" si="34"/>
        <v>884</v>
      </c>
      <c r="AZ13" s="22">
        <v>47374</v>
      </c>
      <c r="BA13" s="46">
        <f t="shared" si="35"/>
        <v>4640</v>
      </c>
      <c r="BC13" s="83"/>
      <c r="BD13" s="27">
        <f t="shared" si="36"/>
        <v>19824</v>
      </c>
      <c r="BE13" s="22">
        <f>SUM(BD10:BD13)</f>
        <v>77038</v>
      </c>
      <c r="BF13" s="22">
        <f>SUM(AQ13+BE13)</f>
        <v>1253139</v>
      </c>
      <c r="BH13" s="16"/>
      <c r="BJ13" s="21">
        <f t="shared" si="1"/>
        <v>53341</v>
      </c>
      <c r="BK13" s="22">
        <v>53030</v>
      </c>
      <c r="BL13" s="21">
        <f>SUM(BK13-BK9)</f>
        <v>2304</v>
      </c>
      <c r="BM13" s="84">
        <f>SUM(BL13*0.11895+BL13*0.02531)*1.09+2.85</f>
        <v>365.13879359999999</v>
      </c>
      <c r="BN13" s="85">
        <f t="shared" si="2"/>
        <v>84520</v>
      </c>
      <c r="BO13" s="22">
        <v>84291</v>
      </c>
      <c r="BP13" s="22">
        <v>2.5059999999999998</v>
      </c>
      <c r="BQ13" s="21">
        <f>SUM(BO13-BO9)*160</f>
        <v>244000</v>
      </c>
      <c r="BR13" s="21">
        <f>(BP13)*160</f>
        <v>400.96</v>
      </c>
      <c r="BS13" s="84">
        <f>SUM(BQ13*0.0406)</f>
        <v>9906.4</v>
      </c>
      <c r="BT13" s="84">
        <f>SUM(BQ13*0.02531)</f>
        <v>6175.6399999999994</v>
      </c>
      <c r="BU13" s="84">
        <f>SUM(BR13*6.99)</f>
        <v>2802.7103999999999</v>
      </c>
      <c r="BV13" s="84">
        <f>SUM(BS13+BT13)*1.09</f>
        <v>17529.423600000002</v>
      </c>
      <c r="BW13" s="85">
        <f t="shared" si="3"/>
        <v>88827</v>
      </c>
      <c r="BX13" s="22">
        <v>88605</v>
      </c>
      <c r="BY13" s="22">
        <v>2.222</v>
      </c>
      <c r="BZ13" s="21">
        <f>SUM(BX13-BX9)*160</f>
        <v>233280</v>
      </c>
      <c r="CA13" s="21">
        <f>(BY13)*160</f>
        <v>355.52</v>
      </c>
      <c r="CB13" s="84">
        <f>SUM(BZ13*0.0406)</f>
        <v>9471.1679999999997</v>
      </c>
      <c r="CC13" s="84">
        <f>SUM(BZ13*0.02531)</f>
        <v>5904.3167999999996</v>
      </c>
      <c r="CD13" s="84">
        <f>SUM(CA13*6.99)</f>
        <v>2485.0848000000001</v>
      </c>
      <c r="CE13" s="84">
        <f>SUM((CB13+CC13)+20)* 1.08</f>
        <v>16627.123584000001</v>
      </c>
      <c r="CF13" s="85">
        <f t="shared" si="4"/>
        <v>69429</v>
      </c>
      <c r="CG13" s="22">
        <v>69310</v>
      </c>
      <c r="CH13" s="22">
        <v>2.6080000000000001</v>
      </c>
      <c r="CI13" s="21">
        <f>SUM(CG13-CG9)*300</f>
        <v>235200</v>
      </c>
      <c r="CJ13" s="21">
        <f>(CH13)*300</f>
        <v>782.4</v>
      </c>
      <c r="CK13" s="84">
        <f>SUM(CI13*0.0406)</f>
        <v>9549.119999999999</v>
      </c>
      <c r="CL13" s="84">
        <f>SUM(CI13*0.02531)</f>
        <v>5952.9119999999994</v>
      </c>
      <c r="CM13" s="84">
        <f>SUM(CJ13*6.99)</f>
        <v>5468.9759999999997</v>
      </c>
      <c r="CN13" s="84">
        <f>SUM((CK13+CL13)+20)*1.09</f>
        <v>16919.014879999999</v>
      </c>
      <c r="CO13" s="85">
        <f t="shared" si="5"/>
        <v>15930</v>
      </c>
      <c r="CP13" s="22">
        <v>15901</v>
      </c>
      <c r="CQ13" s="22">
        <v>0.34899999999999998</v>
      </c>
      <c r="CR13" s="21">
        <f>(CP13-CP9)*40</f>
        <v>8120</v>
      </c>
      <c r="CS13" s="21">
        <f>(CQ13)*40</f>
        <v>13.959999999999999</v>
      </c>
      <c r="CT13" s="84">
        <f>SUM(CR13*0.0406)</f>
        <v>329.67199999999997</v>
      </c>
      <c r="CU13" s="84">
        <f>SUM(CR13*0.02531)</f>
        <v>205.5172</v>
      </c>
      <c r="CV13" s="84">
        <f>SUM(CS13*6.99)</f>
        <v>97.580399999999997</v>
      </c>
      <c r="CW13" s="84">
        <f>SUM((CT13+CU13)+20)*1.09</f>
        <v>605.15622800000006</v>
      </c>
      <c r="CX13" s="85">
        <f t="shared" si="6"/>
        <v>65909</v>
      </c>
      <c r="CY13" s="22">
        <v>65820</v>
      </c>
      <c r="CZ13" s="22">
        <v>1.9850000000000001</v>
      </c>
      <c r="DA13" s="21">
        <f>SUM(CY13-CY9)*300</f>
        <v>227700</v>
      </c>
      <c r="DB13" s="86">
        <f>(CZ13)*300</f>
        <v>595.5</v>
      </c>
      <c r="DC13" s="84">
        <f>SUM(DA13*0.0406)</f>
        <v>9244.619999999999</v>
      </c>
      <c r="DD13" s="84">
        <f>SUM(DA13*0.02531)</f>
        <v>5763.0869999999995</v>
      </c>
      <c r="DE13" s="84">
        <f>SUM(DB13*6.99)</f>
        <v>4162.5450000000001</v>
      </c>
      <c r="DF13" s="84">
        <f>SUM((DC13+DD13)+20)*1.085</f>
        <v>16305.062094999997</v>
      </c>
      <c r="DG13" s="85">
        <f t="shared" si="7"/>
        <v>9912</v>
      </c>
      <c r="DH13" s="22">
        <v>9890</v>
      </c>
      <c r="DI13" s="22">
        <v>0.33300000000000002</v>
      </c>
      <c r="DJ13" s="21">
        <f>SUM(DH13-DH9)*400</f>
        <v>60800</v>
      </c>
      <c r="DK13" s="86">
        <f>(DI13)*400</f>
        <v>133.20000000000002</v>
      </c>
      <c r="DL13" s="84">
        <f>SUM(DJ13*0.0406)</f>
        <v>2468.48</v>
      </c>
      <c r="DM13" s="84">
        <f>SUM(DJ13*0.02531)</f>
        <v>1538.848</v>
      </c>
      <c r="DN13" s="84">
        <f>SUM(DK13*6.99)</f>
        <v>931.0680000000001</v>
      </c>
      <c r="DO13" s="84">
        <f>SUM((DL13+DM13)+20)*1.09</f>
        <v>4389.7875199999999</v>
      </c>
      <c r="DP13" s="85">
        <f t="shared" si="8"/>
        <v>69429</v>
      </c>
      <c r="DQ13" s="22">
        <v>10018</v>
      </c>
      <c r="DR13" s="22">
        <v>0.35199999999999998</v>
      </c>
      <c r="DS13" s="21">
        <f>SUM(DQ13-DQ9)*400</f>
        <v>67600</v>
      </c>
      <c r="DT13" s="21">
        <f>(DR13)*400</f>
        <v>140.79999999999998</v>
      </c>
      <c r="DU13" s="84">
        <f>SUM(DS13*0.0406)</f>
        <v>2744.56</v>
      </c>
      <c r="DV13" s="84">
        <f>SUM(DS13*0.02531)</f>
        <v>1710.9559999999999</v>
      </c>
      <c r="DW13" s="84">
        <f>SUM(DT13*6.99)</f>
        <v>984.19199999999989</v>
      </c>
      <c r="DX13" s="84">
        <f>SUM((DU13+DV13)+20)*1.09</f>
        <v>4878.3124399999997</v>
      </c>
      <c r="DY13" s="85">
        <f t="shared" si="9"/>
        <v>10626</v>
      </c>
      <c r="DZ13" s="22">
        <v>10602</v>
      </c>
      <c r="EA13" s="22">
        <v>0.4</v>
      </c>
      <c r="EB13" s="21">
        <f>SUM(DZ13-DZ9)*400</f>
        <v>63200</v>
      </c>
      <c r="EC13" s="21">
        <f>(EA13)*400</f>
        <v>160</v>
      </c>
      <c r="ED13" s="84">
        <f>SUM(EB13*0.0406)</f>
        <v>2565.9199999999996</v>
      </c>
      <c r="EE13" s="84">
        <f>SUM(EB13*0.02531)</f>
        <v>1599.5919999999999</v>
      </c>
      <c r="EF13" s="84">
        <f>SUM(EC13*6.99)</f>
        <v>1118.4000000000001</v>
      </c>
      <c r="EG13" s="84">
        <f>SUM((ED13+EE13)+20)*1.09</f>
        <v>4562.2080800000003</v>
      </c>
      <c r="EH13" s="85">
        <f t="shared" si="10"/>
        <v>16477</v>
      </c>
      <c r="EI13" s="22">
        <v>16441</v>
      </c>
      <c r="EJ13" s="22">
        <v>0.56699999999999995</v>
      </c>
      <c r="EK13" s="21">
        <f>SUM(EI13-EI9)*160</f>
        <v>35520</v>
      </c>
      <c r="EL13" s="21">
        <f>(EJ13)*160</f>
        <v>90.72</v>
      </c>
      <c r="EM13" s="84">
        <f>SUM(EK13*0.0406)</f>
        <v>1442.1119999999999</v>
      </c>
      <c r="EN13" s="84">
        <f>SUM(EK13*0.02531)</f>
        <v>899.01119999999992</v>
      </c>
      <c r="EO13" s="84">
        <f>SUM(EL13*6.99)</f>
        <v>634.13279999999997</v>
      </c>
      <c r="EP13" s="84">
        <f>SUM((EM13+EN13)+20)*1.09</f>
        <v>2573.624288</v>
      </c>
      <c r="EQ13" s="85">
        <f t="shared" si="11"/>
        <v>11228</v>
      </c>
      <c r="ER13" s="22">
        <v>11207</v>
      </c>
      <c r="ES13" s="22">
        <v>0.45100000000000001</v>
      </c>
      <c r="ET13" s="21">
        <f>SUM(ER13-ER9)*160</f>
        <v>24960</v>
      </c>
      <c r="EU13" s="21">
        <f>(ES13)*160</f>
        <v>72.16</v>
      </c>
      <c r="EV13" s="84">
        <f>SUM(ET13*0.0406)</f>
        <v>1013.376</v>
      </c>
      <c r="EW13" s="84">
        <f>SUM(ET13*0.02531)</f>
        <v>631.73759999999993</v>
      </c>
      <c r="EX13" s="84">
        <f>SUM(EU13*6.99)</f>
        <v>504.39839999999998</v>
      </c>
      <c r="EY13" s="84">
        <f>SUM((EV13+EW13)+20)*1.09</f>
        <v>1814.9738239999999</v>
      </c>
      <c r="EZ13" s="21">
        <f t="shared" si="12"/>
        <v>84251</v>
      </c>
      <c r="FA13" s="97">
        <v>84064</v>
      </c>
      <c r="FB13" s="97">
        <v>2.1179999999999999</v>
      </c>
      <c r="FC13" s="21">
        <f>SUM(FA13-FA9)*200</f>
        <v>222200</v>
      </c>
      <c r="FD13" s="21">
        <f>(FB13)*200</f>
        <v>423.59999999999997</v>
      </c>
      <c r="FE13" s="84">
        <f>SUM(FC13*0.0406)</f>
        <v>9021.32</v>
      </c>
      <c r="FF13" s="84">
        <f>SUM(FC13*0.02531)</f>
        <v>5623.8819999999996</v>
      </c>
      <c r="FG13" s="84">
        <f>SUM(FD13*6.99)</f>
        <v>2960.9639999999999</v>
      </c>
      <c r="FH13" s="84">
        <f>SUM((FE13+FF13)+20)*1.09</f>
        <v>15985.070180000001</v>
      </c>
      <c r="FI13" s="66"/>
      <c r="FJ13" s="101">
        <f>SUM(BL13+BQ13+BZ13+CI13+CR13+DA13+DJ13+DS13+EB13+EK13+ET13+FC13)</f>
        <v>1424884</v>
      </c>
      <c r="FK13" s="102">
        <f>SUM(BM13+BV13,CE13,CN13,CW13,DF13,DO13,DX13,EG13,EP13,EY13+FH13)</f>
        <v>102554.89551259999</v>
      </c>
      <c r="FL13" s="102">
        <f>SUM(BU13,CD13,CM13,CV13,DE13,DN13,DW13,EF13,EO13,EX13,FG13)</f>
        <v>22150.051799999997</v>
      </c>
      <c r="FM13" s="102">
        <f>SUM(FK13:FL13)</f>
        <v>124704.94731259999</v>
      </c>
      <c r="FN13" s="16"/>
      <c r="FP13" s="85">
        <f t="shared" si="13"/>
        <v>7283</v>
      </c>
      <c r="FQ13" s="22">
        <v>7269</v>
      </c>
      <c r="FR13" s="22">
        <v>0.23400000000000001</v>
      </c>
      <c r="FS13" s="21">
        <f>SUM(FQ13-FQ9)*100</f>
        <v>7800</v>
      </c>
      <c r="FT13" s="21">
        <f>SUM(FR13)*100</f>
        <v>23.400000000000002</v>
      </c>
      <c r="FU13" s="87">
        <f>SUM(FS13*0.0406)</f>
        <v>316.67999999999995</v>
      </c>
      <c r="FV13" s="87">
        <f>SUM(FS13*0.02531)</f>
        <v>197.41800000000001</v>
      </c>
      <c r="FW13" s="87">
        <f>SUM(FT13*6.99)</f>
        <v>163.56600000000003</v>
      </c>
      <c r="FX13" s="84">
        <f>SUM(FV13+FU13+20)*1.1048</f>
        <v>590.07147039999995</v>
      </c>
      <c r="FY13" s="85">
        <f t="shared" si="14"/>
        <v>57568</v>
      </c>
      <c r="FZ13" s="22">
        <v>57455</v>
      </c>
      <c r="GA13" s="22">
        <v>1.6140000000000001</v>
      </c>
      <c r="GB13" s="21">
        <f>SUM(FZ13-FZ9)*100</f>
        <v>65000</v>
      </c>
      <c r="GC13" s="21">
        <f>SUM(GA13)*100</f>
        <v>161.4</v>
      </c>
      <c r="GD13" s="87">
        <f>SUM(GB13*0.0406)</f>
        <v>2639</v>
      </c>
      <c r="GE13" s="87">
        <f>SUM(GB13*0.02531)</f>
        <v>1645.1499999999999</v>
      </c>
      <c r="GF13" s="87">
        <f>SUM(GC13*6.99)</f>
        <v>1128.1860000000001</v>
      </c>
      <c r="GG13" s="84">
        <f>SUM(GE13+GD13+20)*1.1048</f>
        <v>4755.2249199999997</v>
      </c>
      <c r="GH13" s="85">
        <f t="shared" si="15"/>
        <v>94139</v>
      </c>
      <c r="GI13" s="22">
        <v>93346</v>
      </c>
      <c r="GJ13" s="21">
        <f>SUM(GI13-GI9)</f>
        <v>4775</v>
      </c>
      <c r="GK13" s="84">
        <f>SUM(GJ13*0.11895)</f>
        <v>567.98625000000004</v>
      </c>
      <c r="GL13" s="84">
        <f>SUM(GJ13*0.02531)</f>
        <v>120.85525</v>
      </c>
      <c r="GM13" s="84">
        <f>SUM(GK13+GL13+2.32)*1.07</f>
        <v>739.54280500000004</v>
      </c>
      <c r="GN13" s="85">
        <f t="shared" si="16"/>
        <v>47374</v>
      </c>
      <c r="GO13" s="22">
        <v>47282</v>
      </c>
      <c r="GP13" s="22">
        <v>3.976</v>
      </c>
      <c r="GQ13" s="21">
        <f>SUM(GO13-GO9)*40</f>
        <v>11640</v>
      </c>
      <c r="GR13" s="21">
        <f>SUM(GP13)*40</f>
        <v>159.04</v>
      </c>
      <c r="GS13" s="84">
        <f>SUM(GQ13*0.0406)</f>
        <v>472.58399999999995</v>
      </c>
      <c r="GT13" s="84">
        <f>SUM(GQ13*0.02531)</f>
        <v>294.60840000000002</v>
      </c>
      <c r="GU13" s="84">
        <f>SUM(GR13*6.99)</f>
        <v>1111.6895999999999</v>
      </c>
      <c r="GV13" s="84">
        <f>SUM(GT13+GS13+20)*1.2</f>
        <v>944.63087999999982</v>
      </c>
      <c r="GW13" s="22">
        <f>SUM(FS13+GB13+GJ13+GQ13)</f>
        <v>89215</v>
      </c>
      <c r="GX13" s="102">
        <f>SUM(GV13+GM13+GG13+FX13)</f>
        <v>7029.4700753999996</v>
      </c>
      <c r="GY13" s="102">
        <f>SUM(FW13+GF13+GU13)</f>
        <v>2403.4416000000001</v>
      </c>
      <c r="GZ13" s="102">
        <f>SUM(GX13:GY13)</f>
        <v>9432.9116753999988</v>
      </c>
      <c r="HA13" s="20"/>
      <c r="HB13" s="101">
        <f t="shared" ref="HB13:HD13" si="39">(FJ13+GW13)</f>
        <v>1514099</v>
      </c>
      <c r="HC13" s="102">
        <f t="shared" si="39"/>
        <v>109584.36558799999</v>
      </c>
      <c r="HD13" s="102">
        <f t="shared" si="39"/>
        <v>24553.493399999999</v>
      </c>
      <c r="HE13" s="102">
        <f t="shared" ref="HE13" si="40">(HC13+HD13)</f>
        <v>134137.85898799999</v>
      </c>
    </row>
    <row r="14" spans="2:213" x14ac:dyDescent="0.25">
      <c r="B14" s="82">
        <v>43898</v>
      </c>
      <c r="C14" s="22">
        <v>89161</v>
      </c>
      <c r="D14" s="22">
        <v>2.2330000000000001</v>
      </c>
      <c r="E14" s="46">
        <f t="shared" si="17"/>
        <v>53440</v>
      </c>
      <c r="F14" s="22">
        <v>84863</v>
      </c>
      <c r="G14" s="22">
        <v>2.4260000000000002</v>
      </c>
      <c r="H14" s="46">
        <f t="shared" si="18"/>
        <v>54880</v>
      </c>
      <c r="I14" s="22">
        <v>10079</v>
      </c>
      <c r="J14" s="22">
        <v>0.32400000000000001</v>
      </c>
      <c r="K14" s="46">
        <f t="shared" si="19"/>
        <v>13600</v>
      </c>
      <c r="L14" s="22">
        <v>9945</v>
      </c>
      <c r="M14" s="22">
        <v>0.254</v>
      </c>
      <c r="N14" s="46">
        <f t="shared" si="20"/>
        <v>13200</v>
      </c>
      <c r="O14" s="22">
        <v>10660</v>
      </c>
      <c r="P14" s="22">
        <v>0.29799999999999999</v>
      </c>
      <c r="Q14" s="46">
        <f t="shared" si="21"/>
        <v>13600</v>
      </c>
      <c r="R14" s="22">
        <v>69629</v>
      </c>
      <c r="S14" s="22">
        <v>2.2519999999999998</v>
      </c>
      <c r="T14" s="46">
        <f t="shared" si="22"/>
        <v>60000</v>
      </c>
      <c r="U14" s="22">
        <v>66075</v>
      </c>
      <c r="V14" s="22">
        <v>2.0070000000000001</v>
      </c>
      <c r="W14" s="46">
        <f t="shared" si="23"/>
        <v>49800</v>
      </c>
      <c r="X14" s="22">
        <v>16538</v>
      </c>
      <c r="Y14" s="22">
        <v>0.63700000000000001</v>
      </c>
      <c r="Z14" s="46">
        <f t="shared" si="24"/>
        <v>9760</v>
      </c>
      <c r="AA14" s="22">
        <v>11259</v>
      </c>
      <c r="AB14" s="22">
        <v>0.34699999999999998</v>
      </c>
      <c r="AC14" s="46">
        <f t="shared" si="25"/>
        <v>4960</v>
      </c>
      <c r="AD14" s="22">
        <v>84527</v>
      </c>
      <c r="AE14" s="22">
        <v>2.0649999999999999</v>
      </c>
      <c r="AF14" s="46">
        <f t="shared" si="26"/>
        <v>55200</v>
      </c>
      <c r="AG14" s="22">
        <v>15975</v>
      </c>
      <c r="AH14" s="22">
        <v>0.32800000000000001</v>
      </c>
      <c r="AI14" s="46">
        <f t="shared" si="27"/>
        <v>1800</v>
      </c>
      <c r="AJ14" s="203">
        <v>53811</v>
      </c>
      <c r="AK14" s="46">
        <f t="shared" si="28"/>
        <v>470</v>
      </c>
      <c r="AL14" s="46"/>
      <c r="AN14" s="46">
        <f t="shared" si="29"/>
        <v>330710</v>
      </c>
      <c r="AO14" s="22">
        <f t="shared" si="30"/>
        <v>57000</v>
      </c>
      <c r="AP14" s="22">
        <f t="shared" si="31"/>
        <v>0.17235644522391219</v>
      </c>
      <c r="AQ14" s="22"/>
      <c r="AR14" s="16"/>
      <c r="AS14" s="89">
        <f t="shared" si="0"/>
        <v>43898</v>
      </c>
      <c r="AT14" s="22">
        <v>57706</v>
      </c>
      <c r="AU14" s="46">
        <f t="shared" si="32"/>
        <v>13800</v>
      </c>
      <c r="AV14" s="22">
        <v>7300</v>
      </c>
      <c r="AW14" s="46">
        <f t="shared" si="33"/>
        <v>1700</v>
      </c>
      <c r="AX14" s="103">
        <v>95088</v>
      </c>
      <c r="AY14" s="104">
        <f t="shared" si="34"/>
        <v>949</v>
      </c>
      <c r="AZ14" s="22">
        <v>47454</v>
      </c>
      <c r="BA14" s="46">
        <f t="shared" si="35"/>
        <v>3200</v>
      </c>
      <c r="BC14" s="83"/>
      <c r="BD14" s="27">
        <f t="shared" si="36"/>
        <v>19649</v>
      </c>
      <c r="BE14" s="22"/>
      <c r="BF14" s="22"/>
      <c r="BH14" s="16"/>
      <c r="BJ14" s="21">
        <f t="shared" si="1"/>
        <v>53811</v>
      </c>
      <c r="BN14" s="85">
        <f t="shared" si="2"/>
        <v>84863</v>
      </c>
      <c r="BW14" s="85">
        <f t="shared" si="3"/>
        <v>89161</v>
      </c>
      <c r="CF14" s="85">
        <f t="shared" si="4"/>
        <v>69629</v>
      </c>
      <c r="CO14" s="85">
        <f t="shared" si="5"/>
        <v>15975</v>
      </c>
      <c r="CX14" s="85">
        <f t="shared" si="6"/>
        <v>66075</v>
      </c>
      <c r="DG14" s="85">
        <f t="shared" si="7"/>
        <v>9945</v>
      </c>
      <c r="DP14" s="85">
        <f t="shared" si="8"/>
        <v>69629</v>
      </c>
      <c r="DY14" s="85">
        <f t="shared" si="9"/>
        <v>10660</v>
      </c>
      <c r="EH14" s="85">
        <f t="shared" si="10"/>
        <v>16538</v>
      </c>
      <c r="EQ14" s="85">
        <f t="shared" si="11"/>
        <v>11259</v>
      </c>
      <c r="EZ14" s="21">
        <f t="shared" si="12"/>
        <v>84527</v>
      </c>
      <c r="FI14" s="66"/>
      <c r="FN14" s="16"/>
      <c r="FP14" s="85">
        <f t="shared" si="13"/>
        <v>7300</v>
      </c>
      <c r="FY14" s="85">
        <f t="shared" si="14"/>
        <v>57706</v>
      </c>
      <c r="GH14" s="85">
        <f t="shared" si="15"/>
        <v>95088</v>
      </c>
      <c r="GN14" s="85">
        <f t="shared" si="16"/>
        <v>47454</v>
      </c>
      <c r="HA14" s="20"/>
    </row>
    <row r="15" spans="2:213" x14ac:dyDescent="0.25">
      <c r="B15" s="82">
        <v>43905</v>
      </c>
      <c r="C15" s="22">
        <v>89452</v>
      </c>
      <c r="D15" s="22">
        <v>2.2330000000000001</v>
      </c>
      <c r="E15" s="46">
        <f t="shared" si="17"/>
        <v>46560</v>
      </c>
      <c r="F15" s="22">
        <v>85157</v>
      </c>
      <c r="G15" s="22">
        <v>2.4260000000000002</v>
      </c>
      <c r="H15" s="46">
        <f t="shared" si="18"/>
        <v>47040</v>
      </c>
      <c r="I15" s="22">
        <v>10106</v>
      </c>
      <c r="J15" s="22">
        <v>0.32400000000000001</v>
      </c>
      <c r="K15" s="46">
        <f t="shared" si="19"/>
        <v>10800</v>
      </c>
      <c r="L15" s="22">
        <v>9972</v>
      </c>
      <c r="M15" s="22">
        <v>0.254</v>
      </c>
      <c r="N15" s="46">
        <f t="shared" si="20"/>
        <v>10800</v>
      </c>
      <c r="O15" s="22">
        <v>10688</v>
      </c>
      <c r="P15" s="22">
        <v>0.29799999999999999</v>
      </c>
      <c r="Q15" s="46">
        <f t="shared" si="21"/>
        <v>11200</v>
      </c>
      <c r="R15" s="22">
        <v>69797</v>
      </c>
      <c r="S15" s="22">
        <v>2.2519999999999998</v>
      </c>
      <c r="T15" s="46">
        <f t="shared" si="22"/>
        <v>50400</v>
      </c>
      <c r="U15" s="22">
        <v>66254</v>
      </c>
      <c r="V15" s="22">
        <v>2.0070000000000001</v>
      </c>
      <c r="W15" s="46">
        <f t="shared" si="23"/>
        <v>53700</v>
      </c>
      <c r="X15" s="22">
        <v>16575</v>
      </c>
      <c r="Y15" s="22">
        <v>0.63700000000000001</v>
      </c>
      <c r="Z15" s="46">
        <f t="shared" si="24"/>
        <v>5920</v>
      </c>
      <c r="AA15" s="22">
        <v>11285</v>
      </c>
      <c r="AB15" s="22">
        <v>0.34699999999999998</v>
      </c>
      <c r="AC15" s="46">
        <f t="shared" si="25"/>
        <v>4160</v>
      </c>
      <c r="AD15" s="22">
        <v>84772</v>
      </c>
      <c r="AE15" s="22">
        <v>2.0649999999999999</v>
      </c>
      <c r="AF15" s="46">
        <f t="shared" si="26"/>
        <v>49000</v>
      </c>
      <c r="AG15" s="22">
        <v>16015</v>
      </c>
      <c r="AH15" s="22">
        <v>0.32800000000000001</v>
      </c>
      <c r="AI15" s="46">
        <f t="shared" si="27"/>
        <v>1600</v>
      </c>
      <c r="AJ15" s="203">
        <v>54228</v>
      </c>
      <c r="AK15" s="46">
        <f t="shared" si="28"/>
        <v>417</v>
      </c>
      <c r="AL15" s="46"/>
      <c r="AN15" s="46">
        <f t="shared" si="29"/>
        <v>291597</v>
      </c>
      <c r="AO15" s="22">
        <f t="shared" si="30"/>
        <v>50600</v>
      </c>
      <c r="AP15" s="22">
        <f t="shared" si="31"/>
        <v>0.17352716248795427</v>
      </c>
      <c r="AQ15" s="22"/>
      <c r="AR15" s="16"/>
      <c r="AS15" s="89">
        <f t="shared" si="0"/>
        <v>43905</v>
      </c>
      <c r="AT15" s="22">
        <v>57846</v>
      </c>
      <c r="AU15" s="46">
        <f t="shared" si="32"/>
        <v>14000</v>
      </c>
      <c r="AV15" s="22">
        <v>7317</v>
      </c>
      <c r="AW15" s="46">
        <f t="shared" si="33"/>
        <v>1700</v>
      </c>
      <c r="AX15" s="103">
        <v>95939</v>
      </c>
      <c r="AY15" s="104">
        <f t="shared" si="34"/>
        <v>851</v>
      </c>
      <c r="AZ15" s="22">
        <v>47562</v>
      </c>
      <c r="BA15" s="46">
        <f t="shared" si="35"/>
        <v>4320</v>
      </c>
      <c r="BC15" s="83"/>
      <c r="BD15" s="27">
        <f t="shared" si="36"/>
        <v>20871</v>
      </c>
      <c r="BE15" s="22"/>
      <c r="BF15" s="22"/>
      <c r="BH15" s="16"/>
      <c r="BJ15" s="21">
        <f t="shared" si="1"/>
        <v>54228</v>
      </c>
      <c r="BN15" s="85">
        <f t="shared" si="2"/>
        <v>85157</v>
      </c>
      <c r="BW15" s="85">
        <f t="shared" si="3"/>
        <v>89452</v>
      </c>
      <c r="CF15" s="85">
        <f t="shared" si="4"/>
        <v>69797</v>
      </c>
      <c r="CO15" s="85">
        <f t="shared" si="5"/>
        <v>16015</v>
      </c>
      <c r="CX15" s="85">
        <f t="shared" si="6"/>
        <v>66254</v>
      </c>
      <c r="DG15" s="85">
        <f t="shared" si="7"/>
        <v>9972</v>
      </c>
      <c r="DP15" s="85">
        <f t="shared" si="8"/>
        <v>69797</v>
      </c>
      <c r="DY15" s="85">
        <f t="shared" si="9"/>
        <v>10688</v>
      </c>
      <c r="EH15" s="85">
        <f t="shared" si="10"/>
        <v>16575</v>
      </c>
      <c r="EQ15" s="85">
        <f t="shared" si="11"/>
        <v>11285</v>
      </c>
      <c r="EZ15" s="21">
        <f t="shared" si="12"/>
        <v>84772</v>
      </c>
      <c r="FI15" s="66"/>
      <c r="FN15" s="16"/>
      <c r="FP15" s="85">
        <f t="shared" si="13"/>
        <v>7317</v>
      </c>
      <c r="FY15" s="85">
        <f t="shared" si="14"/>
        <v>57846</v>
      </c>
      <c r="GH15" s="85">
        <f t="shared" si="15"/>
        <v>95939</v>
      </c>
      <c r="GN15" s="85">
        <f t="shared" si="16"/>
        <v>47562</v>
      </c>
      <c r="HA15" s="20"/>
    </row>
    <row r="16" spans="2:213" x14ac:dyDescent="0.25">
      <c r="B16" s="82">
        <v>43912</v>
      </c>
      <c r="C16" s="22">
        <v>89712</v>
      </c>
      <c r="D16" s="22">
        <v>1.536</v>
      </c>
      <c r="E16" s="46">
        <f t="shared" si="17"/>
        <v>41600</v>
      </c>
      <c r="F16" s="22">
        <v>85419</v>
      </c>
      <c r="G16" s="22">
        <v>1.7829999999999999</v>
      </c>
      <c r="H16" s="46">
        <f t="shared" si="18"/>
        <v>41920</v>
      </c>
      <c r="I16" s="22">
        <v>10127</v>
      </c>
      <c r="J16" s="22">
        <v>0.1</v>
      </c>
      <c r="K16" s="46">
        <f t="shared" si="19"/>
        <v>8400</v>
      </c>
      <c r="L16" s="22">
        <v>9994</v>
      </c>
      <c r="M16" s="22">
        <v>0.115</v>
      </c>
      <c r="N16" s="46">
        <f t="shared" si="20"/>
        <v>8800</v>
      </c>
      <c r="O16" s="22">
        <v>10710</v>
      </c>
      <c r="P16" s="22">
        <v>0.111</v>
      </c>
      <c r="Q16" s="46">
        <f t="shared" si="21"/>
        <v>8800</v>
      </c>
      <c r="R16" s="22">
        <v>69979</v>
      </c>
      <c r="S16" s="22">
        <v>1.417</v>
      </c>
      <c r="T16" s="46">
        <f t="shared" si="22"/>
        <v>54600</v>
      </c>
      <c r="U16" s="22">
        <v>66420</v>
      </c>
      <c r="V16" s="22">
        <v>1.645</v>
      </c>
      <c r="W16" s="46">
        <f t="shared" si="23"/>
        <v>49800</v>
      </c>
      <c r="X16" s="22">
        <v>16604</v>
      </c>
      <c r="Y16" s="22">
        <v>0.21199999999999999</v>
      </c>
      <c r="Z16" s="46">
        <f t="shared" si="24"/>
        <v>4640</v>
      </c>
      <c r="AA16" s="22">
        <v>11300</v>
      </c>
      <c r="AB16" s="22">
        <v>0.10199999999999999</v>
      </c>
      <c r="AC16" s="46">
        <f t="shared" si="25"/>
        <v>2400</v>
      </c>
      <c r="AD16" s="22">
        <v>85007</v>
      </c>
      <c r="AE16" s="22">
        <v>1.7</v>
      </c>
      <c r="AF16" s="46">
        <f t="shared" si="26"/>
        <v>47000</v>
      </c>
      <c r="AG16" s="22">
        <v>16054</v>
      </c>
      <c r="AH16" s="22">
        <v>0.29799999999999999</v>
      </c>
      <c r="AI16" s="46">
        <f t="shared" si="27"/>
        <v>1560</v>
      </c>
      <c r="AJ16" s="203">
        <v>54638</v>
      </c>
      <c r="AK16" s="46">
        <f t="shared" si="28"/>
        <v>410</v>
      </c>
      <c r="AL16" s="46"/>
      <c r="AN16" s="46">
        <f t="shared" si="29"/>
        <v>269930</v>
      </c>
      <c r="AO16" s="22">
        <f t="shared" si="30"/>
        <v>48560</v>
      </c>
      <c r="AP16" s="22">
        <f t="shared" si="31"/>
        <v>0.17989849220168191</v>
      </c>
      <c r="AQ16" s="22"/>
      <c r="AR16" s="16"/>
      <c r="AS16" s="89">
        <f t="shared" si="0"/>
        <v>43912</v>
      </c>
      <c r="AT16" s="22">
        <v>57988</v>
      </c>
      <c r="AU16" s="46">
        <f t="shared" si="32"/>
        <v>14200</v>
      </c>
      <c r="AV16" s="22">
        <v>7333</v>
      </c>
      <c r="AW16" s="46">
        <f t="shared" si="33"/>
        <v>1600</v>
      </c>
      <c r="AX16" s="103">
        <v>96790</v>
      </c>
      <c r="AY16" s="104">
        <f t="shared" si="34"/>
        <v>851</v>
      </c>
      <c r="AZ16" s="22">
        <v>47645</v>
      </c>
      <c r="BA16" s="46">
        <f t="shared" si="35"/>
        <v>3320</v>
      </c>
      <c r="BC16" s="83"/>
      <c r="BD16" s="27">
        <f t="shared" si="36"/>
        <v>19971</v>
      </c>
      <c r="BE16" s="22"/>
      <c r="BF16" s="22"/>
      <c r="BH16" s="16"/>
      <c r="BJ16" s="21">
        <f t="shared" si="1"/>
        <v>54638</v>
      </c>
      <c r="BN16" s="85">
        <f t="shared" si="2"/>
        <v>85419</v>
      </c>
      <c r="BW16" s="85">
        <f t="shared" si="3"/>
        <v>89712</v>
      </c>
      <c r="CF16" s="85">
        <f t="shared" si="4"/>
        <v>69979</v>
      </c>
      <c r="CO16" s="85">
        <f t="shared" si="5"/>
        <v>16054</v>
      </c>
      <c r="CX16" s="85">
        <f t="shared" si="6"/>
        <v>66420</v>
      </c>
      <c r="DG16" s="85">
        <f t="shared" si="7"/>
        <v>9994</v>
      </c>
      <c r="DP16" s="85">
        <f t="shared" si="8"/>
        <v>69979</v>
      </c>
      <c r="DY16" s="85">
        <f t="shared" si="9"/>
        <v>10710</v>
      </c>
      <c r="EH16" s="85">
        <f t="shared" si="10"/>
        <v>16604</v>
      </c>
      <c r="EQ16" s="85">
        <f t="shared" si="11"/>
        <v>11300</v>
      </c>
      <c r="EZ16" s="21">
        <f t="shared" si="12"/>
        <v>85007</v>
      </c>
      <c r="FI16" s="66"/>
      <c r="FN16" s="16"/>
      <c r="FP16" s="85">
        <f t="shared" si="13"/>
        <v>7333</v>
      </c>
      <c r="FY16" s="85">
        <f t="shared" si="14"/>
        <v>57988</v>
      </c>
      <c r="GH16" s="85">
        <f t="shared" si="15"/>
        <v>96790</v>
      </c>
      <c r="GN16" s="85">
        <f t="shared" si="16"/>
        <v>47645</v>
      </c>
      <c r="HA16" s="20"/>
    </row>
    <row r="17" spans="2:217" x14ac:dyDescent="0.25">
      <c r="B17" s="82">
        <v>43919</v>
      </c>
      <c r="C17" s="22">
        <v>89858</v>
      </c>
      <c r="D17" s="22">
        <v>1.536</v>
      </c>
      <c r="E17" s="46">
        <f t="shared" si="17"/>
        <v>23360</v>
      </c>
      <c r="F17" s="22">
        <v>85569</v>
      </c>
      <c r="G17" s="22">
        <v>1.7829999999999999</v>
      </c>
      <c r="H17" s="46">
        <f t="shared" si="18"/>
        <v>24000</v>
      </c>
      <c r="I17" s="22">
        <v>10141</v>
      </c>
      <c r="J17" s="22">
        <v>1.1499999999999999</v>
      </c>
      <c r="K17" s="46">
        <f t="shared" si="19"/>
        <v>5600</v>
      </c>
      <c r="L17" s="22">
        <v>10009</v>
      </c>
      <c r="M17" s="22">
        <v>1.23</v>
      </c>
      <c r="N17" s="46">
        <f t="shared" si="20"/>
        <v>6000</v>
      </c>
      <c r="O17" s="22">
        <v>10723</v>
      </c>
      <c r="P17" s="22">
        <v>0.111</v>
      </c>
      <c r="Q17" s="46">
        <f t="shared" si="21"/>
        <v>5200</v>
      </c>
      <c r="R17" s="22">
        <v>70116</v>
      </c>
      <c r="S17" s="22">
        <v>1.4510000000000001</v>
      </c>
      <c r="T17" s="46">
        <f t="shared" si="22"/>
        <v>41100</v>
      </c>
      <c r="U17" s="22">
        <v>66514</v>
      </c>
      <c r="V17" s="22">
        <v>1.645</v>
      </c>
      <c r="W17" s="46">
        <f t="shared" si="23"/>
        <v>28200</v>
      </c>
      <c r="X17" s="22">
        <v>16626</v>
      </c>
      <c r="Y17" s="22">
        <v>0.21199999999999999</v>
      </c>
      <c r="Z17" s="46">
        <f t="shared" si="24"/>
        <v>3520</v>
      </c>
      <c r="AA17" s="22">
        <v>11307</v>
      </c>
      <c r="AB17" s="22">
        <v>0.10199999999999999</v>
      </c>
      <c r="AC17" s="46">
        <f t="shared" si="25"/>
        <v>1120</v>
      </c>
      <c r="AD17" s="22">
        <v>85132</v>
      </c>
      <c r="AE17" s="22">
        <v>1.7</v>
      </c>
      <c r="AF17" s="46">
        <f t="shared" si="26"/>
        <v>25000</v>
      </c>
      <c r="AG17" s="22">
        <v>16085</v>
      </c>
      <c r="AH17" s="22">
        <v>0.30099999999999999</v>
      </c>
      <c r="AI17" s="46">
        <f t="shared" si="27"/>
        <v>1240</v>
      </c>
      <c r="AJ17" s="203">
        <v>54918</v>
      </c>
      <c r="AK17" s="46">
        <f t="shared" si="28"/>
        <v>280</v>
      </c>
      <c r="AL17" s="46"/>
      <c r="AN17" s="46">
        <f t="shared" si="29"/>
        <v>164620</v>
      </c>
      <c r="AO17" s="22">
        <f t="shared" si="30"/>
        <v>26240</v>
      </c>
      <c r="AP17" s="22">
        <f t="shared" si="31"/>
        <v>0.15939740007289516</v>
      </c>
      <c r="AQ17" s="22"/>
      <c r="AR17" s="16"/>
      <c r="AS17" s="89">
        <f t="shared" si="0"/>
        <v>43919</v>
      </c>
      <c r="AT17" s="22">
        <v>58064</v>
      </c>
      <c r="AU17" s="46">
        <f t="shared" si="32"/>
        <v>7600</v>
      </c>
      <c r="AV17" s="22">
        <v>7350</v>
      </c>
      <c r="AW17" s="46">
        <f t="shared" si="33"/>
        <v>1700</v>
      </c>
      <c r="AX17" s="103">
        <v>97134</v>
      </c>
      <c r="AY17" s="104">
        <f t="shared" si="34"/>
        <v>344</v>
      </c>
      <c r="AZ17" s="22">
        <v>47737</v>
      </c>
      <c r="BA17" s="46">
        <f t="shared" si="35"/>
        <v>3680</v>
      </c>
      <c r="BC17" s="83"/>
      <c r="BD17" s="27">
        <f t="shared" si="36"/>
        <v>13324</v>
      </c>
      <c r="BE17" s="22"/>
      <c r="BF17" s="22"/>
      <c r="BH17" s="16"/>
      <c r="BJ17" s="21">
        <f t="shared" si="1"/>
        <v>54918</v>
      </c>
      <c r="BK17" s="22">
        <v>54675</v>
      </c>
      <c r="BL17" s="21">
        <f>SUM(BK17-BK13)</f>
        <v>1645</v>
      </c>
      <c r="BM17" s="84">
        <f>SUM(BL17*0.11895+BL17*0.02531)*1.09+2.85</f>
        <v>261.51539300000007</v>
      </c>
      <c r="BN17" s="85">
        <f t="shared" si="2"/>
        <v>85569</v>
      </c>
      <c r="BO17" s="22">
        <v>85488</v>
      </c>
      <c r="BP17" s="22">
        <v>2.4260000000000002</v>
      </c>
      <c r="BQ17" s="21">
        <f>SUM(BO17-BO13)*160</f>
        <v>191520</v>
      </c>
      <c r="BR17" s="21">
        <f>(BP17)*160</f>
        <v>388.16</v>
      </c>
      <c r="BS17" s="84">
        <f>SUM(BQ17*0.0406)</f>
        <v>7775.7119999999995</v>
      </c>
      <c r="BT17" s="84">
        <f>SUM(BQ17*0.02531)</f>
        <v>4847.3711999999996</v>
      </c>
      <c r="BU17" s="84">
        <f>SUM(BR17*6.99)</f>
        <v>2713.2384000000002</v>
      </c>
      <c r="BV17" s="84">
        <f>SUM(BS17+BT17)*1.09</f>
        <v>13759.160688</v>
      </c>
      <c r="BW17" s="85">
        <f t="shared" si="3"/>
        <v>89858</v>
      </c>
      <c r="BX17" s="22">
        <v>89781</v>
      </c>
      <c r="BY17" s="22">
        <v>2.2330000000000001</v>
      </c>
      <c r="BZ17" s="21">
        <f>SUM(BX17-BX13)*160</f>
        <v>188160</v>
      </c>
      <c r="CA17" s="21">
        <f>(BY17)*160</f>
        <v>357.28000000000003</v>
      </c>
      <c r="CB17" s="84">
        <f>SUM(BZ17*0.0406)</f>
        <v>7639.2959999999994</v>
      </c>
      <c r="CC17" s="84">
        <f>SUM(BZ17*0.02531)</f>
        <v>4762.3296</v>
      </c>
      <c r="CD17" s="84">
        <f>SUM(CA17*6.99)</f>
        <v>2497.3872000000001</v>
      </c>
      <c r="CE17" s="84">
        <f>SUM((CB17+CC17)+20)* 1.08</f>
        <v>13415.355648000001</v>
      </c>
      <c r="CF17" s="85">
        <f t="shared" si="4"/>
        <v>70116</v>
      </c>
      <c r="CG17" s="22">
        <v>70037</v>
      </c>
      <c r="CH17" s="22">
        <v>2.2519999999999998</v>
      </c>
      <c r="CI17" s="21">
        <f>SUM(CG17-CG13)*300</f>
        <v>218100</v>
      </c>
      <c r="CJ17" s="21">
        <f>(CH17)*300</f>
        <v>675.59999999999991</v>
      </c>
      <c r="CK17" s="84">
        <f>SUM(CI17*0.0406)</f>
        <v>8854.8599999999988</v>
      </c>
      <c r="CL17" s="84">
        <f>SUM(CI17*0.02531)</f>
        <v>5520.1109999999999</v>
      </c>
      <c r="CM17" s="84">
        <f>SUM(CJ17*6.99)</f>
        <v>4722.4439999999995</v>
      </c>
      <c r="CN17" s="84">
        <f>SUM((CK17+CL17)+20)*1.09</f>
        <v>15690.518389999999</v>
      </c>
      <c r="CO17" s="85">
        <f t="shared" si="5"/>
        <v>16085</v>
      </c>
      <c r="CP17" s="22">
        <v>16068</v>
      </c>
      <c r="CQ17" s="22">
        <v>0.32800000000000001</v>
      </c>
      <c r="CR17" s="21">
        <f>(CP17-CP13)*40</f>
        <v>6680</v>
      </c>
      <c r="CS17" s="21">
        <f>(CQ17)*40</f>
        <v>13.120000000000001</v>
      </c>
      <c r="CT17" s="84">
        <f>SUM(CR17*0.0406)</f>
        <v>271.20799999999997</v>
      </c>
      <c r="CU17" s="84">
        <f>SUM(CR17*0.02531)</f>
        <v>169.07079999999999</v>
      </c>
      <c r="CV17" s="84">
        <f>SUM(CS17*6.99)</f>
        <v>91.708800000000011</v>
      </c>
      <c r="CW17" s="84">
        <f>SUM((CT17+CU17)+20)*1.09</f>
        <v>501.70389199999994</v>
      </c>
      <c r="CX17" s="85">
        <f t="shared" si="6"/>
        <v>66514</v>
      </c>
      <c r="CY17" s="22">
        <v>66449</v>
      </c>
      <c r="CZ17" s="22">
        <v>2.0070000000000001</v>
      </c>
      <c r="DA17" s="21">
        <f>SUM(CY17-CY13)*300</f>
        <v>188700</v>
      </c>
      <c r="DB17" s="86">
        <f>(CZ17)*300</f>
        <v>602.1</v>
      </c>
      <c r="DC17" s="84">
        <f>SUM(DA17*0.0406)</f>
        <v>7661.2199999999993</v>
      </c>
      <c r="DD17" s="84">
        <f>SUM(DA17*0.02531)</f>
        <v>4775.9969999999994</v>
      </c>
      <c r="DE17" s="84">
        <f>SUM(DB17*6.99)</f>
        <v>4208.6790000000001</v>
      </c>
      <c r="DF17" s="84">
        <f>SUM((DC17+DD17)+20)*1.085</f>
        <v>13516.080444999998</v>
      </c>
      <c r="DG17" s="85">
        <f t="shared" si="7"/>
        <v>10009</v>
      </c>
      <c r="DH17" s="22">
        <v>10001</v>
      </c>
      <c r="DI17" s="22">
        <v>0.254</v>
      </c>
      <c r="DJ17" s="21">
        <f>SUM(DH17-DH13)*400</f>
        <v>44400</v>
      </c>
      <c r="DK17" s="86">
        <f>(DI17)*400</f>
        <v>101.6</v>
      </c>
      <c r="DL17" s="84">
        <f>SUM(DJ17*0.0406)</f>
        <v>1802.6399999999999</v>
      </c>
      <c r="DM17" s="84">
        <f>SUM(DJ17*0.02531)</f>
        <v>1123.7639999999999</v>
      </c>
      <c r="DN17" s="84">
        <f>SUM(DK17*6.99)</f>
        <v>710.18399999999997</v>
      </c>
      <c r="DO17" s="84">
        <f>SUM((DL17+DM17)+20)*1.09</f>
        <v>3211.5803599999999</v>
      </c>
      <c r="DP17" s="85">
        <f t="shared" si="8"/>
        <v>70116</v>
      </c>
      <c r="DQ17" s="22">
        <v>10133</v>
      </c>
      <c r="DR17" s="22">
        <v>0.32400000000000001</v>
      </c>
      <c r="DS17" s="21">
        <f>SUM(DQ17-DQ13)*400</f>
        <v>46000</v>
      </c>
      <c r="DT17" s="21">
        <f>(DR17)*400</f>
        <v>129.6</v>
      </c>
      <c r="DU17" s="84">
        <f>SUM(DS17*0.0406)</f>
        <v>1867.6</v>
      </c>
      <c r="DV17" s="84">
        <f>SUM(DS17*0.02531)</f>
        <v>1164.26</v>
      </c>
      <c r="DW17" s="84">
        <f>SUM(DT17*6.99)</f>
        <v>905.904</v>
      </c>
      <c r="DX17" s="84">
        <f>SUM((DU17+DV17)+20)*1.09</f>
        <v>3326.5273999999999</v>
      </c>
      <c r="DY17" s="85">
        <f t="shared" si="9"/>
        <v>10723</v>
      </c>
      <c r="DZ17" s="22">
        <v>10716</v>
      </c>
      <c r="EA17" s="22">
        <v>0.29799999999999999</v>
      </c>
      <c r="EB17" s="21">
        <f>SUM(DZ17-DZ13)*400</f>
        <v>45600</v>
      </c>
      <c r="EC17" s="21">
        <f>(EA17)*400</f>
        <v>119.19999999999999</v>
      </c>
      <c r="ED17" s="84">
        <f>SUM(EB17*0.0406)</f>
        <v>1851.36</v>
      </c>
      <c r="EE17" s="84">
        <f>SUM(EB17*0.02531)</f>
        <v>1154.136</v>
      </c>
      <c r="EF17" s="84">
        <f>SUM(EC17*6.99)</f>
        <v>833.20799999999997</v>
      </c>
      <c r="EG17" s="84">
        <f>SUM((ED17+EE17)+20)*1.09</f>
        <v>3297.7906400000002</v>
      </c>
      <c r="EH17" s="85">
        <f t="shared" si="10"/>
        <v>16626</v>
      </c>
      <c r="EI17" s="22">
        <v>16614</v>
      </c>
      <c r="EJ17" s="22">
        <v>0.63700000000000001</v>
      </c>
      <c r="EK17" s="21">
        <f>SUM(EI17-EI13)*160</f>
        <v>27680</v>
      </c>
      <c r="EL17" s="21">
        <f>(EJ17)*160</f>
        <v>101.92</v>
      </c>
      <c r="EM17" s="84">
        <f>SUM(EK17*0.0406)</f>
        <v>1123.808</v>
      </c>
      <c r="EN17" s="84">
        <f>SUM(EK17*0.02531)</f>
        <v>700.58079999999995</v>
      </c>
      <c r="EO17" s="84">
        <f>SUM(EL17*6.99)</f>
        <v>712.42079999999999</v>
      </c>
      <c r="EP17" s="84">
        <f>SUM((EM17+EN17)+20)*1.09</f>
        <v>2010.3837920000001</v>
      </c>
      <c r="EQ17" s="85">
        <f t="shared" si="11"/>
        <v>11307</v>
      </c>
      <c r="ER17" s="22">
        <v>11304</v>
      </c>
      <c r="ES17" s="22">
        <v>0.34699999999999998</v>
      </c>
      <c r="ET17" s="21">
        <f>SUM(ER17-ER13)*160</f>
        <v>15520</v>
      </c>
      <c r="EU17" s="21">
        <f>(ES17)*160</f>
        <v>55.519999999999996</v>
      </c>
      <c r="EV17" s="84">
        <f>SUM(ET17*0.0406)</f>
        <v>630.11199999999997</v>
      </c>
      <c r="EW17" s="84">
        <f>SUM(ET17*0.02531)</f>
        <v>392.81119999999999</v>
      </c>
      <c r="EX17" s="84">
        <f>SUM(EU17*6.99)</f>
        <v>388.08479999999997</v>
      </c>
      <c r="EY17" s="84">
        <f>SUM((EV17+EW17)+20)*1.09</f>
        <v>1136.786288</v>
      </c>
      <c r="EZ17" s="21">
        <f t="shared" si="12"/>
        <v>85132</v>
      </c>
      <c r="FA17" s="97">
        <v>85061</v>
      </c>
      <c r="FB17" s="97">
        <v>2.0649999999999999</v>
      </c>
      <c r="FC17" s="21">
        <f>SUM(FA17-FA13)*200</f>
        <v>199400</v>
      </c>
      <c r="FD17" s="21">
        <f>(FB17)*200</f>
        <v>413</v>
      </c>
      <c r="FE17" s="84">
        <f>SUM(FC17*0.0406)</f>
        <v>8095.6399999999994</v>
      </c>
      <c r="FF17" s="84">
        <f>SUM(FC17*0.02531)</f>
        <v>5046.8139999999994</v>
      </c>
      <c r="FG17" s="84">
        <f>SUM(FD17*6.99)</f>
        <v>2886.87</v>
      </c>
      <c r="FH17" s="84">
        <f>SUM((FE17+FF17)+20)*1.09</f>
        <v>14347.074859999999</v>
      </c>
      <c r="FI17" s="66"/>
      <c r="FJ17" s="101">
        <f>SUM(BL17+BQ17+BZ17+CI17+CR17+DA17+DJ17+DS17+EB17+EK17+ET17+FC17)</f>
        <v>1173405</v>
      </c>
      <c r="FK17" s="102">
        <f>SUM(BM17+BV17,CE17,CN17,CW17,DF17,DO17,DX17,EG17,EP17,EY17+FH17)</f>
        <v>84474.477795999992</v>
      </c>
      <c r="FL17" s="102">
        <f>SUM(BU17,CD17,CM17,CV17,DE17,DN17,DW17,EF17,EO17,EX17,FG17)</f>
        <v>20670.128999999997</v>
      </c>
      <c r="FM17" s="102">
        <f>SUM(FK17:FL17)</f>
        <v>105144.60679599999</v>
      </c>
      <c r="FN17" s="16"/>
      <c r="FP17" s="85">
        <f t="shared" si="13"/>
        <v>7350</v>
      </c>
      <c r="FQ17" s="22">
        <v>7336</v>
      </c>
      <c r="FR17" s="22">
        <v>0.22500000000000001</v>
      </c>
      <c r="FS17" s="21">
        <f>SUM(FQ17-FQ13)*100</f>
        <v>6700</v>
      </c>
      <c r="FT17" s="21">
        <f>SUM(FR17)*100</f>
        <v>22.5</v>
      </c>
      <c r="FU17" s="87">
        <f>SUM(FS17*0.0406)</f>
        <v>272.02</v>
      </c>
      <c r="FV17" s="87">
        <f>SUM(FS17*0.02531)</f>
        <v>169.577</v>
      </c>
      <c r="FW17" s="87">
        <f>SUM(FT17*6.99)</f>
        <v>157.27500000000001</v>
      </c>
      <c r="FX17" s="84">
        <f>SUM(FV17+FU17+20)*1.1048</f>
        <v>509.97236559999999</v>
      </c>
      <c r="FY17" s="85">
        <f t="shared" si="14"/>
        <v>58064</v>
      </c>
      <c r="FZ17" s="22">
        <v>58001</v>
      </c>
      <c r="GA17" s="22">
        <v>1.599</v>
      </c>
      <c r="GB17" s="21">
        <f>SUM(FZ17-FZ13)*100</f>
        <v>54600</v>
      </c>
      <c r="GC17" s="21">
        <f>SUM(GA17)*100</f>
        <v>159.9</v>
      </c>
      <c r="GD17" s="87">
        <f>SUM(GB17*0.0406)</f>
        <v>2216.7599999999998</v>
      </c>
      <c r="GE17" s="87">
        <f>SUM(GB17*0.02531)</f>
        <v>1381.9259999999999</v>
      </c>
      <c r="GF17" s="87">
        <f>SUM(GC17*6.99)</f>
        <v>1117.701</v>
      </c>
      <c r="GG17" s="84">
        <f>SUM(GE17+GD17+20)*1.1048</f>
        <v>3997.9242927999999</v>
      </c>
      <c r="GH17" s="85">
        <f t="shared" si="15"/>
        <v>97134</v>
      </c>
      <c r="GI17" s="22">
        <v>96920</v>
      </c>
      <c r="GJ17" s="21">
        <f>SUM(GI17-GI13)</f>
        <v>3574</v>
      </c>
      <c r="GK17" s="84">
        <f>SUM(GJ17*0.11895)</f>
        <v>425.12729999999999</v>
      </c>
      <c r="GL17" s="84">
        <f>SUM(GJ17*0.02531)</f>
        <v>90.457939999999994</v>
      </c>
      <c r="GM17" s="84">
        <f>SUM(GK17+GL17+2.32)*1.07</f>
        <v>554.15860680000003</v>
      </c>
      <c r="GN17" s="85">
        <f t="shared" si="16"/>
        <v>47737</v>
      </c>
      <c r="GO17" s="22">
        <v>47671</v>
      </c>
      <c r="GP17" s="22">
        <v>3.9740000000000002</v>
      </c>
      <c r="GQ17" s="21">
        <f>SUM(GO17-GO13)*40</f>
        <v>15560</v>
      </c>
      <c r="GR17" s="21">
        <f>SUM(GP17)*40</f>
        <v>158.96</v>
      </c>
      <c r="GS17" s="84">
        <f>SUM(GQ17*0.0406)</f>
        <v>631.73599999999999</v>
      </c>
      <c r="GT17" s="84">
        <f>SUM(GQ17*0.02531)</f>
        <v>393.8236</v>
      </c>
      <c r="GU17" s="84">
        <f>SUM(GR17*6.99)</f>
        <v>1111.1304</v>
      </c>
      <c r="GV17" s="84">
        <f>SUM(GT17+GS17+20)*1.2</f>
        <v>1254.6715200000001</v>
      </c>
      <c r="GW17" s="22">
        <f>SUM(FS17+GB17+GJ17+GQ17)</f>
        <v>80434</v>
      </c>
      <c r="GX17" s="102">
        <f>SUM(GV17+GM17+GG17+FX17)</f>
        <v>6316.7267851999995</v>
      </c>
      <c r="GY17" s="102">
        <f>SUM(FW17+GF17+GU17)</f>
        <v>2386.1064000000001</v>
      </c>
      <c r="GZ17" s="102">
        <f>SUM(GX17:GY17)</f>
        <v>8702.8331851999992</v>
      </c>
      <c r="HA17" s="20"/>
      <c r="HB17" s="101">
        <f t="shared" ref="HB17:HD17" si="41">(FJ17+GW17)</f>
        <v>1253839</v>
      </c>
      <c r="HC17" s="102">
        <f t="shared" si="41"/>
        <v>90791.204581199985</v>
      </c>
      <c r="HD17" s="102">
        <f t="shared" si="41"/>
        <v>23056.235399999998</v>
      </c>
      <c r="HE17" s="102">
        <f t="shared" ref="HE17" si="42">(HC17+HD17)</f>
        <v>113847.43998119998</v>
      </c>
    </row>
    <row r="18" spans="2:217" x14ac:dyDescent="0.25">
      <c r="B18" s="82">
        <v>43922</v>
      </c>
      <c r="C18" s="22">
        <v>89897</v>
      </c>
      <c r="D18" s="22">
        <v>1.536</v>
      </c>
      <c r="E18" s="46">
        <f t="shared" si="17"/>
        <v>6240</v>
      </c>
      <c r="F18" s="22">
        <v>85610</v>
      </c>
      <c r="G18" s="22">
        <v>1.7829999999999999</v>
      </c>
      <c r="H18" s="46">
        <f t="shared" si="18"/>
        <v>6560</v>
      </c>
      <c r="I18" s="22">
        <v>10145</v>
      </c>
      <c r="J18" s="22">
        <v>1.1499999999999999</v>
      </c>
      <c r="K18" s="46">
        <f t="shared" si="19"/>
        <v>1600</v>
      </c>
      <c r="L18" s="22">
        <v>10013</v>
      </c>
      <c r="M18" s="22">
        <v>1.23</v>
      </c>
      <c r="N18" s="46">
        <f t="shared" si="20"/>
        <v>1600</v>
      </c>
      <c r="O18" s="22">
        <v>10727</v>
      </c>
      <c r="P18" s="22">
        <v>0.111</v>
      </c>
      <c r="Q18" s="46">
        <f t="shared" si="21"/>
        <v>1600</v>
      </c>
      <c r="R18" s="22">
        <v>70158</v>
      </c>
      <c r="S18" s="22">
        <v>1.4510000000000001</v>
      </c>
      <c r="T18" s="46">
        <f t="shared" si="22"/>
        <v>12600</v>
      </c>
      <c r="U18" s="22">
        <v>66537</v>
      </c>
      <c r="V18" s="22">
        <v>1.645</v>
      </c>
      <c r="W18" s="46">
        <f t="shared" si="23"/>
        <v>6900</v>
      </c>
      <c r="X18" s="22">
        <v>16632</v>
      </c>
      <c r="Y18" s="22">
        <v>0.21199999999999999</v>
      </c>
      <c r="Z18" s="46">
        <f t="shared" si="24"/>
        <v>960</v>
      </c>
      <c r="AA18" s="22">
        <v>11309</v>
      </c>
      <c r="AB18" s="22">
        <v>0.10199999999999999</v>
      </c>
      <c r="AC18" s="46">
        <f t="shared" si="25"/>
        <v>320</v>
      </c>
      <c r="AD18" s="22">
        <v>85164</v>
      </c>
      <c r="AE18" s="22">
        <v>1.7</v>
      </c>
      <c r="AF18" s="46">
        <f t="shared" si="26"/>
        <v>6400</v>
      </c>
      <c r="AG18" s="22">
        <v>16094</v>
      </c>
      <c r="AH18" s="22">
        <v>0.30099999999999999</v>
      </c>
      <c r="AI18" s="46">
        <f t="shared" si="27"/>
        <v>360</v>
      </c>
      <c r="AJ18" s="203">
        <v>54990</v>
      </c>
      <c r="AK18" s="46">
        <f t="shared" si="28"/>
        <v>72</v>
      </c>
      <c r="AL18" s="46"/>
      <c r="AN18" s="46">
        <f t="shared" si="29"/>
        <v>45212</v>
      </c>
      <c r="AO18" s="22">
        <f t="shared" si="30"/>
        <v>6760</v>
      </c>
      <c r="AP18" s="22">
        <f t="shared" si="31"/>
        <v>0.1495178271255419</v>
      </c>
      <c r="AQ18" s="22">
        <f>SUM(AN14:AN18)</f>
        <v>1102069</v>
      </c>
      <c r="AR18" s="16"/>
      <c r="AS18" s="89">
        <f t="shared" si="0"/>
        <v>43922</v>
      </c>
      <c r="AT18" s="22">
        <v>58086</v>
      </c>
      <c r="AU18" s="46">
        <f t="shared" si="32"/>
        <v>2200</v>
      </c>
      <c r="AV18" s="22">
        <v>7355</v>
      </c>
      <c r="AW18" s="46">
        <f t="shared" si="33"/>
        <v>500</v>
      </c>
      <c r="AX18" s="103">
        <v>97225</v>
      </c>
      <c r="AY18" s="104">
        <f t="shared" si="34"/>
        <v>91</v>
      </c>
      <c r="AZ18" s="22">
        <v>47783</v>
      </c>
      <c r="BA18" s="46">
        <f t="shared" si="35"/>
        <v>1840</v>
      </c>
      <c r="BC18" s="83"/>
      <c r="BD18" s="27">
        <f t="shared" si="36"/>
        <v>4631</v>
      </c>
      <c r="BE18" s="22">
        <f>SUM(BC14:BD18)</f>
        <v>78446</v>
      </c>
      <c r="BF18" s="22">
        <f>SUM(AQ18+BE18)</f>
        <v>1180515</v>
      </c>
      <c r="BH18" s="16"/>
      <c r="BJ18" s="21">
        <f t="shared" si="1"/>
        <v>54990</v>
      </c>
      <c r="BN18" s="85">
        <f t="shared" si="2"/>
        <v>85610</v>
      </c>
      <c r="BW18" s="85">
        <f t="shared" si="3"/>
        <v>89897</v>
      </c>
      <c r="CF18" s="85">
        <f t="shared" si="4"/>
        <v>70158</v>
      </c>
      <c r="CO18" s="85">
        <f t="shared" si="5"/>
        <v>16094</v>
      </c>
      <c r="CX18" s="85">
        <f t="shared" si="6"/>
        <v>66537</v>
      </c>
      <c r="DG18" s="85">
        <f t="shared" si="7"/>
        <v>10013</v>
      </c>
      <c r="DP18" s="85">
        <f t="shared" si="8"/>
        <v>70158</v>
      </c>
      <c r="DY18" s="85">
        <f t="shared" si="9"/>
        <v>10727</v>
      </c>
      <c r="EH18" s="85">
        <f t="shared" si="10"/>
        <v>16632</v>
      </c>
      <c r="EQ18" s="85">
        <f t="shared" si="11"/>
        <v>11309</v>
      </c>
      <c r="EZ18" s="21">
        <f t="shared" si="12"/>
        <v>85164</v>
      </c>
      <c r="FI18" s="66"/>
      <c r="FN18" s="16"/>
      <c r="FP18" s="85">
        <f t="shared" si="13"/>
        <v>7355</v>
      </c>
      <c r="FY18" s="85">
        <f t="shared" si="14"/>
        <v>58086</v>
      </c>
      <c r="GH18" s="85">
        <f t="shared" si="15"/>
        <v>97225</v>
      </c>
      <c r="GN18" s="85">
        <f t="shared" si="16"/>
        <v>47783</v>
      </c>
      <c r="HA18" s="20"/>
    </row>
    <row r="19" spans="2:217" x14ac:dyDescent="0.25">
      <c r="B19" s="82">
        <v>43926</v>
      </c>
      <c r="C19" s="22">
        <v>89959</v>
      </c>
      <c r="D19" s="22">
        <v>1.536</v>
      </c>
      <c r="E19" s="46">
        <f t="shared" si="17"/>
        <v>9920</v>
      </c>
      <c r="F19" s="22">
        <v>85708</v>
      </c>
      <c r="G19" s="22">
        <v>1.7829999999999999</v>
      </c>
      <c r="H19" s="46">
        <f t="shared" si="18"/>
        <v>15680</v>
      </c>
      <c r="I19" s="22">
        <v>10154</v>
      </c>
      <c r="J19" s="22">
        <v>1.6</v>
      </c>
      <c r="K19" s="46">
        <f t="shared" si="19"/>
        <v>3600</v>
      </c>
      <c r="L19" s="22">
        <v>10023</v>
      </c>
      <c r="M19" s="22">
        <v>1.3</v>
      </c>
      <c r="N19" s="46">
        <f t="shared" si="20"/>
        <v>4000</v>
      </c>
      <c r="O19" s="22">
        <v>10735</v>
      </c>
      <c r="P19" s="22">
        <v>1.46</v>
      </c>
      <c r="Q19" s="46">
        <f t="shared" si="21"/>
        <v>3200</v>
      </c>
      <c r="R19" s="22">
        <v>70231</v>
      </c>
      <c r="S19" s="22">
        <v>1.4510000000000001</v>
      </c>
      <c r="T19" s="46">
        <f t="shared" si="22"/>
        <v>21900</v>
      </c>
      <c r="U19" s="22">
        <v>66597</v>
      </c>
      <c r="V19" s="22">
        <v>1.645</v>
      </c>
      <c r="W19" s="46">
        <f t="shared" si="23"/>
        <v>18000</v>
      </c>
      <c r="X19" s="22">
        <v>16647</v>
      </c>
      <c r="Y19" s="22">
        <v>0.21199999999999999</v>
      </c>
      <c r="Z19" s="46">
        <f t="shared" si="24"/>
        <v>2400</v>
      </c>
      <c r="AA19" s="22">
        <v>11313</v>
      </c>
      <c r="AB19" s="22">
        <v>0.10199999999999999</v>
      </c>
      <c r="AC19" s="46">
        <f t="shared" si="25"/>
        <v>640</v>
      </c>
      <c r="AD19" s="22">
        <v>85244</v>
      </c>
      <c r="AE19" s="22">
        <v>1.7</v>
      </c>
      <c r="AF19" s="46">
        <f t="shared" si="26"/>
        <v>16000</v>
      </c>
      <c r="AG19" s="22">
        <v>16115</v>
      </c>
      <c r="AH19" s="22">
        <v>0.30099999999999999</v>
      </c>
      <c r="AI19" s="46">
        <f t="shared" si="27"/>
        <v>840</v>
      </c>
      <c r="AJ19" s="203">
        <v>55165</v>
      </c>
      <c r="AK19" s="46">
        <f t="shared" si="28"/>
        <v>175</v>
      </c>
      <c r="AL19" s="46"/>
      <c r="AN19" s="46">
        <f t="shared" si="29"/>
        <v>96355</v>
      </c>
      <c r="AO19" s="22">
        <f t="shared" si="30"/>
        <v>16840</v>
      </c>
      <c r="AP19" s="22">
        <f t="shared" si="31"/>
        <v>0.17477038036427794</v>
      </c>
      <c r="AQ19" s="22"/>
      <c r="AR19" s="16"/>
      <c r="AS19" s="89">
        <f t="shared" si="0"/>
        <v>43926</v>
      </c>
      <c r="AT19" s="22">
        <v>58135</v>
      </c>
      <c r="AU19" s="46">
        <f t="shared" si="32"/>
        <v>4900</v>
      </c>
      <c r="AV19" s="22">
        <v>7367</v>
      </c>
      <c r="AW19" s="46">
        <f t="shared" si="33"/>
        <v>1200</v>
      </c>
      <c r="AX19" s="103">
        <v>97442</v>
      </c>
      <c r="AY19" s="104">
        <f t="shared" si="34"/>
        <v>217</v>
      </c>
      <c r="AZ19" s="22">
        <v>47858</v>
      </c>
      <c r="BA19" s="46">
        <f t="shared" si="35"/>
        <v>3000</v>
      </c>
      <c r="BC19" s="83"/>
      <c r="BD19" s="27">
        <f t="shared" si="36"/>
        <v>9317</v>
      </c>
      <c r="BE19" s="22"/>
      <c r="BF19" s="22"/>
      <c r="BH19" s="16"/>
      <c r="BJ19" s="21">
        <f t="shared" si="1"/>
        <v>55165</v>
      </c>
      <c r="BN19" s="85">
        <f t="shared" si="2"/>
        <v>85708</v>
      </c>
      <c r="BW19" s="85">
        <f t="shared" si="3"/>
        <v>89959</v>
      </c>
      <c r="CF19" s="85">
        <f t="shared" si="4"/>
        <v>70231</v>
      </c>
      <c r="CO19" s="85">
        <f t="shared" si="5"/>
        <v>16115</v>
      </c>
      <c r="CX19" s="85">
        <f t="shared" si="6"/>
        <v>66597</v>
      </c>
      <c r="DG19" s="85">
        <f t="shared" si="7"/>
        <v>10023</v>
      </c>
      <c r="DP19" s="85">
        <f t="shared" si="8"/>
        <v>70231</v>
      </c>
      <c r="DY19" s="85">
        <f t="shared" si="9"/>
        <v>10735</v>
      </c>
      <c r="EH19" s="85">
        <f t="shared" si="10"/>
        <v>16647</v>
      </c>
      <c r="EQ19" s="85">
        <f t="shared" si="11"/>
        <v>11313</v>
      </c>
      <c r="EZ19" s="21">
        <f t="shared" si="12"/>
        <v>85244</v>
      </c>
      <c r="FI19" s="66"/>
      <c r="FN19" s="16"/>
      <c r="FP19" s="85">
        <f t="shared" si="13"/>
        <v>7367</v>
      </c>
      <c r="FY19" s="85">
        <f t="shared" si="14"/>
        <v>58135</v>
      </c>
      <c r="GH19" s="85">
        <f t="shared" si="15"/>
        <v>97442</v>
      </c>
      <c r="GN19" s="85">
        <f t="shared" si="16"/>
        <v>47858</v>
      </c>
      <c r="HA19" s="20"/>
    </row>
    <row r="20" spans="2:217" x14ac:dyDescent="0.25">
      <c r="B20" s="82">
        <v>43933</v>
      </c>
      <c r="C20" s="22">
        <v>90115</v>
      </c>
      <c r="D20" s="22">
        <v>1.536</v>
      </c>
      <c r="E20" s="46">
        <f t="shared" si="17"/>
        <v>24960</v>
      </c>
      <c r="F20" s="22">
        <v>85848</v>
      </c>
      <c r="G20" s="22">
        <v>1.7829999999999999</v>
      </c>
      <c r="H20" s="46">
        <f t="shared" si="18"/>
        <v>22400</v>
      </c>
      <c r="I20" s="22">
        <v>10166</v>
      </c>
      <c r="J20" s="22">
        <v>1.6</v>
      </c>
      <c r="K20" s="46">
        <f t="shared" si="19"/>
        <v>4800</v>
      </c>
      <c r="L20" s="22">
        <v>10036</v>
      </c>
      <c r="M20" s="22">
        <v>1.3</v>
      </c>
      <c r="N20" s="46">
        <f t="shared" si="20"/>
        <v>5200</v>
      </c>
      <c r="O20" s="22">
        <v>10746</v>
      </c>
      <c r="P20" s="22">
        <v>1.46</v>
      </c>
      <c r="Q20" s="46">
        <f t="shared" si="21"/>
        <v>4400</v>
      </c>
      <c r="R20" s="22">
        <v>70361</v>
      </c>
      <c r="S20" s="22">
        <v>1.4510000000000001</v>
      </c>
      <c r="T20" s="46">
        <f t="shared" si="22"/>
        <v>39000</v>
      </c>
      <c r="U20" s="22">
        <v>66654</v>
      </c>
      <c r="V20" s="22">
        <v>1.645</v>
      </c>
      <c r="W20" s="46">
        <f t="shared" si="23"/>
        <v>17100</v>
      </c>
      <c r="X20" s="22">
        <v>16666</v>
      </c>
      <c r="Y20" s="22">
        <v>0.21199999999999999</v>
      </c>
      <c r="Z20" s="46">
        <f t="shared" si="24"/>
        <v>3040</v>
      </c>
      <c r="AA20" s="22">
        <v>11317</v>
      </c>
      <c r="AB20" s="22">
        <v>0.10199999999999999</v>
      </c>
      <c r="AC20" s="46">
        <f t="shared" si="25"/>
        <v>640</v>
      </c>
      <c r="AD20" s="22">
        <v>85357</v>
      </c>
      <c r="AE20" s="22">
        <v>1.7</v>
      </c>
      <c r="AF20" s="46">
        <f t="shared" si="26"/>
        <v>22600</v>
      </c>
      <c r="AG20" s="22">
        <v>16143</v>
      </c>
      <c r="AH20" s="22">
        <v>0.30099999999999999</v>
      </c>
      <c r="AI20" s="46">
        <f t="shared" si="27"/>
        <v>1120</v>
      </c>
      <c r="AJ20" s="203">
        <v>55395</v>
      </c>
      <c r="AK20" s="46">
        <f t="shared" si="28"/>
        <v>230</v>
      </c>
      <c r="AL20" s="46"/>
      <c r="AN20" s="46">
        <f t="shared" si="29"/>
        <v>145490</v>
      </c>
      <c r="AO20" s="22">
        <f t="shared" si="30"/>
        <v>23720</v>
      </c>
      <c r="AP20" s="22">
        <f t="shared" si="31"/>
        <v>0.16303526015533715</v>
      </c>
      <c r="AQ20" s="22"/>
      <c r="AR20" s="16"/>
      <c r="AS20" s="89">
        <f t="shared" si="0"/>
        <v>43933</v>
      </c>
      <c r="AT20" s="22">
        <v>58202</v>
      </c>
      <c r="AU20" s="46">
        <f t="shared" si="32"/>
        <v>6700</v>
      </c>
      <c r="AV20" s="22">
        <v>7384</v>
      </c>
      <c r="AW20" s="46">
        <f t="shared" si="33"/>
        <v>1700</v>
      </c>
      <c r="AX20" s="103">
        <v>97662</v>
      </c>
      <c r="AY20" s="104">
        <f t="shared" si="34"/>
        <v>220</v>
      </c>
      <c r="AZ20" s="22">
        <v>47984</v>
      </c>
      <c r="BA20" s="46">
        <f t="shared" si="35"/>
        <v>5040</v>
      </c>
      <c r="BC20" s="83"/>
      <c r="BD20" s="27">
        <f t="shared" si="36"/>
        <v>13660</v>
      </c>
      <c r="BE20" s="22"/>
      <c r="BF20" s="22"/>
      <c r="BH20" s="16"/>
      <c r="BJ20" s="21">
        <f t="shared" si="1"/>
        <v>55395</v>
      </c>
      <c r="BN20" s="85">
        <f t="shared" si="2"/>
        <v>85848</v>
      </c>
      <c r="BW20" s="85">
        <f t="shared" si="3"/>
        <v>90115</v>
      </c>
      <c r="CF20" s="85">
        <f t="shared" si="4"/>
        <v>70361</v>
      </c>
      <c r="CO20" s="85">
        <f t="shared" si="5"/>
        <v>16143</v>
      </c>
      <c r="CX20" s="85">
        <f t="shared" si="6"/>
        <v>66654</v>
      </c>
      <c r="DG20" s="85">
        <f t="shared" si="7"/>
        <v>10036</v>
      </c>
      <c r="DP20" s="85">
        <f t="shared" si="8"/>
        <v>70361</v>
      </c>
      <c r="DY20" s="85">
        <f t="shared" si="9"/>
        <v>10746</v>
      </c>
      <c r="EH20" s="85">
        <f t="shared" si="10"/>
        <v>16666</v>
      </c>
      <c r="EQ20" s="85">
        <f t="shared" si="11"/>
        <v>11317</v>
      </c>
      <c r="EZ20" s="21">
        <f t="shared" si="12"/>
        <v>85357</v>
      </c>
      <c r="FI20" s="66"/>
      <c r="FN20" s="16"/>
      <c r="FP20" s="85">
        <f t="shared" si="13"/>
        <v>7384</v>
      </c>
      <c r="FY20" s="85">
        <f t="shared" si="14"/>
        <v>58202</v>
      </c>
      <c r="GH20" s="85">
        <f t="shared" si="15"/>
        <v>97662</v>
      </c>
      <c r="GN20" s="85">
        <f t="shared" si="16"/>
        <v>47984</v>
      </c>
      <c r="HA20" s="20"/>
    </row>
    <row r="21" spans="2:217" x14ac:dyDescent="0.25">
      <c r="B21" s="82">
        <v>43940</v>
      </c>
      <c r="C21" s="22">
        <v>90238</v>
      </c>
      <c r="D21" s="22">
        <v>1.536</v>
      </c>
      <c r="E21" s="46">
        <f t="shared" si="17"/>
        <v>19680</v>
      </c>
      <c r="F21" s="22">
        <v>85989</v>
      </c>
      <c r="G21" s="22">
        <v>1.7829999999999999</v>
      </c>
      <c r="H21" s="46">
        <f t="shared" si="18"/>
        <v>22560</v>
      </c>
      <c r="I21" s="22">
        <v>10179</v>
      </c>
      <c r="J21" s="22">
        <v>1.6</v>
      </c>
      <c r="K21" s="46">
        <f t="shared" si="19"/>
        <v>5200</v>
      </c>
      <c r="L21" s="22">
        <v>10049</v>
      </c>
      <c r="M21" s="22">
        <v>1.3</v>
      </c>
      <c r="N21" s="46">
        <f t="shared" si="20"/>
        <v>5200</v>
      </c>
      <c r="O21" s="22">
        <v>10758</v>
      </c>
      <c r="P21" s="22">
        <v>1.46</v>
      </c>
      <c r="Q21" s="46">
        <f t="shared" si="21"/>
        <v>4800</v>
      </c>
      <c r="R21" s="22">
        <v>70489</v>
      </c>
      <c r="S21" s="22">
        <v>1.4510000000000001</v>
      </c>
      <c r="T21" s="46">
        <f t="shared" si="22"/>
        <v>38400</v>
      </c>
      <c r="U21" s="22">
        <v>66749</v>
      </c>
      <c r="V21" s="22">
        <v>1.645</v>
      </c>
      <c r="W21" s="46">
        <f t="shared" si="23"/>
        <v>28500</v>
      </c>
      <c r="X21" s="22">
        <v>16684</v>
      </c>
      <c r="Y21" s="22">
        <v>0.21199999999999999</v>
      </c>
      <c r="Z21" s="46">
        <f t="shared" si="24"/>
        <v>2880</v>
      </c>
      <c r="AA21" s="22">
        <v>11321</v>
      </c>
      <c r="AB21" s="22">
        <v>0.10199999999999999</v>
      </c>
      <c r="AC21" s="46">
        <f t="shared" si="25"/>
        <v>640</v>
      </c>
      <c r="AD21" s="22">
        <v>85473</v>
      </c>
      <c r="AE21" s="22">
        <v>1.7</v>
      </c>
      <c r="AF21" s="46">
        <f t="shared" si="26"/>
        <v>23200</v>
      </c>
      <c r="AG21" s="22">
        <v>16173</v>
      </c>
      <c r="AH21" s="22">
        <v>0.30099999999999999</v>
      </c>
      <c r="AI21" s="46">
        <f t="shared" si="27"/>
        <v>1200</v>
      </c>
      <c r="AJ21" s="203">
        <v>55636</v>
      </c>
      <c r="AK21" s="46">
        <f t="shared" si="28"/>
        <v>241</v>
      </c>
      <c r="AL21" s="46"/>
      <c r="AN21" s="46">
        <f t="shared" si="29"/>
        <v>152501</v>
      </c>
      <c r="AO21" s="22">
        <f t="shared" si="30"/>
        <v>24400</v>
      </c>
      <c r="AP21" s="22">
        <f t="shared" si="31"/>
        <v>0.15999895082655197</v>
      </c>
      <c r="AQ21" s="22"/>
      <c r="AR21" s="16"/>
      <c r="AS21" s="89">
        <f t="shared" si="0"/>
        <v>43940</v>
      </c>
      <c r="AT21" s="22">
        <v>58291</v>
      </c>
      <c r="AU21" s="46">
        <f t="shared" si="32"/>
        <v>8900</v>
      </c>
      <c r="AV21" s="22">
        <v>7403</v>
      </c>
      <c r="AW21" s="46">
        <f t="shared" si="33"/>
        <v>1900</v>
      </c>
      <c r="AX21" s="103">
        <v>97922</v>
      </c>
      <c r="AY21" s="104">
        <f t="shared" si="34"/>
        <v>260</v>
      </c>
      <c r="AZ21" s="22">
        <v>48014</v>
      </c>
      <c r="BA21" s="46">
        <f t="shared" si="35"/>
        <v>1200</v>
      </c>
      <c r="BC21" s="83"/>
      <c r="BD21" s="27">
        <f t="shared" si="36"/>
        <v>12260</v>
      </c>
      <c r="BE21" s="22"/>
      <c r="BF21" s="22"/>
      <c r="BH21" s="16"/>
      <c r="BJ21" s="21">
        <f t="shared" si="1"/>
        <v>55636</v>
      </c>
      <c r="BN21" s="85">
        <f t="shared" si="2"/>
        <v>85989</v>
      </c>
      <c r="BW21" s="85">
        <f t="shared" si="3"/>
        <v>90238</v>
      </c>
      <c r="CF21" s="85">
        <f t="shared" si="4"/>
        <v>70489</v>
      </c>
      <c r="CO21" s="85">
        <f t="shared" si="5"/>
        <v>16173</v>
      </c>
      <c r="CX21" s="85">
        <f t="shared" si="6"/>
        <v>66749</v>
      </c>
      <c r="DG21" s="85">
        <f t="shared" si="7"/>
        <v>10049</v>
      </c>
      <c r="DP21" s="85">
        <f t="shared" si="8"/>
        <v>70489</v>
      </c>
      <c r="DY21" s="85">
        <f t="shared" si="9"/>
        <v>10758</v>
      </c>
      <c r="EH21" s="85">
        <f t="shared" si="10"/>
        <v>16684</v>
      </c>
      <c r="EQ21" s="85">
        <f t="shared" si="11"/>
        <v>11321</v>
      </c>
      <c r="EZ21" s="21">
        <f t="shared" si="12"/>
        <v>85473</v>
      </c>
      <c r="FI21" s="66"/>
      <c r="FN21" s="16"/>
      <c r="FP21" s="85">
        <f t="shared" si="13"/>
        <v>7403</v>
      </c>
      <c r="FY21" s="85">
        <f t="shared" si="14"/>
        <v>58291</v>
      </c>
      <c r="GH21" s="85">
        <f t="shared" si="15"/>
        <v>97922</v>
      </c>
      <c r="GN21" s="85">
        <f t="shared" si="16"/>
        <v>48014</v>
      </c>
      <c r="HA21" s="20"/>
    </row>
    <row r="22" spans="2:217" x14ac:dyDescent="0.25">
      <c r="B22" s="82">
        <v>43947</v>
      </c>
      <c r="C22" s="22">
        <v>90362</v>
      </c>
      <c r="D22" s="22">
        <v>0.91500000000000004</v>
      </c>
      <c r="E22" s="46">
        <f t="shared" si="17"/>
        <v>19840</v>
      </c>
      <c r="F22" s="22">
        <v>86133</v>
      </c>
      <c r="G22" s="22">
        <v>1.18</v>
      </c>
      <c r="H22" s="46">
        <f t="shared" si="18"/>
        <v>23040</v>
      </c>
      <c r="I22" s="22">
        <v>10193</v>
      </c>
      <c r="J22" s="22">
        <v>0.09</v>
      </c>
      <c r="K22" s="46">
        <f t="shared" si="19"/>
        <v>5600</v>
      </c>
      <c r="L22" s="22">
        <v>10062</v>
      </c>
      <c r="M22" s="22">
        <v>0.87</v>
      </c>
      <c r="N22" s="46">
        <f t="shared" si="20"/>
        <v>5200</v>
      </c>
      <c r="O22" s="22">
        <v>10770</v>
      </c>
      <c r="P22" s="22">
        <v>0.81</v>
      </c>
      <c r="Q22" s="46">
        <f t="shared" si="21"/>
        <v>4800</v>
      </c>
      <c r="R22" s="22">
        <v>70544</v>
      </c>
      <c r="S22" s="22">
        <v>1.2889999999999999</v>
      </c>
      <c r="T22" s="46">
        <f t="shared" si="22"/>
        <v>16500</v>
      </c>
      <c r="U22" s="22">
        <v>66923</v>
      </c>
      <c r="V22" s="22">
        <v>1.659</v>
      </c>
      <c r="W22" s="46">
        <f t="shared" si="23"/>
        <v>52200</v>
      </c>
      <c r="X22" s="22">
        <v>16702</v>
      </c>
      <c r="Y22" s="22">
        <v>0.11899999999999999</v>
      </c>
      <c r="Z22" s="46">
        <f t="shared" si="24"/>
        <v>2880</v>
      </c>
      <c r="AA22" s="22">
        <v>11325</v>
      </c>
      <c r="AB22" s="22">
        <v>6.0999999999999999E-2</v>
      </c>
      <c r="AC22" s="46">
        <f t="shared" si="25"/>
        <v>640</v>
      </c>
      <c r="AD22" s="22">
        <v>85590</v>
      </c>
      <c r="AE22" s="22">
        <v>0.88900000000000001</v>
      </c>
      <c r="AF22" s="46">
        <f t="shared" si="26"/>
        <v>23400</v>
      </c>
      <c r="AG22" s="22">
        <v>16201</v>
      </c>
      <c r="AH22" s="22">
        <v>0.24399999999999999</v>
      </c>
      <c r="AI22" s="46">
        <f t="shared" si="27"/>
        <v>1120</v>
      </c>
      <c r="AJ22" s="203">
        <v>55876</v>
      </c>
      <c r="AK22" s="46">
        <f t="shared" si="28"/>
        <v>240</v>
      </c>
      <c r="AL22" s="46"/>
      <c r="AN22" s="46">
        <f t="shared" si="29"/>
        <v>155460</v>
      </c>
      <c r="AO22" s="22">
        <f t="shared" si="30"/>
        <v>24520</v>
      </c>
      <c r="AP22" s="22">
        <f t="shared" si="31"/>
        <v>0.15772545992538273</v>
      </c>
      <c r="AQ22" s="22"/>
      <c r="AR22" s="16"/>
      <c r="AS22" s="89">
        <f t="shared" si="0"/>
        <v>43947</v>
      </c>
      <c r="AT22" s="22">
        <v>58358</v>
      </c>
      <c r="AU22" s="46">
        <f t="shared" si="32"/>
        <v>6700</v>
      </c>
      <c r="AV22" s="22">
        <v>7417</v>
      </c>
      <c r="AW22" s="46">
        <f t="shared" si="33"/>
        <v>1400</v>
      </c>
      <c r="AX22" s="103">
        <v>98110</v>
      </c>
      <c r="AY22" s="104">
        <f t="shared" si="34"/>
        <v>188</v>
      </c>
      <c r="AZ22" s="22">
        <v>48049</v>
      </c>
      <c r="BA22" s="46">
        <f t="shared" si="35"/>
        <v>1400</v>
      </c>
      <c r="BC22" s="83"/>
      <c r="BD22" s="27">
        <f t="shared" si="36"/>
        <v>9688</v>
      </c>
      <c r="BE22" s="22"/>
      <c r="BF22" s="22"/>
      <c r="BH22" s="16"/>
      <c r="BJ22" s="21">
        <f t="shared" si="1"/>
        <v>55876</v>
      </c>
      <c r="BN22" s="85">
        <f t="shared" si="2"/>
        <v>86133</v>
      </c>
      <c r="BW22" s="85">
        <f t="shared" si="3"/>
        <v>90362</v>
      </c>
      <c r="CF22" s="85">
        <f t="shared" si="4"/>
        <v>70544</v>
      </c>
      <c r="CO22" s="85">
        <f t="shared" si="5"/>
        <v>16201</v>
      </c>
      <c r="CX22" s="85">
        <f t="shared" si="6"/>
        <v>66923</v>
      </c>
      <c r="DG22" s="85">
        <f t="shared" si="7"/>
        <v>10062</v>
      </c>
      <c r="DP22" s="85">
        <f t="shared" si="8"/>
        <v>70544</v>
      </c>
      <c r="DY22" s="85">
        <f t="shared" si="9"/>
        <v>10770</v>
      </c>
      <c r="EH22" s="85">
        <f t="shared" si="10"/>
        <v>16702</v>
      </c>
      <c r="EQ22" s="85">
        <f t="shared" si="11"/>
        <v>11325</v>
      </c>
      <c r="EZ22" s="21">
        <f t="shared" si="12"/>
        <v>85590</v>
      </c>
      <c r="FI22" s="66"/>
      <c r="FN22" s="16"/>
      <c r="FP22" s="85">
        <f t="shared" si="13"/>
        <v>7417</v>
      </c>
      <c r="FY22" s="85">
        <f t="shared" si="14"/>
        <v>58358</v>
      </c>
      <c r="GH22" s="85">
        <f t="shared" si="15"/>
        <v>98110</v>
      </c>
      <c r="GN22" s="85">
        <f t="shared" si="16"/>
        <v>48049</v>
      </c>
      <c r="HA22" s="20"/>
    </row>
    <row r="23" spans="2:217" x14ac:dyDescent="0.25">
      <c r="B23" s="82">
        <v>43952</v>
      </c>
      <c r="C23" s="22">
        <v>90433</v>
      </c>
      <c r="D23" s="22">
        <v>0.91500000000000004</v>
      </c>
      <c r="E23" s="46">
        <f t="shared" si="17"/>
        <v>11360</v>
      </c>
      <c r="F23" s="22">
        <v>86220</v>
      </c>
      <c r="G23" s="22">
        <v>1.2709999999999999</v>
      </c>
      <c r="H23" s="46">
        <f t="shared" si="18"/>
        <v>13920</v>
      </c>
      <c r="I23" s="22">
        <v>10199</v>
      </c>
      <c r="J23" s="22">
        <v>1.07</v>
      </c>
      <c r="K23" s="46">
        <f t="shared" si="19"/>
        <v>2400</v>
      </c>
      <c r="L23" s="22">
        <v>10070</v>
      </c>
      <c r="M23" s="22">
        <v>1.17</v>
      </c>
      <c r="N23" s="46">
        <f t="shared" si="20"/>
        <v>3200</v>
      </c>
      <c r="O23" s="22">
        <v>10776</v>
      </c>
      <c r="P23" s="22">
        <v>0.98</v>
      </c>
      <c r="Q23" s="46">
        <f t="shared" si="21"/>
        <v>2400</v>
      </c>
      <c r="R23" s="22">
        <v>70578</v>
      </c>
      <c r="S23" s="22">
        <v>1.2889999999999999</v>
      </c>
      <c r="T23" s="46">
        <f t="shared" si="22"/>
        <v>10200</v>
      </c>
      <c r="U23" s="22">
        <v>66983</v>
      </c>
      <c r="V23" s="22">
        <v>1.659</v>
      </c>
      <c r="W23" s="46">
        <f t="shared" si="23"/>
        <v>18000</v>
      </c>
      <c r="X23" s="22">
        <v>16712</v>
      </c>
      <c r="Y23" s="22">
        <v>1.24</v>
      </c>
      <c r="Z23" s="46">
        <f t="shared" si="24"/>
        <v>1600</v>
      </c>
      <c r="AA23" s="22">
        <v>11327</v>
      </c>
      <c r="AB23" s="22">
        <v>6.0999999999999999E-2</v>
      </c>
      <c r="AC23" s="46">
        <f t="shared" si="25"/>
        <v>320</v>
      </c>
      <c r="AD23" s="22">
        <v>85654</v>
      </c>
      <c r="AE23" s="22">
        <v>0.88900000000000001</v>
      </c>
      <c r="AF23" s="46">
        <f t="shared" si="26"/>
        <v>12800</v>
      </c>
      <c r="AG23" s="22">
        <v>16219</v>
      </c>
      <c r="AH23" s="22">
        <v>0.28000000000000003</v>
      </c>
      <c r="AI23" s="46">
        <f t="shared" si="27"/>
        <v>720</v>
      </c>
      <c r="AJ23" s="203">
        <v>56024</v>
      </c>
      <c r="AK23" s="46">
        <f t="shared" si="28"/>
        <v>148</v>
      </c>
      <c r="AL23" s="46"/>
      <c r="AN23" s="46">
        <f t="shared" si="29"/>
        <v>77068</v>
      </c>
      <c r="AO23" s="22">
        <f t="shared" si="30"/>
        <v>13520</v>
      </c>
      <c r="AP23" s="22">
        <f t="shared" si="31"/>
        <v>0.17542949083925882</v>
      </c>
      <c r="AQ23" s="22">
        <f>SUM(AN19:AN23)</f>
        <v>626874</v>
      </c>
      <c r="AR23" s="16"/>
      <c r="AS23" s="89">
        <f t="shared" si="0"/>
        <v>43952</v>
      </c>
      <c r="AT23" s="22">
        <v>58420</v>
      </c>
      <c r="AU23" s="46">
        <f t="shared" si="32"/>
        <v>6200</v>
      </c>
      <c r="AV23" s="22">
        <v>7430</v>
      </c>
      <c r="AW23" s="46">
        <f t="shared" si="33"/>
        <v>1300</v>
      </c>
      <c r="AX23" s="103">
        <v>98267</v>
      </c>
      <c r="AY23" s="104">
        <f t="shared" si="34"/>
        <v>157</v>
      </c>
      <c r="AZ23" s="22">
        <v>48106</v>
      </c>
      <c r="BA23" s="46">
        <f t="shared" si="35"/>
        <v>2280</v>
      </c>
      <c r="BC23" s="83"/>
      <c r="BD23" s="27">
        <f t="shared" si="36"/>
        <v>9937</v>
      </c>
      <c r="BE23" s="22">
        <f>SUM(BC19:BD23)</f>
        <v>54862</v>
      </c>
      <c r="BF23" s="22">
        <f>SUM(AQ23+BE23)</f>
        <v>681736</v>
      </c>
      <c r="BH23" s="16"/>
      <c r="BJ23" s="21">
        <f t="shared" si="1"/>
        <v>56024</v>
      </c>
      <c r="BK23" s="22">
        <v>55637</v>
      </c>
      <c r="BL23" s="21">
        <f>SUM(BK23-BK17)</f>
        <v>962</v>
      </c>
      <c r="BM23" s="84">
        <f>SUM(BL23*0.13773+BL23*0.02095)*1.09+2.85</f>
        <v>169.23867439999998</v>
      </c>
      <c r="BN23" s="85">
        <f t="shared" si="2"/>
        <v>86220</v>
      </c>
      <c r="BO23" s="22">
        <v>86018</v>
      </c>
      <c r="BP23" s="22">
        <v>2.4260000000000002</v>
      </c>
      <c r="BQ23" s="21">
        <f>SUM(BO23-BO17)*160</f>
        <v>84800</v>
      </c>
      <c r="BR23" s="21">
        <f>(BP23)*160</f>
        <v>388.16</v>
      </c>
      <c r="BS23" s="84">
        <f>SUM(BQ23*0.05155)</f>
        <v>4371.4399999999996</v>
      </c>
      <c r="BT23" s="84">
        <f>SUM(BQ23*0.02095)</f>
        <v>1776.56</v>
      </c>
      <c r="BU23" s="84">
        <f>SUM(BR23*7.689)</f>
        <v>2984.5622400000002</v>
      </c>
      <c r="BV23" s="84">
        <f>SUM(BS23+BT23)*1.11</f>
        <v>6824.2800000000007</v>
      </c>
      <c r="BW23" s="85">
        <f t="shared" si="3"/>
        <v>90433</v>
      </c>
      <c r="BX23" s="22">
        <v>90264</v>
      </c>
      <c r="BY23" s="22">
        <v>2.2330000000000001</v>
      </c>
      <c r="BZ23" s="21">
        <f>SUM(BX23-BX17)*160</f>
        <v>77280</v>
      </c>
      <c r="CA23" s="21">
        <f>(BY23)*160</f>
        <v>357.28000000000003</v>
      </c>
      <c r="CB23" s="84">
        <f>SUM(BZ23*0.05155)</f>
        <v>3983.7840000000001</v>
      </c>
      <c r="CC23" s="84">
        <f>SUM(BZ23*0.02095)</f>
        <v>1619.0160000000001</v>
      </c>
      <c r="CD23" s="84">
        <f>SUM(CA23*7.689)</f>
        <v>2747.1259200000004</v>
      </c>
      <c r="CE23" s="84">
        <f>SUM((CB23+CC23)+20)* 1.11</f>
        <v>6241.3080000000009</v>
      </c>
      <c r="CF23" s="85">
        <f t="shared" si="4"/>
        <v>70578</v>
      </c>
      <c r="CG23" s="22">
        <v>70493</v>
      </c>
      <c r="CH23" s="22">
        <v>2.2519999999999998</v>
      </c>
      <c r="CI23" s="21">
        <f>SUM(CG23-CG17)*300</f>
        <v>136800</v>
      </c>
      <c r="CJ23" s="21">
        <f>(CH23)*300</f>
        <v>675.59999999999991</v>
      </c>
      <c r="CK23" s="84">
        <f>SUM(CI23*0.05155)</f>
        <v>7052.04</v>
      </c>
      <c r="CL23" s="84">
        <f>SUM(CI23*0.02095)</f>
        <v>2865.96</v>
      </c>
      <c r="CM23" s="84">
        <f>SUM(CJ23*7.689)</f>
        <v>5194.6883999999991</v>
      </c>
      <c r="CN23" s="84">
        <f>SUM((CK23+CL23)+20)*1.11</f>
        <v>11031.18</v>
      </c>
      <c r="CO23" s="85">
        <f t="shared" si="5"/>
        <v>16219</v>
      </c>
      <c r="CP23" s="22">
        <v>16176</v>
      </c>
      <c r="CQ23" s="22">
        <v>0.32800000000000001</v>
      </c>
      <c r="CR23" s="21">
        <f>(CP23-CP17)*40</f>
        <v>4320</v>
      </c>
      <c r="CS23" s="21">
        <f>(CQ23)*40</f>
        <v>13.120000000000001</v>
      </c>
      <c r="CT23" s="84">
        <f>SUM(CR23*0.05155)</f>
        <v>222.696</v>
      </c>
      <c r="CU23" s="84">
        <f>SUM(CR23*0.02095)</f>
        <v>90.504000000000005</v>
      </c>
      <c r="CV23" s="84">
        <f>SUM(CS23*7.689)</f>
        <v>100.87968000000001</v>
      </c>
      <c r="CW23" s="84">
        <f>SUM((CT23+CU23)+20)*1.11</f>
        <v>369.85200000000003</v>
      </c>
      <c r="CX23" s="85">
        <f t="shared" si="6"/>
        <v>66983</v>
      </c>
      <c r="CY23" s="22">
        <v>66771</v>
      </c>
      <c r="CZ23" s="22">
        <v>2.0070000000000001</v>
      </c>
      <c r="DA23" s="21">
        <f>SUM(CY23-CY17)*300</f>
        <v>96600</v>
      </c>
      <c r="DB23" s="86">
        <f>(CZ23)*300</f>
        <v>602.1</v>
      </c>
      <c r="DC23" s="84">
        <f>SUM(DA23*0.05155)</f>
        <v>4979.7299999999996</v>
      </c>
      <c r="DD23" s="84">
        <f>SUM(DA23*0.02095)</f>
        <v>2023.77</v>
      </c>
      <c r="DE23" s="84">
        <f>SUM(DB23*7.689)</f>
        <v>4629.5469000000003</v>
      </c>
      <c r="DF23" s="84">
        <f>SUM((DC23+DD23)+20)*1.12</f>
        <v>7866.3200000000006</v>
      </c>
      <c r="DG23" s="85">
        <f t="shared" si="7"/>
        <v>10070</v>
      </c>
      <c r="DH23" s="22">
        <v>10052</v>
      </c>
      <c r="DI23" s="22">
        <v>0.254</v>
      </c>
      <c r="DJ23" s="21">
        <f>SUM(DH23-DH17)*400</f>
        <v>20400</v>
      </c>
      <c r="DK23" s="86">
        <f>(DI23)*400</f>
        <v>101.6</v>
      </c>
      <c r="DL23" s="84">
        <f>SUM(DJ23*0.05155)</f>
        <v>1051.6199999999999</v>
      </c>
      <c r="DM23" s="84">
        <f>SUM(DJ23*0.02095)</f>
        <v>427.38</v>
      </c>
      <c r="DN23" s="84">
        <f>SUM(DK23*7.689)</f>
        <v>781.20240000000001</v>
      </c>
      <c r="DO23" s="84">
        <f>SUM((DL23+DM23)+20)*1.12</f>
        <v>1678.88</v>
      </c>
      <c r="DP23" s="85">
        <f t="shared" si="8"/>
        <v>70578</v>
      </c>
      <c r="DQ23" s="22">
        <v>10182</v>
      </c>
      <c r="DR23" s="22">
        <v>0.32400000000000001</v>
      </c>
      <c r="DS23" s="21">
        <f>SUM(DQ23-DQ17)*400</f>
        <v>19600</v>
      </c>
      <c r="DT23" s="21">
        <f>(DR23)*400</f>
        <v>129.6</v>
      </c>
      <c r="DU23" s="84">
        <f>SUM(DS23*0.05155)</f>
        <v>1010.38</v>
      </c>
      <c r="DV23" s="84">
        <f>SUM(DS23*0.02095)</f>
        <v>410.62</v>
      </c>
      <c r="DW23" s="84">
        <f>SUM(DT23*7.689)</f>
        <v>996.49439999999993</v>
      </c>
      <c r="DX23" s="84">
        <f>SUM((DU23+DV23)+20)*1.12</f>
        <v>1613.92</v>
      </c>
      <c r="DY23" s="85">
        <f t="shared" si="9"/>
        <v>10776</v>
      </c>
      <c r="DZ23" s="22">
        <v>10761</v>
      </c>
      <c r="EA23" s="22">
        <v>0.29799999999999999</v>
      </c>
      <c r="EB23" s="21">
        <f>SUM(DZ23-DZ17)*400</f>
        <v>18000</v>
      </c>
      <c r="EC23" s="21">
        <f>(EA23)*400</f>
        <v>119.19999999999999</v>
      </c>
      <c r="ED23" s="84">
        <f>SUM(EB23*0.05155)</f>
        <v>927.9</v>
      </c>
      <c r="EE23" s="84">
        <f>SUM(EB23*0.02095)</f>
        <v>377.1</v>
      </c>
      <c r="EF23" s="84">
        <f>SUM(EC23*7.689)</f>
        <v>916.52879999999993</v>
      </c>
      <c r="EG23" s="84">
        <f>SUM((ED23+EE23)+20)*1.12</f>
        <v>1484.0000000000002</v>
      </c>
      <c r="EH23" s="85">
        <f t="shared" si="10"/>
        <v>16712</v>
      </c>
      <c r="EI23" s="22">
        <v>16686</v>
      </c>
      <c r="EJ23" s="22">
        <v>0.63700000000000001</v>
      </c>
      <c r="EK23" s="21">
        <f>SUM(EI23-EI17)*160</f>
        <v>11520</v>
      </c>
      <c r="EL23" s="21">
        <f>(EJ23)*160</f>
        <v>101.92</v>
      </c>
      <c r="EM23" s="84">
        <f>SUM(EK23*0.05155)</f>
        <v>593.85599999999999</v>
      </c>
      <c r="EN23" s="84">
        <f>SUM(EK23*0.02095)</f>
        <v>241.34399999999999</v>
      </c>
      <c r="EO23" s="84">
        <f>SUM(EL23*7.689)</f>
        <v>783.66287999999997</v>
      </c>
      <c r="EP23" s="84">
        <f>SUM((EM23+EN23)+20)*1.12</f>
        <v>957.82400000000018</v>
      </c>
      <c r="EQ23" s="85">
        <f t="shared" si="11"/>
        <v>11327</v>
      </c>
      <c r="ER23" s="22">
        <v>11322</v>
      </c>
      <c r="ES23" s="22">
        <v>0.34699999999999998</v>
      </c>
      <c r="ET23" s="21">
        <f>SUM(ER23-ER17)*160</f>
        <v>2880</v>
      </c>
      <c r="EU23" s="21">
        <f>(ES23)*160</f>
        <v>55.519999999999996</v>
      </c>
      <c r="EV23" s="84">
        <f>SUM(ET23*0.05155)</f>
        <v>148.464</v>
      </c>
      <c r="EW23" s="84">
        <f>SUM(ET23*0.02095)</f>
        <v>60.335999999999999</v>
      </c>
      <c r="EX23" s="84">
        <f>SUM(EU23*7.689)</f>
        <v>426.89327999999995</v>
      </c>
      <c r="EY23" s="84">
        <f>SUM((EV23+EW23)+20)*1.12</f>
        <v>256.25600000000003</v>
      </c>
      <c r="EZ23" s="21">
        <f t="shared" si="12"/>
        <v>85654</v>
      </c>
      <c r="FA23" s="97">
        <v>85483</v>
      </c>
      <c r="FB23" s="97">
        <v>2.0649999999999999</v>
      </c>
      <c r="FC23" s="21">
        <f>SUM(FA23-FA17)*200</f>
        <v>84400</v>
      </c>
      <c r="FD23" s="21">
        <f>(FB23)*200</f>
        <v>413</v>
      </c>
      <c r="FE23" s="84">
        <f>SUM(FC23*0.05155)</f>
        <v>4350.82</v>
      </c>
      <c r="FF23" s="84">
        <f>SUM(FC23*0.02095)</f>
        <v>1768.18</v>
      </c>
      <c r="FG23" s="84">
        <f>SUM(FD23*7.689)</f>
        <v>3175.5570000000002</v>
      </c>
      <c r="FH23" s="84">
        <f>SUM((FE23+FF23)+20)*1.12</f>
        <v>6875.68</v>
      </c>
      <c r="FI23" s="66"/>
      <c r="FJ23" s="101">
        <f>SUM(BL23+BQ23+BZ23+CI23+CR23+DA23+DJ23+DS23+EB23+EK23+ET23+FC23)</f>
        <v>557562</v>
      </c>
      <c r="FK23" s="102">
        <f>SUM(BM23+BV23,CE23,CN23,CW23,DF23,DO23,DX23,EG23,EP23,EY23+FH23)</f>
        <v>45368.738674399996</v>
      </c>
      <c r="FL23" s="102">
        <f>SUM(BU23,CD23,CM23,CV23,DE23,DN23,DW23,EF23,EO23,EX23,FG23)</f>
        <v>22737.141899999999</v>
      </c>
      <c r="FM23" s="102">
        <f>SUM(FK23:FL23)</f>
        <v>68105.880574399998</v>
      </c>
      <c r="FN23" s="16"/>
      <c r="FP23" s="85">
        <f t="shared" si="13"/>
        <v>7430</v>
      </c>
      <c r="FQ23" s="22">
        <v>7401</v>
      </c>
      <c r="FR23" s="22">
        <v>0.22500000000000001</v>
      </c>
      <c r="FS23" s="21">
        <f>SUM(FQ23-FQ17)*100</f>
        <v>6500</v>
      </c>
      <c r="FT23" s="21">
        <f>SUM(FR23)*100</f>
        <v>22.5</v>
      </c>
      <c r="FU23" s="87">
        <f>SUM(FS23*0.05155)</f>
        <v>335.07499999999999</v>
      </c>
      <c r="FV23" s="87">
        <f>SUM(FS23*0.02095)</f>
        <v>136.17500000000001</v>
      </c>
      <c r="FW23" s="87">
        <f>SUM(FT23*7.689)</f>
        <v>173.0025</v>
      </c>
      <c r="FX23" s="84">
        <f>SUM(FV23+FU23+20)*1.1048</f>
        <v>542.73299999999995</v>
      </c>
      <c r="FY23" s="85">
        <f t="shared" si="14"/>
        <v>58420</v>
      </c>
      <c r="FZ23" s="22">
        <v>58281</v>
      </c>
      <c r="GA23" s="22">
        <v>1.599</v>
      </c>
      <c r="GB23" s="21">
        <f>SUM(FZ23-FZ17)*100</f>
        <v>28000</v>
      </c>
      <c r="GC23" s="21">
        <f>SUM(GA23)*100</f>
        <v>159.9</v>
      </c>
      <c r="GD23" s="87">
        <f>SUM(GB23*0.05155)</f>
        <v>1443.3999999999999</v>
      </c>
      <c r="GE23" s="87">
        <f>SUM(GB23*0.02095)</f>
        <v>586.6</v>
      </c>
      <c r="GF23" s="87">
        <f>SUM(GC23*7.689)</f>
        <v>1229.4711</v>
      </c>
      <c r="GG23" s="84">
        <f>SUM(GE23+GD23+20)*1.1048</f>
        <v>2264.84</v>
      </c>
      <c r="GH23" s="85">
        <f t="shared" si="15"/>
        <v>98267</v>
      </c>
      <c r="GI23" s="22">
        <v>97983</v>
      </c>
      <c r="GJ23" s="21">
        <f>SUM(GI23-GI17)</f>
        <v>1063</v>
      </c>
      <c r="GK23" s="84">
        <f>SUM(GJ23*0.13773)</f>
        <v>146.40698999999998</v>
      </c>
      <c r="GL23" s="84">
        <f>SUM(GJ23*0.02095)</f>
        <v>22.269849999999998</v>
      </c>
      <c r="GM23" s="84">
        <f>SUM(GK23+GL23+2.32)*1.07</f>
        <v>182.96661879999996</v>
      </c>
      <c r="GN23" s="85">
        <f t="shared" si="16"/>
        <v>48106</v>
      </c>
      <c r="GO23" s="22">
        <v>48036</v>
      </c>
      <c r="GP23" s="22">
        <v>3.4540000000000002</v>
      </c>
      <c r="GQ23" s="21">
        <f>SUM(GO23-GO17)*40</f>
        <v>14600</v>
      </c>
      <c r="GR23" s="21">
        <f>SUM(GP23)*40</f>
        <v>138.16</v>
      </c>
      <c r="GS23" s="84">
        <f>SUM(GQ23*0.05155)</f>
        <v>752.63</v>
      </c>
      <c r="GT23" s="84">
        <f>SUM(GQ23*0.02095)</f>
        <v>305.87</v>
      </c>
      <c r="GU23" s="84">
        <f>SUM(GR23*7.689)</f>
        <v>1062.31224</v>
      </c>
      <c r="GV23" s="84">
        <f>SUM(GT23+GS23+20)*1.2</f>
        <v>1294.2</v>
      </c>
      <c r="GW23" s="22">
        <f>SUM(FS23+GB23+GJ23+GQ23)</f>
        <v>50163</v>
      </c>
      <c r="GX23" s="102">
        <f>SUM(GV23+GM23+GG23+FX23)</f>
        <v>4284.7396188000002</v>
      </c>
      <c r="GY23" s="102">
        <f>SUM(FW23+GF23+GU23)</f>
        <v>2464.78584</v>
      </c>
      <c r="GZ23" s="102">
        <f>SUM(GX23:GY23)</f>
        <v>6749.5254588000007</v>
      </c>
      <c r="HA23" s="20"/>
      <c r="HB23" s="101">
        <f t="shared" ref="HB23:HD23" si="43">(FJ23+GW23)</f>
        <v>607725</v>
      </c>
      <c r="HC23" s="102">
        <f t="shared" si="43"/>
        <v>49653.478293199994</v>
      </c>
      <c r="HD23" s="102">
        <f t="shared" si="43"/>
        <v>25201.927739999999</v>
      </c>
      <c r="HE23" s="102">
        <f t="shared" ref="HE23" si="44">(HC23+HD23)</f>
        <v>74855.406033199994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82">
        <v>43955</v>
      </c>
      <c r="C24" s="22">
        <v>90479</v>
      </c>
      <c r="D24" s="22">
        <v>0.91500000000000004</v>
      </c>
      <c r="E24" s="46">
        <f t="shared" si="17"/>
        <v>7360</v>
      </c>
      <c r="F24" s="22">
        <v>86276</v>
      </c>
      <c r="G24" s="22">
        <v>1.2709999999999999</v>
      </c>
      <c r="H24" s="46">
        <f t="shared" si="18"/>
        <v>8960</v>
      </c>
      <c r="I24" s="22">
        <v>10203</v>
      </c>
      <c r="J24" s="22">
        <v>1.07</v>
      </c>
      <c r="K24" s="46">
        <f t="shared" si="19"/>
        <v>1600</v>
      </c>
      <c r="L24" s="22">
        <v>10074</v>
      </c>
      <c r="M24" s="22">
        <v>1.17</v>
      </c>
      <c r="N24" s="46">
        <f t="shared" si="20"/>
        <v>1600</v>
      </c>
      <c r="O24" s="22">
        <v>10780</v>
      </c>
      <c r="P24" s="22">
        <v>0.98</v>
      </c>
      <c r="Q24" s="46">
        <f t="shared" si="21"/>
        <v>1600</v>
      </c>
      <c r="R24" s="22">
        <v>70588</v>
      </c>
      <c r="S24" s="22">
        <v>1.2889999999999999</v>
      </c>
      <c r="T24" s="46">
        <f t="shared" si="22"/>
        <v>3000</v>
      </c>
      <c r="U24" s="22">
        <v>67028</v>
      </c>
      <c r="V24" s="22">
        <v>1.659</v>
      </c>
      <c r="W24" s="46">
        <f t="shared" si="23"/>
        <v>13500</v>
      </c>
      <c r="X24" s="22">
        <v>16719</v>
      </c>
      <c r="Y24" s="22">
        <v>1.24</v>
      </c>
      <c r="Z24" s="46">
        <f t="shared" si="24"/>
        <v>1120</v>
      </c>
      <c r="AA24" s="22">
        <v>11329</v>
      </c>
      <c r="AB24" s="22">
        <v>6.0999999999999999E-2</v>
      </c>
      <c r="AC24" s="46">
        <f t="shared" si="25"/>
        <v>320</v>
      </c>
      <c r="AD24" s="22">
        <v>85692</v>
      </c>
      <c r="AE24" s="22">
        <v>0.88900000000000001</v>
      </c>
      <c r="AF24" s="46">
        <f t="shared" si="26"/>
        <v>7600</v>
      </c>
      <c r="AG24" s="22">
        <v>16230</v>
      </c>
      <c r="AH24" s="22">
        <v>0.28000000000000003</v>
      </c>
      <c r="AI24" s="46">
        <f t="shared" si="27"/>
        <v>440</v>
      </c>
      <c r="AJ24" s="203">
        <v>56107</v>
      </c>
      <c r="AK24" s="46">
        <f t="shared" si="28"/>
        <v>83</v>
      </c>
      <c r="AL24" s="46"/>
      <c r="AN24" s="46">
        <f t="shared" si="29"/>
        <v>47183</v>
      </c>
      <c r="AO24" s="22">
        <f t="shared" si="30"/>
        <v>8040</v>
      </c>
      <c r="AP24" s="22">
        <f t="shared" si="31"/>
        <v>0.17040035606044551</v>
      </c>
      <c r="AQ24" s="22"/>
      <c r="AR24" s="16"/>
      <c r="AS24" s="89">
        <f t="shared" si="0"/>
        <v>43955</v>
      </c>
      <c r="AT24" s="22">
        <v>58430</v>
      </c>
      <c r="AU24" s="46">
        <f t="shared" si="32"/>
        <v>1000</v>
      </c>
      <c r="AV24" s="22">
        <v>7432</v>
      </c>
      <c r="AW24" s="46">
        <f t="shared" si="33"/>
        <v>200</v>
      </c>
      <c r="AX24" s="103">
        <v>98294</v>
      </c>
      <c r="AY24" s="104">
        <f t="shared" si="34"/>
        <v>27</v>
      </c>
      <c r="AZ24" s="22">
        <v>48125</v>
      </c>
      <c r="BA24" s="46">
        <f t="shared" si="35"/>
        <v>760</v>
      </c>
      <c r="BC24" s="83"/>
      <c r="BD24" s="27">
        <f t="shared" si="36"/>
        <v>1987</v>
      </c>
      <c r="BE24" s="22"/>
      <c r="BF24" s="22"/>
      <c r="BH24" s="16"/>
      <c r="BJ24" s="21">
        <f t="shared" si="1"/>
        <v>56107</v>
      </c>
      <c r="BN24" s="85">
        <f t="shared" si="2"/>
        <v>86276</v>
      </c>
      <c r="BW24" s="85">
        <f t="shared" si="3"/>
        <v>90479</v>
      </c>
      <c r="CF24" s="85">
        <f t="shared" si="4"/>
        <v>70588</v>
      </c>
      <c r="CO24" s="85">
        <f t="shared" si="5"/>
        <v>16230</v>
      </c>
      <c r="CX24" s="85">
        <f t="shared" si="6"/>
        <v>67028</v>
      </c>
      <c r="DG24" s="85">
        <f t="shared" si="7"/>
        <v>10074</v>
      </c>
      <c r="DP24" s="85">
        <f t="shared" si="8"/>
        <v>70588</v>
      </c>
      <c r="DY24" s="85">
        <f t="shared" si="9"/>
        <v>10780</v>
      </c>
      <c r="EH24" s="85">
        <f t="shared" si="10"/>
        <v>16719</v>
      </c>
      <c r="EQ24" s="85">
        <f t="shared" si="11"/>
        <v>11329</v>
      </c>
      <c r="EZ24" s="21">
        <f t="shared" si="12"/>
        <v>85692</v>
      </c>
      <c r="FI24" s="66"/>
      <c r="FN24" s="16"/>
      <c r="FP24" s="85">
        <f t="shared" si="13"/>
        <v>7432</v>
      </c>
      <c r="FY24" s="85">
        <f t="shared" si="14"/>
        <v>58430</v>
      </c>
      <c r="GH24" s="85">
        <f t="shared" si="15"/>
        <v>98294</v>
      </c>
      <c r="GN24" s="85">
        <f t="shared" si="16"/>
        <v>48125</v>
      </c>
      <c r="HA24" s="20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82">
        <v>43961</v>
      </c>
      <c r="C25" s="22">
        <v>90602</v>
      </c>
      <c r="D25" s="22">
        <v>0.91500000000000004</v>
      </c>
      <c r="E25" s="46">
        <f t="shared" si="17"/>
        <v>19680</v>
      </c>
      <c r="F25" s="22">
        <v>86429</v>
      </c>
      <c r="G25" s="22">
        <v>1.2709999999999999</v>
      </c>
      <c r="H25" s="46">
        <f t="shared" si="18"/>
        <v>24480</v>
      </c>
      <c r="I25" s="22">
        <v>10212</v>
      </c>
      <c r="J25" s="22">
        <v>1.07</v>
      </c>
      <c r="K25" s="46">
        <f t="shared" si="19"/>
        <v>3600</v>
      </c>
      <c r="L25" s="22">
        <v>10086</v>
      </c>
      <c r="M25" s="22">
        <v>1.17</v>
      </c>
      <c r="N25" s="46">
        <f t="shared" si="20"/>
        <v>4800</v>
      </c>
      <c r="O25" s="22">
        <v>10789</v>
      </c>
      <c r="P25" s="22">
        <v>0.98</v>
      </c>
      <c r="Q25" s="46">
        <f t="shared" si="21"/>
        <v>3600</v>
      </c>
      <c r="R25" s="22">
        <v>70619</v>
      </c>
      <c r="S25" s="22">
        <v>1.2889999999999999</v>
      </c>
      <c r="T25" s="46">
        <f t="shared" si="22"/>
        <v>9300</v>
      </c>
      <c r="U25" s="22">
        <v>67177</v>
      </c>
      <c r="V25" s="22">
        <v>1.659</v>
      </c>
      <c r="W25" s="46">
        <f t="shared" si="23"/>
        <v>44700</v>
      </c>
      <c r="X25" s="22">
        <v>16737</v>
      </c>
      <c r="Y25" s="22">
        <v>1.3</v>
      </c>
      <c r="Z25" s="46">
        <f t="shared" si="24"/>
        <v>2880</v>
      </c>
      <c r="AA25" s="22">
        <v>11333</v>
      </c>
      <c r="AB25" s="22">
        <v>0.76</v>
      </c>
      <c r="AC25" s="46">
        <f t="shared" si="25"/>
        <v>640</v>
      </c>
      <c r="AD25" s="22">
        <v>85810</v>
      </c>
      <c r="AE25" s="22">
        <v>0.88900000000000001</v>
      </c>
      <c r="AF25" s="46">
        <f t="shared" si="26"/>
        <v>23600</v>
      </c>
      <c r="AG25" s="22">
        <v>16259</v>
      </c>
      <c r="AH25" s="22">
        <v>0.28000000000000003</v>
      </c>
      <c r="AI25" s="46">
        <f t="shared" si="27"/>
        <v>1160</v>
      </c>
      <c r="AJ25" s="203">
        <v>56343</v>
      </c>
      <c r="AK25" s="46">
        <f t="shared" si="28"/>
        <v>236</v>
      </c>
      <c r="AL25" s="46"/>
      <c r="AN25" s="46">
        <f t="shared" si="29"/>
        <v>138676</v>
      </c>
      <c r="AO25" s="22">
        <f t="shared" si="30"/>
        <v>24760</v>
      </c>
      <c r="AP25" s="22">
        <f t="shared" si="31"/>
        <v>0.1785456748103493</v>
      </c>
      <c r="AQ25" s="22"/>
      <c r="AR25" s="16"/>
      <c r="AS25" s="89">
        <f t="shared" si="0"/>
        <v>43961</v>
      </c>
      <c r="AT25" s="22">
        <v>58525</v>
      </c>
      <c r="AU25" s="46">
        <f t="shared" si="32"/>
        <v>9500</v>
      </c>
      <c r="AV25" s="22">
        <v>7450</v>
      </c>
      <c r="AW25" s="46">
        <f t="shared" si="33"/>
        <v>1800</v>
      </c>
      <c r="AX25" s="103">
        <v>99018</v>
      </c>
      <c r="AY25" s="104">
        <f t="shared" si="34"/>
        <v>724</v>
      </c>
      <c r="AZ25" s="22">
        <v>48215</v>
      </c>
      <c r="BA25" s="46">
        <f t="shared" si="35"/>
        <v>3600</v>
      </c>
      <c r="BC25" s="83"/>
      <c r="BD25" s="27">
        <f t="shared" si="36"/>
        <v>15624</v>
      </c>
      <c r="BE25" s="22"/>
      <c r="BF25" s="22"/>
      <c r="BH25" s="16"/>
      <c r="BJ25" s="21">
        <f t="shared" si="1"/>
        <v>56343</v>
      </c>
      <c r="BN25" s="85">
        <f t="shared" si="2"/>
        <v>86429</v>
      </c>
      <c r="BW25" s="85">
        <f t="shared" si="3"/>
        <v>90602</v>
      </c>
      <c r="CF25" s="85">
        <f t="shared" si="4"/>
        <v>70619</v>
      </c>
      <c r="CO25" s="85">
        <f t="shared" si="5"/>
        <v>16259</v>
      </c>
      <c r="CX25" s="85">
        <f t="shared" si="6"/>
        <v>67177</v>
      </c>
      <c r="DG25" s="85">
        <f t="shared" si="7"/>
        <v>10086</v>
      </c>
      <c r="DP25" s="85">
        <f t="shared" si="8"/>
        <v>70619</v>
      </c>
      <c r="DY25" s="85">
        <f t="shared" si="9"/>
        <v>10789</v>
      </c>
      <c r="EH25" s="85">
        <f t="shared" si="10"/>
        <v>16737</v>
      </c>
      <c r="EQ25" s="85">
        <f t="shared" si="11"/>
        <v>11333</v>
      </c>
      <c r="EZ25" s="21">
        <f t="shared" si="12"/>
        <v>85810</v>
      </c>
      <c r="FI25" s="66"/>
      <c r="FN25" s="16"/>
      <c r="FP25" s="85">
        <f t="shared" si="13"/>
        <v>7450</v>
      </c>
      <c r="FY25" s="85">
        <f t="shared" si="14"/>
        <v>58525</v>
      </c>
      <c r="GH25" s="85">
        <f t="shared" si="15"/>
        <v>99018</v>
      </c>
      <c r="GN25" s="85">
        <f t="shared" si="16"/>
        <v>48215</v>
      </c>
      <c r="HA25" s="20"/>
    </row>
    <row r="26" spans="2:217" x14ac:dyDescent="0.25">
      <c r="B26" s="82">
        <v>43968</v>
      </c>
      <c r="C26" s="22">
        <v>90722</v>
      </c>
      <c r="D26" s="22">
        <v>0.91500000000000004</v>
      </c>
      <c r="E26" s="46">
        <f t="shared" si="17"/>
        <v>19200</v>
      </c>
      <c r="F26" s="22">
        <v>86578</v>
      </c>
      <c r="G26" s="22">
        <v>1.2709999999999999</v>
      </c>
      <c r="H26" s="46">
        <f t="shared" si="18"/>
        <v>23840</v>
      </c>
      <c r="I26" s="22">
        <v>10222</v>
      </c>
      <c r="J26" s="22">
        <v>1.07</v>
      </c>
      <c r="K26" s="46">
        <f t="shared" si="19"/>
        <v>4000</v>
      </c>
      <c r="L26" s="22">
        <v>10098</v>
      </c>
      <c r="M26" s="22">
        <v>1.17</v>
      </c>
      <c r="N26" s="46">
        <f t="shared" si="20"/>
        <v>4800</v>
      </c>
      <c r="O26" s="22">
        <v>10799</v>
      </c>
      <c r="P26" s="22">
        <v>0.98</v>
      </c>
      <c r="Q26" s="46">
        <f t="shared" si="21"/>
        <v>4000</v>
      </c>
      <c r="R26" s="22">
        <v>70734</v>
      </c>
      <c r="S26" s="22">
        <v>1.2889999999999999</v>
      </c>
      <c r="T26" s="46">
        <f t="shared" si="22"/>
        <v>34500</v>
      </c>
      <c r="U26" s="22">
        <v>67263</v>
      </c>
      <c r="V26" s="22">
        <v>1.659</v>
      </c>
      <c r="W26" s="46">
        <f t="shared" si="23"/>
        <v>25800</v>
      </c>
      <c r="X26" s="22">
        <v>16755</v>
      </c>
      <c r="Y26" s="22">
        <v>1.3</v>
      </c>
      <c r="Z26" s="46">
        <f t="shared" si="24"/>
        <v>2880</v>
      </c>
      <c r="AA26" s="22">
        <v>11338</v>
      </c>
      <c r="AB26" s="22">
        <v>0.76</v>
      </c>
      <c r="AC26" s="46">
        <f t="shared" si="25"/>
        <v>800</v>
      </c>
      <c r="AD26" s="22">
        <v>85924</v>
      </c>
      <c r="AE26" s="22">
        <v>0.88900000000000001</v>
      </c>
      <c r="AF26" s="46">
        <f t="shared" si="26"/>
        <v>22800</v>
      </c>
      <c r="AG26" s="22">
        <v>16281</v>
      </c>
      <c r="AH26" s="22">
        <v>0.28000000000000003</v>
      </c>
      <c r="AI26" s="46">
        <f t="shared" si="27"/>
        <v>880</v>
      </c>
      <c r="AJ26" s="203">
        <v>56572</v>
      </c>
      <c r="AK26" s="46">
        <f t="shared" si="28"/>
        <v>229</v>
      </c>
      <c r="AL26" s="46"/>
      <c r="AN26" s="46">
        <f t="shared" si="29"/>
        <v>143729</v>
      </c>
      <c r="AO26" s="22">
        <f t="shared" si="30"/>
        <v>23680</v>
      </c>
      <c r="AP26" s="22">
        <f t="shared" si="31"/>
        <v>0.16475450326656416</v>
      </c>
      <c r="AQ26" s="22"/>
      <c r="AR26" s="16"/>
      <c r="AS26" s="89">
        <f t="shared" si="0"/>
        <v>43968</v>
      </c>
      <c r="AT26" s="22">
        <v>58632</v>
      </c>
      <c r="AU26" s="46">
        <f t="shared" si="32"/>
        <v>10700</v>
      </c>
      <c r="AV26" s="22">
        <v>7467</v>
      </c>
      <c r="AW26" s="46">
        <f t="shared" si="33"/>
        <v>1700</v>
      </c>
      <c r="AX26" s="103">
        <v>99692</v>
      </c>
      <c r="AY26" s="104">
        <f t="shared" si="34"/>
        <v>674</v>
      </c>
      <c r="AZ26" s="22">
        <v>48403</v>
      </c>
      <c r="BA26" s="46">
        <f t="shared" si="35"/>
        <v>7520</v>
      </c>
      <c r="BC26" s="83"/>
      <c r="BD26" s="27">
        <f t="shared" si="36"/>
        <v>20594</v>
      </c>
      <c r="BE26" s="22"/>
      <c r="BF26" s="22"/>
      <c r="BH26" s="16"/>
      <c r="BJ26" s="21">
        <f t="shared" si="1"/>
        <v>56572</v>
      </c>
      <c r="BN26" s="85">
        <f t="shared" si="2"/>
        <v>86578</v>
      </c>
      <c r="BW26" s="85">
        <f t="shared" si="3"/>
        <v>90722</v>
      </c>
      <c r="CF26" s="85">
        <f t="shared" si="4"/>
        <v>70734</v>
      </c>
      <c r="CO26" s="85">
        <f t="shared" si="5"/>
        <v>16281</v>
      </c>
      <c r="CX26" s="85">
        <f t="shared" si="6"/>
        <v>67263</v>
      </c>
      <c r="DG26" s="85">
        <f t="shared" si="7"/>
        <v>10098</v>
      </c>
      <c r="DP26" s="85">
        <f t="shared" si="8"/>
        <v>70734</v>
      </c>
      <c r="DY26" s="85">
        <f t="shared" si="9"/>
        <v>10799</v>
      </c>
      <c r="EH26" s="85">
        <f t="shared" si="10"/>
        <v>16755</v>
      </c>
      <c r="EQ26" s="85">
        <f t="shared" si="11"/>
        <v>11338</v>
      </c>
      <c r="EZ26" s="21">
        <f t="shared" si="12"/>
        <v>85924</v>
      </c>
      <c r="FI26" s="66"/>
      <c r="FN26" s="16"/>
      <c r="FP26" s="85">
        <f t="shared" si="13"/>
        <v>7467</v>
      </c>
      <c r="FY26" s="85">
        <f t="shared" si="14"/>
        <v>58632</v>
      </c>
      <c r="GH26" s="85">
        <f t="shared" si="15"/>
        <v>99692</v>
      </c>
      <c r="GN26" s="85">
        <f t="shared" si="16"/>
        <v>48403</v>
      </c>
      <c r="HA26" s="20"/>
    </row>
    <row r="27" spans="2:217" x14ac:dyDescent="0.25">
      <c r="B27" s="82">
        <v>43975</v>
      </c>
      <c r="C27" s="22">
        <v>90843</v>
      </c>
      <c r="D27" s="22">
        <v>0.878</v>
      </c>
      <c r="E27" s="46">
        <f t="shared" si="17"/>
        <v>19360</v>
      </c>
      <c r="F27" s="22">
        <v>86729</v>
      </c>
      <c r="G27" s="22">
        <v>1.226</v>
      </c>
      <c r="H27" s="46">
        <f t="shared" si="18"/>
        <v>24160</v>
      </c>
      <c r="I27" s="22">
        <v>10232</v>
      </c>
      <c r="J27" s="22">
        <v>0.67</v>
      </c>
      <c r="K27" s="46">
        <f t="shared" si="19"/>
        <v>4000</v>
      </c>
      <c r="L27" s="22">
        <v>10110</v>
      </c>
      <c r="M27" s="22">
        <v>0.81</v>
      </c>
      <c r="N27" s="46">
        <f t="shared" si="20"/>
        <v>4800</v>
      </c>
      <c r="O27" s="22">
        <v>10809</v>
      </c>
      <c r="P27" s="22">
        <v>0.72</v>
      </c>
      <c r="Q27" s="46">
        <f t="shared" si="21"/>
        <v>4000</v>
      </c>
      <c r="R27" s="22">
        <v>70825</v>
      </c>
      <c r="S27" s="22">
        <v>0.76500000000000001</v>
      </c>
      <c r="T27" s="46">
        <f t="shared" si="22"/>
        <v>27300</v>
      </c>
      <c r="U27" s="22">
        <v>67419</v>
      </c>
      <c r="V27" s="22">
        <v>1.7030000000000001</v>
      </c>
      <c r="W27" s="46">
        <f t="shared" si="23"/>
        <v>46800</v>
      </c>
      <c r="X27" s="22">
        <v>16772</v>
      </c>
      <c r="Y27" s="22">
        <v>1.24</v>
      </c>
      <c r="Z27" s="46">
        <f t="shared" si="24"/>
        <v>2720</v>
      </c>
      <c r="AA27" s="22">
        <v>11342</v>
      </c>
      <c r="AB27" s="22">
        <v>0.78</v>
      </c>
      <c r="AC27" s="46">
        <f t="shared" si="25"/>
        <v>640</v>
      </c>
      <c r="AD27" s="22">
        <v>86039</v>
      </c>
      <c r="AE27" s="22">
        <v>0.82</v>
      </c>
      <c r="AF27" s="46">
        <f t="shared" si="26"/>
        <v>23000</v>
      </c>
      <c r="AG27" s="22">
        <v>16306</v>
      </c>
      <c r="AH27" s="22">
        <v>0.255</v>
      </c>
      <c r="AI27" s="46">
        <f t="shared" si="27"/>
        <v>1000</v>
      </c>
      <c r="AJ27" s="203">
        <v>56791</v>
      </c>
      <c r="AK27" s="46">
        <f t="shared" si="28"/>
        <v>219</v>
      </c>
      <c r="AL27" s="46"/>
      <c r="AN27" s="46">
        <f t="shared" si="29"/>
        <v>157999</v>
      </c>
      <c r="AO27" s="22">
        <f t="shared" si="30"/>
        <v>24000</v>
      </c>
      <c r="AP27" s="22">
        <f t="shared" si="31"/>
        <v>0.15189969556769348</v>
      </c>
      <c r="AQ27" s="22"/>
      <c r="AR27" s="16"/>
      <c r="AS27" s="89">
        <f t="shared" si="0"/>
        <v>43975</v>
      </c>
      <c r="AT27" s="22">
        <v>58750</v>
      </c>
      <c r="AU27" s="46">
        <f t="shared" si="32"/>
        <v>11800</v>
      </c>
      <c r="AV27" s="22">
        <v>7486</v>
      </c>
      <c r="AW27" s="46">
        <f t="shared" si="33"/>
        <v>1900</v>
      </c>
      <c r="AX27" s="103">
        <v>100399</v>
      </c>
      <c r="AY27" s="104">
        <f t="shared" si="34"/>
        <v>707</v>
      </c>
      <c r="AZ27" s="22">
        <v>48488</v>
      </c>
      <c r="BA27" s="46">
        <f t="shared" si="35"/>
        <v>3400</v>
      </c>
      <c r="BC27" s="83"/>
      <c r="BD27" s="27">
        <f t="shared" si="36"/>
        <v>17807</v>
      </c>
      <c r="BE27" s="22"/>
      <c r="BF27" s="22"/>
      <c r="BH27" s="16"/>
      <c r="BJ27" s="21">
        <f t="shared" si="1"/>
        <v>56791</v>
      </c>
      <c r="BN27" s="85">
        <f t="shared" si="2"/>
        <v>86729</v>
      </c>
      <c r="BW27" s="85">
        <f t="shared" si="3"/>
        <v>90843</v>
      </c>
      <c r="CF27" s="85">
        <f t="shared" si="4"/>
        <v>70825</v>
      </c>
      <c r="CO27" s="85">
        <f t="shared" si="5"/>
        <v>16306</v>
      </c>
      <c r="CX27" s="85">
        <f t="shared" si="6"/>
        <v>67419</v>
      </c>
      <c r="DG27" s="85">
        <f t="shared" si="7"/>
        <v>10110</v>
      </c>
      <c r="DP27" s="85">
        <f t="shared" si="8"/>
        <v>70825</v>
      </c>
      <c r="DY27" s="85">
        <f t="shared" si="9"/>
        <v>10809</v>
      </c>
      <c r="EH27" s="85">
        <f t="shared" si="10"/>
        <v>16772</v>
      </c>
      <c r="EQ27" s="85">
        <f t="shared" si="11"/>
        <v>11342</v>
      </c>
      <c r="EZ27" s="21">
        <f t="shared" si="12"/>
        <v>86039</v>
      </c>
      <c r="FI27" s="66"/>
      <c r="FN27" s="16"/>
      <c r="FP27" s="85">
        <f t="shared" si="13"/>
        <v>7486</v>
      </c>
      <c r="FY27" s="85">
        <f t="shared" si="14"/>
        <v>58750</v>
      </c>
      <c r="GH27" s="85">
        <f t="shared" si="15"/>
        <v>100399</v>
      </c>
      <c r="GN27" s="85">
        <f t="shared" si="16"/>
        <v>48488</v>
      </c>
      <c r="HA27" s="20"/>
    </row>
    <row r="28" spans="2:217" x14ac:dyDescent="0.25">
      <c r="B28" s="82">
        <v>43983</v>
      </c>
      <c r="C28" s="22">
        <v>90968</v>
      </c>
      <c r="D28" s="22">
        <v>0.89100000000000001</v>
      </c>
      <c r="E28" s="46">
        <f t="shared" si="17"/>
        <v>20000</v>
      </c>
      <c r="F28" s="22">
        <v>86883</v>
      </c>
      <c r="G28" s="22">
        <v>1.258</v>
      </c>
      <c r="H28" s="46">
        <f t="shared" si="18"/>
        <v>24640</v>
      </c>
      <c r="I28" s="22">
        <v>10241</v>
      </c>
      <c r="J28" s="22">
        <v>0.75</v>
      </c>
      <c r="K28" s="46">
        <f t="shared" si="19"/>
        <v>3600</v>
      </c>
      <c r="L28" s="22">
        <v>10121</v>
      </c>
      <c r="M28" s="22">
        <v>0.81</v>
      </c>
      <c r="N28" s="46">
        <f t="shared" si="20"/>
        <v>4400</v>
      </c>
      <c r="O28" s="22">
        <v>10820</v>
      </c>
      <c r="P28" s="22">
        <v>0.78</v>
      </c>
      <c r="Q28" s="46">
        <f t="shared" si="21"/>
        <v>4400</v>
      </c>
      <c r="R28" s="22">
        <v>70948</v>
      </c>
      <c r="S28" s="22">
        <v>1.3129999999999999</v>
      </c>
      <c r="T28" s="46">
        <f t="shared" si="22"/>
        <v>36900</v>
      </c>
      <c r="U28" s="22">
        <v>67563</v>
      </c>
      <c r="V28" s="22">
        <v>1.8049999999999999</v>
      </c>
      <c r="W28" s="46">
        <f t="shared" si="23"/>
        <v>43200</v>
      </c>
      <c r="X28" s="22">
        <v>16791</v>
      </c>
      <c r="Y28" s="22">
        <v>1.54</v>
      </c>
      <c r="Z28" s="46">
        <f t="shared" si="24"/>
        <v>3040</v>
      </c>
      <c r="AA28" s="22">
        <v>11345</v>
      </c>
      <c r="AB28" s="22">
        <v>0.49</v>
      </c>
      <c r="AC28" s="46">
        <f t="shared" si="25"/>
        <v>480</v>
      </c>
      <c r="AD28" s="22">
        <v>86161</v>
      </c>
      <c r="AE28" s="22">
        <v>0.94099999999999995</v>
      </c>
      <c r="AF28" s="46">
        <f t="shared" si="26"/>
        <v>24400</v>
      </c>
      <c r="AG28" s="22">
        <v>16334</v>
      </c>
      <c r="AH28" s="22">
        <v>0.28899999999999998</v>
      </c>
      <c r="AI28" s="46">
        <f t="shared" si="27"/>
        <v>1120</v>
      </c>
      <c r="AJ28" s="203">
        <v>57014</v>
      </c>
      <c r="AK28" s="46">
        <f t="shared" si="28"/>
        <v>223</v>
      </c>
      <c r="AL28" s="46"/>
      <c r="AN28" s="46">
        <f t="shared" si="29"/>
        <v>166403</v>
      </c>
      <c r="AO28" s="22">
        <f t="shared" si="30"/>
        <v>25520</v>
      </c>
      <c r="AP28" s="22">
        <f t="shared" si="31"/>
        <v>0.15336261966430895</v>
      </c>
      <c r="AQ28" s="22">
        <f>SUM(AN24:AN28)</f>
        <v>653990</v>
      </c>
      <c r="AR28" s="16"/>
      <c r="AS28" s="89">
        <f t="shared" si="0"/>
        <v>43983</v>
      </c>
      <c r="AT28" s="22">
        <v>58879</v>
      </c>
      <c r="AU28" s="46">
        <f t="shared" si="32"/>
        <v>12900</v>
      </c>
      <c r="AV28" s="22">
        <v>7503</v>
      </c>
      <c r="AW28" s="46">
        <f t="shared" si="33"/>
        <v>1700</v>
      </c>
      <c r="AX28" s="103">
        <v>1110</v>
      </c>
      <c r="AY28" s="104">
        <v>711</v>
      </c>
      <c r="AZ28" s="22">
        <v>48513</v>
      </c>
      <c r="BA28" s="46">
        <f t="shared" si="35"/>
        <v>1000</v>
      </c>
      <c r="BC28" s="83"/>
      <c r="BD28" s="27">
        <f t="shared" si="36"/>
        <v>16311</v>
      </c>
      <c r="BE28" s="22">
        <f>SUM(BC24:BD28)</f>
        <v>72323</v>
      </c>
      <c r="BF28" s="22">
        <f>SUM(AQ28+BE28)</f>
        <v>726313</v>
      </c>
      <c r="BH28" s="16"/>
      <c r="BJ28" s="21">
        <f t="shared" si="1"/>
        <v>57014</v>
      </c>
      <c r="BK28" s="22">
        <v>56811</v>
      </c>
      <c r="BL28" s="21">
        <f>SUM(BK28-BK23)</f>
        <v>1174</v>
      </c>
      <c r="BM28" s="84">
        <f>SUM(BL28*0.13773+BL28*0.02095)*1.09+2.85</f>
        <v>205.90644880000002</v>
      </c>
      <c r="BN28" s="85">
        <f t="shared" si="2"/>
        <v>86883</v>
      </c>
      <c r="BO28" s="22">
        <v>86775</v>
      </c>
      <c r="BP28" s="22">
        <v>1.2709999999999999</v>
      </c>
      <c r="BQ28" s="21">
        <f>SUM(BO28-BO23)*160</f>
        <v>121120</v>
      </c>
      <c r="BR28" s="21">
        <f>(BP28)*160</f>
        <v>203.35999999999999</v>
      </c>
      <c r="BS28" s="84">
        <f>SUM(BQ28*0.05155)</f>
        <v>6243.7359999999999</v>
      </c>
      <c r="BT28" s="84">
        <f>SUM(BQ28*0.02095)</f>
        <v>2537.4639999999999</v>
      </c>
      <c r="BU28" s="84">
        <f>SUM(BR28*7.689)</f>
        <v>1563.6350399999999</v>
      </c>
      <c r="BV28" s="84">
        <f>SUM(BS28+BT28)*1.11</f>
        <v>9747.1320000000014</v>
      </c>
      <c r="BW28" s="85">
        <f t="shared" si="3"/>
        <v>90968</v>
      </c>
      <c r="BX28" s="22">
        <v>90883</v>
      </c>
      <c r="BY28" s="22">
        <v>0.92400000000000004</v>
      </c>
      <c r="BZ28" s="21">
        <f>SUM(BX28-BX23)*160</f>
        <v>99040</v>
      </c>
      <c r="CA28" s="21">
        <f>(BY28)*160</f>
        <v>147.84</v>
      </c>
      <c r="CB28" s="84">
        <f>SUM(BZ28*0.05155)</f>
        <v>5105.5119999999997</v>
      </c>
      <c r="CC28" s="84">
        <f>SUM(BZ28*0.02095)</f>
        <v>2074.8879999999999</v>
      </c>
      <c r="CD28" s="84">
        <f>SUM(CA28*7.689)</f>
        <v>1136.7417600000001</v>
      </c>
      <c r="CE28" s="84">
        <f>SUM((CB28+CC28)+20)* 1.11</f>
        <v>7992.4440000000004</v>
      </c>
      <c r="CF28" s="85">
        <f t="shared" si="4"/>
        <v>70948</v>
      </c>
      <c r="CG28" s="22">
        <v>70846</v>
      </c>
      <c r="CH28" s="22">
        <v>1.29</v>
      </c>
      <c r="CI28" s="21">
        <f>SUM(CG28-CG23)*300</f>
        <v>105900</v>
      </c>
      <c r="CJ28" s="21">
        <f>(CH28)*300</f>
        <v>387</v>
      </c>
      <c r="CK28" s="84">
        <f>SUM(CI28*0.05155)</f>
        <v>5459.1449999999995</v>
      </c>
      <c r="CL28" s="84">
        <f>SUM(CI28*0.02095)</f>
        <v>2218.605</v>
      </c>
      <c r="CM28" s="84">
        <f>SUM(CJ28*7.689)</f>
        <v>2975.643</v>
      </c>
      <c r="CN28" s="84">
        <f>SUM((CK28+CL28)+20)*1.11</f>
        <v>8544.5025000000005</v>
      </c>
      <c r="CO28" s="85">
        <f t="shared" si="5"/>
        <v>16334</v>
      </c>
      <c r="CP28" s="22">
        <v>16315</v>
      </c>
      <c r="CQ28" s="22">
        <v>0.28000000000000003</v>
      </c>
      <c r="CR28" s="21">
        <f>(CP28-CP23)*40</f>
        <v>5560</v>
      </c>
      <c r="CS28" s="21">
        <f>(CQ28)*40</f>
        <v>11.200000000000001</v>
      </c>
      <c r="CT28" s="84">
        <f>SUM(CR28*0.05155)</f>
        <v>286.61799999999999</v>
      </c>
      <c r="CU28" s="84">
        <f>SUM(CR28*0.02095)</f>
        <v>116.482</v>
      </c>
      <c r="CV28" s="84">
        <f>SUM(CS28*7.689)</f>
        <v>86.116800000000012</v>
      </c>
      <c r="CW28" s="84">
        <f>SUM((CT28+CU28)+20)*1.11</f>
        <v>469.64100000000008</v>
      </c>
      <c r="CX28" s="85">
        <f t="shared" si="6"/>
        <v>67563</v>
      </c>
      <c r="CY28" s="22">
        <v>67480</v>
      </c>
      <c r="CZ28" s="22">
        <v>1.659</v>
      </c>
      <c r="DA28" s="21">
        <f>SUM(CY28-CY23)*300</f>
        <v>212700</v>
      </c>
      <c r="DB28" s="86">
        <f>(CZ28)*300</f>
        <v>497.7</v>
      </c>
      <c r="DC28" s="84">
        <f>SUM(DA28*0.05155)</f>
        <v>10964.684999999999</v>
      </c>
      <c r="DD28" s="84">
        <f>SUM(DA28*0.02095)</f>
        <v>4456.0649999999996</v>
      </c>
      <c r="DE28" s="84">
        <f>SUM(DB28*7.689)</f>
        <v>3826.8152999999998</v>
      </c>
      <c r="DF28" s="84">
        <f>SUM((DC28+DD28)+20)*1.12</f>
        <v>17293.640000000003</v>
      </c>
      <c r="DG28" s="85">
        <f t="shared" si="7"/>
        <v>10121</v>
      </c>
      <c r="DH28" s="22">
        <v>10113</v>
      </c>
      <c r="DI28" s="22">
        <v>0.11700000000000001</v>
      </c>
      <c r="DJ28" s="21">
        <f>SUM(DH28-DH23)*400</f>
        <v>24400</v>
      </c>
      <c r="DK28" s="86">
        <f>(DI28)*400</f>
        <v>46.800000000000004</v>
      </c>
      <c r="DL28" s="84">
        <f>SUM(DJ28*0.05155)</f>
        <v>1257.82</v>
      </c>
      <c r="DM28" s="84">
        <f>SUM(DJ28*0.02095)</f>
        <v>511.18</v>
      </c>
      <c r="DN28" s="84">
        <f>SUM(DK28*7.689)</f>
        <v>359.84520000000003</v>
      </c>
      <c r="DO28" s="84">
        <f>SUM((DL28+DM28)+20)*1.12</f>
        <v>2003.6800000000003</v>
      </c>
      <c r="DP28" s="85">
        <f t="shared" si="8"/>
        <v>70948</v>
      </c>
      <c r="DQ28" s="22">
        <v>10235</v>
      </c>
      <c r="DR28" s="22">
        <v>0.107</v>
      </c>
      <c r="DS28" s="21">
        <f>SUM(DQ28-DQ23)*400</f>
        <v>21200</v>
      </c>
      <c r="DT28" s="21">
        <f>(DR28)*400</f>
        <v>42.8</v>
      </c>
      <c r="DU28" s="84">
        <f>SUM(DS28*0.05155)</f>
        <v>1092.8599999999999</v>
      </c>
      <c r="DV28" s="84">
        <f>SUM(DS28*0.02095)</f>
        <v>444.14</v>
      </c>
      <c r="DW28" s="84">
        <f>SUM(DT28*7.689)</f>
        <v>329.08920000000001</v>
      </c>
      <c r="DX28" s="84">
        <f>SUM((DU28+DV28)+20)*1.12</f>
        <v>1743.8400000000001</v>
      </c>
      <c r="DY28" s="85">
        <f t="shared" si="9"/>
        <v>10820</v>
      </c>
      <c r="DZ28" s="22">
        <v>10813</v>
      </c>
      <c r="EA28" s="22">
        <v>9.8000000000000004E-2</v>
      </c>
      <c r="EB28" s="21">
        <f>SUM(DZ28-DZ23)*400</f>
        <v>20800</v>
      </c>
      <c r="EC28" s="21">
        <f>(EA28)*400</f>
        <v>39.200000000000003</v>
      </c>
      <c r="ED28" s="84">
        <f>SUM(EB28*0.05155)</f>
        <v>1072.24</v>
      </c>
      <c r="EE28" s="84">
        <f>SUM(EB28*0.02095)</f>
        <v>435.76</v>
      </c>
      <c r="EF28" s="84">
        <f>SUM(EC28*7.689)</f>
        <v>301.40880000000004</v>
      </c>
      <c r="EG28" s="84">
        <f>SUM((ED28+EE28)+20)*1.12</f>
        <v>1711.3600000000001</v>
      </c>
      <c r="EH28" s="85">
        <f t="shared" si="10"/>
        <v>16791</v>
      </c>
      <c r="EI28" s="22">
        <v>16778</v>
      </c>
      <c r="EJ28" s="22">
        <v>0.13100000000000001</v>
      </c>
      <c r="EK28" s="21">
        <f>SUM(EI28-EI23)*160</f>
        <v>14720</v>
      </c>
      <c r="EL28" s="21">
        <f>(EJ28)*160</f>
        <v>20.96</v>
      </c>
      <c r="EM28" s="84">
        <f>SUM(EK28*0.05155)</f>
        <v>758.81600000000003</v>
      </c>
      <c r="EN28" s="84">
        <f>SUM(EK28*0.02095)</f>
        <v>308.38400000000001</v>
      </c>
      <c r="EO28" s="84">
        <f>SUM(EL28*7.689)</f>
        <v>161.16144</v>
      </c>
      <c r="EP28" s="84">
        <f>SUM((EM28+EN28)+20)*1.12</f>
        <v>1217.6640000000002</v>
      </c>
      <c r="EQ28" s="85">
        <f t="shared" si="11"/>
        <v>11345</v>
      </c>
      <c r="ER28" s="22">
        <v>11343</v>
      </c>
      <c r="ES28" s="22">
        <v>7.5999999999999998E-2</v>
      </c>
      <c r="ET28" s="21">
        <f>SUM(ER28-ER23)*160</f>
        <v>3360</v>
      </c>
      <c r="EU28" s="21">
        <f>(ES28)*160</f>
        <v>12.16</v>
      </c>
      <c r="EV28" s="84">
        <f>SUM(ET28*0.05155)</f>
        <v>173.208</v>
      </c>
      <c r="EW28" s="84">
        <f>SUM(ET28*0.02095)</f>
        <v>70.391999999999996</v>
      </c>
      <c r="EX28" s="84">
        <f>SUM(EU28*7.689)</f>
        <v>93.498239999999996</v>
      </c>
      <c r="EY28" s="84">
        <f>SUM((EV28+EW28)+20)*1.12</f>
        <v>295.23200000000003</v>
      </c>
      <c r="EZ28" s="21">
        <f t="shared" si="12"/>
        <v>86161</v>
      </c>
      <c r="FA28" s="97">
        <v>86076</v>
      </c>
      <c r="FB28" s="97">
        <v>0.97599999999999998</v>
      </c>
      <c r="FC28" s="21">
        <f>SUM(FA28-FA23)*200</f>
        <v>118600</v>
      </c>
      <c r="FD28" s="21">
        <f>(FB28)*200</f>
        <v>195.2</v>
      </c>
      <c r="FE28" s="84">
        <f>SUM(FC28*0.05155)</f>
        <v>6113.83</v>
      </c>
      <c r="FF28" s="84">
        <f>SUM(FC28*0.02095)</f>
        <v>2484.67</v>
      </c>
      <c r="FG28" s="84">
        <f>SUM(FD28*7.689)</f>
        <v>1500.8927999999999</v>
      </c>
      <c r="FH28" s="84">
        <f>SUM((FE28+FF28)+20)*1.12</f>
        <v>9652.7200000000012</v>
      </c>
      <c r="FI28" s="66"/>
      <c r="FJ28" s="101">
        <f>SUM(BL28+BQ28+BZ28+CI28+CR28+DA28+DJ28+DS28+EB28+EK28+ET28+FC28)</f>
        <v>748574</v>
      </c>
      <c r="FK28" s="102">
        <f>SUM(BM28+BV28,CE28,CN28,CW28,DF28,DO28,DX28,EG28,EP28,EY28+FH28)</f>
        <v>60877.761948800005</v>
      </c>
      <c r="FL28" s="102">
        <f>SUM(BU28,CD28,CM28,CV28,DE28,DN28,DW28,EF28,EO28,EX28,FG28)</f>
        <v>12334.84758</v>
      </c>
      <c r="FM28" s="102">
        <f>SUM(FK28:FL28)</f>
        <v>73212.609528800007</v>
      </c>
      <c r="FN28" s="16"/>
      <c r="FP28" s="85">
        <f t="shared" si="13"/>
        <v>7503</v>
      </c>
      <c r="FQ28" s="22">
        <v>7491</v>
      </c>
      <c r="FR28" s="22">
        <v>0.25700000000000001</v>
      </c>
      <c r="FS28" s="21">
        <f>SUM(FQ28-FQ23)*100</f>
        <v>9000</v>
      </c>
      <c r="FT28" s="21">
        <f>SUM(FR28)*100</f>
        <v>25.7</v>
      </c>
      <c r="FU28" s="87">
        <f>SUM(FS28*0.05155)</f>
        <v>463.95</v>
      </c>
      <c r="FV28" s="87">
        <f>SUM(FS28*0.02095)</f>
        <v>188.55</v>
      </c>
      <c r="FW28" s="87">
        <f>SUM(FT28*7.689)</f>
        <v>197.60730000000001</v>
      </c>
      <c r="FX28" s="84">
        <f>SUM(FV28+FU28+20)*1.1048</f>
        <v>742.97799999999995</v>
      </c>
      <c r="FY28" s="85">
        <f t="shared" si="14"/>
        <v>58879</v>
      </c>
      <c r="FZ28" s="22">
        <v>58783</v>
      </c>
      <c r="GA28" s="22">
        <v>1.341</v>
      </c>
      <c r="GB28" s="21">
        <f>SUM(FZ28-FZ23)*100</f>
        <v>50200</v>
      </c>
      <c r="GC28" s="21">
        <f>SUM(GA28)*100</f>
        <v>134.1</v>
      </c>
      <c r="GD28" s="87">
        <f>SUM(GB28*0.05155)</f>
        <v>2587.81</v>
      </c>
      <c r="GE28" s="87">
        <f>SUM(GB28*0.02095)</f>
        <v>1051.69</v>
      </c>
      <c r="GF28" s="87">
        <f>SUM(GC28*7.689)</f>
        <v>1031.0949000000001</v>
      </c>
      <c r="GG28" s="84">
        <f>SUM(GE28+GD28+20)*1.1048</f>
        <v>4043.0156000000002</v>
      </c>
      <c r="GH28" s="85">
        <f t="shared" si="15"/>
        <v>1110</v>
      </c>
      <c r="GI28" s="22">
        <v>601</v>
      </c>
      <c r="GJ28" s="21">
        <v>2618</v>
      </c>
      <c r="GK28" s="84">
        <f>SUM(GJ28*0.13773)</f>
        <v>360.57713999999999</v>
      </c>
      <c r="GL28" s="84">
        <f>SUM(GJ28*0.02095)</f>
        <v>54.847099999999998</v>
      </c>
      <c r="GM28" s="84">
        <f>SUM(GK28+GL28+2.32)*1.07</f>
        <v>446.9863368</v>
      </c>
      <c r="GN28" s="85">
        <f t="shared" si="16"/>
        <v>48513</v>
      </c>
      <c r="GO28" s="22">
        <v>48494</v>
      </c>
      <c r="GP28" s="22">
        <v>3.6549999999999998</v>
      </c>
      <c r="GQ28" s="21">
        <f>SUM(GO28-GO23)*40</f>
        <v>18320</v>
      </c>
      <c r="GR28" s="21">
        <f>SUM(GP28)*40</f>
        <v>146.19999999999999</v>
      </c>
      <c r="GS28" s="84">
        <f>SUM(GQ28*0.05155)</f>
        <v>944.39599999999996</v>
      </c>
      <c r="GT28" s="84">
        <f>SUM(GQ28*0.02095)</f>
        <v>383.80399999999997</v>
      </c>
      <c r="GU28" s="84">
        <f>SUM(GR28*7.689)</f>
        <v>1124.1317999999999</v>
      </c>
      <c r="GV28" s="84">
        <f>SUM(GT28+GS28+20)*1.2</f>
        <v>1617.8399999999997</v>
      </c>
      <c r="GW28" s="22">
        <f>SUM(FS28+GB28+GJ28+GQ28)</f>
        <v>80138</v>
      </c>
      <c r="GX28" s="102">
        <f>SUM(GV28+GM28+GG28+FX28)</f>
        <v>6850.8199367999996</v>
      </c>
      <c r="GY28" s="102">
        <f>SUM(FW28+GF28+GU28)</f>
        <v>2352.8339999999998</v>
      </c>
      <c r="GZ28" s="102">
        <f>SUM(GX28:GY28)</f>
        <v>9203.6539367999994</v>
      </c>
      <c r="HA28" s="20"/>
      <c r="HB28" s="101">
        <f t="shared" ref="HB28:HD28" si="45">(FJ28+GW28)</f>
        <v>828712</v>
      </c>
      <c r="HC28" s="102">
        <f t="shared" si="45"/>
        <v>67728.581885600011</v>
      </c>
      <c r="HD28" s="102">
        <f t="shared" si="45"/>
        <v>14687.68158</v>
      </c>
      <c r="HE28" s="102">
        <f t="shared" ref="HE28" si="46">(HC28+HD28)</f>
        <v>82416.263465600015</v>
      </c>
    </row>
    <row r="29" spans="2:217" x14ac:dyDescent="0.25">
      <c r="B29" s="82">
        <v>43990</v>
      </c>
      <c r="C29" s="22">
        <v>91089</v>
      </c>
      <c r="D29" s="22">
        <v>0.98199999999999998</v>
      </c>
      <c r="E29" s="46">
        <f t="shared" si="17"/>
        <v>19360</v>
      </c>
      <c r="F29" s="22">
        <v>87032</v>
      </c>
      <c r="G29" s="22">
        <v>1.3240000000000001</v>
      </c>
      <c r="H29" s="46">
        <f t="shared" si="18"/>
        <v>23840</v>
      </c>
      <c r="I29" s="22">
        <v>10251</v>
      </c>
      <c r="J29" s="22">
        <v>0.75</v>
      </c>
      <c r="K29" s="46">
        <f t="shared" si="19"/>
        <v>4000</v>
      </c>
      <c r="L29" s="22">
        <v>10132</v>
      </c>
      <c r="M29" s="22">
        <v>0.81</v>
      </c>
      <c r="N29" s="46">
        <f t="shared" si="20"/>
        <v>4400</v>
      </c>
      <c r="O29" s="22">
        <v>10831</v>
      </c>
      <c r="P29" s="22">
        <v>0.78</v>
      </c>
      <c r="Q29" s="46">
        <f t="shared" si="21"/>
        <v>4400</v>
      </c>
      <c r="R29" s="22">
        <v>71035</v>
      </c>
      <c r="S29" s="22">
        <v>1.3144</v>
      </c>
      <c r="T29" s="46">
        <f t="shared" si="22"/>
        <v>26100</v>
      </c>
      <c r="U29" s="22">
        <v>67748</v>
      </c>
      <c r="V29" s="22">
        <v>1.8049999999999999</v>
      </c>
      <c r="W29" s="46">
        <f t="shared" si="23"/>
        <v>55500</v>
      </c>
      <c r="X29" s="22">
        <v>16810</v>
      </c>
      <c r="Y29" s="22">
        <v>1.54</v>
      </c>
      <c r="Z29" s="46">
        <f t="shared" si="24"/>
        <v>3040</v>
      </c>
      <c r="AA29" s="22">
        <v>11350</v>
      </c>
      <c r="AB29" s="22">
        <v>0.69</v>
      </c>
      <c r="AC29" s="46">
        <f t="shared" si="25"/>
        <v>800</v>
      </c>
      <c r="AD29" s="22">
        <v>86276</v>
      </c>
      <c r="AE29" s="22">
        <v>0.94099999999999995</v>
      </c>
      <c r="AF29" s="46">
        <f t="shared" si="26"/>
        <v>23000</v>
      </c>
      <c r="AG29" s="22">
        <v>16359</v>
      </c>
      <c r="AH29" s="22">
        <v>0.28899999999999998</v>
      </c>
      <c r="AI29" s="46">
        <f t="shared" si="27"/>
        <v>1000</v>
      </c>
      <c r="AJ29" s="203">
        <v>57082</v>
      </c>
      <c r="AK29" s="46">
        <f t="shared" si="28"/>
        <v>68</v>
      </c>
      <c r="AL29" s="46"/>
      <c r="AN29" s="46">
        <f t="shared" si="29"/>
        <v>165508</v>
      </c>
      <c r="AO29" s="22">
        <f t="shared" si="30"/>
        <v>24000</v>
      </c>
      <c r="AP29" s="22">
        <f t="shared" si="31"/>
        <v>0.14500809628537592</v>
      </c>
      <c r="AQ29" s="22"/>
      <c r="AR29" s="16"/>
      <c r="AS29" s="89">
        <f t="shared" si="0"/>
        <v>43990</v>
      </c>
      <c r="AT29" s="22">
        <v>59007</v>
      </c>
      <c r="AU29" s="46">
        <f t="shared" si="32"/>
        <v>12800</v>
      </c>
      <c r="AV29" s="22">
        <v>7521</v>
      </c>
      <c r="AW29" s="46">
        <f t="shared" si="33"/>
        <v>1800</v>
      </c>
      <c r="AX29" s="103">
        <v>1931</v>
      </c>
      <c r="AY29" s="104">
        <f t="shared" ref="AY29:AY55" si="47">SUM(AX29-AX28)</f>
        <v>821</v>
      </c>
      <c r="AZ29" s="22">
        <v>48553</v>
      </c>
      <c r="BA29" s="46">
        <f t="shared" si="35"/>
        <v>1600</v>
      </c>
      <c r="BC29" s="83"/>
      <c r="BD29" s="27">
        <f t="shared" si="36"/>
        <v>17021</v>
      </c>
      <c r="BE29" s="22"/>
      <c r="BF29" s="22"/>
      <c r="BH29" s="16"/>
      <c r="BJ29" s="21">
        <f t="shared" si="1"/>
        <v>57082</v>
      </c>
      <c r="BN29" s="85">
        <f t="shared" si="2"/>
        <v>87032</v>
      </c>
      <c r="BW29" s="85">
        <f t="shared" si="3"/>
        <v>91089</v>
      </c>
      <c r="CF29" s="85">
        <f t="shared" si="4"/>
        <v>71035</v>
      </c>
      <c r="CO29" s="85">
        <f t="shared" si="5"/>
        <v>16359</v>
      </c>
      <c r="CX29" s="85">
        <f t="shared" si="6"/>
        <v>67748</v>
      </c>
      <c r="DG29" s="85">
        <f t="shared" si="7"/>
        <v>10132</v>
      </c>
      <c r="DP29" s="85">
        <f t="shared" si="8"/>
        <v>71035</v>
      </c>
      <c r="DY29" s="85">
        <f t="shared" si="9"/>
        <v>10831</v>
      </c>
      <c r="EH29" s="85">
        <f t="shared" si="10"/>
        <v>16810</v>
      </c>
      <c r="EQ29" s="85">
        <f t="shared" si="11"/>
        <v>11350</v>
      </c>
      <c r="EZ29" s="21">
        <f t="shared" si="12"/>
        <v>86276</v>
      </c>
      <c r="FI29" s="66"/>
      <c r="FN29" s="16"/>
      <c r="FP29" s="85">
        <f t="shared" si="13"/>
        <v>7521</v>
      </c>
      <c r="FY29" s="85">
        <f t="shared" si="14"/>
        <v>59007</v>
      </c>
      <c r="GH29" s="85">
        <f t="shared" si="15"/>
        <v>1931</v>
      </c>
      <c r="GN29" s="85">
        <f t="shared" si="16"/>
        <v>48553</v>
      </c>
      <c r="HA29" s="20"/>
    </row>
    <row r="30" spans="2:217" x14ac:dyDescent="0.25">
      <c r="B30" s="82">
        <v>43997</v>
      </c>
      <c r="C30" s="22">
        <v>91217</v>
      </c>
      <c r="D30" s="22">
        <v>1.0589999999999999</v>
      </c>
      <c r="E30" s="46">
        <f t="shared" si="17"/>
        <v>20480</v>
      </c>
      <c r="F30" s="22">
        <v>87191</v>
      </c>
      <c r="G30" s="22">
        <v>1.3240000000000001</v>
      </c>
      <c r="H30" s="46">
        <f t="shared" si="18"/>
        <v>25440</v>
      </c>
      <c r="I30" s="22">
        <v>10262</v>
      </c>
      <c r="J30" s="22">
        <v>7.8E-2</v>
      </c>
      <c r="K30" s="46">
        <f t="shared" si="19"/>
        <v>4400</v>
      </c>
      <c r="L30" s="22">
        <v>10144</v>
      </c>
      <c r="M30" s="22">
        <v>0.81</v>
      </c>
      <c r="N30" s="46">
        <f t="shared" si="20"/>
        <v>4800</v>
      </c>
      <c r="O30" s="22">
        <v>10842</v>
      </c>
      <c r="P30" s="22">
        <v>0.85</v>
      </c>
      <c r="Q30" s="46">
        <f t="shared" si="21"/>
        <v>4400</v>
      </c>
      <c r="R30" s="22">
        <v>71220</v>
      </c>
      <c r="S30" s="22">
        <v>1.7410000000000001</v>
      </c>
      <c r="T30" s="46">
        <f t="shared" si="22"/>
        <v>55500</v>
      </c>
      <c r="U30" s="22">
        <v>67865</v>
      </c>
      <c r="V30" s="22">
        <v>1.8049999999999999</v>
      </c>
      <c r="W30" s="46">
        <f t="shared" si="23"/>
        <v>35100</v>
      </c>
      <c r="X30" s="22">
        <v>16833</v>
      </c>
      <c r="Y30" s="22">
        <v>1.79</v>
      </c>
      <c r="Z30" s="46">
        <f t="shared" si="24"/>
        <v>3680</v>
      </c>
      <c r="AA30" s="22">
        <v>11355</v>
      </c>
      <c r="AB30" s="22">
        <v>0.77</v>
      </c>
      <c r="AC30" s="46">
        <f t="shared" si="25"/>
        <v>800</v>
      </c>
      <c r="AD30" s="22">
        <v>86399</v>
      </c>
      <c r="AE30" s="22">
        <v>0.94799999999999995</v>
      </c>
      <c r="AF30" s="46">
        <f t="shared" si="26"/>
        <v>24600</v>
      </c>
      <c r="AG30" s="22">
        <v>16386</v>
      </c>
      <c r="AH30" s="22">
        <v>0.28899999999999998</v>
      </c>
      <c r="AI30" s="46">
        <f t="shared" si="27"/>
        <v>1080</v>
      </c>
      <c r="AJ30" s="203">
        <v>57427</v>
      </c>
      <c r="AK30" s="46">
        <f t="shared" si="28"/>
        <v>345</v>
      </c>
      <c r="AL30" s="46"/>
      <c r="AN30" s="46">
        <f t="shared" si="29"/>
        <v>180625</v>
      </c>
      <c r="AO30" s="22">
        <f t="shared" si="30"/>
        <v>25680</v>
      </c>
      <c r="AP30" s="22">
        <f t="shared" si="31"/>
        <v>0.14217301038062283</v>
      </c>
      <c r="AQ30" s="22"/>
      <c r="AR30" s="16"/>
      <c r="AS30" s="89">
        <f t="shared" si="0"/>
        <v>43997</v>
      </c>
      <c r="AT30" s="22">
        <v>59137</v>
      </c>
      <c r="AU30" s="46">
        <f t="shared" si="32"/>
        <v>13000</v>
      </c>
      <c r="AV30" s="22">
        <v>7540</v>
      </c>
      <c r="AW30" s="46">
        <f t="shared" si="33"/>
        <v>1900</v>
      </c>
      <c r="AX30" s="103">
        <v>2792</v>
      </c>
      <c r="AY30" s="104">
        <f t="shared" si="47"/>
        <v>861</v>
      </c>
      <c r="AZ30" s="22">
        <v>48577</v>
      </c>
      <c r="BA30" s="46">
        <f t="shared" si="35"/>
        <v>960</v>
      </c>
      <c r="BC30" s="83"/>
      <c r="BD30" s="27">
        <f t="shared" si="36"/>
        <v>16721</v>
      </c>
      <c r="BE30" s="22"/>
      <c r="BF30" s="22"/>
      <c r="BH30" s="16"/>
      <c r="BJ30" s="21">
        <f t="shared" si="1"/>
        <v>57427</v>
      </c>
      <c r="BN30" s="85">
        <f t="shared" si="2"/>
        <v>87191</v>
      </c>
      <c r="BW30" s="85">
        <f t="shared" si="3"/>
        <v>91217</v>
      </c>
      <c r="CF30" s="85">
        <f t="shared" si="4"/>
        <v>71220</v>
      </c>
      <c r="CO30" s="85">
        <f t="shared" si="5"/>
        <v>16386</v>
      </c>
      <c r="CX30" s="85">
        <f t="shared" si="6"/>
        <v>67865</v>
      </c>
      <c r="DG30" s="85">
        <f t="shared" si="7"/>
        <v>10144</v>
      </c>
      <c r="DP30" s="85">
        <f t="shared" si="8"/>
        <v>71220</v>
      </c>
      <c r="DY30" s="85">
        <f t="shared" si="9"/>
        <v>10842</v>
      </c>
      <c r="EH30" s="85">
        <f t="shared" si="10"/>
        <v>16833</v>
      </c>
      <c r="EQ30" s="85">
        <f t="shared" si="11"/>
        <v>11355</v>
      </c>
      <c r="EZ30" s="21">
        <f t="shared" si="12"/>
        <v>86399</v>
      </c>
      <c r="FI30" s="66"/>
      <c r="FN30" s="16"/>
      <c r="FP30" s="85">
        <f t="shared" si="13"/>
        <v>7540</v>
      </c>
      <c r="FY30" s="85">
        <f t="shared" si="14"/>
        <v>59137</v>
      </c>
      <c r="GH30" s="85">
        <f t="shared" si="15"/>
        <v>2792</v>
      </c>
      <c r="GN30" s="85">
        <f t="shared" si="16"/>
        <v>48577</v>
      </c>
      <c r="HA30" s="20"/>
    </row>
    <row r="31" spans="2:217" x14ac:dyDescent="0.25">
      <c r="B31" s="82">
        <v>44004</v>
      </c>
      <c r="C31" s="22">
        <v>91384</v>
      </c>
      <c r="D31" s="22">
        <v>1.125</v>
      </c>
      <c r="E31" s="46">
        <f t="shared" si="17"/>
        <v>26720</v>
      </c>
      <c r="F31" s="22">
        <v>87384</v>
      </c>
      <c r="G31" s="22">
        <v>1.38</v>
      </c>
      <c r="H31" s="46">
        <f t="shared" si="18"/>
        <v>30880</v>
      </c>
      <c r="I31" s="22">
        <v>10281</v>
      </c>
      <c r="J31" s="22">
        <v>1.65</v>
      </c>
      <c r="K31" s="46">
        <f t="shared" si="19"/>
        <v>7600</v>
      </c>
      <c r="L31" s="22">
        <v>10164</v>
      </c>
      <c r="M31" s="22">
        <v>1.65</v>
      </c>
      <c r="N31" s="46">
        <f t="shared" si="20"/>
        <v>8000</v>
      </c>
      <c r="O31" s="22">
        <v>10860</v>
      </c>
      <c r="P31" s="22">
        <v>1.42</v>
      </c>
      <c r="Q31" s="46">
        <f t="shared" si="21"/>
        <v>7200</v>
      </c>
      <c r="R31" s="22">
        <v>71435</v>
      </c>
      <c r="S31" s="22">
        <v>2.0329999999999999</v>
      </c>
      <c r="T31" s="46">
        <f t="shared" si="22"/>
        <v>64500</v>
      </c>
      <c r="U31" s="22">
        <v>68036</v>
      </c>
      <c r="V31" s="22">
        <v>0.92600000000000005</v>
      </c>
      <c r="W31" s="46">
        <f t="shared" si="23"/>
        <v>51300</v>
      </c>
      <c r="X31" s="22">
        <v>16861</v>
      </c>
      <c r="Y31" s="22">
        <v>1.99</v>
      </c>
      <c r="Z31" s="46">
        <f t="shared" si="24"/>
        <v>4480</v>
      </c>
      <c r="AA31" s="22">
        <v>11363</v>
      </c>
      <c r="AB31" s="22">
        <v>1.27</v>
      </c>
      <c r="AC31" s="46">
        <f t="shared" si="25"/>
        <v>1280</v>
      </c>
      <c r="AD31" s="22">
        <v>86541</v>
      </c>
      <c r="AE31" s="22">
        <v>0.83899999999999997</v>
      </c>
      <c r="AF31" s="46">
        <f t="shared" si="26"/>
        <v>28400</v>
      </c>
      <c r="AG31" s="22">
        <v>16421</v>
      </c>
      <c r="AH31" s="22">
        <v>0.255</v>
      </c>
      <c r="AI31" s="46">
        <f t="shared" si="27"/>
        <v>1400</v>
      </c>
      <c r="AJ31" s="203">
        <v>57676</v>
      </c>
      <c r="AK31" s="46">
        <f t="shared" si="28"/>
        <v>249</v>
      </c>
      <c r="AL31" s="46"/>
      <c r="AN31" s="46">
        <f t="shared" si="29"/>
        <v>232009</v>
      </c>
      <c r="AO31" s="22">
        <f t="shared" si="30"/>
        <v>29800</v>
      </c>
      <c r="AP31" s="22">
        <f t="shared" si="31"/>
        <v>0.12844329314811062</v>
      </c>
      <c r="AQ31" s="22"/>
      <c r="AR31" s="16"/>
      <c r="AS31" s="89">
        <f t="shared" si="0"/>
        <v>44004</v>
      </c>
      <c r="AT31" s="22">
        <v>59275</v>
      </c>
      <c r="AU31" s="46">
        <f t="shared" si="32"/>
        <v>13800</v>
      </c>
      <c r="AV31" s="22">
        <v>7559</v>
      </c>
      <c r="AW31" s="46">
        <f t="shared" si="33"/>
        <v>1900</v>
      </c>
      <c r="AX31" s="103">
        <v>3694</v>
      </c>
      <c r="AY31" s="104">
        <f t="shared" si="47"/>
        <v>902</v>
      </c>
      <c r="AZ31" s="22">
        <v>48701</v>
      </c>
      <c r="BA31" s="46">
        <f t="shared" si="35"/>
        <v>4960</v>
      </c>
      <c r="BC31" s="83"/>
      <c r="BD31" s="27">
        <f t="shared" si="36"/>
        <v>21562</v>
      </c>
      <c r="BE31" s="22"/>
      <c r="BF31" s="22"/>
      <c r="BH31" s="16"/>
      <c r="BJ31" s="21">
        <f t="shared" si="1"/>
        <v>57676</v>
      </c>
      <c r="BN31" s="85">
        <f t="shared" si="2"/>
        <v>87384</v>
      </c>
      <c r="BW31" s="85">
        <f t="shared" si="3"/>
        <v>91384</v>
      </c>
      <c r="CF31" s="85">
        <f t="shared" si="4"/>
        <v>71435</v>
      </c>
      <c r="CO31" s="85">
        <f t="shared" si="5"/>
        <v>16421</v>
      </c>
      <c r="CX31" s="85">
        <f t="shared" si="6"/>
        <v>68036</v>
      </c>
      <c r="DG31" s="85">
        <f t="shared" si="7"/>
        <v>10164</v>
      </c>
      <c r="DP31" s="85">
        <f t="shared" si="8"/>
        <v>71435</v>
      </c>
      <c r="DY31" s="85">
        <f t="shared" si="9"/>
        <v>10860</v>
      </c>
      <c r="EH31" s="85">
        <f t="shared" si="10"/>
        <v>16861</v>
      </c>
      <c r="EQ31" s="85">
        <f t="shared" si="11"/>
        <v>11363</v>
      </c>
      <c r="EZ31" s="21">
        <f t="shared" si="12"/>
        <v>86541</v>
      </c>
      <c r="FI31" s="66"/>
      <c r="FN31" s="16"/>
      <c r="FP31" s="85">
        <f t="shared" si="13"/>
        <v>7559</v>
      </c>
      <c r="FY31" s="85">
        <f t="shared" si="14"/>
        <v>59275</v>
      </c>
      <c r="GH31" s="85">
        <f t="shared" si="15"/>
        <v>3694</v>
      </c>
      <c r="GN31" s="85">
        <f t="shared" si="16"/>
        <v>48701</v>
      </c>
      <c r="HA31" s="20"/>
    </row>
    <row r="32" spans="2:217" x14ac:dyDescent="0.25">
      <c r="B32" s="82">
        <v>44011</v>
      </c>
      <c r="C32" s="22">
        <v>91553</v>
      </c>
      <c r="D32" s="22">
        <v>1.5349999999999999</v>
      </c>
      <c r="E32" s="46">
        <f t="shared" si="17"/>
        <v>27040</v>
      </c>
      <c r="F32" s="22">
        <v>87553</v>
      </c>
      <c r="G32" s="22">
        <v>1.0531999999999999</v>
      </c>
      <c r="H32" s="46">
        <f t="shared" si="18"/>
        <v>27040</v>
      </c>
      <c r="I32" s="22">
        <v>10298</v>
      </c>
      <c r="J32" s="22">
        <v>1.65</v>
      </c>
      <c r="K32" s="46">
        <f t="shared" si="19"/>
        <v>6800</v>
      </c>
      <c r="L32" s="22">
        <v>10181</v>
      </c>
      <c r="M32" s="22">
        <v>1.63</v>
      </c>
      <c r="N32" s="46">
        <f t="shared" si="20"/>
        <v>6800</v>
      </c>
      <c r="O32" s="22">
        <v>10877</v>
      </c>
      <c r="P32" s="22">
        <v>1.42</v>
      </c>
      <c r="Q32" s="46">
        <f t="shared" si="21"/>
        <v>6800</v>
      </c>
      <c r="R32" s="22">
        <v>71612</v>
      </c>
      <c r="S32" s="22">
        <v>2.0329999999999999</v>
      </c>
      <c r="T32" s="46">
        <f t="shared" si="22"/>
        <v>53100</v>
      </c>
      <c r="U32" s="22">
        <v>68245</v>
      </c>
      <c r="V32" s="22">
        <v>1.8640000000000001</v>
      </c>
      <c r="W32" s="46">
        <f t="shared" si="23"/>
        <v>62700</v>
      </c>
      <c r="X32" s="22">
        <v>16890</v>
      </c>
      <c r="Y32" s="22">
        <v>2.5299999999999998</v>
      </c>
      <c r="Z32" s="46">
        <f t="shared" si="24"/>
        <v>4640</v>
      </c>
      <c r="AA32" s="22">
        <v>11374</v>
      </c>
      <c r="AB32" s="22">
        <v>1.37</v>
      </c>
      <c r="AC32" s="46">
        <f t="shared" si="25"/>
        <v>1760</v>
      </c>
      <c r="AD32" s="22">
        <v>86684</v>
      </c>
      <c r="AE32" s="22">
        <v>1.468</v>
      </c>
      <c r="AF32" s="46">
        <f t="shared" si="26"/>
        <v>28600</v>
      </c>
      <c r="AG32" s="22">
        <v>16451</v>
      </c>
      <c r="AH32" s="22">
        <v>0.30499999999999999</v>
      </c>
      <c r="AI32" s="46">
        <f t="shared" si="27"/>
        <v>1200</v>
      </c>
      <c r="AJ32" s="203">
        <v>57908</v>
      </c>
      <c r="AK32" s="46">
        <f t="shared" si="28"/>
        <v>232</v>
      </c>
      <c r="AL32" s="46"/>
      <c r="AN32" s="46">
        <f t="shared" si="29"/>
        <v>226712</v>
      </c>
      <c r="AO32" s="22">
        <f t="shared" si="30"/>
        <v>29800</v>
      </c>
      <c r="AP32" s="22">
        <f t="shared" si="31"/>
        <v>0.13144429937541904</v>
      </c>
      <c r="AQ32" s="22"/>
      <c r="AR32" s="16"/>
      <c r="AS32" s="89">
        <f t="shared" si="0"/>
        <v>44011</v>
      </c>
      <c r="AT32" s="22">
        <v>59413</v>
      </c>
      <c r="AU32" s="46">
        <f t="shared" si="32"/>
        <v>13800</v>
      </c>
      <c r="AV32" s="22">
        <v>7578</v>
      </c>
      <c r="AW32" s="46">
        <f t="shared" si="33"/>
        <v>1900</v>
      </c>
      <c r="AX32" s="103">
        <v>4506</v>
      </c>
      <c r="AY32" s="104">
        <f t="shared" si="47"/>
        <v>812</v>
      </c>
      <c r="AZ32" s="22">
        <v>48808</v>
      </c>
      <c r="BA32" s="46">
        <f t="shared" si="35"/>
        <v>4280</v>
      </c>
      <c r="BC32" s="83"/>
      <c r="BD32" s="27">
        <f t="shared" si="36"/>
        <v>20792</v>
      </c>
      <c r="BE32" s="22"/>
      <c r="BF32" s="22"/>
      <c r="BH32" s="16"/>
      <c r="BJ32" s="21">
        <f t="shared" si="1"/>
        <v>57908</v>
      </c>
      <c r="BN32" s="85">
        <f t="shared" si="2"/>
        <v>87553</v>
      </c>
      <c r="BW32" s="85">
        <f t="shared" si="3"/>
        <v>91553</v>
      </c>
      <c r="CF32" s="85">
        <f t="shared" si="4"/>
        <v>71612</v>
      </c>
      <c r="CO32" s="85">
        <f t="shared" si="5"/>
        <v>16451</v>
      </c>
      <c r="CX32" s="85">
        <f t="shared" si="6"/>
        <v>68245</v>
      </c>
      <c r="DG32" s="85">
        <f t="shared" si="7"/>
        <v>10181</v>
      </c>
      <c r="DP32" s="85">
        <f t="shared" si="8"/>
        <v>71612</v>
      </c>
      <c r="DY32" s="85">
        <f t="shared" si="9"/>
        <v>10877</v>
      </c>
      <c r="EH32" s="85">
        <f t="shared" si="10"/>
        <v>16890</v>
      </c>
      <c r="EQ32" s="85">
        <f t="shared" si="11"/>
        <v>11374</v>
      </c>
      <c r="EZ32" s="21">
        <f t="shared" si="12"/>
        <v>86684</v>
      </c>
      <c r="FI32" s="66"/>
      <c r="FN32" s="16"/>
      <c r="FP32" s="85">
        <f t="shared" si="13"/>
        <v>7578</v>
      </c>
      <c r="FY32" s="85">
        <f t="shared" si="14"/>
        <v>59413</v>
      </c>
      <c r="GH32" s="85">
        <f t="shared" si="15"/>
        <v>4506</v>
      </c>
      <c r="GN32" s="85">
        <f t="shared" si="16"/>
        <v>48808</v>
      </c>
      <c r="HA32" s="20"/>
    </row>
    <row r="33" spans="2:213" x14ac:dyDescent="0.25">
      <c r="B33" s="82">
        <v>44013</v>
      </c>
      <c r="C33" s="22">
        <v>91605</v>
      </c>
      <c r="D33" s="22">
        <v>1.611</v>
      </c>
      <c r="E33" s="46">
        <f t="shared" si="17"/>
        <v>8320</v>
      </c>
      <c r="F33" s="22">
        <v>87620</v>
      </c>
      <c r="G33" s="22">
        <v>1.665</v>
      </c>
      <c r="H33" s="46">
        <f t="shared" si="18"/>
        <v>10720</v>
      </c>
      <c r="I33" s="22">
        <v>10302</v>
      </c>
      <c r="J33" s="22">
        <v>1.65</v>
      </c>
      <c r="K33" s="46">
        <f t="shared" si="19"/>
        <v>1600</v>
      </c>
      <c r="L33" s="22">
        <v>10185</v>
      </c>
      <c r="M33" s="22">
        <v>1.65</v>
      </c>
      <c r="N33" s="46">
        <f t="shared" si="20"/>
        <v>1600</v>
      </c>
      <c r="O33" s="22">
        <v>10882</v>
      </c>
      <c r="P33" s="22">
        <v>1.42</v>
      </c>
      <c r="Q33" s="46">
        <f t="shared" si="21"/>
        <v>2000</v>
      </c>
      <c r="R33" s="22">
        <v>71679</v>
      </c>
      <c r="S33" s="22">
        <v>2.1230000000000002</v>
      </c>
      <c r="T33" s="46">
        <f t="shared" si="22"/>
        <v>20100</v>
      </c>
      <c r="U33" s="22">
        <v>68294</v>
      </c>
      <c r="V33" s="22">
        <v>1.8839999999999999</v>
      </c>
      <c r="W33" s="46">
        <f t="shared" si="23"/>
        <v>14700</v>
      </c>
      <c r="X33" s="22">
        <v>16899</v>
      </c>
      <c r="Y33" s="22">
        <v>2.67</v>
      </c>
      <c r="Z33" s="46">
        <f t="shared" si="24"/>
        <v>1440</v>
      </c>
      <c r="AA33" s="22">
        <v>11378</v>
      </c>
      <c r="AB33" s="22">
        <v>2.44</v>
      </c>
      <c r="AC33" s="46">
        <f t="shared" si="25"/>
        <v>640</v>
      </c>
      <c r="AD33" s="22">
        <v>86748</v>
      </c>
      <c r="AE33" s="22">
        <v>1.887</v>
      </c>
      <c r="AF33" s="46">
        <f t="shared" si="26"/>
        <v>12800</v>
      </c>
      <c r="AG33" s="22">
        <v>16459</v>
      </c>
      <c r="AH33" s="22">
        <v>0.30499999999999999</v>
      </c>
      <c r="AI33" s="46">
        <f t="shared" si="27"/>
        <v>320</v>
      </c>
      <c r="AJ33" s="203">
        <v>57962</v>
      </c>
      <c r="AK33" s="46">
        <f t="shared" si="28"/>
        <v>54</v>
      </c>
      <c r="AL33" s="46"/>
      <c r="AN33" s="46">
        <f t="shared" si="29"/>
        <v>74294</v>
      </c>
      <c r="AO33" s="22">
        <f t="shared" si="30"/>
        <v>13120</v>
      </c>
      <c r="AP33" s="22">
        <f t="shared" si="31"/>
        <v>0.17659568740409723</v>
      </c>
      <c r="AQ33" s="22">
        <f>SUM(AN29:AN33)</f>
        <v>879148</v>
      </c>
      <c r="AR33" s="16"/>
      <c r="AS33" s="89">
        <f t="shared" si="0"/>
        <v>44013</v>
      </c>
      <c r="AT33" s="22">
        <v>59452</v>
      </c>
      <c r="AU33" s="46">
        <f t="shared" si="32"/>
        <v>3900</v>
      </c>
      <c r="AV33" s="22">
        <v>7585</v>
      </c>
      <c r="AW33" s="46">
        <f t="shared" si="33"/>
        <v>700</v>
      </c>
      <c r="AX33" s="103">
        <v>4746</v>
      </c>
      <c r="AY33" s="104">
        <f t="shared" si="47"/>
        <v>240</v>
      </c>
      <c r="AZ33" s="22">
        <v>48862</v>
      </c>
      <c r="BA33" s="46">
        <f t="shared" si="35"/>
        <v>2160</v>
      </c>
      <c r="BC33" s="83"/>
      <c r="BD33" s="27">
        <f t="shared" si="36"/>
        <v>7000</v>
      </c>
      <c r="BE33" s="22">
        <f>SUM(BC29:BD33)</f>
        <v>83096</v>
      </c>
      <c r="BF33" s="22">
        <f>SUM(AQ33+BE33)</f>
        <v>962244</v>
      </c>
      <c r="BH33" s="16"/>
      <c r="BJ33" s="21">
        <f t="shared" si="1"/>
        <v>57962</v>
      </c>
      <c r="BK33" s="22">
        <v>57644</v>
      </c>
      <c r="BL33" s="21">
        <f>SUM(BK33-BK28)</f>
        <v>833</v>
      </c>
      <c r="BM33" s="84">
        <f>SUM(BL33*0.13773+BL33*0.02095)*1.09+2.85</f>
        <v>146.9266796</v>
      </c>
      <c r="BN33" s="85">
        <f t="shared" si="2"/>
        <v>87620</v>
      </c>
      <c r="BO33" s="22">
        <v>87398</v>
      </c>
      <c r="BP33" s="22">
        <v>1.407</v>
      </c>
      <c r="BQ33" s="21">
        <f>SUM(BO33-BO28)*160</f>
        <v>99680</v>
      </c>
      <c r="BR33" s="21">
        <f>(BP33)*160</f>
        <v>225.12</v>
      </c>
      <c r="BS33" s="84">
        <f>SUM(BQ33*0.05155)</f>
        <v>5138.5039999999999</v>
      </c>
      <c r="BT33" s="84">
        <f>SUM(BQ33*0.02095)</f>
        <v>2088.2959999999998</v>
      </c>
      <c r="BU33" s="84">
        <f>SUM(BR33*7.689)</f>
        <v>1730.94768</v>
      </c>
      <c r="BV33" s="84">
        <f>SUM(BS33+BT33)*1.11</f>
        <v>8021.7479999999996</v>
      </c>
      <c r="BW33" s="85">
        <f t="shared" si="3"/>
        <v>91605</v>
      </c>
      <c r="BX33" s="22">
        <v>91397</v>
      </c>
      <c r="BY33" s="22">
        <v>1.28</v>
      </c>
      <c r="BZ33" s="21">
        <f>SUM(BX33-BX28)*160</f>
        <v>82240</v>
      </c>
      <c r="CA33" s="21">
        <f>(BY33)*160</f>
        <v>204.8</v>
      </c>
      <c r="CB33" s="84">
        <f>SUM(BZ33*0.05155)</f>
        <v>4239.4719999999998</v>
      </c>
      <c r="CC33" s="84">
        <f>SUM(BZ33*0.02095)</f>
        <v>1722.9279999999999</v>
      </c>
      <c r="CD33" s="84">
        <f>SUM(CA33*7.689)</f>
        <v>1574.7072000000001</v>
      </c>
      <c r="CE33" s="84">
        <f>SUM((CB33+CC33)+20)* 1.11</f>
        <v>6640.4639999999999</v>
      </c>
      <c r="CF33" s="85">
        <f t="shared" si="4"/>
        <v>71679</v>
      </c>
      <c r="CG33" s="22">
        <v>71452</v>
      </c>
      <c r="CH33" s="22">
        <v>1.9650000000000001</v>
      </c>
      <c r="CI33" s="21">
        <f>SUM(CG33-CG28)*300</f>
        <v>181800</v>
      </c>
      <c r="CJ33" s="21">
        <f>(CH33)*300</f>
        <v>589.5</v>
      </c>
      <c r="CK33" s="84">
        <f>SUM(CI33*0.05155)</f>
        <v>9371.7899999999991</v>
      </c>
      <c r="CL33" s="84">
        <f>SUM(CI33*0.02095)</f>
        <v>3808.71</v>
      </c>
      <c r="CM33" s="84">
        <f>SUM(CJ33*7.689)</f>
        <v>4532.6655000000001</v>
      </c>
      <c r="CN33" s="84">
        <f>SUM((CK33+CL33)+20)*1.11</f>
        <v>14652.555000000002</v>
      </c>
      <c r="CO33" s="85">
        <f t="shared" si="5"/>
        <v>16459</v>
      </c>
      <c r="CP33" s="22">
        <v>16423</v>
      </c>
      <c r="CQ33" s="22">
        <v>0.3</v>
      </c>
      <c r="CR33" s="21">
        <f>(CP33-CP28)*40</f>
        <v>4320</v>
      </c>
      <c r="CS33" s="21">
        <f>(CQ33)*40</f>
        <v>12</v>
      </c>
      <c r="CT33" s="84">
        <f>SUM(CR33*0.05155)</f>
        <v>222.696</v>
      </c>
      <c r="CU33" s="84">
        <f>SUM(CR33*0.02095)</f>
        <v>90.504000000000005</v>
      </c>
      <c r="CV33" s="84">
        <f>SUM(CS33*7.689)</f>
        <v>92.268000000000001</v>
      </c>
      <c r="CW33" s="84">
        <f>SUM((CT33+CU33)+20)*1.11</f>
        <v>369.85200000000003</v>
      </c>
      <c r="CX33" s="85">
        <f t="shared" si="6"/>
        <v>68294</v>
      </c>
      <c r="CY33" s="22">
        <v>68044</v>
      </c>
      <c r="CZ33" s="22">
        <v>1.8660000000000001</v>
      </c>
      <c r="DA33" s="21">
        <f>SUM(CY33-CY28)*300</f>
        <v>169200</v>
      </c>
      <c r="DB33" s="86">
        <f>(CZ33)*300</f>
        <v>559.80000000000007</v>
      </c>
      <c r="DC33" s="84">
        <f>SUM(DA33*0.05155)</f>
        <v>8722.26</v>
      </c>
      <c r="DD33" s="84">
        <f>SUM(DA33*0.02095)</f>
        <v>3544.74</v>
      </c>
      <c r="DE33" s="84">
        <f>SUM(DB33*7.689)</f>
        <v>4304.302200000001</v>
      </c>
      <c r="DF33" s="84">
        <f>SUM((DC33+DD33)+20)*1.12</f>
        <v>13761.44</v>
      </c>
      <c r="DG33" s="85">
        <f t="shared" si="7"/>
        <v>10185</v>
      </c>
      <c r="DH33" s="22">
        <v>10166</v>
      </c>
      <c r="DI33" s="22">
        <v>0.157</v>
      </c>
      <c r="DJ33" s="21">
        <f>SUM(DH33-DH28)*400</f>
        <v>21200</v>
      </c>
      <c r="DK33" s="86">
        <f>(DI33)*400</f>
        <v>62.8</v>
      </c>
      <c r="DL33" s="84">
        <f>SUM(DJ33*0.05155)</f>
        <v>1092.8599999999999</v>
      </c>
      <c r="DM33" s="84">
        <f>SUM(DJ33*0.02095)</f>
        <v>444.14</v>
      </c>
      <c r="DN33" s="84">
        <f>SUM(DK33*7.689)</f>
        <v>482.86919999999998</v>
      </c>
      <c r="DO33" s="84">
        <f>SUM((DL33+DM33)+20)*1.12</f>
        <v>1743.8400000000001</v>
      </c>
      <c r="DP33" s="85">
        <f t="shared" si="8"/>
        <v>71679</v>
      </c>
      <c r="DQ33" s="22">
        <v>10283</v>
      </c>
      <c r="DR33" s="22">
        <v>0.17199999999999999</v>
      </c>
      <c r="DS33" s="21">
        <f>SUM(DQ33-DQ28)*400</f>
        <v>19200</v>
      </c>
      <c r="DT33" s="21">
        <f>(DR33)*400</f>
        <v>68.8</v>
      </c>
      <c r="DU33" s="84">
        <f>SUM(DS33*0.05155)</f>
        <v>989.76</v>
      </c>
      <c r="DV33" s="84">
        <f>SUM(DS33*0.02095)</f>
        <v>402.24</v>
      </c>
      <c r="DW33" s="84">
        <f>SUM(DT33*7.689)</f>
        <v>529.00319999999999</v>
      </c>
      <c r="DX33" s="84">
        <f>SUM((DU33+DV33)+20)*1.12</f>
        <v>1581.44</v>
      </c>
      <c r="DY33" s="85">
        <f t="shared" si="9"/>
        <v>10882</v>
      </c>
      <c r="DZ33" s="22">
        <v>10862</v>
      </c>
      <c r="EA33" s="22">
        <v>0.154</v>
      </c>
      <c r="EB33" s="21">
        <f>SUM(DZ33-DZ28)*400</f>
        <v>19600</v>
      </c>
      <c r="EC33" s="21">
        <f>(EA33)*400</f>
        <v>61.6</v>
      </c>
      <c r="ED33" s="84">
        <f>SUM(EB33*0.05155)</f>
        <v>1010.38</v>
      </c>
      <c r="EE33" s="84">
        <f>SUM(EB33*0.02095)</f>
        <v>410.62</v>
      </c>
      <c r="EF33" s="84">
        <f>SUM(EC33*7.689)</f>
        <v>473.64240000000001</v>
      </c>
      <c r="EG33" s="84">
        <f>SUM((ED33+EE33)+20)*1.12</f>
        <v>1613.92</v>
      </c>
      <c r="EH33" s="85">
        <f t="shared" si="10"/>
        <v>16899</v>
      </c>
      <c r="EI33" s="22">
        <v>16863</v>
      </c>
      <c r="EJ33" s="22">
        <v>0.20100000000000001</v>
      </c>
      <c r="EK33" s="21">
        <f>SUM(EI33-EI28)*160</f>
        <v>13600</v>
      </c>
      <c r="EL33" s="21">
        <f>(EJ33)*160</f>
        <v>32.160000000000004</v>
      </c>
      <c r="EM33" s="84">
        <f>SUM(EK33*0.05155)</f>
        <v>701.07999999999993</v>
      </c>
      <c r="EN33" s="84">
        <f>SUM(EK33*0.02095)</f>
        <v>284.92</v>
      </c>
      <c r="EO33" s="84">
        <f>SUM(EL33*7.689)</f>
        <v>247.27824000000004</v>
      </c>
      <c r="EP33" s="84">
        <f>SUM((EM33+EN33)+20)*1.12</f>
        <v>1126.72</v>
      </c>
      <c r="EQ33" s="85">
        <f t="shared" si="11"/>
        <v>11378</v>
      </c>
      <c r="ER33" s="22">
        <v>11363</v>
      </c>
      <c r="ES33" s="22">
        <v>1.97</v>
      </c>
      <c r="ET33" s="21">
        <f>SUM(ER33-ER28)*160</f>
        <v>3200</v>
      </c>
      <c r="EU33" s="21">
        <f>(ES33)*160</f>
        <v>315.2</v>
      </c>
      <c r="EV33" s="84">
        <f>SUM(ET33*0.05155)</f>
        <v>164.96</v>
      </c>
      <c r="EW33" s="84">
        <f>SUM(ET33*0.02095)</f>
        <v>67.040000000000006</v>
      </c>
      <c r="EX33" s="84">
        <f>SUM(EU33*7.689)</f>
        <v>2423.5727999999999</v>
      </c>
      <c r="EY33" s="84">
        <f>SUM((EV33+EW33)+20)*1.12</f>
        <v>282.24</v>
      </c>
      <c r="EZ33" s="21">
        <f t="shared" si="12"/>
        <v>86748</v>
      </c>
      <c r="FA33" s="97">
        <v>86549</v>
      </c>
      <c r="FB33" s="97">
        <v>0.94799999999999995</v>
      </c>
      <c r="FC33" s="21">
        <f>SUM(FA33-FA28)*200</f>
        <v>94600</v>
      </c>
      <c r="FD33" s="21">
        <f>(FB33)*200</f>
        <v>189.6</v>
      </c>
      <c r="FE33" s="84">
        <f>SUM(FC33*0.05155)</f>
        <v>4876.63</v>
      </c>
      <c r="FF33" s="84">
        <f>SUM(FC33*0.02095)</f>
        <v>1981.87</v>
      </c>
      <c r="FG33" s="84">
        <f>SUM(FD33*7.689)</f>
        <v>1457.8344</v>
      </c>
      <c r="FH33" s="84">
        <f>SUM((FE33+FF33)+20)*1.12</f>
        <v>7703.920000000001</v>
      </c>
      <c r="FI33" s="66"/>
      <c r="FJ33" s="101">
        <f>SUM(BL33+BQ33+BZ33+CI33+CR33+DA33+DJ33+DS33+EB33+EK33+ET33+FC33)</f>
        <v>709473</v>
      </c>
      <c r="FK33" s="102">
        <f>SUM(BM33+BV33,CE33,CN33,CW33,DF33,DO33,DX33,EG33,EP33,EY33+FH33)</f>
        <v>57645.065679600011</v>
      </c>
      <c r="FL33" s="102">
        <f>SUM(BU33,CD33,CM33,CV33,DE33,DN33,DW33,EF33,EO33,EX33,FG33)</f>
        <v>17849.090819999998</v>
      </c>
      <c r="FM33" s="102">
        <f>SUM(FK33:FL33)</f>
        <v>75494.156499600009</v>
      </c>
      <c r="FN33" s="16"/>
      <c r="FP33" s="85">
        <f t="shared" si="13"/>
        <v>7585</v>
      </c>
      <c r="FQ33" s="22">
        <v>7561</v>
      </c>
      <c r="FR33" s="22">
        <v>0.25600000000000001</v>
      </c>
      <c r="FS33" s="21">
        <f>SUM(FQ33-FQ28)*100</f>
        <v>7000</v>
      </c>
      <c r="FT33" s="21">
        <f>SUM(FR33)*100</f>
        <v>25.6</v>
      </c>
      <c r="FU33" s="87">
        <f>SUM(FS33*0.05155)</f>
        <v>360.84999999999997</v>
      </c>
      <c r="FV33" s="87">
        <f>SUM(FS33*0.02095)</f>
        <v>146.65</v>
      </c>
      <c r="FW33" s="87">
        <f>SUM(FT33*7.689)</f>
        <v>196.83840000000001</v>
      </c>
      <c r="FX33" s="84">
        <f>SUM(FV33+FU33+20)*1.1048</f>
        <v>582.78200000000004</v>
      </c>
      <c r="FY33" s="85">
        <f t="shared" si="14"/>
        <v>59452</v>
      </c>
      <c r="FZ33" s="22">
        <v>59286</v>
      </c>
      <c r="GA33" s="22">
        <v>1.6180000000000001</v>
      </c>
      <c r="GB33" s="21">
        <f>SUM(FZ33-FZ28)*100</f>
        <v>50300</v>
      </c>
      <c r="GC33" s="21">
        <f>SUM(GA33)*100</f>
        <v>161.80000000000001</v>
      </c>
      <c r="GD33" s="87">
        <f>SUM(GB33*0.05155)</f>
        <v>2592.9650000000001</v>
      </c>
      <c r="GE33" s="87">
        <f>SUM(GB33*0.02095)</f>
        <v>1053.7850000000001</v>
      </c>
      <c r="GF33" s="87">
        <f>SUM(GC33*7.689)</f>
        <v>1244.0802000000001</v>
      </c>
      <c r="GG33" s="84">
        <f>SUM(GE33+GD33+20)*1.1048</f>
        <v>4051.0254</v>
      </c>
      <c r="GH33" s="85">
        <f t="shared" si="15"/>
        <v>4746</v>
      </c>
      <c r="GI33" s="22">
        <v>3769</v>
      </c>
      <c r="GJ33" s="21">
        <f>SUM(GI33-GI28)</f>
        <v>3168</v>
      </c>
      <c r="GK33" s="84">
        <f>SUM(GJ33*0.13773)</f>
        <v>436.32863999999995</v>
      </c>
      <c r="GL33" s="84">
        <f>SUM(GJ33*0.02095)</f>
        <v>66.369600000000005</v>
      </c>
      <c r="GM33" s="84">
        <f>SUM(GK33+GL33+2.32)*1.07</f>
        <v>540.36951679999993</v>
      </c>
      <c r="GN33" s="85">
        <f t="shared" si="16"/>
        <v>48862</v>
      </c>
      <c r="GO33" s="22">
        <v>48724</v>
      </c>
      <c r="GP33" s="22">
        <v>3.431</v>
      </c>
      <c r="GQ33" s="21">
        <f>SUM(GO33-GO28)*40</f>
        <v>9200</v>
      </c>
      <c r="GR33" s="21">
        <f>SUM(GP33)*40</f>
        <v>137.24</v>
      </c>
      <c r="GS33" s="84">
        <f>SUM(GQ33*0.05155)</f>
        <v>474.26</v>
      </c>
      <c r="GT33" s="84">
        <f>SUM(GQ33*0.02095)</f>
        <v>192.74</v>
      </c>
      <c r="GU33" s="84">
        <f>SUM(GR33*7.689)</f>
        <v>1055.2383600000001</v>
      </c>
      <c r="GV33" s="84">
        <f>SUM(GT33+GS33+20)*1.2</f>
        <v>824.4</v>
      </c>
      <c r="GW33" s="22">
        <f>SUM(FS33+GB33+GJ33+GQ33)</f>
        <v>69668</v>
      </c>
      <c r="GX33" s="102">
        <f>SUM(GV33+GM33+GG33+FX33)</f>
        <v>5998.5769167999997</v>
      </c>
      <c r="GY33" s="102">
        <f>SUM(FW33+GF33+GU33)</f>
        <v>2496.1569600000003</v>
      </c>
      <c r="GZ33" s="102">
        <f>SUM(GX33:GY33)</f>
        <v>8494.7338768000009</v>
      </c>
      <c r="HA33" s="20"/>
      <c r="HB33" s="101">
        <f t="shared" ref="HB33:HD33" si="48">(FJ33+GW33)</f>
        <v>779141</v>
      </c>
      <c r="HC33" s="102">
        <f t="shared" si="48"/>
        <v>63643.642596400008</v>
      </c>
      <c r="HD33" s="102">
        <f t="shared" si="48"/>
        <v>20345.247779999998</v>
      </c>
      <c r="HE33" s="102">
        <f t="shared" ref="HE33" si="49">(HC33+HD33)</f>
        <v>83988.890376399999</v>
      </c>
    </row>
    <row r="34" spans="2:213" x14ac:dyDescent="0.25">
      <c r="B34" s="82">
        <v>44018</v>
      </c>
      <c r="C34" s="22">
        <v>91782</v>
      </c>
      <c r="D34" s="22">
        <v>1.889</v>
      </c>
      <c r="E34" s="46">
        <f t="shared" si="17"/>
        <v>28320</v>
      </c>
      <c r="F34" s="22">
        <v>87819</v>
      </c>
      <c r="G34" s="22">
        <v>2.52</v>
      </c>
      <c r="H34" s="46">
        <f t="shared" si="18"/>
        <v>31840</v>
      </c>
      <c r="I34" s="22">
        <v>10317</v>
      </c>
      <c r="J34" s="22">
        <v>1.72</v>
      </c>
      <c r="K34" s="46">
        <f t="shared" si="19"/>
        <v>6000</v>
      </c>
      <c r="L34" s="22">
        <v>10202</v>
      </c>
      <c r="M34" s="22">
        <v>1.9</v>
      </c>
      <c r="N34" s="46">
        <f t="shared" si="20"/>
        <v>6800</v>
      </c>
      <c r="O34" s="22">
        <v>10898</v>
      </c>
      <c r="P34" s="22">
        <v>1.72</v>
      </c>
      <c r="Q34" s="46">
        <f t="shared" si="21"/>
        <v>6400</v>
      </c>
      <c r="R34" s="22">
        <v>71862</v>
      </c>
      <c r="S34" s="22">
        <v>2.3919999999999999</v>
      </c>
      <c r="T34" s="46">
        <f t="shared" si="22"/>
        <v>54900</v>
      </c>
      <c r="U34" s="22">
        <v>68451</v>
      </c>
      <c r="V34" s="22">
        <v>1.9850000000000001</v>
      </c>
      <c r="W34" s="46">
        <f t="shared" si="23"/>
        <v>47100</v>
      </c>
      <c r="X34" s="22">
        <v>16928</v>
      </c>
      <c r="Y34" s="22">
        <v>2.87</v>
      </c>
      <c r="Z34" s="46">
        <f t="shared" si="24"/>
        <v>4640</v>
      </c>
      <c r="AA34" s="22">
        <v>11390</v>
      </c>
      <c r="AB34" s="22">
        <v>2.44</v>
      </c>
      <c r="AC34" s="46">
        <f t="shared" si="25"/>
        <v>1920</v>
      </c>
      <c r="AD34" s="22">
        <v>86939</v>
      </c>
      <c r="AE34" s="22">
        <v>2.133</v>
      </c>
      <c r="AF34" s="46">
        <f t="shared" si="26"/>
        <v>38200</v>
      </c>
      <c r="AG34" s="22">
        <v>16491</v>
      </c>
      <c r="AH34" s="22">
        <v>0.36199999999999999</v>
      </c>
      <c r="AI34" s="46">
        <f t="shared" si="27"/>
        <v>1280</v>
      </c>
      <c r="AJ34" s="203">
        <v>58247</v>
      </c>
      <c r="AK34" s="46">
        <f t="shared" si="28"/>
        <v>285</v>
      </c>
      <c r="AL34" s="46"/>
      <c r="AN34" s="46">
        <f t="shared" si="29"/>
        <v>227685</v>
      </c>
      <c r="AO34" s="22">
        <f t="shared" si="30"/>
        <v>39480</v>
      </c>
      <c r="AP34" s="22">
        <f t="shared" si="31"/>
        <v>0.17339745701297846</v>
      </c>
      <c r="AQ34" s="22"/>
      <c r="AR34" s="16"/>
      <c r="AS34" s="89">
        <f t="shared" si="0"/>
        <v>44018</v>
      </c>
      <c r="AT34" s="22">
        <v>59560</v>
      </c>
      <c r="AU34" s="46">
        <f t="shared" si="32"/>
        <v>10800</v>
      </c>
      <c r="AV34" s="22">
        <v>7599</v>
      </c>
      <c r="AW34" s="46">
        <f t="shared" si="33"/>
        <v>1400</v>
      </c>
      <c r="AX34" s="103">
        <v>5357</v>
      </c>
      <c r="AY34" s="104">
        <f t="shared" si="47"/>
        <v>611</v>
      </c>
      <c r="AZ34" s="22">
        <v>48899</v>
      </c>
      <c r="BA34" s="46">
        <f t="shared" si="35"/>
        <v>1480</v>
      </c>
      <c r="BC34" s="83"/>
      <c r="BD34" s="27">
        <f t="shared" si="36"/>
        <v>14291</v>
      </c>
      <c r="BE34" s="22"/>
      <c r="BF34" s="22"/>
      <c r="BH34" s="16"/>
      <c r="BJ34" s="21">
        <f t="shared" si="1"/>
        <v>58247</v>
      </c>
      <c r="BN34" s="85">
        <f t="shared" si="2"/>
        <v>87819</v>
      </c>
      <c r="BW34" s="85">
        <f t="shared" si="3"/>
        <v>91782</v>
      </c>
      <c r="CF34" s="85">
        <f t="shared" si="4"/>
        <v>71862</v>
      </c>
      <c r="CO34" s="85">
        <f t="shared" si="5"/>
        <v>16491</v>
      </c>
      <c r="CX34" s="85">
        <f t="shared" si="6"/>
        <v>68451</v>
      </c>
      <c r="DG34" s="85">
        <f t="shared" si="7"/>
        <v>10202</v>
      </c>
      <c r="DP34" s="85">
        <f t="shared" si="8"/>
        <v>71862</v>
      </c>
      <c r="DY34" s="85">
        <f t="shared" si="9"/>
        <v>10898</v>
      </c>
      <c r="EH34" s="85">
        <f t="shared" si="10"/>
        <v>16928</v>
      </c>
      <c r="EQ34" s="85">
        <f t="shared" si="11"/>
        <v>11390</v>
      </c>
      <c r="EZ34" s="21">
        <f t="shared" si="12"/>
        <v>86939</v>
      </c>
      <c r="FI34" s="66"/>
      <c r="FN34" s="16"/>
      <c r="FP34" s="85">
        <f t="shared" si="13"/>
        <v>7599</v>
      </c>
      <c r="FY34" s="85">
        <f t="shared" si="14"/>
        <v>59560</v>
      </c>
      <c r="GH34" s="85">
        <f t="shared" si="15"/>
        <v>5357</v>
      </c>
      <c r="GN34" s="85">
        <f t="shared" si="16"/>
        <v>48899</v>
      </c>
      <c r="HA34" s="20"/>
    </row>
    <row r="35" spans="2:213" x14ac:dyDescent="0.25">
      <c r="B35" s="82">
        <v>44025</v>
      </c>
      <c r="C35" s="22">
        <v>92011</v>
      </c>
      <c r="D35" s="22">
        <v>1.889</v>
      </c>
      <c r="E35" s="46">
        <f t="shared" si="17"/>
        <v>36640</v>
      </c>
      <c r="F35" s="22">
        <v>88069</v>
      </c>
      <c r="G35" s="22">
        <v>2.52</v>
      </c>
      <c r="H35" s="46">
        <f t="shared" si="18"/>
        <v>40000</v>
      </c>
      <c r="I35" s="22">
        <v>10335</v>
      </c>
      <c r="J35" s="22">
        <v>1.72</v>
      </c>
      <c r="K35" s="46">
        <f t="shared" si="19"/>
        <v>7200</v>
      </c>
      <c r="L35" s="22">
        <v>10223</v>
      </c>
      <c r="M35" s="22">
        <v>1.9</v>
      </c>
      <c r="N35" s="46">
        <f t="shared" si="20"/>
        <v>8400</v>
      </c>
      <c r="O35" s="22">
        <v>10915</v>
      </c>
      <c r="P35" s="22">
        <v>1.72</v>
      </c>
      <c r="Q35" s="46">
        <f t="shared" si="21"/>
        <v>6800</v>
      </c>
      <c r="R35" s="22">
        <v>72077</v>
      </c>
      <c r="S35" s="22">
        <v>2.3919999999999999</v>
      </c>
      <c r="T35" s="46">
        <f t="shared" si="22"/>
        <v>64500</v>
      </c>
      <c r="U35" s="22">
        <v>68672</v>
      </c>
      <c r="V35" s="22">
        <v>2.0070000000000001</v>
      </c>
      <c r="W35" s="46">
        <f t="shared" si="23"/>
        <v>66300</v>
      </c>
      <c r="X35" s="22">
        <v>16961</v>
      </c>
      <c r="Y35" s="22">
        <v>2.87</v>
      </c>
      <c r="Z35" s="46">
        <f t="shared" si="24"/>
        <v>5280</v>
      </c>
      <c r="AA35" s="22">
        <v>11405</v>
      </c>
      <c r="AB35" s="22">
        <v>2.44</v>
      </c>
      <c r="AC35" s="46">
        <f t="shared" si="25"/>
        <v>2400</v>
      </c>
      <c r="AD35" s="22">
        <v>87190</v>
      </c>
      <c r="AE35" s="22">
        <v>2.133</v>
      </c>
      <c r="AF35" s="46">
        <f t="shared" si="26"/>
        <v>50200</v>
      </c>
      <c r="AG35" s="22">
        <v>16527</v>
      </c>
      <c r="AH35" s="22">
        <v>0.36199999999999999</v>
      </c>
      <c r="AI35" s="46">
        <f t="shared" si="27"/>
        <v>1440</v>
      </c>
      <c r="AJ35" s="203">
        <v>58608</v>
      </c>
      <c r="AK35" s="46">
        <f t="shared" si="28"/>
        <v>361</v>
      </c>
      <c r="AL35" s="46"/>
      <c r="AN35" s="46">
        <f t="shared" si="29"/>
        <v>289521</v>
      </c>
      <c r="AO35" s="22">
        <f t="shared" si="30"/>
        <v>51640</v>
      </c>
      <c r="AP35" s="22">
        <f t="shared" si="31"/>
        <v>0.17836357293598737</v>
      </c>
      <c r="AQ35" s="22"/>
      <c r="AR35" s="16"/>
      <c r="AS35" s="89">
        <f t="shared" si="0"/>
        <v>44025</v>
      </c>
      <c r="AT35" s="22">
        <v>59709</v>
      </c>
      <c r="AU35" s="46">
        <f t="shared" si="32"/>
        <v>14900</v>
      </c>
      <c r="AV35" s="22">
        <v>7619</v>
      </c>
      <c r="AW35" s="46">
        <f t="shared" si="33"/>
        <v>2000</v>
      </c>
      <c r="AX35" s="103">
        <v>6200</v>
      </c>
      <c r="AY35" s="104">
        <f t="shared" si="47"/>
        <v>843</v>
      </c>
      <c r="AZ35" s="22">
        <v>48925</v>
      </c>
      <c r="BA35" s="46">
        <f t="shared" si="35"/>
        <v>1040</v>
      </c>
      <c r="BC35" s="83"/>
      <c r="BD35" s="27">
        <f t="shared" si="36"/>
        <v>18783</v>
      </c>
      <c r="BE35" s="22"/>
      <c r="BF35" s="22"/>
      <c r="BH35" s="16"/>
      <c r="BJ35" s="21">
        <f t="shared" si="1"/>
        <v>58608</v>
      </c>
      <c r="BN35" s="85">
        <f t="shared" si="2"/>
        <v>88069</v>
      </c>
      <c r="BW35" s="85">
        <f t="shared" si="3"/>
        <v>92011</v>
      </c>
      <c r="CF35" s="85">
        <f t="shared" si="4"/>
        <v>72077</v>
      </c>
      <c r="CO35" s="85">
        <f t="shared" si="5"/>
        <v>16527</v>
      </c>
      <c r="CX35" s="85">
        <f t="shared" si="6"/>
        <v>68672</v>
      </c>
      <c r="DG35" s="85">
        <f t="shared" si="7"/>
        <v>10223</v>
      </c>
      <c r="DP35" s="85">
        <f t="shared" si="8"/>
        <v>72077</v>
      </c>
      <c r="DY35" s="85">
        <f t="shared" si="9"/>
        <v>10915</v>
      </c>
      <c r="EH35" s="85">
        <f t="shared" si="10"/>
        <v>16961</v>
      </c>
      <c r="EQ35" s="85">
        <f t="shared" si="11"/>
        <v>11405</v>
      </c>
      <c r="EZ35" s="21">
        <f t="shared" si="12"/>
        <v>87190</v>
      </c>
      <c r="FI35" s="66"/>
      <c r="FN35" s="16"/>
      <c r="FP35" s="85">
        <f t="shared" si="13"/>
        <v>7619</v>
      </c>
      <c r="FY35" s="85">
        <f t="shared" si="14"/>
        <v>59709</v>
      </c>
      <c r="GH35" s="85">
        <f t="shared" si="15"/>
        <v>6200</v>
      </c>
      <c r="GN35" s="85">
        <f t="shared" si="16"/>
        <v>48925</v>
      </c>
      <c r="HA35" s="20"/>
    </row>
    <row r="36" spans="2:213" x14ac:dyDescent="0.25">
      <c r="B36" s="82">
        <v>44032</v>
      </c>
      <c r="C36" s="22">
        <v>92252</v>
      </c>
      <c r="D36" s="22">
        <v>1.889</v>
      </c>
      <c r="E36" s="46">
        <f t="shared" si="17"/>
        <v>38560</v>
      </c>
      <c r="F36" s="22">
        <v>88328</v>
      </c>
      <c r="G36" s="22">
        <v>2.052</v>
      </c>
      <c r="H36" s="46">
        <f t="shared" si="18"/>
        <v>41440</v>
      </c>
      <c r="I36" s="22">
        <v>10353</v>
      </c>
      <c r="J36" s="22">
        <v>1.72</v>
      </c>
      <c r="K36" s="46">
        <f t="shared" si="19"/>
        <v>7200</v>
      </c>
      <c r="L36" s="22">
        <v>10245</v>
      </c>
      <c r="M36" s="22">
        <v>1.9</v>
      </c>
      <c r="N36" s="46">
        <f t="shared" si="20"/>
        <v>8800</v>
      </c>
      <c r="O36" s="22">
        <v>10931</v>
      </c>
      <c r="P36" s="22">
        <v>1.72</v>
      </c>
      <c r="Q36" s="46">
        <f t="shared" si="21"/>
        <v>6400</v>
      </c>
      <c r="R36" s="22">
        <v>72294</v>
      </c>
      <c r="S36" s="22">
        <v>2.3919999999999999</v>
      </c>
      <c r="T36" s="46">
        <f t="shared" si="22"/>
        <v>65100</v>
      </c>
      <c r="U36" s="22">
        <v>68938</v>
      </c>
      <c r="V36" s="22">
        <v>2.008</v>
      </c>
      <c r="W36" s="46">
        <f t="shared" si="23"/>
        <v>79800</v>
      </c>
      <c r="X36" s="22">
        <v>16996</v>
      </c>
      <c r="Y36" s="22">
        <v>2.96</v>
      </c>
      <c r="Z36" s="46">
        <f t="shared" si="24"/>
        <v>5600</v>
      </c>
      <c r="AA36" s="22">
        <v>11422</v>
      </c>
      <c r="AB36" s="22">
        <v>2.44</v>
      </c>
      <c r="AC36" s="46">
        <f t="shared" si="25"/>
        <v>2720</v>
      </c>
      <c r="AD36" s="22">
        <v>87458</v>
      </c>
      <c r="AE36" s="22">
        <v>2.133</v>
      </c>
      <c r="AF36" s="46">
        <f t="shared" si="26"/>
        <v>53600</v>
      </c>
      <c r="AG36" s="22">
        <v>16567</v>
      </c>
      <c r="AH36" s="22">
        <v>0.36199999999999999</v>
      </c>
      <c r="AI36" s="46">
        <f t="shared" si="27"/>
        <v>1600</v>
      </c>
      <c r="AJ36" s="203">
        <v>58995</v>
      </c>
      <c r="AK36" s="46">
        <f t="shared" si="28"/>
        <v>387</v>
      </c>
      <c r="AL36" s="46"/>
      <c r="AN36" s="46">
        <f t="shared" si="29"/>
        <v>311207</v>
      </c>
      <c r="AO36" s="22">
        <f t="shared" si="30"/>
        <v>55200</v>
      </c>
      <c r="AP36" s="22">
        <f t="shared" si="31"/>
        <v>0.17737390225798264</v>
      </c>
      <c r="AQ36" s="22"/>
      <c r="AR36" s="16"/>
      <c r="AS36" s="89">
        <f t="shared" si="0"/>
        <v>44032</v>
      </c>
      <c r="AT36" s="22">
        <v>59869</v>
      </c>
      <c r="AU36" s="46">
        <f t="shared" si="32"/>
        <v>16000</v>
      </c>
      <c r="AV36" s="22">
        <v>7640</v>
      </c>
      <c r="AW36" s="46">
        <f t="shared" si="33"/>
        <v>2100</v>
      </c>
      <c r="AX36" s="103">
        <v>7100</v>
      </c>
      <c r="AY36" s="104">
        <f t="shared" si="47"/>
        <v>900</v>
      </c>
      <c r="AZ36" s="22">
        <v>49033</v>
      </c>
      <c r="BA36" s="46">
        <f t="shared" si="35"/>
        <v>4320</v>
      </c>
      <c r="BC36" s="83"/>
      <c r="BD36" s="27">
        <f t="shared" si="36"/>
        <v>23320</v>
      </c>
      <c r="BE36" s="22"/>
      <c r="BF36" s="22"/>
      <c r="BH36" s="16"/>
      <c r="BJ36" s="21">
        <f t="shared" si="1"/>
        <v>58995</v>
      </c>
      <c r="BN36" s="85">
        <f t="shared" si="2"/>
        <v>88328</v>
      </c>
      <c r="BW36" s="85">
        <f t="shared" si="3"/>
        <v>92252</v>
      </c>
      <c r="CF36" s="85">
        <f t="shared" si="4"/>
        <v>72294</v>
      </c>
      <c r="CO36" s="85">
        <f t="shared" si="5"/>
        <v>16567</v>
      </c>
      <c r="CX36" s="85">
        <f t="shared" si="6"/>
        <v>68938</v>
      </c>
      <c r="DG36" s="85">
        <f t="shared" si="7"/>
        <v>10245</v>
      </c>
      <c r="DP36" s="85">
        <f t="shared" si="8"/>
        <v>72294</v>
      </c>
      <c r="DY36" s="85">
        <f t="shared" si="9"/>
        <v>10931</v>
      </c>
      <c r="EH36" s="85">
        <f t="shared" si="10"/>
        <v>16996</v>
      </c>
      <c r="EQ36" s="85">
        <f t="shared" si="11"/>
        <v>11422</v>
      </c>
      <c r="EZ36" s="21">
        <f t="shared" si="12"/>
        <v>87458</v>
      </c>
      <c r="FI36" s="66"/>
      <c r="FN36" s="16"/>
      <c r="FP36" s="85">
        <f t="shared" si="13"/>
        <v>7640</v>
      </c>
      <c r="FY36" s="85">
        <f t="shared" si="14"/>
        <v>59869</v>
      </c>
      <c r="GH36" s="85">
        <f t="shared" si="15"/>
        <v>7100</v>
      </c>
      <c r="GN36" s="85">
        <f t="shared" si="16"/>
        <v>49033</v>
      </c>
      <c r="HA36" s="20"/>
    </row>
    <row r="37" spans="2:213" x14ac:dyDescent="0.25">
      <c r="B37" s="82">
        <v>44039</v>
      </c>
      <c r="C37" s="22">
        <v>92491</v>
      </c>
      <c r="D37" s="22">
        <v>1.889</v>
      </c>
      <c r="E37" s="46">
        <f t="shared" si="17"/>
        <v>38240</v>
      </c>
      <c r="F37" s="22">
        <v>88583</v>
      </c>
      <c r="G37" s="22">
        <v>1.911</v>
      </c>
      <c r="H37" s="46">
        <f t="shared" si="18"/>
        <v>40800</v>
      </c>
      <c r="I37" s="22">
        <v>10371</v>
      </c>
      <c r="J37" s="22">
        <v>1.48</v>
      </c>
      <c r="K37" s="46">
        <f t="shared" si="19"/>
        <v>7200</v>
      </c>
      <c r="L37" s="22">
        <v>10267</v>
      </c>
      <c r="M37" s="22">
        <v>1.7</v>
      </c>
      <c r="N37" s="46">
        <f t="shared" si="20"/>
        <v>8800</v>
      </c>
      <c r="O37" s="22">
        <v>10948</v>
      </c>
      <c r="P37" s="22">
        <v>1.42</v>
      </c>
      <c r="Q37" s="46">
        <f t="shared" si="21"/>
        <v>6800</v>
      </c>
      <c r="R37" s="22">
        <v>72552</v>
      </c>
      <c r="S37" s="22">
        <v>2.331</v>
      </c>
      <c r="T37" s="46">
        <f t="shared" si="22"/>
        <v>77400</v>
      </c>
      <c r="U37" s="22">
        <v>69166</v>
      </c>
      <c r="V37" s="22">
        <v>2.0289999999999999</v>
      </c>
      <c r="W37" s="46">
        <f t="shared" si="23"/>
        <v>68400</v>
      </c>
      <c r="X37" s="22">
        <v>17030</v>
      </c>
      <c r="Y37" s="22">
        <v>2.61</v>
      </c>
      <c r="Z37" s="46">
        <f t="shared" si="24"/>
        <v>5440</v>
      </c>
      <c r="AA37" s="22">
        <v>11437</v>
      </c>
      <c r="AB37" s="22">
        <v>1.58</v>
      </c>
      <c r="AC37" s="46">
        <f t="shared" si="25"/>
        <v>2400</v>
      </c>
      <c r="AD37" s="22">
        <v>87730</v>
      </c>
      <c r="AE37" s="22">
        <v>2.0840000000000001</v>
      </c>
      <c r="AF37" s="46">
        <f t="shared" si="26"/>
        <v>54400</v>
      </c>
      <c r="AG37" s="22">
        <v>16607</v>
      </c>
      <c r="AH37" s="22">
        <v>0.33</v>
      </c>
      <c r="AI37" s="46">
        <f t="shared" si="27"/>
        <v>1600</v>
      </c>
      <c r="AJ37" s="203">
        <v>59400</v>
      </c>
      <c r="AK37" s="46">
        <f t="shared" si="28"/>
        <v>405</v>
      </c>
      <c r="AL37" s="46"/>
      <c r="AN37" s="46">
        <f t="shared" si="29"/>
        <v>311885</v>
      </c>
      <c r="AO37" s="22">
        <f t="shared" si="30"/>
        <v>56000</v>
      </c>
      <c r="AP37" s="22">
        <f t="shared" si="31"/>
        <v>0.1795533610144765</v>
      </c>
      <c r="AQ37" s="22"/>
      <c r="AR37" s="16"/>
      <c r="AS37" s="89">
        <f t="shared" si="0"/>
        <v>44039</v>
      </c>
      <c r="AT37" s="22">
        <v>60020</v>
      </c>
      <c r="AU37" s="46">
        <f t="shared" si="32"/>
        <v>15100</v>
      </c>
      <c r="AV37" s="22">
        <v>7658</v>
      </c>
      <c r="AW37" s="46">
        <f t="shared" si="33"/>
        <v>1800</v>
      </c>
      <c r="AX37" s="103">
        <v>7982</v>
      </c>
      <c r="AY37" s="104">
        <f t="shared" si="47"/>
        <v>882</v>
      </c>
      <c r="AZ37" s="22">
        <v>49066</v>
      </c>
      <c r="BA37" s="46">
        <f t="shared" si="35"/>
        <v>1320</v>
      </c>
      <c r="BC37" s="83"/>
      <c r="BD37" s="27">
        <f t="shared" si="36"/>
        <v>19102</v>
      </c>
      <c r="BE37" s="22"/>
      <c r="BF37" s="22"/>
      <c r="BH37" s="16"/>
      <c r="BJ37" s="21">
        <f t="shared" si="1"/>
        <v>59400</v>
      </c>
      <c r="BN37" s="85">
        <f t="shared" si="2"/>
        <v>88583</v>
      </c>
      <c r="BW37" s="85">
        <f t="shared" si="3"/>
        <v>92491</v>
      </c>
      <c r="CF37" s="85">
        <f t="shared" si="4"/>
        <v>72552</v>
      </c>
      <c r="CO37" s="85">
        <f t="shared" si="5"/>
        <v>16607</v>
      </c>
      <c r="CX37" s="85">
        <f t="shared" si="6"/>
        <v>69166</v>
      </c>
      <c r="DG37" s="85">
        <f t="shared" si="7"/>
        <v>10267</v>
      </c>
      <c r="DP37" s="85">
        <f t="shared" si="8"/>
        <v>72552</v>
      </c>
      <c r="DY37" s="85">
        <f t="shared" si="9"/>
        <v>10948</v>
      </c>
      <c r="EH37" s="85">
        <f t="shared" si="10"/>
        <v>17030</v>
      </c>
      <c r="EQ37" s="85">
        <f t="shared" si="11"/>
        <v>11437</v>
      </c>
      <c r="EZ37" s="21">
        <f t="shared" si="12"/>
        <v>87730</v>
      </c>
      <c r="FI37" s="66"/>
      <c r="FN37" s="16"/>
      <c r="FP37" s="85">
        <f t="shared" si="13"/>
        <v>7658</v>
      </c>
      <c r="FY37" s="85">
        <f t="shared" si="14"/>
        <v>60020</v>
      </c>
      <c r="GH37" s="85">
        <f t="shared" si="15"/>
        <v>7982</v>
      </c>
      <c r="GN37" s="85">
        <f t="shared" si="16"/>
        <v>49066</v>
      </c>
      <c r="HA37" s="20"/>
    </row>
    <row r="38" spans="2:213" x14ac:dyDescent="0.25">
      <c r="B38" s="82">
        <v>44044</v>
      </c>
      <c r="C38" s="22">
        <v>92676</v>
      </c>
      <c r="D38" s="22">
        <v>1.9379999999999999</v>
      </c>
      <c r="E38" s="46">
        <f t="shared" si="17"/>
        <v>29600</v>
      </c>
      <c r="F38" s="22">
        <v>88782</v>
      </c>
      <c r="G38" s="22">
        <v>1.917</v>
      </c>
      <c r="H38" s="46">
        <f t="shared" si="18"/>
        <v>31840</v>
      </c>
      <c r="I38" s="22">
        <v>10385</v>
      </c>
      <c r="J38" s="22">
        <v>1.48</v>
      </c>
      <c r="K38" s="46">
        <f t="shared" si="19"/>
        <v>5600</v>
      </c>
      <c r="L38" s="22">
        <v>10284</v>
      </c>
      <c r="M38" s="22">
        <v>1.7</v>
      </c>
      <c r="N38" s="46">
        <f t="shared" si="20"/>
        <v>6800</v>
      </c>
      <c r="O38" s="22">
        <v>10962</v>
      </c>
      <c r="P38" s="22">
        <v>1.42</v>
      </c>
      <c r="Q38" s="46">
        <f t="shared" si="21"/>
        <v>5600</v>
      </c>
      <c r="R38" s="22">
        <v>72734</v>
      </c>
      <c r="S38" s="22">
        <v>2.331</v>
      </c>
      <c r="T38" s="46">
        <f t="shared" si="22"/>
        <v>54600</v>
      </c>
      <c r="U38" s="22">
        <v>69343</v>
      </c>
      <c r="V38" s="22">
        <v>2.0289999999999999</v>
      </c>
      <c r="W38" s="46">
        <f t="shared" si="23"/>
        <v>53100</v>
      </c>
      <c r="X38" s="22">
        <v>17058</v>
      </c>
      <c r="Y38" s="22">
        <v>2.8</v>
      </c>
      <c r="Z38" s="46">
        <f t="shared" si="24"/>
        <v>4480</v>
      </c>
      <c r="AA38" s="22">
        <v>11450</v>
      </c>
      <c r="AB38" s="22">
        <v>1.59</v>
      </c>
      <c r="AC38" s="46">
        <f t="shared" si="25"/>
        <v>2080</v>
      </c>
      <c r="AD38" s="22">
        <v>87928</v>
      </c>
      <c r="AE38" s="22">
        <v>2.0840000000000001</v>
      </c>
      <c r="AF38" s="46">
        <f t="shared" si="26"/>
        <v>39600</v>
      </c>
      <c r="AG38" s="22">
        <v>16638</v>
      </c>
      <c r="AH38" s="22">
        <v>0.33</v>
      </c>
      <c r="AI38" s="46">
        <f t="shared" si="27"/>
        <v>1240</v>
      </c>
      <c r="AJ38" s="203">
        <v>59724</v>
      </c>
      <c r="AK38" s="46">
        <f t="shared" si="28"/>
        <v>324</v>
      </c>
      <c r="AL38" s="46"/>
      <c r="AN38" s="46">
        <f t="shared" si="29"/>
        <v>234864</v>
      </c>
      <c r="AO38" s="22">
        <f t="shared" si="30"/>
        <v>40840</v>
      </c>
      <c r="AP38" s="22">
        <f t="shared" si="31"/>
        <v>0.17388786702091424</v>
      </c>
      <c r="AQ38" s="22">
        <f>SUM(AN34:AN38)</f>
        <v>1375162</v>
      </c>
      <c r="AR38" s="16"/>
      <c r="AS38" s="89">
        <f t="shared" si="0"/>
        <v>44044</v>
      </c>
      <c r="AT38" s="22">
        <v>60100</v>
      </c>
      <c r="AU38" s="46">
        <f t="shared" si="32"/>
        <v>8000</v>
      </c>
      <c r="AV38" s="22">
        <v>7665</v>
      </c>
      <c r="AW38" s="46">
        <f t="shared" si="33"/>
        <v>700</v>
      </c>
      <c r="AX38" s="103">
        <v>8520</v>
      </c>
      <c r="AY38" s="104">
        <f t="shared" si="47"/>
        <v>538</v>
      </c>
      <c r="AZ38" s="22">
        <v>49100</v>
      </c>
      <c r="BA38" s="46">
        <f t="shared" si="35"/>
        <v>1360</v>
      </c>
      <c r="BC38" s="83"/>
      <c r="BD38" s="27">
        <f t="shared" si="36"/>
        <v>10598</v>
      </c>
      <c r="BE38" s="22">
        <f>SUM(BC34:BD38)</f>
        <v>86094</v>
      </c>
      <c r="BF38" s="22">
        <f>SUM(AQ38+BE38)</f>
        <v>1461256</v>
      </c>
      <c r="BH38" s="16"/>
      <c r="BJ38" s="21">
        <f t="shared" si="1"/>
        <v>59724</v>
      </c>
      <c r="BK38" s="22">
        <v>58969</v>
      </c>
      <c r="BL38" s="21">
        <f>SUM(BK38-BK33)</f>
        <v>1325</v>
      </c>
      <c r="BM38" s="84">
        <f>SUM(BL38*0.13773+BL38*0.02095)*1.09+2.85</f>
        <v>232.02358999999998</v>
      </c>
      <c r="BN38" s="85">
        <f t="shared" si="2"/>
        <v>88782</v>
      </c>
      <c r="BO38" s="22">
        <v>88473</v>
      </c>
      <c r="BP38" s="22">
        <v>2.052</v>
      </c>
      <c r="BQ38" s="21">
        <f>SUM(BO38-BO33)*160</f>
        <v>172000</v>
      </c>
      <c r="BR38" s="21">
        <f>(BP38)*160</f>
        <v>328.32</v>
      </c>
      <c r="BS38" s="84">
        <f>SUM(BQ38*0.05155)</f>
        <v>8866.6</v>
      </c>
      <c r="BT38" s="84">
        <f>SUM(BQ38*0.02095)</f>
        <v>3603.4</v>
      </c>
      <c r="BU38" s="84">
        <f>SUM(BR38*7.689)</f>
        <v>2524.4524799999999</v>
      </c>
      <c r="BV38" s="84">
        <f>SUM(BS38+BT38)*1.11</f>
        <v>13841.7</v>
      </c>
      <c r="BW38" s="85">
        <f t="shared" si="3"/>
        <v>92676</v>
      </c>
      <c r="BX38" s="22">
        <v>92388</v>
      </c>
      <c r="BY38" s="22">
        <v>1.889</v>
      </c>
      <c r="BZ38" s="21">
        <f>SUM(BX38-BX33)*160</f>
        <v>158560</v>
      </c>
      <c r="CA38" s="21">
        <f>(BY38)*160</f>
        <v>302.24</v>
      </c>
      <c r="CB38" s="84">
        <f>SUM(BZ38*0.05155)</f>
        <v>8173.768</v>
      </c>
      <c r="CC38" s="84">
        <f>SUM(BZ38*0.02095)</f>
        <v>3321.8319999999999</v>
      </c>
      <c r="CD38" s="84">
        <f>SUM(CA38*7.689)</f>
        <v>2323.9233600000002</v>
      </c>
      <c r="CE38" s="84">
        <f>SUM((CB38+CC38)+20)* 1.11</f>
        <v>12782.316000000001</v>
      </c>
      <c r="CF38" s="85">
        <f t="shared" si="4"/>
        <v>72734</v>
      </c>
      <c r="CG38" s="22">
        <v>72410</v>
      </c>
      <c r="CH38" s="22">
        <v>2.3919999999999999</v>
      </c>
      <c r="CI38" s="21">
        <f>SUM(CG38-CG33)*300</f>
        <v>287400</v>
      </c>
      <c r="CJ38" s="21">
        <f>(CH38)*300</f>
        <v>717.6</v>
      </c>
      <c r="CK38" s="84">
        <f>SUM(CI38*0.05155)</f>
        <v>14815.47</v>
      </c>
      <c r="CL38" s="84">
        <f>SUM(CI38*0.02095)</f>
        <v>6021.03</v>
      </c>
      <c r="CM38" s="84">
        <f>SUM(CJ38*7.689)</f>
        <v>5517.6264000000001</v>
      </c>
      <c r="CN38" s="84">
        <f>SUM((CK38+CL38)+20)*1.11</f>
        <v>23150.715000000004</v>
      </c>
      <c r="CO38" s="85">
        <f t="shared" si="5"/>
        <v>16638</v>
      </c>
      <c r="CP38" s="22">
        <v>16586</v>
      </c>
      <c r="CQ38" s="22">
        <v>0.36199999999999999</v>
      </c>
      <c r="CR38" s="21">
        <f>(CP38-CP33)*40</f>
        <v>6520</v>
      </c>
      <c r="CS38" s="21">
        <f>(CQ38)*40</f>
        <v>14.48</v>
      </c>
      <c r="CT38" s="84">
        <f>SUM(CR38*0.05155)</f>
        <v>336.10599999999999</v>
      </c>
      <c r="CU38" s="84">
        <f>SUM(CR38*0.02095)</f>
        <v>136.59399999999999</v>
      </c>
      <c r="CV38" s="84">
        <f>SUM(CS38*7.689)</f>
        <v>111.33672</v>
      </c>
      <c r="CW38" s="84">
        <f>SUM((CT38+CU38)+20)*1.11</f>
        <v>546.89700000000005</v>
      </c>
      <c r="CX38" s="85">
        <f t="shared" si="6"/>
        <v>69343</v>
      </c>
      <c r="CY38" s="22">
        <v>69051</v>
      </c>
      <c r="CZ38" s="22">
        <v>2.008</v>
      </c>
      <c r="DA38" s="21">
        <f>SUM(CY38-CY33)*300</f>
        <v>302100</v>
      </c>
      <c r="DB38" s="86">
        <f>(CZ38)*300</f>
        <v>602.4</v>
      </c>
      <c r="DC38" s="84">
        <f>SUM(DA38*0.05155)</f>
        <v>15573.254999999999</v>
      </c>
      <c r="DD38" s="84">
        <f>SUM(DA38*0.02095)</f>
        <v>6328.9949999999999</v>
      </c>
      <c r="DE38" s="84">
        <f>SUM(DB38*7.689)</f>
        <v>4631.8535999999995</v>
      </c>
      <c r="DF38" s="84">
        <f>SUM((DC38+DD38)+20)*1.12</f>
        <v>24552.920000000002</v>
      </c>
      <c r="DG38" s="85">
        <f t="shared" si="7"/>
        <v>10284</v>
      </c>
      <c r="DH38" s="22">
        <v>10254</v>
      </c>
      <c r="DI38" s="22">
        <v>0.19</v>
      </c>
      <c r="DJ38" s="21">
        <f>SUM(DH38-DH33)*400</f>
        <v>35200</v>
      </c>
      <c r="DK38" s="86">
        <f>(DI38)*400</f>
        <v>76</v>
      </c>
      <c r="DL38" s="84">
        <f>SUM(DJ38*0.05155)</f>
        <v>1814.56</v>
      </c>
      <c r="DM38" s="84">
        <f>SUM(DJ38*0.02095)</f>
        <v>737.43999999999994</v>
      </c>
      <c r="DN38" s="84">
        <f>SUM(DK38*7.689)</f>
        <v>584.36400000000003</v>
      </c>
      <c r="DO38" s="84">
        <f>SUM((DL38+DM38)+20)*1.12</f>
        <v>2880.6400000000003</v>
      </c>
      <c r="DP38" s="85">
        <f t="shared" si="8"/>
        <v>72734</v>
      </c>
      <c r="DQ38" s="22">
        <v>10363</v>
      </c>
      <c r="DR38" s="22">
        <v>0.17199999999999999</v>
      </c>
      <c r="DS38" s="21">
        <f>SUM(DQ38-DQ33)*400</f>
        <v>32000</v>
      </c>
      <c r="DT38" s="21">
        <f>(DR38)*400</f>
        <v>68.8</v>
      </c>
      <c r="DU38" s="84">
        <f>SUM(DS38*0.05155)</f>
        <v>1649.6</v>
      </c>
      <c r="DV38" s="84">
        <f>SUM(DS38*0.02095)</f>
        <v>670.4</v>
      </c>
      <c r="DW38" s="84">
        <f>SUM(DT38*7.689)</f>
        <v>529.00319999999999</v>
      </c>
      <c r="DX38" s="84">
        <f>SUM((DU38+DV38)+20)*1.12</f>
        <v>2620.8000000000002</v>
      </c>
      <c r="DY38" s="85">
        <f t="shared" si="9"/>
        <v>10962</v>
      </c>
      <c r="DZ38" s="22">
        <v>10941</v>
      </c>
      <c r="EA38" s="22">
        <v>0.17199999999999999</v>
      </c>
      <c r="EB38" s="21">
        <f>SUM(DZ38-DZ33)*400</f>
        <v>31600</v>
      </c>
      <c r="EC38" s="21">
        <f>(EA38)*400</f>
        <v>68.8</v>
      </c>
      <c r="ED38" s="84">
        <f>SUM(EB38*0.05155)</f>
        <v>1628.98</v>
      </c>
      <c r="EE38" s="84">
        <f>SUM(EB38*0.02095)</f>
        <v>662.02</v>
      </c>
      <c r="EF38" s="84">
        <f>SUM(EC38*7.689)</f>
        <v>529.00319999999999</v>
      </c>
      <c r="EG38" s="84">
        <f>SUM((ED38+EE38)+20)*1.12</f>
        <v>2588.3200000000002</v>
      </c>
      <c r="EH38" s="85">
        <f t="shared" si="10"/>
        <v>17058</v>
      </c>
      <c r="EI38" s="22">
        <v>17012</v>
      </c>
      <c r="EJ38" s="22">
        <v>0.29599999999999999</v>
      </c>
      <c r="EK38" s="21">
        <f>SUM(EI38-EI33)*160</f>
        <v>23840</v>
      </c>
      <c r="EL38" s="21">
        <f>(EJ38)*160</f>
        <v>47.36</v>
      </c>
      <c r="EM38" s="84">
        <f>SUM(EK38*0.05155)</f>
        <v>1228.952</v>
      </c>
      <c r="EN38" s="84">
        <f>SUM(EK38*0.02095)</f>
        <v>499.44799999999998</v>
      </c>
      <c r="EO38" s="84">
        <f>SUM(EL38*7.689)</f>
        <v>364.15104000000002</v>
      </c>
      <c r="EP38" s="84">
        <f>SUM((EM38+EN38)+20)*1.12</f>
        <v>1958.2080000000003</v>
      </c>
      <c r="EQ38" s="85">
        <f t="shared" si="11"/>
        <v>11450</v>
      </c>
      <c r="ER38" s="22">
        <v>11429</v>
      </c>
      <c r="ES38" s="22">
        <v>0.24399999999999999</v>
      </c>
      <c r="ET38" s="21">
        <f>SUM(ER38-ER33)*160</f>
        <v>10560</v>
      </c>
      <c r="EU38" s="21">
        <f>(ES38)*160</f>
        <v>39.04</v>
      </c>
      <c r="EV38" s="84">
        <f>SUM(ET38*0.05155)</f>
        <v>544.36799999999994</v>
      </c>
      <c r="EW38" s="84">
        <f>SUM(ET38*0.02095)</f>
        <v>221.232</v>
      </c>
      <c r="EX38" s="84">
        <f>SUM(EU38*7.689)</f>
        <v>300.17856</v>
      </c>
      <c r="EY38" s="84">
        <f>SUM((EV38+EW38)+20)*1.12</f>
        <v>879.87199999999996</v>
      </c>
      <c r="EZ38" s="21">
        <f t="shared" si="12"/>
        <v>87928</v>
      </c>
      <c r="FA38" s="97">
        <v>87580</v>
      </c>
      <c r="FB38" s="97">
        <v>2.133</v>
      </c>
      <c r="FC38" s="21">
        <f>SUM(FA38-FA33)*200</f>
        <v>206200</v>
      </c>
      <c r="FD38" s="21">
        <f>(FB38)*200</f>
        <v>426.6</v>
      </c>
      <c r="FE38" s="84">
        <f>SUM(FC38*0.05155)</f>
        <v>10629.61</v>
      </c>
      <c r="FF38" s="84">
        <f>SUM(FC38*0.02095)</f>
        <v>4319.8900000000003</v>
      </c>
      <c r="FG38" s="84">
        <f>SUM(FD38*7.689)</f>
        <v>3280.1274000000003</v>
      </c>
      <c r="FH38" s="84">
        <f>SUM((FE38+FF38)+20)*1.12</f>
        <v>16765.84</v>
      </c>
      <c r="FI38" s="66"/>
      <c r="FJ38" s="101">
        <f>SUM(BL38+BQ38+BZ38+CI38+CR38+DA38+DJ38+DS38+EB38+EK38+ET38+FC38)</f>
        <v>1267305</v>
      </c>
      <c r="FK38" s="102">
        <f>SUM(BM38+BV38,CE38,CN38,CW38,DF38,DO38,DX38,EG38,EP38,EY38+FH38)</f>
        <v>102800.25159000001</v>
      </c>
      <c r="FL38" s="102">
        <f>SUM(BU38,CD38,CM38,CV38,DE38,DN38,DW38,EF38,EO38,EX38,FG38)</f>
        <v>20696.019960000001</v>
      </c>
      <c r="FM38" s="102">
        <f>SUM(FK38:FL38)</f>
        <v>123496.27155000002</v>
      </c>
      <c r="FN38" s="16"/>
      <c r="FP38" s="85">
        <f t="shared" si="13"/>
        <v>7665</v>
      </c>
      <c r="FQ38" s="22">
        <v>7645</v>
      </c>
      <c r="FR38" s="22">
        <v>0.252</v>
      </c>
      <c r="FS38" s="21">
        <f>SUM(FQ38-FQ33)*100</f>
        <v>8400</v>
      </c>
      <c r="FT38" s="21">
        <f>SUM(FR38)*100</f>
        <v>25.2</v>
      </c>
      <c r="FU38" s="87">
        <f>SUM(FS38*0.05155)</f>
        <v>433.02</v>
      </c>
      <c r="FV38" s="87">
        <f>SUM(FS38*0.02095)</f>
        <v>175.98</v>
      </c>
      <c r="FW38" s="87">
        <f>SUM(FT38*7.689)</f>
        <v>193.7628</v>
      </c>
      <c r="FX38" s="84">
        <f>SUM(FV38+FU38+20)*1.1048</f>
        <v>694.91920000000005</v>
      </c>
      <c r="FY38" s="85">
        <f t="shared" si="14"/>
        <v>60100</v>
      </c>
      <c r="FZ38" s="22">
        <v>59930</v>
      </c>
      <c r="GA38" s="22">
        <v>1.724</v>
      </c>
      <c r="GB38" s="21">
        <f>SUM(FZ38-FZ33)*100</f>
        <v>64400</v>
      </c>
      <c r="GC38" s="21">
        <f>SUM(GA38)*100</f>
        <v>172.4</v>
      </c>
      <c r="GD38" s="87">
        <f>SUM(GB38*0.05155)</f>
        <v>3319.8199999999997</v>
      </c>
      <c r="GE38" s="87">
        <f>SUM(GB38*0.02095)</f>
        <v>1349.18</v>
      </c>
      <c r="GF38" s="87">
        <f>SUM(GC38*7.689)</f>
        <v>1325.5836000000002</v>
      </c>
      <c r="GG38" s="84">
        <f>SUM(GE38+GD38+20)*1.1048</f>
        <v>5180.4071999999996</v>
      </c>
      <c r="GH38" s="85">
        <f t="shared" si="15"/>
        <v>8520</v>
      </c>
      <c r="GI38" s="22">
        <v>7591</v>
      </c>
      <c r="GJ38" s="21">
        <f>SUM(GI38-GI33)</f>
        <v>3822</v>
      </c>
      <c r="GK38" s="84">
        <f>SUM(GJ38*0.13773)</f>
        <v>526.40405999999996</v>
      </c>
      <c r="GL38" s="84">
        <f>SUM(GJ38*0.02095)</f>
        <v>80.070899999999995</v>
      </c>
      <c r="GM38" s="84">
        <f>SUM(GK38+GL38+2.32)*1.07</f>
        <v>651.41060720000007</v>
      </c>
      <c r="GN38" s="85">
        <f t="shared" si="16"/>
        <v>49100</v>
      </c>
      <c r="GO38" s="22">
        <v>49048</v>
      </c>
      <c r="GP38" s="22">
        <v>3.4470000000000001</v>
      </c>
      <c r="GQ38" s="21">
        <f>SUM(GO38-GO33)*40</f>
        <v>12960</v>
      </c>
      <c r="GR38" s="21">
        <f>SUM(GP38)*40</f>
        <v>137.88</v>
      </c>
      <c r="GS38" s="84">
        <f>SUM(GQ38*0.05155)</f>
        <v>668.08799999999997</v>
      </c>
      <c r="GT38" s="84">
        <f>SUM(GQ38*0.02095)</f>
        <v>271.512</v>
      </c>
      <c r="GU38" s="84">
        <f>SUM(GR38*7.689)</f>
        <v>1060.15932</v>
      </c>
      <c r="GV38" s="84">
        <f>SUM(GT38+GS38+20)*1.2</f>
        <v>1151.5199999999998</v>
      </c>
      <c r="GW38" s="22">
        <f>SUM(FS38+GB38+GJ38+GQ38)</f>
        <v>89582</v>
      </c>
      <c r="GX38" s="102">
        <f>SUM(GV38+GM38+GG38+FX38)</f>
        <v>7678.2570071999999</v>
      </c>
      <c r="GY38" s="102">
        <f>SUM(FW38+GF38+GU38)</f>
        <v>2579.5057200000001</v>
      </c>
      <c r="GZ38" s="102">
        <f>SUM(GX38:GY38)</f>
        <v>10257.762727199999</v>
      </c>
      <c r="HA38" s="20"/>
      <c r="HB38" s="101">
        <f t="shared" ref="HB38:HD38" si="50">(FJ38+GW38)</f>
        <v>1356887</v>
      </c>
      <c r="HC38" s="102">
        <f t="shared" si="50"/>
        <v>110478.50859720001</v>
      </c>
      <c r="HD38" s="102">
        <f t="shared" si="50"/>
        <v>23275.525680000002</v>
      </c>
      <c r="HE38" s="102">
        <f t="shared" ref="HE38" si="51">(HC38+HD38)</f>
        <v>133754.0342772</v>
      </c>
    </row>
    <row r="39" spans="2:213" x14ac:dyDescent="0.25">
      <c r="B39" s="82">
        <v>44046</v>
      </c>
      <c r="C39" s="22">
        <v>92731</v>
      </c>
      <c r="D39" s="22">
        <v>1.9379999999999999</v>
      </c>
      <c r="E39" s="46">
        <f t="shared" si="17"/>
        <v>8800</v>
      </c>
      <c r="F39" s="22">
        <v>88845</v>
      </c>
      <c r="G39" s="22">
        <v>1.9790000000000001</v>
      </c>
      <c r="H39" s="46">
        <f t="shared" si="18"/>
        <v>10080</v>
      </c>
      <c r="I39" s="22">
        <v>10390</v>
      </c>
      <c r="J39" s="22">
        <v>1.59</v>
      </c>
      <c r="K39" s="46">
        <f t="shared" si="19"/>
        <v>2000</v>
      </c>
      <c r="L39" s="22">
        <v>10289</v>
      </c>
      <c r="M39" s="22">
        <v>1.72</v>
      </c>
      <c r="N39" s="46">
        <f t="shared" si="20"/>
        <v>2000</v>
      </c>
      <c r="O39" s="22">
        <v>10966</v>
      </c>
      <c r="P39" s="22">
        <v>1.43</v>
      </c>
      <c r="Q39" s="46">
        <f t="shared" si="21"/>
        <v>1600</v>
      </c>
      <c r="R39" s="22">
        <v>72796</v>
      </c>
      <c r="S39" s="22">
        <v>2.331</v>
      </c>
      <c r="T39" s="46">
        <f t="shared" si="22"/>
        <v>18600</v>
      </c>
      <c r="U39" s="22">
        <v>69401</v>
      </c>
      <c r="V39" s="22">
        <v>2.0289999999999999</v>
      </c>
      <c r="W39" s="46">
        <f t="shared" si="23"/>
        <v>17400</v>
      </c>
      <c r="X39" s="22">
        <v>17067</v>
      </c>
      <c r="Y39" s="22">
        <v>2.81</v>
      </c>
      <c r="Z39" s="46">
        <f t="shared" si="24"/>
        <v>1440</v>
      </c>
      <c r="AA39" s="22">
        <v>11454</v>
      </c>
      <c r="AB39" s="22">
        <v>1.59</v>
      </c>
      <c r="AC39" s="46">
        <f t="shared" si="25"/>
        <v>640</v>
      </c>
      <c r="AD39" s="22">
        <v>87992</v>
      </c>
      <c r="AE39" s="22">
        <v>2.0840000000000001</v>
      </c>
      <c r="AF39" s="46">
        <f t="shared" si="26"/>
        <v>12800</v>
      </c>
      <c r="AG39" s="22">
        <v>16647</v>
      </c>
      <c r="AH39" s="22">
        <v>0.33</v>
      </c>
      <c r="AI39" s="46">
        <f t="shared" si="27"/>
        <v>360</v>
      </c>
      <c r="AJ39" s="203">
        <v>59809</v>
      </c>
      <c r="AK39" s="46">
        <f t="shared" si="28"/>
        <v>85</v>
      </c>
      <c r="AL39" s="46"/>
      <c r="AN39" s="46">
        <f t="shared" si="29"/>
        <v>75805</v>
      </c>
      <c r="AO39" s="22">
        <f t="shared" si="30"/>
        <v>13160</v>
      </c>
      <c r="AP39" s="22">
        <f t="shared" si="31"/>
        <v>0.17360332431897632</v>
      </c>
      <c r="AQ39" s="22"/>
      <c r="AR39" s="16"/>
      <c r="AS39" s="89">
        <f t="shared" si="0"/>
        <v>44046</v>
      </c>
      <c r="AT39" s="22">
        <v>60194</v>
      </c>
      <c r="AU39" s="46">
        <f t="shared" si="32"/>
        <v>9400</v>
      </c>
      <c r="AV39" s="22">
        <v>7681</v>
      </c>
      <c r="AW39" s="46">
        <f t="shared" si="33"/>
        <v>1600</v>
      </c>
      <c r="AX39" s="103">
        <v>8999</v>
      </c>
      <c r="AY39" s="104">
        <f t="shared" si="47"/>
        <v>479</v>
      </c>
      <c r="AZ39" s="22">
        <v>49130</v>
      </c>
      <c r="BA39" s="46">
        <f t="shared" si="35"/>
        <v>1200</v>
      </c>
      <c r="BC39" s="83"/>
      <c r="BD39" s="27">
        <f t="shared" si="36"/>
        <v>12679</v>
      </c>
      <c r="BE39" s="22"/>
      <c r="BF39" s="22"/>
      <c r="BH39" s="16"/>
      <c r="BJ39" s="21">
        <f t="shared" si="1"/>
        <v>59809</v>
      </c>
      <c r="BN39" s="85">
        <f t="shared" si="2"/>
        <v>88845</v>
      </c>
      <c r="BW39" s="85">
        <f t="shared" si="3"/>
        <v>92731</v>
      </c>
      <c r="CF39" s="85">
        <f t="shared" si="4"/>
        <v>72796</v>
      </c>
      <c r="CO39" s="85">
        <f t="shared" si="5"/>
        <v>16647</v>
      </c>
      <c r="CX39" s="85">
        <f t="shared" si="6"/>
        <v>69401</v>
      </c>
      <c r="DG39" s="85">
        <f t="shared" si="7"/>
        <v>10289</v>
      </c>
      <c r="DP39" s="85">
        <f t="shared" si="8"/>
        <v>72796</v>
      </c>
      <c r="DY39" s="85">
        <f t="shared" si="9"/>
        <v>10966</v>
      </c>
      <c r="EH39" s="85">
        <f t="shared" si="10"/>
        <v>17067</v>
      </c>
      <c r="EQ39" s="85">
        <f t="shared" si="11"/>
        <v>11454</v>
      </c>
      <c r="EZ39" s="21">
        <f t="shared" si="12"/>
        <v>87992</v>
      </c>
      <c r="FI39" s="66"/>
      <c r="FN39" s="16"/>
      <c r="FP39" s="85">
        <f t="shared" ref="FP39:FP44" si="52">SUM(AV39)</f>
        <v>7681</v>
      </c>
      <c r="FY39" s="85">
        <f t="shared" si="14"/>
        <v>60194</v>
      </c>
      <c r="GH39" s="85">
        <f t="shared" si="15"/>
        <v>8999</v>
      </c>
      <c r="GN39" s="85">
        <f t="shared" si="16"/>
        <v>49130</v>
      </c>
      <c r="HA39" s="20"/>
    </row>
    <row r="40" spans="2:213" x14ac:dyDescent="0.25">
      <c r="B40" s="82">
        <v>44053</v>
      </c>
      <c r="C40" s="22">
        <v>92974</v>
      </c>
      <c r="D40" s="22">
        <v>1.9379999999999999</v>
      </c>
      <c r="E40" s="46">
        <f t="shared" si="17"/>
        <v>38880</v>
      </c>
      <c r="F40" s="22">
        <v>89112</v>
      </c>
      <c r="G40" s="22">
        <v>1.9790000000000001</v>
      </c>
      <c r="H40" s="46">
        <f t="shared" si="18"/>
        <v>42720</v>
      </c>
      <c r="I40" s="22">
        <v>10410</v>
      </c>
      <c r="J40" s="22">
        <v>1.7</v>
      </c>
      <c r="K40" s="46">
        <f t="shared" si="19"/>
        <v>8000</v>
      </c>
      <c r="L40" s="22">
        <v>10314</v>
      </c>
      <c r="M40" s="22">
        <v>2.0299999999999998</v>
      </c>
      <c r="N40" s="46">
        <f t="shared" si="20"/>
        <v>10000</v>
      </c>
      <c r="O40" s="22">
        <v>10984</v>
      </c>
      <c r="P40" s="22">
        <v>1.43</v>
      </c>
      <c r="Q40" s="46">
        <f t="shared" si="21"/>
        <v>7200</v>
      </c>
      <c r="R40" s="22">
        <v>73045</v>
      </c>
      <c r="S40" s="22">
        <v>2.331</v>
      </c>
      <c r="T40" s="46">
        <f t="shared" si="22"/>
        <v>74700</v>
      </c>
      <c r="U40" s="22">
        <v>69637</v>
      </c>
      <c r="V40" s="22">
        <v>2.0289999999999999</v>
      </c>
      <c r="W40" s="46">
        <f t="shared" si="23"/>
        <v>70800</v>
      </c>
      <c r="X40" s="22">
        <v>17104</v>
      </c>
      <c r="Y40" s="22">
        <v>2.81</v>
      </c>
      <c r="Z40" s="46">
        <f t="shared" si="24"/>
        <v>5920</v>
      </c>
      <c r="AA40" s="22">
        <v>11471</v>
      </c>
      <c r="AB40" s="22">
        <v>1.75</v>
      </c>
      <c r="AC40" s="46">
        <f t="shared" si="25"/>
        <v>2720</v>
      </c>
      <c r="AD40" s="22">
        <v>88252</v>
      </c>
      <c r="AE40" s="22">
        <v>2.0840000000000001</v>
      </c>
      <c r="AF40" s="46">
        <f t="shared" si="26"/>
        <v>52000</v>
      </c>
      <c r="AG40" s="22">
        <v>16688</v>
      </c>
      <c r="AH40" s="22">
        <v>0.33</v>
      </c>
      <c r="AI40" s="46">
        <f t="shared" si="27"/>
        <v>1640</v>
      </c>
      <c r="AJ40" s="203">
        <v>60231</v>
      </c>
      <c r="AK40" s="46">
        <f t="shared" si="28"/>
        <v>422</v>
      </c>
      <c r="AL40" s="46"/>
      <c r="AN40" s="46">
        <f t="shared" si="29"/>
        <v>315002</v>
      </c>
      <c r="AO40" s="22">
        <f t="shared" si="30"/>
        <v>53640</v>
      </c>
      <c r="AP40" s="22">
        <f t="shared" si="31"/>
        <v>0.17028463311344055</v>
      </c>
      <c r="AQ40" s="22"/>
      <c r="AR40" s="16"/>
      <c r="AS40" s="89">
        <f t="shared" si="0"/>
        <v>44053</v>
      </c>
      <c r="AT40" s="22">
        <v>60335</v>
      </c>
      <c r="AU40" s="46">
        <f t="shared" si="32"/>
        <v>14100</v>
      </c>
      <c r="AV40" s="22">
        <v>7699</v>
      </c>
      <c r="AW40" s="46">
        <f t="shared" si="33"/>
        <v>1800</v>
      </c>
      <c r="AX40" s="103">
        <v>9819</v>
      </c>
      <c r="AY40" s="104">
        <f t="shared" si="47"/>
        <v>820</v>
      </c>
      <c r="AZ40" s="22">
        <v>49190</v>
      </c>
      <c r="BA40" s="46">
        <f t="shared" si="35"/>
        <v>2400</v>
      </c>
      <c r="BC40" s="83"/>
      <c r="BD40" s="27">
        <f t="shared" si="36"/>
        <v>19120</v>
      </c>
      <c r="BE40" s="22"/>
      <c r="BF40" s="22"/>
      <c r="BH40" s="16"/>
      <c r="BJ40" s="21">
        <f t="shared" si="1"/>
        <v>60231</v>
      </c>
      <c r="BN40" s="85">
        <f t="shared" si="2"/>
        <v>89112</v>
      </c>
      <c r="BW40" s="85">
        <f t="shared" si="3"/>
        <v>92974</v>
      </c>
      <c r="CF40" s="85">
        <f t="shared" si="4"/>
        <v>73045</v>
      </c>
      <c r="CO40" s="85">
        <f t="shared" si="5"/>
        <v>16688</v>
      </c>
      <c r="CX40" s="85">
        <f t="shared" si="6"/>
        <v>69637</v>
      </c>
      <c r="DG40" s="85">
        <f t="shared" si="7"/>
        <v>10314</v>
      </c>
      <c r="DP40" s="85">
        <f t="shared" si="8"/>
        <v>73045</v>
      </c>
      <c r="DY40" s="85">
        <f t="shared" si="9"/>
        <v>10984</v>
      </c>
      <c r="EH40" s="85">
        <f t="shared" si="10"/>
        <v>17104</v>
      </c>
      <c r="EQ40" s="85">
        <f t="shared" si="11"/>
        <v>11471</v>
      </c>
      <c r="EZ40" s="21">
        <f t="shared" si="12"/>
        <v>88252</v>
      </c>
      <c r="FI40" s="66"/>
      <c r="FN40" s="16"/>
      <c r="FP40" s="85">
        <f t="shared" si="52"/>
        <v>7699</v>
      </c>
      <c r="FY40" s="85">
        <f t="shared" si="14"/>
        <v>60335</v>
      </c>
      <c r="GH40" s="85">
        <f t="shared" si="15"/>
        <v>9819</v>
      </c>
      <c r="GN40" s="85">
        <f t="shared" si="16"/>
        <v>49190</v>
      </c>
      <c r="HA40" s="20"/>
    </row>
    <row r="41" spans="2:213" x14ac:dyDescent="0.25">
      <c r="B41" s="82">
        <v>44060</v>
      </c>
      <c r="C41" s="22">
        <v>93222</v>
      </c>
      <c r="D41" s="22">
        <v>1.9379999999999999</v>
      </c>
      <c r="E41" s="46">
        <f t="shared" si="17"/>
        <v>39680</v>
      </c>
      <c r="F41" s="22">
        <v>89380</v>
      </c>
      <c r="G41" s="22">
        <v>2</v>
      </c>
      <c r="H41" s="46">
        <f t="shared" si="18"/>
        <v>42880</v>
      </c>
      <c r="I41" s="22">
        <v>10420</v>
      </c>
      <c r="J41" s="22">
        <v>1.7</v>
      </c>
      <c r="K41" s="46">
        <f t="shared" si="19"/>
        <v>4000</v>
      </c>
      <c r="L41" s="22">
        <v>10337</v>
      </c>
      <c r="M41" s="22">
        <v>2.0299999999999998</v>
      </c>
      <c r="N41" s="46">
        <f t="shared" si="20"/>
        <v>9200</v>
      </c>
      <c r="O41" s="22">
        <v>11003</v>
      </c>
      <c r="P41" s="22">
        <v>1.64</v>
      </c>
      <c r="Q41" s="46">
        <f t="shared" si="21"/>
        <v>7600</v>
      </c>
      <c r="R41" s="22">
        <v>73313</v>
      </c>
      <c r="S41" s="22">
        <v>2.4390000000000001</v>
      </c>
      <c r="T41" s="46">
        <f t="shared" si="22"/>
        <v>80400</v>
      </c>
      <c r="U41" s="22">
        <v>69904</v>
      </c>
      <c r="V41" s="22">
        <v>2.3260000000000001</v>
      </c>
      <c r="W41" s="46">
        <f t="shared" si="23"/>
        <v>80100</v>
      </c>
      <c r="X41" s="22">
        <v>17142</v>
      </c>
      <c r="Y41" s="22">
        <v>3.17</v>
      </c>
      <c r="Z41" s="46">
        <f t="shared" si="24"/>
        <v>6080</v>
      </c>
      <c r="AA41" s="22">
        <v>11489</v>
      </c>
      <c r="AB41" s="22">
        <v>2.66</v>
      </c>
      <c r="AC41" s="46">
        <f t="shared" si="25"/>
        <v>2880</v>
      </c>
      <c r="AD41" s="22">
        <v>88501</v>
      </c>
      <c r="AE41" s="22">
        <v>2.0840000000000001</v>
      </c>
      <c r="AF41" s="46">
        <f t="shared" si="26"/>
        <v>49800</v>
      </c>
      <c r="AG41" s="22">
        <v>16727</v>
      </c>
      <c r="AH41" s="22">
        <v>0.33600000000000002</v>
      </c>
      <c r="AI41" s="46">
        <f t="shared" si="27"/>
        <v>1560</v>
      </c>
      <c r="AJ41" s="203">
        <v>60650</v>
      </c>
      <c r="AK41" s="46">
        <f t="shared" si="28"/>
        <v>419</v>
      </c>
      <c r="AL41" s="46"/>
      <c r="AN41" s="46">
        <f t="shared" si="29"/>
        <v>324599</v>
      </c>
      <c r="AO41" s="22">
        <f t="shared" si="30"/>
        <v>51360</v>
      </c>
      <c r="AP41" s="22">
        <f t="shared" si="31"/>
        <v>0.15822599576708493</v>
      </c>
      <c r="AQ41" s="22"/>
      <c r="AR41" s="16"/>
      <c r="AS41" s="89">
        <f t="shared" si="0"/>
        <v>44060</v>
      </c>
      <c r="AT41" s="22">
        <v>60484</v>
      </c>
      <c r="AU41" s="46">
        <f t="shared" si="32"/>
        <v>14900</v>
      </c>
      <c r="AV41" s="22">
        <v>7718</v>
      </c>
      <c r="AW41" s="46">
        <f t="shared" si="33"/>
        <v>1900</v>
      </c>
      <c r="AX41" s="103">
        <v>10673</v>
      </c>
      <c r="AY41" s="104">
        <f t="shared" si="47"/>
        <v>854</v>
      </c>
      <c r="AZ41" s="22">
        <v>49246</v>
      </c>
      <c r="BA41" s="46">
        <f t="shared" si="35"/>
        <v>2240</v>
      </c>
      <c r="BC41" s="83"/>
      <c r="BD41" s="27">
        <f t="shared" si="36"/>
        <v>19894</v>
      </c>
      <c r="BE41" s="22"/>
      <c r="BF41" s="22"/>
      <c r="BH41" s="16"/>
      <c r="BJ41" s="21">
        <f t="shared" si="1"/>
        <v>60650</v>
      </c>
      <c r="BN41" s="85">
        <f t="shared" si="2"/>
        <v>89380</v>
      </c>
      <c r="BW41" s="85">
        <f t="shared" si="3"/>
        <v>93222</v>
      </c>
      <c r="CF41" s="85">
        <f t="shared" si="4"/>
        <v>73313</v>
      </c>
      <c r="CO41" s="85">
        <f t="shared" si="5"/>
        <v>16727</v>
      </c>
      <c r="CX41" s="85">
        <f t="shared" si="6"/>
        <v>69904</v>
      </c>
      <c r="DG41" s="85">
        <f t="shared" si="7"/>
        <v>10337</v>
      </c>
      <c r="DP41" s="85">
        <f t="shared" si="8"/>
        <v>73313</v>
      </c>
      <c r="DY41" s="85">
        <f t="shared" si="9"/>
        <v>11003</v>
      </c>
      <c r="EH41" s="85">
        <f t="shared" si="10"/>
        <v>17142</v>
      </c>
      <c r="EQ41" s="85">
        <f t="shared" si="11"/>
        <v>11489</v>
      </c>
      <c r="EZ41" s="21">
        <f t="shared" si="12"/>
        <v>88501</v>
      </c>
      <c r="FI41" s="66"/>
      <c r="FN41" s="16"/>
      <c r="FP41" s="85">
        <f t="shared" si="52"/>
        <v>7718</v>
      </c>
      <c r="FY41" s="85">
        <f t="shared" si="14"/>
        <v>60484</v>
      </c>
      <c r="GH41" s="85">
        <f t="shared" si="15"/>
        <v>10673</v>
      </c>
      <c r="GN41" s="85">
        <f t="shared" si="16"/>
        <v>49246</v>
      </c>
      <c r="HA41" s="20"/>
    </row>
    <row r="42" spans="2:213" x14ac:dyDescent="0.25">
      <c r="B42" s="82">
        <v>44067</v>
      </c>
      <c r="C42" s="22">
        <v>93473</v>
      </c>
      <c r="D42" s="22">
        <v>1.909</v>
      </c>
      <c r="E42" s="46">
        <f t="shared" si="17"/>
        <v>40160</v>
      </c>
      <c r="F42" s="22">
        <v>89645</v>
      </c>
      <c r="G42" s="22">
        <v>2.0169999999999999</v>
      </c>
      <c r="H42" s="46">
        <f t="shared" si="18"/>
        <v>42400</v>
      </c>
      <c r="I42" s="22">
        <v>10449</v>
      </c>
      <c r="J42" s="22">
        <v>1.55</v>
      </c>
      <c r="K42" s="46">
        <f t="shared" si="19"/>
        <v>11600</v>
      </c>
      <c r="L42" s="22">
        <v>10359</v>
      </c>
      <c r="M42" s="22">
        <v>1.95</v>
      </c>
      <c r="N42" s="46">
        <f t="shared" si="20"/>
        <v>8800</v>
      </c>
      <c r="O42" s="22">
        <v>11020</v>
      </c>
      <c r="P42" s="22">
        <v>1.3</v>
      </c>
      <c r="Q42" s="46">
        <f t="shared" si="21"/>
        <v>6800</v>
      </c>
      <c r="R42" s="22">
        <v>73571</v>
      </c>
      <c r="S42" s="22">
        <v>1.643</v>
      </c>
      <c r="T42" s="46">
        <f t="shared" si="22"/>
        <v>77400</v>
      </c>
      <c r="U42" s="22">
        <v>70094</v>
      </c>
      <c r="V42" s="22">
        <v>2.0150000000000001</v>
      </c>
      <c r="W42" s="46">
        <f t="shared" si="23"/>
        <v>57000</v>
      </c>
      <c r="X42" s="22">
        <v>17178</v>
      </c>
      <c r="Y42" s="22">
        <v>2.52</v>
      </c>
      <c r="Z42" s="46">
        <f t="shared" si="24"/>
        <v>5760</v>
      </c>
      <c r="AA42" s="22">
        <v>11505</v>
      </c>
      <c r="AB42" s="22">
        <v>1.62</v>
      </c>
      <c r="AC42" s="46">
        <f t="shared" si="25"/>
        <v>2560</v>
      </c>
      <c r="AD42" s="22">
        <v>88743</v>
      </c>
      <c r="AE42" s="22">
        <v>1.9650000000000001</v>
      </c>
      <c r="AF42" s="46">
        <f t="shared" si="26"/>
        <v>48400</v>
      </c>
      <c r="AG42" s="22">
        <v>16765</v>
      </c>
      <c r="AH42" s="22">
        <v>0.315</v>
      </c>
      <c r="AI42" s="46">
        <f t="shared" si="27"/>
        <v>1520</v>
      </c>
      <c r="AJ42" s="203">
        <v>61082</v>
      </c>
      <c r="AK42" s="46">
        <f t="shared" si="28"/>
        <v>432</v>
      </c>
      <c r="AL42" s="46"/>
      <c r="AN42" s="46">
        <f t="shared" si="29"/>
        <v>302832</v>
      </c>
      <c r="AO42" s="22">
        <f t="shared" si="30"/>
        <v>49920</v>
      </c>
      <c r="AP42" s="22">
        <f t="shared" si="31"/>
        <v>0.16484387383103502</v>
      </c>
      <c r="AQ42" s="22"/>
      <c r="AR42" s="16"/>
      <c r="AS42" s="89">
        <f t="shared" si="0"/>
        <v>44067</v>
      </c>
      <c r="AT42" s="22">
        <v>60635</v>
      </c>
      <c r="AU42" s="46">
        <f t="shared" si="32"/>
        <v>15100</v>
      </c>
      <c r="AV42" s="22">
        <v>7740</v>
      </c>
      <c r="AW42" s="46">
        <f t="shared" si="33"/>
        <v>2200</v>
      </c>
      <c r="AX42" s="103">
        <v>11611</v>
      </c>
      <c r="AY42" s="104">
        <f t="shared" si="47"/>
        <v>938</v>
      </c>
      <c r="AZ42" s="22">
        <v>49294</v>
      </c>
      <c r="BA42" s="46">
        <f t="shared" si="35"/>
        <v>1920</v>
      </c>
      <c r="BC42" s="83"/>
      <c r="BD42" s="27">
        <f t="shared" si="36"/>
        <v>20158</v>
      </c>
      <c r="BE42" s="22"/>
      <c r="BF42" s="22"/>
      <c r="BH42" s="16"/>
      <c r="BJ42" s="21">
        <f t="shared" si="1"/>
        <v>61082</v>
      </c>
      <c r="BN42" s="85">
        <f t="shared" si="2"/>
        <v>89645</v>
      </c>
      <c r="BW42" s="85">
        <f t="shared" si="3"/>
        <v>93473</v>
      </c>
      <c r="CF42" s="85">
        <f t="shared" si="4"/>
        <v>73571</v>
      </c>
      <c r="CO42" s="85">
        <f t="shared" si="5"/>
        <v>16765</v>
      </c>
      <c r="CX42" s="85">
        <f t="shared" si="6"/>
        <v>70094</v>
      </c>
      <c r="DG42" s="85">
        <f t="shared" si="7"/>
        <v>10359</v>
      </c>
      <c r="DP42" s="85">
        <f t="shared" si="8"/>
        <v>73571</v>
      </c>
      <c r="DY42" s="85">
        <f t="shared" si="9"/>
        <v>11020</v>
      </c>
      <c r="EH42" s="85">
        <f t="shared" si="10"/>
        <v>17178</v>
      </c>
      <c r="EQ42" s="85">
        <f t="shared" si="11"/>
        <v>11505</v>
      </c>
      <c r="EZ42" s="21">
        <f t="shared" si="12"/>
        <v>88743</v>
      </c>
      <c r="FI42" s="66"/>
      <c r="FN42" s="16"/>
      <c r="FP42" s="85">
        <f t="shared" si="52"/>
        <v>7740</v>
      </c>
      <c r="FY42" s="85">
        <f t="shared" si="14"/>
        <v>60635</v>
      </c>
      <c r="GH42" s="85">
        <f t="shared" si="15"/>
        <v>11611</v>
      </c>
      <c r="GN42" s="85">
        <f t="shared" si="16"/>
        <v>49294</v>
      </c>
      <c r="HA42" s="20"/>
    </row>
    <row r="43" spans="2:213" x14ac:dyDescent="0.25">
      <c r="B43" s="82">
        <v>44074</v>
      </c>
      <c r="C43" s="22">
        <v>93723</v>
      </c>
      <c r="D43" s="22">
        <v>1.909</v>
      </c>
      <c r="E43" s="46">
        <f t="shared" si="17"/>
        <v>40000</v>
      </c>
      <c r="F43" s="22">
        <v>89912</v>
      </c>
      <c r="G43" s="22">
        <v>2.0169999999999999</v>
      </c>
      <c r="H43" s="46">
        <f t="shared" si="18"/>
        <v>42720</v>
      </c>
      <c r="I43" s="22">
        <v>10470</v>
      </c>
      <c r="J43" s="22">
        <v>1.83</v>
      </c>
      <c r="K43" s="46">
        <f t="shared" si="19"/>
        <v>8400</v>
      </c>
      <c r="L43" s="22">
        <v>10382</v>
      </c>
      <c r="M43" s="22">
        <v>2.11</v>
      </c>
      <c r="N43" s="46">
        <f t="shared" si="20"/>
        <v>9200</v>
      </c>
      <c r="O43" s="22">
        <v>11039</v>
      </c>
      <c r="P43" s="22">
        <v>1.59</v>
      </c>
      <c r="Q43" s="46">
        <f t="shared" si="21"/>
        <v>7600</v>
      </c>
      <c r="R43" s="22">
        <v>73787</v>
      </c>
      <c r="S43" s="22">
        <v>1.887</v>
      </c>
      <c r="T43" s="46">
        <f t="shared" si="22"/>
        <v>64800</v>
      </c>
      <c r="U43" s="22">
        <v>70308</v>
      </c>
      <c r="V43" s="22">
        <v>2.0950000000000002</v>
      </c>
      <c r="W43" s="46">
        <f t="shared" si="23"/>
        <v>64200</v>
      </c>
      <c r="X43" s="22">
        <v>17214</v>
      </c>
      <c r="Y43" s="22">
        <v>2.93</v>
      </c>
      <c r="Z43" s="46">
        <f t="shared" si="24"/>
        <v>5760</v>
      </c>
      <c r="AA43" s="22">
        <v>11523</v>
      </c>
      <c r="AB43" s="22">
        <v>2.19</v>
      </c>
      <c r="AC43" s="46">
        <f t="shared" si="25"/>
        <v>2880</v>
      </c>
      <c r="AD43" s="22">
        <v>88996</v>
      </c>
      <c r="AE43" s="22">
        <v>2.0150000000000001</v>
      </c>
      <c r="AF43" s="46">
        <f t="shared" si="26"/>
        <v>50600</v>
      </c>
      <c r="AG43" s="22">
        <v>16806</v>
      </c>
      <c r="AH43" s="22">
        <v>0.33100000000000002</v>
      </c>
      <c r="AI43" s="46">
        <f t="shared" si="27"/>
        <v>1640</v>
      </c>
      <c r="AJ43" s="203">
        <v>61519</v>
      </c>
      <c r="AK43" s="46">
        <f t="shared" si="28"/>
        <v>437</v>
      </c>
      <c r="AL43" s="46"/>
      <c r="AN43" s="46">
        <f t="shared" si="29"/>
        <v>298237</v>
      </c>
      <c r="AO43" s="22">
        <f t="shared" si="30"/>
        <v>52240</v>
      </c>
      <c r="AP43" s="22">
        <f t="shared" si="31"/>
        <v>0.17516270616992527</v>
      </c>
      <c r="AQ43" s="22">
        <f>SUM(AN39:AN43)</f>
        <v>1316475</v>
      </c>
      <c r="AR43" s="16"/>
      <c r="AS43" s="89">
        <f t="shared" si="0"/>
        <v>44074</v>
      </c>
      <c r="AT43" s="22">
        <v>60782</v>
      </c>
      <c r="AU43" s="46">
        <f t="shared" si="32"/>
        <v>14700</v>
      </c>
      <c r="AV43" s="22">
        <v>7758</v>
      </c>
      <c r="AW43" s="46">
        <f t="shared" si="33"/>
        <v>1800</v>
      </c>
      <c r="AX43" s="103">
        <v>12484</v>
      </c>
      <c r="AY43" s="104">
        <f t="shared" si="47"/>
        <v>873</v>
      </c>
      <c r="AZ43" s="22">
        <v>49362</v>
      </c>
      <c r="BA43" s="46">
        <f t="shared" si="35"/>
        <v>2720</v>
      </c>
      <c r="BC43" s="83"/>
      <c r="BD43" s="27">
        <f t="shared" si="36"/>
        <v>20093</v>
      </c>
      <c r="BE43" s="22">
        <f>SUM(BC39:BD43)</f>
        <v>91944</v>
      </c>
      <c r="BF43" s="22">
        <f>SUM(AQ43+BE43)</f>
        <v>1408419</v>
      </c>
      <c r="BH43" s="16"/>
      <c r="BJ43" s="21">
        <f t="shared" si="1"/>
        <v>61519</v>
      </c>
      <c r="BN43" s="85">
        <f t="shared" si="2"/>
        <v>89912</v>
      </c>
      <c r="BW43" s="85">
        <f t="shared" si="3"/>
        <v>93723</v>
      </c>
      <c r="CF43" s="85">
        <f t="shared" si="4"/>
        <v>73787</v>
      </c>
      <c r="CO43" s="85">
        <f t="shared" si="5"/>
        <v>16806</v>
      </c>
      <c r="CX43" s="85">
        <f t="shared" si="6"/>
        <v>70308</v>
      </c>
      <c r="DG43" s="85">
        <f t="shared" si="7"/>
        <v>10382</v>
      </c>
      <c r="DP43" s="85">
        <f t="shared" si="8"/>
        <v>73787</v>
      </c>
      <c r="DY43" s="85">
        <f t="shared" si="9"/>
        <v>11039</v>
      </c>
      <c r="EH43" s="85">
        <f t="shared" si="10"/>
        <v>17214</v>
      </c>
      <c r="EQ43" s="85">
        <f t="shared" si="11"/>
        <v>11523</v>
      </c>
      <c r="EZ43" s="21">
        <f t="shared" si="12"/>
        <v>88996</v>
      </c>
      <c r="FI43" s="66"/>
      <c r="FN43" s="16"/>
      <c r="FP43" s="85">
        <f t="shared" si="52"/>
        <v>7758</v>
      </c>
      <c r="FY43" s="85">
        <f t="shared" si="14"/>
        <v>60782</v>
      </c>
      <c r="GH43" s="85">
        <f t="shared" si="15"/>
        <v>12484</v>
      </c>
      <c r="GN43" s="85">
        <f t="shared" si="16"/>
        <v>49362</v>
      </c>
      <c r="HA43" s="20"/>
    </row>
    <row r="44" spans="2:213" x14ac:dyDescent="0.25">
      <c r="B44" s="82">
        <v>44080</v>
      </c>
      <c r="C44" s="22">
        <v>93969</v>
      </c>
      <c r="D44" s="22">
        <v>1.909</v>
      </c>
      <c r="E44" s="46">
        <f t="shared" si="17"/>
        <v>39360</v>
      </c>
      <c r="F44" s="22">
        <v>90179</v>
      </c>
      <c r="G44" s="22">
        <v>2.0539999999999998</v>
      </c>
      <c r="H44" s="46">
        <f t="shared" si="18"/>
        <v>42720</v>
      </c>
      <c r="I44" s="22">
        <v>10491</v>
      </c>
      <c r="J44" s="22">
        <v>0.81699999999999995</v>
      </c>
      <c r="K44" s="46">
        <f t="shared" si="19"/>
        <v>8400</v>
      </c>
      <c r="L44" s="22">
        <v>10406</v>
      </c>
      <c r="M44" s="22">
        <v>2.2200000000000002</v>
      </c>
      <c r="N44" s="46">
        <f t="shared" si="20"/>
        <v>9600</v>
      </c>
      <c r="O44" s="22">
        <v>11058</v>
      </c>
      <c r="P44" s="22">
        <v>1.59</v>
      </c>
      <c r="Q44" s="46">
        <f t="shared" si="21"/>
        <v>7600</v>
      </c>
      <c r="R44" s="22">
        <v>74001</v>
      </c>
      <c r="S44" s="22">
        <v>2.2029999999999998</v>
      </c>
      <c r="T44" s="46">
        <f t="shared" si="22"/>
        <v>64200</v>
      </c>
      <c r="U44" s="22">
        <v>70668</v>
      </c>
      <c r="V44" s="22">
        <v>2.0950000000000002</v>
      </c>
      <c r="W44" s="46">
        <f t="shared" si="23"/>
        <v>108000</v>
      </c>
      <c r="X44" s="22">
        <v>17254</v>
      </c>
      <c r="Y44" s="22">
        <v>3.32</v>
      </c>
      <c r="Z44" s="46">
        <f t="shared" si="24"/>
        <v>6400</v>
      </c>
      <c r="AA44" s="22">
        <v>11541</v>
      </c>
      <c r="AB44" s="22">
        <v>2.19</v>
      </c>
      <c r="AC44" s="46">
        <f t="shared" si="25"/>
        <v>2880</v>
      </c>
      <c r="AD44" s="22">
        <v>89247</v>
      </c>
      <c r="AE44" s="22">
        <v>2.0529999999999999</v>
      </c>
      <c r="AF44" s="46">
        <f t="shared" si="26"/>
        <v>50200</v>
      </c>
      <c r="AG44" s="22">
        <v>16847</v>
      </c>
      <c r="AH44" s="22">
        <v>0.33100000000000002</v>
      </c>
      <c r="AI44" s="46">
        <f t="shared" si="27"/>
        <v>1640</v>
      </c>
      <c r="AJ44" s="203">
        <v>61959</v>
      </c>
      <c r="AK44" s="46">
        <f t="shared" si="28"/>
        <v>440</v>
      </c>
      <c r="AL44" s="46"/>
      <c r="AN44" s="46">
        <f t="shared" si="29"/>
        <v>341440</v>
      </c>
      <c r="AO44" s="22">
        <f t="shared" si="30"/>
        <v>51840</v>
      </c>
      <c r="AP44" s="22">
        <f t="shared" si="31"/>
        <v>0.15182755388940955</v>
      </c>
      <c r="AQ44" s="22"/>
      <c r="AR44" s="16"/>
      <c r="AS44" s="89">
        <f t="shared" si="0"/>
        <v>44080</v>
      </c>
      <c r="AT44" s="22">
        <v>60931</v>
      </c>
      <c r="AU44" s="46">
        <f t="shared" si="32"/>
        <v>14900</v>
      </c>
      <c r="AV44" s="22">
        <v>7778</v>
      </c>
      <c r="AW44" s="46">
        <f t="shared" si="33"/>
        <v>2000</v>
      </c>
      <c r="AX44" s="103">
        <v>13392</v>
      </c>
      <c r="AY44" s="104">
        <f t="shared" si="47"/>
        <v>908</v>
      </c>
      <c r="AZ44" s="22">
        <v>49406</v>
      </c>
      <c r="BA44" s="46">
        <f t="shared" si="35"/>
        <v>1760</v>
      </c>
      <c r="BC44" s="83"/>
      <c r="BD44" s="27">
        <f t="shared" si="36"/>
        <v>19568</v>
      </c>
      <c r="BE44" s="22"/>
      <c r="BF44" s="22"/>
      <c r="BH44" s="16"/>
      <c r="BJ44" s="21">
        <f t="shared" si="1"/>
        <v>61959</v>
      </c>
      <c r="BN44" s="85">
        <f t="shared" si="2"/>
        <v>90179</v>
      </c>
      <c r="BW44" s="85">
        <f t="shared" si="3"/>
        <v>93969</v>
      </c>
      <c r="CF44" s="85">
        <f t="shared" si="4"/>
        <v>74001</v>
      </c>
      <c r="CO44" s="85">
        <f t="shared" si="5"/>
        <v>16847</v>
      </c>
      <c r="CX44" s="85">
        <f t="shared" si="6"/>
        <v>70668</v>
      </c>
      <c r="DG44" s="85">
        <f t="shared" si="7"/>
        <v>10406</v>
      </c>
      <c r="DP44" s="85">
        <f t="shared" si="8"/>
        <v>74001</v>
      </c>
      <c r="DY44" s="85">
        <f t="shared" si="9"/>
        <v>11058</v>
      </c>
      <c r="EH44" s="85">
        <f t="shared" si="10"/>
        <v>17254</v>
      </c>
      <c r="EQ44" s="85">
        <f t="shared" si="11"/>
        <v>11541</v>
      </c>
      <c r="EZ44" s="21">
        <f t="shared" si="12"/>
        <v>89247</v>
      </c>
      <c r="FI44" s="66"/>
      <c r="FN44" s="16"/>
      <c r="FP44" s="85">
        <f t="shared" si="52"/>
        <v>7778</v>
      </c>
      <c r="FY44" s="85">
        <f t="shared" si="14"/>
        <v>60931</v>
      </c>
      <c r="GH44" s="85">
        <f t="shared" si="15"/>
        <v>13392</v>
      </c>
      <c r="GN44" s="85">
        <f t="shared" si="16"/>
        <v>49406</v>
      </c>
      <c r="HA44" s="20"/>
    </row>
    <row r="45" spans="2:213" x14ac:dyDescent="0.25">
      <c r="B45" s="82">
        <f>B44+7</f>
        <v>44087</v>
      </c>
      <c r="C45" s="199">
        <v>94421</v>
      </c>
      <c r="D45" s="199">
        <v>1.909</v>
      </c>
      <c r="E45" s="46">
        <f t="shared" si="17"/>
        <v>72320</v>
      </c>
      <c r="F45" s="199">
        <v>90495</v>
      </c>
      <c r="G45" s="199">
        <v>2.0979999999999999</v>
      </c>
      <c r="H45" s="46">
        <f t="shared" si="18"/>
        <v>50560</v>
      </c>
      <c r="I45" s="199">
        <v>10514</v>
      </c>
      <c r="J45" s="199">
        <v>1.89</v>
      </c>
      <c r="K45" s="46">
        <f t="shared" si="19"/>
        <v>9200</v>
      </c>
      <c r="L45" s="199">
        <v>10430</v>
      </c>
      <c r="M45" s="199">
        <v>2.2200000000000002</v>
      </c>
      <c r="N45" s="46">
        <f t="shared" si="20"/>
        <v>9600</v>
      </c>
      <c r="O45" s="199">
        <v>11077</v>
      </c>
      <c r="P45" s="199">
        <v>1.59</v>
      </c>
      <c r="Q45" s="46">
        <f t="shared" si="21"/>
        <v>7600</v>
      </c>
      <c r="R45" s="199">
        <v>74244</v>
      </c>
      <c r="S45" s="199">
        <v>2.2370000000000001</v>
      </c>
      <c r="T45" s="46">
        <f t="shared" si="22"/>
        <v>72900</v>
      </c>
      <c r="U45" s="199">
        <v>70899</v>
      </c>
      <c r="V45" s="199">
        <v>2.0950000000000002</v>
      </c>
      <c r="W45" s="46">
        <f t="shared" si="23"/>
        <v>69300</v>
      </c>
      <c r="X45" s="199">
        <v>17290</v>
      </c>
      <c r="Y45" s="199">
        <v>3.32</v>
      </c>
      <c r="Z45" s="46">
        <f t="shared" si="24"/>
        <v>5760</v>
      </c>
      <c r="AA45" s="199">
        <v>11558</v>
      </c>
      <c r="AB45" s="199">
        <v>2.19</v>
      </c>
      <c r="AC45" s="46">
        <f t="shared" si="25"/>
        <v>2720</v>
      </c>
      <c r="AD45" s="199">
        <v>89490</v>
      </c>
      <c r="AE45" s="199">
        <v>2.0529999999999999</v>
      </c>
      <c r="AF45" s="46">
        <f t="shared" si="26"/>
        <v>48600</v>
      </c>
      <c r="AG45" s="199">
        <v>16886</v>
      </c>
      <c r="AH45" s="199">
        <v>0.33100000000000002</v>
      </c>
      <c r="AI45" s="46">
        <f t="shared" si="27"/>
        <v>1560</v>
      </c>
      <c r="AJ45" s="207">
        <v>62411</v>
      </c>
      <c r="AK45" s="46">
        <f t="shared" si="28"/>
        <v>452</v>
      </c>
      <c r="AL45" s="46"/>
      <c r="AN45" s="46">
        <f t="shared" si="29"/>
        <v>350572</v>
      </c>
      <c r="AO45" s="22">
        <f t="shared" si="30"/>
        <v>50160</v>
      </c>
      <c r="AP45" s="22">
        <f t="shared" ref="AP45:AP55" si="53">SUM(AO45/AN45)</f>
        <v>0.14308045137660738</v>
      </c>
      <c r="AQ45" s="22"/>
      <c r="AR45" s="16"/>
      <c r="AS45" s="82">
        <f>AS44+7</f>
        <v>44087</v>
      </c>
      <c r="AT45" s="199">
        <v>61073</v>
      </c>
      <c r="AU45" s="46">
        <f t="shared" si="32"/>
        <v>14200</v>
      </c>
      <c r="AV45" s="199">
        <v>7797</v>
      </c>
      <c r="AW45" s="46">
        <f t="shared" si="33"/>
        <v>1900</v>
      </c>
      <c r="AX45" s="200">
        <v>14309</v>
      </c>
      <c r="AY45" s="104">
        <f t="shared" si="47"/>
        <v>917</v>
      </c>
      <c r="AZ45" s="199">
        <v>49429</v>
      </c>
      <c r="BA45" s="46">
        <f t="shared" si="35"/>
        <v>920</v>
      </c>
      <c r="BC45" s="83"/>
      <c r="BD45" s="27">
        <f t="shared" si="36"/>
        <v>17937</v>
      </c>
      <c r="BE45" s="22"/>
      <c r="BF45" s="22"/>
      <c r="BH45" s="16"/>
      <c r="BJ45" s="21"/>
      <c r="BN45" s="85"/>
      <c r="BW45" s="85">
        <f t="shared" si="3"/>
        <v>94421</v>
      </c>
      <c r="CF45" s="85"/>
      <c r="CO45" s="85"/>
      <c r="CX45" s="85"/>
      <c r="DG45" s="85"/>
      <c r="DP45" s="85"/>
      <c r="DY45" s="85"/>
      <c r="EH45" s="85"/>
      <c r="EQ45" s="85"/>
      <c r="EZ45" s="21"/>
      <c r="FI45" s="66"/>
      <c r="FN45" s="16"/>
      <c r="FP45" s="85"/>
      <c r="FY45" s="85"/>
      <c r="GH45" s="85"/>
      <c r="GN45" s="85"/>
      <c r="HA45" s="20"/>
    </row>
    <row r="46" spans="2:213" x14ac:dyDescent="0.25">
      <c r="B46" s="82">
        <f t="shared" ref="B46:B47" si="54">B45+7</f>
        <v>44094</v>
      </c>
      <c r="C46" s="199">
        <v>94472</v>
      </c>
      <c r="D46" s="199">
        <v>1.921</v>
      </c>
      <c r="E46" s="46">
        <f t="shared" si="17"/>
        <v>8160</v>
      </c>
      <c r="F46" s="199">
        <v>90706</v>
      </c>
      <c r="G46" s="199">
        <v>2.0979999999999999</v>
      </c>
      <c r="H46" s="46">
        <f t="shared" si="18"/>
        <v>33760</v>
      </c>
      <c r="I46" s="199">
        <v>10534</v>
      </c>
      <c r="J46" s="199">
        <v>1.89</v>
      </c>
      <c r="K46" s="46">
        <f t="shared" si="19"/>
        <v>8000</v>
      </c>
      <c r="L46" s="199">
        <v>10453</v>
      </c>
      <c r="M46" s="199">
        <v>2.2200000000000002</v>
      </c>
      <c r="N46" s="46">
        <f t="shared" si="20"/>
        <v>9200</v>
      </c>
      <c r="O46" s="199">
        <v>11097</v>
      </c>
      <c r="P46" s="199">
        <v>1.7</v>
      </c>
      <c r="Q46" s="46">
        <f t="shared" si="21"/>
        <v>8000</v>
      </c>
      <c r="R46" s="199">
        <v>74477</v>
      </c>
      <c r="S46" s="199">
        <v>2.2360000000000002</v>
      </c>
      <c r="T46" s="46">
        <f t="shared" si="22"/>
        <v>69900</v>
      </c>
      <c r="U46" s="199">
        <v>71128</v>
      </c>
      <c r="V46" s="199">
        <v>2.0950000000000002</v>
      </c>
      <c r="W46" s="46">
        <f t="shared" si="23"/>
        <v>68700</v>
      </c>
      <c r="X46" s="199">
        <v>17325</v>
      </c>
      <c r="Y46" s="199">
        <v>3.32</v>
      </c>
      <c r="Z46" s="46">
        <f t="shared" si="24"/>
        <v>5600</v>
      </c>
      <c r="AA46" s="199">
        <v>11573</v>
      </c>
      <c r="AB46" s="199">
        <v>2.19</v>
      </c>
      <c r="AC46" s="46">
        <f t="shared" si="25"/>
        <v>2400</v>
      </c>
      <c r="AD46" s="199">
        <v>89746</v>
      </c>
      <c r="AE46" s="199">
        <v>2.0529999999999999</v>
      </c>
      <c r="AF46" s="46">
        <f t="shared" si="26"/>
        <v>51200</v>
      </c>
      <c r="AG46" s="199">
        <v>16925</v>
      </c>
      <c r="AH46" s="199">
        <v>0.33100000000000002</v>
      </c>
      <c r="AI46" s="46">
        <f t="shared" si="27"/>
        <v>1560</v>
      </c>
      <c r="AJ46" s="207">
        <v>62873</v>
      </c>
      <c r="AK46" s="46">
        <f t="shared" si="28"/>
        <v>462</v>
      </c>
      <c r="AL46" s="46"/>
      <c r="AN46" s="46">
        <f t="shared" si="29"/>
        <v>266942</v>
      </c>
      <c r="AO46" s="22">
        <f t="shared" si="30"/>
        <v>52760</v>
      </c>
      <c r="AP46" s="22">
        <f t="shared" si="53"/>
        <v>0.19764593057667959</v>
      </c>
      <c r="AQ46" s="22"/>
      <c r="AR46" s="16"/>
      <c r="AS46" s="82">
        <f t="shared" ref="AS46:AS47" si="55">AS45+7</f>
        <v>44094</v>
      </c>
      <c r="AT46" s="199">
        <v>61220</v>
      </c>
      <c r="AU46" s="46">
        <f t="shared" si="32"/>
        <v>14700</v>
      </c>
      <c r="AV46" s="199">
        <v>7817</v>
      </c>
      <c r="AW46" s="46">
        <f t="shared" si="33"/>
        <v>2000</v>
      </c>
      <c r="AX46" s="200">
        <v>15222</v>
      </c>
      <c r="AY46" s="104">
        <f t="shared" si="47"/>
        <v>913</v>
      </c>
      <c r="AZ46" s="199">
        <v>49460</v>
      </c>
      <c r="BA46" s="46">
        <f t="shared" si="35"/>
        <v>1240</v>
      </c>
      <c r="BC46" s="83"/>
      <c r="BD46" s="27">
        <f t="shared" si="36"/>
        <v>18853</v>
      </c>
      <c r="BE46" s="22"/>
      <c r="BF46" s="22"/>
      <c r="BH46" s="16"/>
      <c r="BJ46" s="21"/>
      <c r="BN46" s="85"/>
      <c r="BW46" s="85"/>
      <c r="CF46" s="85"/>
      <c r="CO46" s="85"/>
      <c r="CX46" s="85"/>
      <c r="DG46" s="85"/>
      <c r="DP46" s="85"/>
      <c r="DY46" s="85"/>
      <c r="EH46" s="85"/>
      <c r="EQ46" s="85"/>
      <c r="EZ46" s="21"/>
      <c r="FI46" s="66"/>
      <c r="FN46" s="16"/>
      <c r="FP46" s="85"/>
      <c r="FY46" s="85"/>
      <c r="GH46" s="85"/>
      <c r="GN46" s="85"/>
      <c r="HA46" s="20"/>
    </row>
    <row r="47" spans="2:213" x14ac:dyDescent="0.25">
      <c r="B47" s="82">
        <f t="shared" si="54"/>
        <v>44101</v>
      </c>
      <c r="C47" s="199">
        <v>94726</v>
      </c>
      <c r="D47" s="199">
        <v>1.98</v>
      </c>
      <c r="E47" s="46">
        <f t="shared" si="17"/>
        <v>40640</v>
      </c>
      <c r="F47" s="199">
        <v>90975</v>
      </c>
      <c r="G47" s="199">
        <v>2</v>
      </c>
      <c r="H47" s="46">
        <f t="shared" si="18"/>
        <v>43040</v>
      </c>
      <c r="I47" s="199">
        <v>10555</v>
      </c>
      <c r="J47" s="199">
        <v>1.81</v>
      </c>
      <c r="K47" s="46">
        <f t="shared" si="19"/>
        <v>8400</v>
      </c>
      <c r="L47" s="199">
        <v>10477</v>
      </c>
      <c r="M47" s="199">
        <v>1.88</v>
      </c>
      <c r="N47" s="46">
        <f t="shared" si="20"/>
        <v>9600</v>
      </c>
      <c r="O47" s="199">
        <v>11118</v>
      </c>
      <c r="P47" s="199">
        <v>1.8</v>
      </c>
      <c r="Q47" s="46">
        <f t="shared" si="21"/>
        <v>8400</v>
      </c>
      <c r="R47" s="199">
        <v>74724</v>
      </c>
      <c r="S47" s="199">
        <v>2.3210000000000002</v>
      </c>
      <c r="T47" s="46">
        <f t="shared" si="22"/>
        <v>74100</v>
      </c>
      <c r="U47" s="199">
        <v>71316</v>
      </c>
      <c r="V47" s="199">
        <v>1.96</v>
      </c>
      <c r="W47" s="46">
        <f t="shared" si="23"/>
        <v>56400</v>
      </c>
      <c r="X47" s="199">
        <v>17361</v>
      </c>
      <c r="Y47" s="199">
        <v>3.01</v>
      </c>
      <c r="Z47" s="46">
        <f t="shared" si="24"/>
        <v>5760</v>
      </c>
      <c r="AA47" s="199">
        <v>11588</v>
      </c>
      <c r="AB47" s="199">
        <v>1.95</v>
      </c>
      <c r="AC47" s="46">
        <f t="shared" si="25"/>
        <v>2400</v>
      </c>
      <c r="AD47" s="199">
        <v>90001</v>
      </c>
      <c r="AE47" s="199">
        <v>2.0489999999999999</v>
      </c>
      <c r="AF47" s="46">
        <f t="shared" si="26"/>
        <v>51000</v>
      </c>
      <c r="AG47" s="199">
        <v>16965</v>
      </c>
      <c r="AH47" s="199">
        <v>0.34200000000000003</v>
      </c>
      <c r="AI47" s="46">
        <f t="shared" si="27"/>
        <v>1600</v>
      </c>
      <c r="AJ47" s="207">
        <v>63335</v>
      </c>
      <c r="AK47" s="46">
        <f t="shared" si="28"/>
        <v>462</v>
      </c>
      <c r="AL47" s="46"/>
      <c r="AN47" s="46">
        <f t="shared" si="29"/>
        <v>301802</v>
      </c>
      <c r="AO47" s="22">
        <f t="shared" si="30"/>
        <v>52600</v>
      </c>
      <c r="AP47" s="22">
        <f t="shared" si="53"/>
        <v>0.1742864527074042</v>
      </c>
      <c r="AQ47" s="22"/>
      <c r="AR47" s="16"/>
      <c r="AS47" s="82">
        <f t="shared" si="55"/>
        <v>44101</v>
      </c>
      <c r="AT47" s="199">
        <v>61363</v>
      </c>
      <c r="AU47" s="46">
        <f t="shared" si="32"/>
        <v>14300</v>
      </c>
      <c r="AV47" s="199">
        <v>7835</v>
      </c>
      <c r="AW47" s="46">
        <f t="shared" si="33"/>
        <v>1800</v>
      </c>
      <c r="AX47" s="200">
        <v>16134</v>
      </c>
      <c r="AY47" s="104">
        <f t="shared" si="47"/>
        <v>912</v>
      </c>
      <c r="AZ47" s="199">
        <v>49519</v>
      </c>
      <c r="BA47" s="46">
        <f t="shared" si="35"/>
        <v>2360</v>
      </c>
      <c r="BC47" s="83"/>
      <c r="BD47" s="27">
        <f t="shared" si="36"/>
        <v>19372</v>
      </c>
      <c r="BE47" s="22"/>
      <c r="BF47" s="22"/>
      <c r="BH47" s="16"/>
      <c r="BJ47" s="21"/>
      <c r="BN47" s="85"/>
      <c r="BW47" s="85"/>
      <c r="CF47" s="85"/>
      <c r="CO47" s="85"/>
      <c r="CX47" s="85"/>
      <c r="DG47" s="85"/>
      <c r="DP47" s="85"/>
      <c r="DY47" s="85"/>
      <c r="EH47" s="85"/>
      <c r="EQ47" s="85"/>
      <c r="EZ47" s="21"/>
      <c r="FI47" s="66"/>
      <c r="FN47" s="16"/>
      <c r="FP47" s="85"/>
      <c r="FY47" s="85"/>
      <c r="GH47" s="85"/>
      <c r="GN47" s="85"/>
      <c r="HA47" s="20"/>
    </row>
    <row r="48" spans="2:213" x14ac:dyDescent="0.25">
      <c r="B48" s="82">
        <v>44105</v>
      </c>
      <c r="C48" s="199">
        <v>94726</v>
      </c>
      <c r="D48" s="199">
        <v>1.98</v>
      </c>
      <c r="E48" s="46">
        <f t="shared" si="17"/>
        <v>0</v>
      </c>
      <c r="F48" s="199">
        <v>90975</v>
      </c>
      <c r="G48" s="199">
        <v>2</v>
      </c>
      <c r="H48" s="46">
        <f t="shared" si="18"/>
        <v>0</v>
      </c>
      <c r="I48" s="199">
        <v>10555</v>
      </c>
      <c r="J48" s="199">
        <v>1.81</v>
      </c>
      <c r="K48" s="46">
        <f t="shared" si="19"/>
        <v>0</v>
      </c>
      <c r="L48" s="199">
        <v>10477</v>
      </c>
      <c r="M48" s="199">
        <v>1.88</v>
      </c>
      <c r="N48" s="46">
        <f t="shared" si="20"/>
        <v>0</v>
      </c>
      <c r="O48" s="199">
        <v>11118</v>
      </c>
      <c r="P48" s="199">
        <v>1.8</v>
      </c>
      <c r="Q48" s="46">
        <f t="shared" si="21"/>
        <v>0</v>
      </c>
      <c r="R48" s="199">
        <v>74724</v>
      </c>
      <c r="S48" s="199">
        <v>2.3210000000000002</v>
      </c>
      <c r="T48" s="46">
        <f t="shared" si="22"/>
        <v>0</v>
      </c>
      <c r="U48" s="199">
        <v>71316</v>
      </c>
      <c r="V48" s="199">
        <v>1.96</v>
      </c>
      <c r="W48" s="46">
        <f t="shared" si="23"/>
        <v>0</v>
      </c>
      <c r="X48" s="199">
        <v>17361</v>
      </c>
      <c r="Y48" s="199">
        <v>3.01</v>
      </c>
      <c r="Z48" s="46">
        <f t="shared" si="24"/>
        <v>0</v>
      </c>
      <c r="AA48" s="199">
        <v>11588</v>
      </c>
      <c r="AB48" s="199">
        <v>1.95</v>
      </c>
      <c r="AC48" s="46">
        <f t="shared" si="25"/>
        <v>0</v>
      </c>
      <c r="AD48" s="199">
        <v>90001</v>
      </c>
      <c r="AE48" s="199">
        <v>2.0489999999999999</v>
      </c>
      <c r="AF48" s="46">
        <f t="shared" si="26"/>
        <v>0</v>
      </c>
      <c r="AG48" s="199">
        <v>16965</v>
      </c>
      <c r="AH48" s="199">
        <v>0.34200000000000003</v>
      </c>
      <c r="AI48" s="46">
        <f t="shared" si="27"/>
        <v>0</v>
      </c>
      <c r="AJ48" s="207">
        <v>63335</v>
      </c>
      <c r="AK48" s="46">
        <f t="shared" si="28"/>
        <v>0</v>
      </c>
      <c r="AL48" s="46"/>
      <c r="AN48" s="46">
        <f t="shared" si="29"/>
        <v>0</v>
      </c>
      <c r="AO48" s="22">
        <f t="shared" si="30"/>
        <v>0</v>
      </c>
      <c r="AP48" s="22" t="e">
        <f t="shared" si="53"/>
        <v>#DIV/0!</v>
      </c>
      <c r="AQ48" s="22">
        <f>SUM(AN44:AN48)</f>
        <v>1260756</v>
      </c>
      <c r="AR48" s="16"/>
      <c r="AS48" s="82">
        <v>44105</v>
      </c>
      <c r="AT48" s="199">
        <v>61440</v>
      </c>
      <c r="AU48" s="46">
        <f t="shared" si="32"/>
        <v>7700</v>
      </c>
      <c r="AV48" s="199">
        <v>7846</v>
      </c>
      <c r="AW48" s="46">
        <f t="shared" si="33"/>
        <v>1100</v>
      </c>
      <c r="AX48" s="200">
        <v>16674</v>
      </c>
      <c r="AY48" s="104">
        <f t="shared" si="47"/>
        <v>540</v>
      </c>
      <c r="AZ48" s="199">
        <v>49536</v>
      </c>
      <c r="BA48" s="46">
        <f t="shared" si="35"/>
        <v>680</v>
      </c>
      <c r="BC48" s="83"/>
      <c r="BD48" s="27">
        <f t="shared" si="36"/>
        <v>10020</v>
      </c>
      <c r="BE48" s="22">
        <f>SUM(BC44:BD48)</f>
        <v>85750</v>
      </c>
      <c r="BF48" s="22">
        <f>SUM(AQ48+BE48)</f>
        <v>1346506</v>
      </c>
      <c r="BH48" s="16"/>
      <c r="BJ48" s="21"/>
      <c r="BN48" s="85"/>
      <c r="BW48" s="85"/>
      <c r="CF48" s="85"/>
      <c r="CO48" s="85"/>
      <c r="CX48" s="85"/>
      <c r="DG48" s="85"/>
      <c r="DP48" s="85"/>
      <c r="DY48" s="85"/>
      <c r="EH48" s="85"/>
      <c r="EQ48" s="85"/>
      <c r="EZ48" s="21"/>
      <c r="FI48" s="66"/>
      <c r="FN48" s="16"/>
      <c r="FP48" s="85"/>
      <c r="FY48" s="85"/>
      <c r="GH48" s="85"/>
      <c r="GN48" s="85"/>
      <c r="HA48" s="20"/>
    </row>
    <row r="49" spans="2:209" x14ac:dyDescent="0.25">
      <c r="B49" s="82">
        <v>44109</v>
      </c>
      <c r="C49" s="199">
        <v>94981</v>
      </c>
      <c r="D49" s="199">
        <v>1.98</v>
      </c>
      <c r="E49" s="46">
        <f t="shared" si="17"/>
        <v>40800</v>
      </c>
      <c r="F49" s="199">
        <v>91214</v>
      </c>
      <c r="G49" s="199">
        <v>2</v>
      </c>
      <c r="H49" s="46">
        <f t="shared" si="18"/>
        <v>38240</v>
      </c>
      <c r="I49" s="199">
        <v>10578</v>
      </c>
      <c r="J49" s="199">
        <v>1.91</v>
      </c>
      <c r="K49" s="46">
        <f t="shared" si="19"/>
        <v>9200</v>
      </c>
      <c r="L49" s="199">
        <v>10499</v>
      </c>
      <c r="M49" s="199">
        <v>1.88</v>
      </c>
      <c r="N49" s="46">
        <f t="shared" si="20"/>
        <v>8800</v>
      </c>
      <c r="O49" s="199">
        <v>11139</v>
      </c>
      <c r="P49" s="199">
        <v>1.8</v>
      </c>
      <c r="Q49" s="46">
        <f t="shared" si="21"/>
        <v>8400</v>
      </c>
      <c r="R49" s="199">
        <v>74911</v>
      </c>
      <c r="S49" s="199">
        <v>2.3250000000000002</v>
      </c>
      <c r="T49" s="46">
        <f t="shared" si="22"/>
        <v>56100</v>
      </c>
      <c r="U49" s="199">
        <v>71500</v>
      </c>
      <c r="V49" s="199">
        <v>2.0640000000000001</v>
      </c>
      <c r="W49" s="46">
        <f t="shared" si="23"/>
        <v>55200</v>
      </c>
      <c r="X49" s="199">
        <v>17394</v>
      </c>
      <c r="Y49" s="199">
        <v>3.05</v>
      </c>
      <c r="Z49" s="46">
        <f t="shared" si="24"/>
        <v>5280</v>
      </c>
      <c r="AA49" s="199">
        <v>11605</v>
      </c>
      <c r="AB49" s="199">
        <v>1.95</v>
      </c>
      <c r="AC49" s="46">
        <f t="shared" si="25"/>
        <v>2720</v>
      </c>
      <c r="AD49" s="199">
        <v>90248</v>
      </c>
      <c r="AE49" s="199">
        <v>2.0489999999999999</v>
      </c>
      <c r="AF49" s="46">
        <f t="shared" si="26"/>
        <v>49400</v>
      </c>
      <c r="AG49" s="199">
        <v>17001</v>
      </c>
      <c r="AH49" s="199">
        <v>0.34200000000000003</v>
      </c>
      <c r="AI49" s="46">
        <f t="shared" si="27"/>
        <v>1440</v>
      </c>
      <c r="AJ49" s="207">
        <v>63817</v>
      </c>
      <c r="AK49" s="46">
        <f t="shared" si="28"/>
        <v>482</v>
      </c>
      <c r="AL49" s="46"/>
      <c r="AN49" s="46">
        <f t="shared" si="29"/>
        <v>276062</v>
      </c>
      <c r="AO49" s="22">
        <f t="shared" si="30"/>
        <v>50840</v>
      </c>
      <c r="AP49" s="22">
        <f t="shared" si="53"/>
        <v>0.1841615289319066</v>
      </c>
      <c r="AQ49" s="22"/>
      <c r="AR49" s="16"/>
      <c r="AS49" s="82">
        <v>44109</v>
      </c>
      <c r="AT49" s="199">
        <v>61499</v>
      </c>
      <c r="AU49" s="46">
        <f t="shared" si="32"/>
        <v>5900</v>
      </c>
      <c r="AV49" s="199">
        <v>7853</v>
      </c>
      <c r="AW49" s="46">
        <f t="shared" si="33"/>
        <v>700</v>
      </c>
      <c r="AX49" s="200">
        <v>17120</v>
      </c>
      <c r="AY49" s="104">
        <f t="shared" si="47"/>
        <v>446</v>
      </c>
      <c r="AZ49" s="199">
        <v>49556</v>
      </c>
      <c r="BA49" s="46">
        <f t="shared" si="35"/>
        <v>800</v>
      </c>
      <c r="BC49" s="83"/>
      <c r="BD49" s="27">
        <f t="shared" si="36"/>
        <v>7846</v>
      </c>
      <c r="BE49" s="22"/>
      <c r="BF49" s="22"/>
      <c r="BH49" s="16"/>
      <c r="BJ49" s="21"/>
      <c r="BN49" s="85"/>
      <c r="BW49" s="85"/>
      <c r="CF49" s="85"/>
      <c r="CO49" s="85"/>
      <c r="CX49" s="85"/>
      <c r="DG49" s="85"/>
      <c r="DP49" s="85"/>
      <c r="DY49" s="85"/>
      <c r="EH49" s="85"/>
      <c r="EQ49" s="85"/>
      <c r="EZ49" s="21"/>
      <c r="FI49" s="66"/>
      <c r="FN49" s="16"/>
      <c r="FP49" s="85"/>
      <c r="FY49" s="85"/>
      <c r="GH49" s="85"/>
      <c r="GN49" s="85"/>
      <c r="HA49" s="20"/>
    </row>
    <row r="50" spans="2:209" x14ac:dyDescent="0.25">
      <c r="B50" s="82">
        <f>B49+7</f>
        <v>44116</v>
      </c>
      <c r="C50" s="199">
        <v>95236</v>
      </c>
      <c r="D50" s="199">
        <v>1.98</v>
      </c>
      <c r="E50" s="46">
        <f t="shared" si="17"/>
        <v>40800</v>
      </c>
      <c r="F50" s="199">
        <v>91512</v>
      </c>
      <c r="G50" s="199">
        <v>2.0499999999999998</v>
      </c>
      <c r="H50" s="46">
        <f t="shared" si="18"/>
        <v>47680</v>
      </c>
      <c r="I50" s="199">
        <v>10600</v>
      </c>
      <c r="J50" s="199">
        <v>1.97</v>
      </c>
      <c r="K50" s="46">
        <f t="shared" si="19"/>
        <v>8800</v>
      </c>
      <c r="L50" s="199">
        <v>10520</v>
      </c>
      <c r="M50" s="199">
        <v>1.88</v>
      </c>
      <c r="N50" s="46">
        <f t="shared" si="20"/>
        <v>8400</v>
      </c>
      <c r="O50" s="199">
        <v>11161</v>
      </c>
      <c r="P50" s="199">
        <v>2.09</v>
      </c>
      <c r="Q50" s="46">
        <f t="shared" si="21"/>
        <v>8800</v>
      </c>
      <c r="R50" s="199">
        <v>75151</v>
      </c>
      <c r="S50" s="199">
        <v>2.3250000000000002</v>
      </c>
      <c r="T50" s="46">
        <f t="shared" si="22"/>
        <v>72000</v>
      </c>
      <c r="U50" s="199">
        <v>71745</v>
      </c>
      <c r="V50" s="199">
        <v>2.129</v>
      </c>
      <c r="W50" s="46">
        <f t="shared" si="23"/>
        <v>73500</v>
      </c>
      <c r="X50" s="199">
        <v>17430</v>
      </c>
      <c r="Y50" s="199">
        <v>3.05</v>
      </c>
      <c r="Z50" s="46">
        <f t="shared" si="24"/>
        <v>5760</v>
      </c>
      <c r="AA50" s="199">
        <v>11621</v>
      </c>
      <c r="AB50" s="199">
        <v>2</v>
      </c>
      <c r="AC50" s="46">
        <f t="shared" si="25"/>
        <v>2560</v>
      </c>
      <c r="AD50" s="199">
        <v>90498</v>
      </c>
      <c r="AE50" s="199">
        <v>2.0489999999999999</v>
      </c>
      <c r="AF50" s="46">
        <f t="shared" si="26"/>
        <v>50000</v>
      </c>
      <c r="AG50" s="199">
        <v>17041</v>
      </c>
      <c r="AH50" s="199">
        <v>0.34200000000000003</v>
      </c>
      <c r="AI50" s="46">
        <f t="shared" si="27"/>
        <v>1600</v>
      </c>
      <c r="AJ50" s="207">
        <v>64294</v>
      </c>
      <c r="AK50" s="46">
        <f t="shared" si="28"/>
        <v>477</v>
      </c>
      <c r="AL50" s="46"/>
      <c r="AN50" s="46">
        <f t="shared" si="29"/>
        <v>320377</v>
      </c>
      <c r="AO50" s="22">
        <f t="shared" si="30"/>
        <v>51600</v>
      </c>
      <c r="AP50" s="22">
        <f t="shared" si="53"/>
        <v>0.16106025089191797</v>
      </c>
      <c r="AQ50" s="22"/>
      <c r="AR50" s="16"/>
      <c r="AS50" s="82">
        <f>AS49+7</f>
        <v>44116</v>
      </c>
      <c r="AT50" s="199">
        <v>61651</v>
      </c>
      <c r="AU50" s="46">
        <f t="shared" si="32"/>
        <v>15200</v>
      </c>
      <c r="AV50" s="199">
        <v>7872</v>
      </c>
      <c r="AW50" s="46">
        <f t="shared" si="33"/>
        <v>1900</v>
      </c>
      <c r="AX50" s="200">
        <v>18136</v>
      </c>
      <c r="AY50" s="104">
        <f t="shared" si="47"/>
        <v>1016</v>
      </c>
      <c r="AZ50" s="199">
        <v>49615</v>
      </c>
      <c r="BA50" s="46">
        <f t="shared" si="35"/>
        <v>2360</v>
      </c>
      <c r="BC50" s="83"/>
      <c r="BD50" s="27">
        <f t="shared" si="36"/>
        <v>20476</v>
      </c>
      <c r="BE50" s="22"/>
      <c r="BF50" s="22"/>
      <c r="BH50" s="16"/>
      <c r="BJ50" s="21"/>
      <c r="BN50" s="85"/>
      <c r="BW50" s="85"/>
      <c r="CF50" s="85"/>
      <c r="CO50" s="85"/>
      <c r="CX50" s="85"/>
      <c r="DG50" s="85"/>
      <c r="DP50" s="85"/>
      <c r="DY50" s="85"/>
      <c r="EH50" s="85"/>
      <c r="EQ50" s="85"/>
      <c r="EZ50" s="21"/>
      <c r="FI50" s="66"/>
      <c r="FN50" s="16"/>
      <c r="FP50" s="85"/>
      <c r="FY50" s="85"/>
      <c r="GH50" s="85"/>
      <c r="GN50" s="85"/>
      <c r="HA50" s="20"/>
    </row>
    <row r="51" spans="2:209" x14ac:dyDescent="0.25">
      <c r="B51" s="82">
        <f t="shared" ref="B51:B52" si="56">B50+7</f>
        <v>44123</v>
      </c>
      <c r="C51" s="199">
        <v>95490</v>
      </c>
      <c r="D51" s="199">
        <v>1.98</v>
      </c>
      <c r="E51" s="46">
        <f t="shared" si="17"/>
        <v>40640</v>
      </c>
      <c r="F51" s="199">
        <v>91786</v>
      </c>
      <c r="G51" s="199">
        <v>2.0499999999999998</v>
      </c>
      <c r="H51" s="46">
        <f t="shared" si="18"/>
        <v>43840</v>
      </c>
      <c r="I51" s="199">
        <v>10622</v>
      </c>
      <c r="J51" s="199">
        <v>1.91</v>
      </c>
      <c r="K51" s="46">
        <f t="shared" si="19"/>
        <v>8800</v>
      </c>
      <c r="L51" s="199">
        <v>10541</v>
      </c>
      <c r="M51" s="199">
        <v>1.88</v>
      </c>
      <c r="N51" s="46">
        <f t="shared" si="20"/>
        <v>8400</v>
      </c>
      <c r="O51" s="199">
        <v>11184</v>
      </c>
      <c r="P51" s="199">
        <v>2.09</v>
      </c>
      <c r="Q51" s="46">
        <f t="shared" si="21"/>
        <v>9200</v>
      </c>
      <c r="R51" s="199">
        <v>75351</v>
      </c>
      <c r="S51" s="199">
        <v>2.3439999999999999</v>
      </c>
      <c r="T51" s="46">
        <f t="shared" si="22"/>
        <v>60000</v>
      </c>
      <c r="U51" s="199">
        <v>71972</v>
      </c>
      <c r="V51" s="199">
        <v>2.2189999999999999</v>
      </c>
      <c r="W51" s="46">
        <f t="shared" si="23"/>
        <v>68100</v>
      </c>
      <c r="X51" s="199">
        <v>17466</v>
      </c>
      <c r="Y51" s="199">
        <v>3.05</v>
      </c>
      <c r="Z51" s="46">
        <f t="shared" si="24"/>
        <v>5760</v>
      </c>
      <c r="AA51" s="199">
        <v>11639</v>
      </c>
      <c r="AB51" s="199">
        <v>2.08</v>
      </c>
      <c r="AC51" s="46">
        <f t="shared" si="25"/>
        <v>2880</v>
      </c>
      <c r="AD51" s="199">
        <v>90737</v>
      </c>
      <c r="AE51" s="199">
        <v>2.0489999999999999</v>
      </c>
      <c r="AF51" s="46">
        <f t="shared" si="26"/>
        <v>47800</v>
      </c>
      <c r="AG51" s="199">
        <v>17082</v>
      </c>
      <c r="AH51" s="199">
        <v>0.34200000000000003</v>
      </c>
      <c r="AI51" s="46">
        <f t="shared" si="27"/>
        <v>1640</v>
      </c>
      <c r="AJ51" s="207">
        <v>64770</v>
      </c>
      <c r="AK51" s="46">
        <f t="shared" si="28"/>
        <v>476</v>
      </c>
      <c r="AL51" s="46"/>
      <c r="AN51" s="46">
        <f t="shared" si="29"/>
        <v>297536</v>
      </c>
      <c r="AO51" s="22">
        <f t="shared" si="30"/>
        <v>49440</v>
      </c>
      <c r="AP51" s="22">
        <f t="shared" si="53"/>
        <v>0.16616476661647667</v>
      </c>
      <c r="AQ51" s="22"/>
      <c r="AR51" s="16"/>
      <c r="AS51" s="82">
        <f t="shared" ref="AS51:AS52" si="57">AS50+7</f>
        <v>44123</v>
      </c>
      <c r="AT51" s="199">
        <v>61793</v>
      </c>
      <c r="AU51" s="46">
        <f t="shared" si="32"/>
        <v>14200</v>
      </c>
      <c r="AV51" s="199">
        <v>7891</v>
      </c>
      <c r="AW51" s="46">
        <f t="shared" si="33"/>
        <v>1900</v>
      </c>
      <c r="AX51" s="200">
        <v>19129</v>
      </c>
      <c r="AY51" s="104">
        <f t="shared" si="47"/>
        <v>993</v>
      </c>
      <c r="AZ51" s="199">
        <v>49684</v>
      </c>
      <c r="BA51" s="46">
        <f t="shared" si="35"/>
        <v>2760</v>
      </c>
      <c r="BC51" s="83"/>
      <c r="BD51" s="27">
        <f t="shared" si="36"/>
        <v>19853</v>
      </c>
      <c r="BE51" s="22"/>
      <c r="BF51" s="22"/>
      <c r="BH51" s="16"/>
      <c r="BJ51" s="21"/>
      <c r="BN51" s="85"/>
      <c r="BW51" s="85"/>
      <c r="CF51" s="85"/>
      <c r="CO51" s="85"/>
      <c r="CX51" s="85"/>
      <c r="DG51" s="85"/>
      <c r="DP51" s="85"/>
      <c r="DY51" s="85"/>
      <c r="EH51" s="85"/>
      <c r="EQ51" s="85"/>
      <c r="EZ51" s="21"/>
      <c r="FI51" s="66"/>
      <c r="FN51" s="16"/>
      <c r="FP51" s="85"/>
      <c r="FY51" s="85"/>
      <c r="GH51" s="85"/>
      <c r="GN51" s="85"/>
      <c r="HA51" s="20"/>
    </row>
    <row r="52" spans="2:209" x14ac:dyDescent="0.25">
      <c r="B52" s="82">
        <f t="shared" si="56"/>
        <v>44130</v>
      </c>
      <c r="C52" s="199">
        <v>95736</v>
      </c>
      <c r="D52" s="199">
        <v>1.9039999999999999</v>
      </c>
      <c r="E52" s="46">
        <f t="shared" si="17"/>
        <v>39360</v>
      </c>
      <c r="F52" s="199">
        <v>92060</v>
      </c>
      <c r="G52" s="199">
        <v>2.0219999999999998</v>
      </c>
      <c r="H52" s="46">
        <f t="shared" si="18"/>
        <v>43840</v>
      </c>
      <c r="I52" s="199">
        <v>10642</v>
      </c>
      <c r="J52" s="199">
        <v>1.48</v>
      </c>
      <c r="K52" s="46">
        <f t="shared" si="19"/>
        <v>8000</v>
      </c>
      <c r="L52" s="199">
        <v>10561</v>
      </c>
      <c r="M52" s="199">
        <v>1.51</v>
      </c>
      <c r="N52" s="46">
        <f t="shared" si="20"/>
        <v>8000</v>
      </c>
      <c r="O52" s="199">
        <v>11205</v>
      </c>
      <c r="P52" s="199">
        <v>1.76</v>
      </c>
      <c r="Q52" s="46">
        <f t="shared" si="21"/>
        <v>8400</v>
      </c>
      <c r="R52" s="199">
        <v>75588</v>
      </c>
      <c r="S52" s="199">
        <v>2.121</v>
      </c>
      <c r="T52" s="46">
        <f t="shared" si="22"/>
        <v>71100</v>
      </c>
      <c r="U52" s="199">
        <v>72163</v>
      </c>
      <c r="V52" s="199">
        <v>0.751</v>
      </c>
      <c r="W52" s="46">
        <f t="shared" si="23"/>
        <v>57300</v>
      </c>
      <c r="X52" s="199">
        <v>17502</v>
      </c>
      <c r="Y52" s="199">
        <v>2.73</v>
      </c>
      <c r="Z52" s="46">
        <f t="shared" si="24"/>
        <v>5760</v>
      </c>
      <c r="AA52" s="199">
        <v>11656</v>
      </c>
      <c r="AB52" s="199">
        <v>1.69</v>
      </c>
      <c r="AC52" s="46">
        <f t="shared" si="25"/>
        <v>2720</v>
      </c>
      <c r="AD52" s="199">
        <v>90976</v>
      </c>
      <c r="AE52" s="199">
        <v>1.8540000000000001</v>
      </c>
      <c r="AF52" s="46">
        <f t="shared" si="26"/>
        <v>47800</v>
      </c>
      <c r="AG52" s="199">
        <v>17120</v>
      </c>
      <c r="AH52" s="199">
        <v>0.308</v>
      </c>
      <c r="AI52" s="46">
        <f t="shared" si="27"/>
        <v>1520</v>
      </c>
      <c r="AJ52" s="208">
        <v>65263</v>
      </c>
      <c r="AK52" s="46">
        <f t="shared" si="28"/>
        <v>493</v>
      </c>
      <c r="AL52" s="46"/>
      <c r="AN52" s="46">
        <f t="shared" si="29"/>
        <v>294293</v>
      </c>
      <c r="AO52" s="22">
        <f t="shared" si="30"/>
        <v>49320</v>
      </c>
      <c r="AP52" s="22">
        <f t="shared" si="53"/>
        <v>0.16758808398432853</v>
      </c>
      <c r="AQ52" s="22"/>
      <c r="AR52" s="16"/>
      <c r="AS52" s="82">
        <f t="shared" si="57"/>
        <v>44130</v>
      </c>
      <c r="AT52" s="199">
        <v>61939</v>
      </c>
      <c r="AU52" s="46">
        <f t="shared" si="32"/>
        <v>14600</v>
      </c>
      <c r="AV52" s="199">
        <v>7909</v>
      </c>
      <c r="AW52" s="46">
        <f t="shared" si="33"/>
        <v>1800</v>
      </c>
      <c r="AX52" s="200">
        <v>20037</v>
      </c>
      <c r="AY52" s="104">
        <f t="shared" si="47"/>
        <v>908</v>
      </c>
      <c r="AZ52" s="199">
        <v>49711</v>
      </c>
      <c r="BA52" s="46">
        <f t="shared" si="35"/>
        <v>1080</v>
      </c>
      <c r="BC52" s="83"/>
      <c r="BD52" s="27">
        <f t="shared" si="36"/>
        <v>18388</v>
      </c>
      <c r="BE52" s="22"/>
      <c r="BF52" s="22"/>
      <c r="BH52" s="16"/>
      <c r="BJ52" s="21"/>
      <c r="BN52" s="85"/>
      <c r="BW52" s="85"/>
      <c r="CF52" s="85"/>
      <c r="CO52" s="85"/>
      <c r="CX52" s="85"/>
      <c r="DG52" s="85"/>
      <c r="DP52" s="85"/>
      <c r="DY52" s="85"/>
      <c r="EH52" s="85"/>
      <c r="EQ52" s="85"/>
      <c r="EZ52" s="21"/>
      <c r="FI52" s="66"/>
      <c r="FN52" s="16"/>
      <c r="FP52" s="85"/>
      <c r="FY52" s="85"/>
      <c r="GH52" s="85"/>
      <c r="GN52" s="85"/>
      <c r="HA52" s="20"/>
    </row>
    <row r="53" spans="2:209" x14ac:dyDescent="0.25">
      <c r="B53" s="82">
        <v>44136</v>
      </c>
      <c r="C53" s="199">
        <v>95980</v>
      </c>
      <c r="D53" s="199">
        <v>1.9039999999999999</v>
      </c>
      <c r="E53" s="46">
        <f t="shared" si="17"/>
        <v>39040</v>
      </c>
      <c r="F53" s="199">
        <v>92328</v>
      </c>
      <c r="G53" s="199">
        <v>2.0219999999999998</v>
      </c>
      <c r="H53" s="46">
        <f t="shared" si="18"/>
        <v>42880</v>
      </c>
      <c r="I53" s="199">
        <v>10661</v>
      </c>
      <c r="J53" s="199">
        <v>1.5</v>
      </c>
      <c r="K53" s="46">
        <f t="shared" si="19"/>
        <v>7600</v>
      </c>
      <c r="L53" s="199">
        <v>10581</v>
      </c>
      <c r="M53" s="199">
        <v>1.51</v>
      </c>
      <c r="N53" s="46">
        <f t="shared" si="20"/>
        <v>8000</v>
      </c>
      <c r="O53" s="199">
        <v>11225</v>
      </c>
      <c r="P53" s="199">
        <v>1.76</v>
      </c>
      <c r="Q53" s="46">
        <f t="shared" si="21"/>
        <v>8000</v>
      </c>
      <c r="R53" s="199">
        <v>75767</v>
      </c>
      <c r="S53" s="199">
        <v>2.2050000000000001</v>
      </c>
      <c r="T53" s="46">
        <f t="shared" si="22"/>
        <v>53700</v>
      </c>
      <c r="U53" s="199">
        <v>72352</v>
      </c>
      <c r="V53" s="199">
        <v>1.885</v>
      </c>
      <c r="W53" s="46">
        <f t="shared" si="23"/>
        <v>56700</v>
      </c>
      <c r="X53" s="199">
        <v>17536</v>
      </c>
      <c r="Y53" s="199">
        <v>2.96</v>
      </c>
      <c r="Z53" s="46">
        <f t="shared" si="24"/>
        <v>5440</v>
      </c>
      <c r="AA53" s="199">
        <v>11671</v>
      </c>
      <c r="AB53" s="199">
        <v>1.69</v>
      </c>
      <c r="AC53" s="46">
        <f t="shared" si="25"/>
        <v>2400</v>
      </c>
      <c r="AD53" s="199">
        <v>91216</v>
      </c>
      <c r="AE53" s="199">
        <v>1.976</v>
      </c>
      <c r="AF53" s="46">
        <f t="shared" si="26"/>
        <v>48000</v>
      </c>
      <c r="AG53" s="199">
        <v>17160</v>
      </c>
      <c r="AH53" s="199">
        <v>0.317</v>
      </c>
      <c r="AI53" s="46">
        <f t="shared" si="27"/>
        <v>1600</v>
      </c>
      <c r="AJ53" s="208">
        <v>65767</v>
      </c>
      <c r="AK53" s="46">
        <f t="shared" si="28"/>
        <v>504</v>
      </c>
      <c r="AL53" s="46"/>
      <c r="AN53" s="46">
        <f t="shared" si="29"/>
        <v>273864</v>
      </c>
      <c r="AO53" s="22">
        <f t="shared" si="30"/>
        <v>49600</v>
      </c>
      <c r="AP53" s="22">
        <f t="shared" si="53"/>
        <v>0.18111179271463207</v>
      </c>
      <c r="AQ53" s="22">
        <f>SUM(AN49:AN53)</f>
        <v>1462132</v>
      </c>
      <c r="AR53" s="16"/>
      <c r="AS53" s="213">
        <v>44136</v>
      </c>
      <c r="AT53" s="199">
        <v>62058</v>
      </c>
      <c r="AU53" s="46">
        <f t="shared" si="32"/>
        <v>11900</v>
      </c>
      <c r="AV53" s="199">
        <v>7924</v>
      </c>
      <c r="AW53" s="46">
        <f t="shared" si="33"/>
        <v>1500</v>
      </c>
      <c r="AX53" s="200">
        <v>20798</v>
      </c>
      <c r="AY53" s="104">
        <f t="shared" si="47"/>
        <v>761</v>
      </c>
      <c r="AZ53" s="199">
        <v>49763</v>
      </c>
      <c r="BA53" s="46">
        <f t="shared" si="35"/>
        <v>2080</v>
      </c>
      <c r="BC53" s="83"/>
      <c r="BD53" s="27">
        <f t="shared" si="36"/>
        <v>16241</v>
      </c>
      <c r="BE53" s="22">
        <f>SUM(BC49:BD53)</f>
        <v>82804</v>
      </c>
      <c r="BF53" s="22">
        <f>SUM(AQ53+BE53)</f>
        <v>1544936</v>
      </c>
      <c r="BH53" s="16"/>
      <c r="BJ53" s="21"/>
      <c r="BN53" s="85"/>
      <c r="BW53" s="85"/>
      <c r="CF53" s="85"/>
      <c r="CO53" s="85"/>
      <c r="CX53" s="85"/>
      <c r="DG53" s="85"/>
      <c r="DP53" s="85"/>
      <c r="DY53" s="85"/>
      <c r="EH53" s="85"/>
      <c r="EQ53" s="85"/>
      <c r="EZ53" s="21"/>
      <c r="FI53" s="66"/>
      <c r="FN53" s="16"/>
      <c r="FP53" s="85"/>
      <c r="FY53" s="85"/>
      <c r="GH53" s="85"/>
      <c r="GN53" s="85"/>
      <c r="HA53" s="20"/>
    </row>
    <row r="54" spans="2:209" x14ac:dyDescent="0.25">
      <c r="B54" s="82">
        <v>44137</v>
      </c>
      <c r="C54" s="199">
        <v>95980</v>
      </c>
      <c r="D54" s="199">
        <v>1.9039999999999999</v>
      </c>
      <c r="E54" s="46">
        <f t="shared" si="17"/>
        <v>0</v>
      </c>
      <c r="F54" s="199">
        <v>92328</v>
      </c>
      <c r="G54" s="199">
        <v>2.0219999999999998</v>
      </c>
      <c r="H54" s="46">
        <f t="shared" si="18"/>
        <v>0</v>
      </c>
      <c r="I54" s="199">
        <v>10661</v>
      </c>
      <c r="J54" s="199">
        <v>1.5</v>
      </c>
      <c r="K54" s="46">
        <f t="shared" si="19"/>
        <v>0</v>
      </c>
      <c r="L54" s="199">
        <v>10581</v>
      </c>
      <c r="M54" s="199">
        <v>1.51</v>
      </c>
      <c r="N54" s="46">
        <f t="shared" si="20"/>
        <v>0</v>
      </c>
      <c r="O54" s="199">
        <v>11225</v>
      </c>
      <c r="P54" s="199">
        <v>1.76</v>
      </c>
      <c r="Q54" s="46">
        <f t="shared" si="21"/>
        <v>0</v>
      </c>
      <c r="R54" s="199">
        <v>75767</v>
      </c>
      <c r="S54" s="199">
        <v>2.2050000000000001</v>
      </c>
      <c r="T54" s="46">
        <f t="shared" si="22"/>
        <v>0</v>
      </c>
      <c r="U54" s="199">
        <v>72352</v>
      </c>
      <c r="V54" s="199">
        <v>1.885</v>
      </c>
      <c r="W54" s="46">
        <f t="shared" si="23"/>
        <v>0</v>
      </c>
      <c r="X54" s="199">
        <v>17536</v>
      </c>
      <c r="Y54" s="199">
        <v>2.96</v>
      </c>
      <c r="Z54" s="46">
        <f t="shared" si="24"/>
        <v>0</v>
      </c>
      <c r="AA54" s="199">
        <v>11671</v>
      </c>
      <c r="AB54" s="199">
        <v>1.69</v>
      </c>
      <c r="AC54" s="46">
        <f t="shared" si="25"/>
        <v>0</v>
      </c>
      <c r="AD54" s="199">
        <v>91216</v>
      </c>
      <c r="AE54" s="199">
        <v>1.976</v>
      </c>
      <c r="AF54" s="46">
        <f t="shared" si="26"/>
        <v>0</v>
      </c>
      <c r="AG54" s="199">
        <v>17160</v>
      </c>
      <c r="AH54" s="199">
        <v>0.317</v>
      </c>
      <c r="AI54" s="46">
        <f t="shared" si="27"/>
        <v>0</v>
      </c>
      <c r="AJ54" s="208">
        <v>65767</v>
      </c>
      <c r="AK54" s="46">
        <f t="shared" si="28"/>
        <v>0</v>
      </c>
      <c r="AL54" s="46"/>
      <c r="AN54" s="46">
        <f t="shared" si="29"/>
        <v>0</v>
      </c>
      <c r="AO54" s="22">
        <f t="shared" si="30"/>
        <v>0</v>
      </c>
      <c r="AP54" s="22" t="e">
        <f t="shared" si="53"/>
        <v>#DIV/0!</v>
      </c>
      <c r="AQ54" s="22"/>
      <c r="AR54" s="16"/>
      <c r="AS54" s="82">
        <v>44137</v>
      </c>
      <c r="AT54" s="199">
        <v>62058</v>
      </c>
      <c r="AU54" s="46">
        <f t="shared" si="32"/>
        <v>0</v>
      </c>
      <c r="AV54" s="199">
        <v>7924</v>
      </c>
      <c r="AW54" s="46">
        <f t="shared" si="33"/>
        <v>0</v>
      </c>
      <c r="AX54" s="200">
        <v>20798</v>
      </c>
      <c r="AY54" s="104">
        <f t="shared" si="47"/>
        <v>0</v>
      </c>
      <c r="AZ54" s="199">
        <v>49763</v>
      </c>
      <c r="BA54" s="46">
        <f t="shared" si="35"/>
        <v>0</v>
      </c>
      <c r="BC54" s="83"/>
      <c r="BD54" s="27">
        <f t="shared" si="36"/>
        <v>0</v>
      </c>
      <c r="BE54" s="22"/>
      <c r="BF54" s="22"/>
      <c r="BH54" s="16"/>
      <c r="BJ54" s="21"/>
      <c r="BN54" s="85"/>
      <c r="BW54" s="85"/>
      <c r="CF54" s="85"/>
      <c r="CO54" s="85"/>
      <c r="CX54" s="85"/>
      <c r="DG54" s="85"/>
      <c r="DP54" s="85"/>
      <c r="DY54" s="85"/>
      <c r="EH54" s="85"/>
      <c r="EQ54" s="85"/>
      <c r="EZ54" s="21"/>
      <c r="FI54" s="66"/>
      <c r="FN54" s="16"/>
      <c r="FP54" s="85"/>
      <c r="FY54" s="85"/>
      <c r="GH54" s="85"/>
      <c r="GN54" s="85"/>
      <c r="HA54" s="20"/>
    </row>
    <row r="55" spans="2:209" x14ac:dyDescent="0.25">
      <c r="B55" s="82">
        <f>B54+7</f>
        <v>44144</v>
      </c>
      <c r="C55" s="199">
        <v>96230</v>
      </c>
      <c r="D55" s="199">
        <v>1.925</v>
      </c>
      <c r="E55" s="46">
        <f t="shared" si="17"/>
        <v>40000</v>
      </c>
      <c r="F55" s="199">
        <v>92598</v>
      </c>
      <c r="G55" s="199">
        <v>2.0219999999999998</v>
      </c>
      <c r="H55" s="46">
        <f t="shared" si="18"/>
        <v>43200</v>
      </c>
      <c r="I55" s="199">
        <v>10681</v>
      </c>
      <c r="J55" s="199">
        <v>1.9</v>
      </c>
      <c r="K55" s="46">
        <f t="shared" si="19"/>
        <v>8000</v>
      </c>
      <c r="L55" s="199">
        <v>10603</v>
      </c>
      <c r="M55" s="199">
        <v>1.63</v>
      </c>
      <c r="N55" s="46">
        <f t="shared" si="20"/>
        <v>8800</v>
      </c>
      <c r="O55" s="199">
        <v>11245</v>
      </c>
      <c r="P55" s="199">
        <v>1.77</v>
      </c>
      <c r="Q55" s="46">
        <f t="shared" si="21"/>
        <v>8000</v>
      </c>
      <c r="R55" s="199">
        <v>75972</v>
      </c>
      <c r="S55" s="199">
        <v>2.2050000000000001</v>
      </c>
      <c r="T55" s="46">
        <f t="shared" si="22"/>
        <v>61500</v>
      </c>
      <c r="U55" s="199">
        <v>72468</v>
      </c>
      <c r="V55" s="199">
        <v>2.036</v>
      </c>
      <c r="W55" s="46">
        <f t="shared" si="23"/>
        <v>34800</v>
      </c>
      <c r="X55" s="199">
        <v>17570</v>
      </c>
      <c r="Y55" s="199">
        <v>3.12</v>
      </c>
      <c r="Z55" s="46">
        <f t="shared" si="24"/>
        <v>5440</v>
      </c>
      <c r="AA55" s="199">
        <v>11687</v>
      </c>
      <c r="AB55" s="199">
        <v>1.69</v>
      </c>
      <c r="AC55" s="46">
        <f t="shared" si="25"/>
        <v>2560</v>
      </c>
      <c r="AD55" s="199">
        <v>91446</v>
      </c>
      <c r="AE55" s="199">
        <v>1.9890000000000001</v>
      </c>
      <c r="AF55" s="46">
        <f t="shared" si="26"/>
        <v>46000</v>
      </c>
      <c r="AG55" s="199">
        <v>17198</v>
      </c>
      <c r="AH55" s="199">
        <v>0.317</v>
      </c>
      <c r="AI55" s="46">
        <f t="shared" si="27"/>
        <v>1520</v>
      </c>
      <c r="AJ55" s="208">
        <v>66271</v>
      </c>
      <c r="AK55" s="46">
        <f t="shared" si="28"/>
        <v>504</v>
      </c>
      <c r="AL55" s="46"/>
      <c r="AN55" s="46">
        <f t="shared" si="29"/>
        <v>260324</v>
      </c>
      <c r="AO55" s="22">
        <f t="shared" si="30"/>
        <v>47520</v>
      </c>
      <c r="AP55" s="22">
        <f t="shared" si="53"/>
        <v>0.18254175565833347</v>
      </c>
      <c r="AQ55" s="22"/>
      <c r="AR55" s="16"/>
      <c r="AS55" s="82">
        <f>AS54+7</f>
        <v>44144</v>
      </c>
      <c r="AT55" s="199">
        <v>62192</v>
      </c>
      <c r="AU55" s="46">
        <f t="shared" si="32"/>
        <v>13400</v>
      </c>
      <c r="AV55" s="199">
        <v>7944</v>
      </c>
      <c r="AW55" s="46">
        <f t="shared" si="33"/>
        <v>2000</v>
      </c>
      <c r="AX55" s="200">
        <v>21828</v>
      </c>
      <c r="AY55" s="104">
        <f t="shared" si="47"/>
        <v>1030</v>
      </c>
      <c r="AZ55" s="199">
        <v>49964</v>
      </c>
      <c r="BA55" s="46">
        <f t="shared" si="35"/>
        <v>8040</v>
      </c>
      <c r="BC55" s="83"/>
      <c r="BD55" s="27">
        <f t="shared" si="36"/>
        <v>24470</v>
      </c>
      <c r="BE55" s="22"/>
      <c r="BF55" s="22"/>
      <c r="BH55" s="16"/>
      <c r="BJ55" s="21"/>
      <c r="BN55" s="85"/>
      <c r="BW55" s="85"/>
      <c r="CF55" s="85"/>
      <c r="CO55" s="85"/>
      <c r="CX55" s="85"/>
      <c r="DG55" s="85"/>
      <c r="DP55" s="85"/>
      <c r="DY55" s="85"/>
      <c r="EH55" s="85"/>
      <c r="EQ55" s="85"/>
      <c r="EZ55" s="21"/>
      <c r="FI55" s="66"/>
      <c r="FN55" s="16"/>
      <c r="FP55" s="85"/>
      <c r="FY55" s="85"/>
      <c r="GH55" s="85"/>
      <c r="GN55" s="85"/>
      <c r="HA55" s="20"/>
    </row>
    <row r="56" spans="2:209" x14ac:dyDescent="0.25">
      <c r="B56" s="82">
        <f t="shared" ref="B56:B58" si="58">B55+7</f>
        <v>44151</v>
      </c>
      <c r="C56" s="199">
        <v>96476</v>
      </c>
      <c r="D56" s="199">
        <v>1.925</v>
      </c>
      <c r="E56" s="46">
        <f t="shared" si="17"/>
        <v>39360</v>
      </c>
      <c r="F56" s="199">
        <v>92869</v>
      </c>
      <c r="G56" s="199">
        <v>2.0219999999999998</v>
      </c>
      <c r="H56" s="46">
        <f t="shared" si="18"/>
        <v>43360</v>
      </c>
      <c r="I56" s="199">
        <v>10702</v>
      </c>
      <c r="J56" s="199">
        <v>1.9</v>
      </c>
      <c r="K56" s="297">
        <v>8400</v>
      </c>
      <c r="L56" s="199">
        <v>10623</v>
      </c>
      <c r="M56" s="199">
        <v>1.63</v>
      </c>
      <c r="N56" s="297">
        <v>8000</v>
      </c>
      <c r="O56" s="199">
        <v>11265</v>
      </c>
      <c r="P56" s="199">
        <v>1.77</v>
      </c>
      <c r="Q56" s="297">
        <v>8000</v>
      </c>
      <c r="R56" s="199">
        <v>76151</v>
      </c>
      <c r="S56" s="199">
        <v>2.3759999999999999</v>
      </c>
      <c r="T56" s="297">
        <v>53700</v>
      </c>
      <c r="U56" s="199">
        <v>72703</v>
      </c>
      <c r="V56" s="199">
        <v>2.036</v>
      </c>
      <c r="W56" s="297">
        <v>70500</v>
      </c>
      <c r="X56" s="199">
        <v>17603</v>
      </c>
      <c r="Y56" s="199">
        <v>3.12</v>
      </c>
      <c r="Z56" s="297">
        <v>5280</v>
      </c>
      <c r="AA56" s="199">
        <v>11703</v>
      </c>
      <c r="AB56" s="199">
        <v>1.74</v>
      </c>
      <c r="AC56" s="297">
        <v>2560</v>
      </c>
      <c r="AD56" s="199">
        <v>91694</v>
      </c>
      <c r="AE56" s="199">
        <v>2.0379999999999998</v>
      </c>
      <c r="AF56" s="297">
        <v>49600</v>
      </c>
      <c r="AG56" s="199">
        <v>17236</v>
      </c>
      <c r="AH56" s="199">
        <v>0.317</v>
      </c>
      <c r="AI56" s="297">
        <v>1520</v>
      </c>
      <c r="AJ56" s="208">
        <v>66779</v>
      </c>
      <c r="AK56" s="297">
        <v>508</v>
      </c>
      <c r="AL56" s="46"/>
      <c r="AN56" s="46">
        <f t="shared" ref="AN56" si="59">SUM(AF56+AC56+Z56+W56+T56+Q56+N56+K56+H56+E56+AI56+AK56)</f>
        <v>290788</v>
      </c>
      <c r="AO56" s="22">
        <f t="shared" ref="AO56" si="60">SUM(AF56+AI56)</f>
        <v>51120</v>
      </c>
      <c r="AP56" s="22">
        <f t="shared" ref="AP56" si="61">SUM(AO56/AN56)</f>
        <v>0.17579817599075614</v>
      </c>
      <c r="AQ56" s="22"/>
      <c r="AR56" s="16"/>
      <c r="AS56" s="82">
        <f t="shared" ref="AS56:AS58" si="62">AS55+7</f>
        <v>44151</v>
      </c>
      <c r="AT56" s="199">
        <v>62354</v>
      </c>
      <c r="AU56" s="297">
        <v>16200</v>
      </c>
      <c r="AV56" s="199">
        <v>7963</v>
      </c>
      <c r="AW56" s="297">
        <v>1900</v>
      </c>
      <c r="AX56" s="200">
        <v>22688</v>
      </c>
      <c r="AY56" s="298">
        <v>860</v>
      </c>
      <c r="AZ56" s="199">
        <v>50011</v>
      </c>
      <c r="BA56" s="297">
        <v>1880</v>
      </c>
      <c r="BC56" s="83"/>
      <c r="BD56" s="27">
        <f t="shared" si="36"/>
        <v>20840</v>
      </c>
      <c r="BE56" s="22"/>
      <c r="BF56" s="22"/>
      <c r="BH56" s="16"/>
      <c r="BJ56" s="21"/>
      <c r="BN56" s="85"/>
      <c r="BW56" s="85"/>
      <c r="CF56" s="85"/>
      <c r="CO56" s="85"/>
      <c r="CX56" s="85"/>
      <c r="DG56" s="85"/>
      <c r="DP56" s="85"/>
      <c r="DY56" s="85"/>
      <c r="EH56" s="85"/>
      <c r="EQ56" s="85"/>
      <c r="EZ56" s="21"/>
      <c r="FI56" s="66"/>
      <c r="FN56" s="16"/>
      <c r="FP56" s="85"/>
      <c r="FY56" s="85"/>
      <c r="GH56" s="85"/>
      <c r="GN56" s="85"/>
      <c r="HA56" s="20"/>
    </row>
    <row r="57" spans="2:209" x14ac:dyDescent="0.25">
      <c r="B57" s="82">
        <f t="shared" si="58"/>
        <v>44158</v>
      </c>
      <c r="C57" s="22"/>
      <c r="D57" s="22"/>
      <c r="E57" s="46"/>
      <c r="F57" s="22"/>
      <c r="G57" s="22"/>
      <c r="H57" s="46"/>
      <c r="I57" s="22"/>
      <c r="J57" s="22"/>
      <c r="K57" s="46"/>
      <c r="L57" s="22"/>
      <c r="M57" s="22"/>
      <c r="N57" s="46"/>
      <c r="O57" s="22"/>
      <c r="P57" s="22"/>
      <c r="Q57" s="46"/>
      <c r="R57" s="22"/>
      <c r="S57" s="22"/>
      <c r="T57" s="46"/>
      <c r="U57" s="22"/>
      <c r="V57" s="22"/>
      <c r="W57" s="46"/>
      <c r="X57" s="22"/>
      <c r="Y57" s="22"/>
      <c r="Z57" s="46"/>
      <c r="AA57" s="22"/>
      <c r="AB57" s="22"/>
      <c r="AC57" s="46"/>
      <c r="AD57" s="22"/>
      <c r="AE57" s="22"/>
      <c r="AF57" s="46"/>
      <c r="AG57" s="22"/>
      <c r="AH57" s="22"/>
      <c r="AI57" s="46"/>
      <c r="AJ57" s="203"/>
      <c r="AK57" s="46"/>
      <c r="AL57" s="46"/>
      <c r="AN57" s="46"/>
      <c r="AO57" s="22"/>
      <c r="AP57" s="22"/>
      <c r="AQ57" s="22"/>
      <c r="AR57" s="16"/>
      <c r="AS57" s="82">
        <f t="shared" si="62"/>
        <v>44158</v>
      </c>
      <c r="AT57" s="22"/>
      <c r="AU57" s="46"/>
      <c r="AV57" s="22"/>
      <c r="AW57" s="46"/>
      <c r="AX57" s="103"/>
      <c r="AY57" s="104"/>
      <c r="AZ57" s="22"/>
      <c r="BA57" s="46"/>
      <c r="BC57" s="83"/>
      <c r="BD57" s="27"/>
      <c r="BE57" s="22"/>
      <c r="BF57" s="22"/>
      <c r="BH57" s="16"/>
      <c r="BJ57" s="21"/>
      <c r="BN57" s="85"/>
      <c r="BW57" s="85"/>
      <c r="CF57" s="85"/>
      <c r="CO57" s="85"/>
      <c r="CX57" s="85"/>
      <c r="DG57" s="85"/>
      <c r="DP57" s="85"/>
      <c r="DY57" s="85"/>
      <c r="EH57" s="85"/>
      <c r="EQ57" s="85"/>
      <c r="EZ57" s="21"/>
      <c r="FI57" s="66"/>
      <c r="FN57" s="16"/>
      <c r="FP57" s="85"/>
      <c r="FY57" s="85"/>
      <c r="GH57" s="85"/>
      <c r="GN57" s="85"/>
      <c r="HA57" s="20"/>
    </row>
    <row r="58" spans="2:209" x14ac:dyDescent="0.25">
      <c r="B58" s="82">
        <f t="shared" si="58"/>
        <v>44165</v>
      </c>
      <c r="C58" s="22"/>
      <c r="D58" s="22"/>
      <c r="E58" s="46"/>
      <c r="F58" s="22"/>
      <c r="G58" s="22"/>
      <c r="H58" s="46"/>
      <c r="I58" s="22"/>
      <c r="J58" s="22"/>
      <c r="K58" s="46"/>
      <c r="L58" s="22"/>
      <c r="M58" s="22"/>
      <c r="N58" s="46"/>
      <c r="O58" s="22"/>
      <c r="P58" s="22"/>
      <c r="Q58" s="46"/>
      <c r="R58" s="22"/>
      <c r="S58" s="22"/>
      <c r="T58" s="46"/>
      <c r="U58" s="22"/>
      <c r="V58" s="22"/>
      <c r="W58" s="46"/>
      <c r="X58" s="22"/>
      <c r="Y58" s="22"/>
      <c r="Z58" s="46"/>
      <c r="AA58" s="22"/>
      <c r="AB58" s="22"/>
      <c r="AC58" s="46"/>
      <c r="AD58" s="22"/>
      <c r="AE58" s="22"/>
      <c r="AF58" s="46"/>
      <c r="AG58" s="22"/>
      <c r="AH58" s="22"/>
      <c r="AI58" s="46"/>
      <c r="AJ58" s="203"/>
      <c r="AK58" s="46"/>
      <c r="AL58" s="46"/>
      <c r="AN58" s="46"/>
      <c r="AO58" s="22"/>
      <c r="AP58" s="22"/>
      <c r="AQ58" s="22"/>
      <c r="AR58" s="16"/>
      <c r="AS58" s="82">
        <f t="shared" si="62"/>
        <v>44165</v>
      </c>
      <c r="AT58" s="22"/>
      <c r="AU58" s="46"/>
      <c r="AV58" s="22"/>
      <c r="AW58" s="46"/>
      <c r="AX58" s="103"/>
      <c r="AY58" s="104"/>
      <c r="AZ58" s="22"/>
      <c r="BA58" s="46"/>
      <c r="BC58" s="83"/>
      <c r="BD58" s="27"/>
      <c r="BE58" s="22"/>
      <c r="BF58" s="22"/>
      <c r="BH58" s="16"/>
      <c r="BJ58" s="21"/>
      <c r="BN58" s="85"/>
      <c r="BW58" s="85"/>
      <c r="CF58" s="85"/>
      <c r="CO58" s="85"/>
      <c r="CX58" s="85"/>
      <c r="DG58" s="85"/>
      <c r="DP58" s="85"/>
      <c r="DY58" s="85"/>
      <c r="EH58" s="85"/>
      <c r="EQ58" s="85"/>
      <c r="EZ58" s="21"/>
      <c r="FI58" s="66"/>
      <c r="FN58" s="16"/>
      <c r="FP58" s="85"/>
      <c r="FY58" s="85"/>
      <c r="GH58" s="85"/>
      <c r="GN58" s="85"/>
      <c r="HA58" s="20"/>
    </row>
    <row r="59" spans="2:209" x14ac:dyDescent="0.25">
      <c r="B59" s="82">
        <v>44166</v>
      </c>
      <c r="C59" s="22"/>
      <c r="D59" s="22"/>
      <c r="E59" s="46"/>
      <c r="F59" s="22"/>
      <c r="G59" s="22"/>
      <c r="H59" s="46"/>
      <c r="I59" s="22"/>
      <c r="J59" s="22"/>
      <c r="K59" s="46"/>
      <c r="L59" s="22"/>
      <c r="M59" s="22"/>
      <c r="N59" s="46"/>
      <c r="O59" s="22"/>
      <c r="P59" s="22"/>
      <c r="Q59" s="46"/>
      <c r="R59" s="22"/>
      <c r="S59" s="22"/>
      <c r="T59" s="46"/>
      <c r="U59" s="22"/>
      <c r="V59" s="22"/>
      <c r="W59" s="46"/>
      <c r="X59" s="22"/>
      <c r="Y59" s="22"/>
      <c r="Z59" s="46"/>
      <c r="AA59" s="22"/>
      <c r="AB59" s="22"/>
      <c r="AC59" s="46"/>
      <c r="AD59" s="22"/>
      <c r="AE59" s="22"/>
      <c r="AF59" s="46"/>
      <c r="AG59" s="22"/>
      <c r="AH59" s="22"/>
      <c r="AI59" s="46"/>
      <c r="AJ59" s="203"/>
      <c r="AK59" s="46"/>
      <c r="AL59" s="46"/>
      <c r="AN59" s="46"/>
      <c r="AO59" s="22"/>
      <c r="AP59" s="22"/>
      <c r="AQ59" s="22"/>
      <c r="AR59" s="16"/>
      <c r="AS59" s="82">
        <v>44166</v>
      </c>
      <c r="AT59" s="22"/>
      <c r="AU59" s="46"/>
      <c r="AV59" s="22"/>
      <c r="AW59" s="46"/>
      <c r="AX59" s="103"/>
      <c r="AY59" s="104"/>
      <c r="AZ59" s="22"/>
      <c r="BA59" s="46"/>
      <c r="BC59" s="83"/>
      <c r="BD59" s="27"/>
      <c r="BE59" s="22"/>
      <c r="BF59" s="22"/>
      <c r="BH59" s="16"/>
      <c r="BJ59" s="21"/>
      <c r="BN59" s="85"/>
      <c r="BW59" s="85"/>
      <c r="CF59" s="85"/>
      <c r="CO59" s="85"/>
      <c r="CX59" s="85"/>
      <c r="DG59" s="85"/>
      <c r="DP59" s="85"/>
      <c r="DY59" s="85"/>
      <c r="EH59" s="85"/>
      <c r="EQ59" s="85"/>
      <c r="EZ59" s="21"/>
      <c r="FI59" s="66"/>
      <c r="FN59" s="16"/>
      <c r="FP59" s="85"/>
      <c r="FY59" s="85"/>
      <c r="GH59" s="85"/>
      <c r="GN59" s="85"/>
      <c r="HA59" s="20"/>
    </row>
    <row r="60" spans="2:209" x14ac:dyDescent="0.25">
      <c r="B60" s="82">
        <v>44172</v>
      </c>
      <c r="C60" s="22"/>
      <c r="D60" s="22"/>
      <c r="E60" s="46"/>
      <c r="F60" s="22"/>
      <c r="G60" s="22"/>
      <c r="H60" s="46"/>
      <c r="I60" s="22"/>
      <c r="J60" s="22"/>
      <c r="K60" s="46"/>
      <c r="L60" s="22"/>
      <c r="M60" s="22"/>
      <c r="N60" s="46"/>
      <c r="O60" s="22"/>
      <c r="P60" s="22"/>
      <c r="Q60" s="46"/>
      <c r="R60" s="22"/>
      <c r="S60" s="22"/>
      <c r="T60" s="46"/>
      <c r="U60" s="22"/>
      <c r="V60" s="22"/>
      <c r="W60" s="46"/>
      <c r="X60" s="22"/>
      <c r="Y60" s="22"/>
      <c r="Z60" s="46"/>
      <c r="AA60" s="22"/>
      <c r="AB60" s="22"/>
      <c r="AC60" s="46"/>
      <c r="AD60" s="22"/>
      <c r="AE60" s="22"/>
      <c r="AF60" s="46"/>
      <c r="AG60" s="22"/>
      <c r="AH60" s="22"/>
      <c r="AI60" s="46"/>
      <c r="AJ60" s="203"/>
      <c r="AK60" s="46"/>
      <c r="AL60" s="46"/>
      <c r="AN60" s="46"/>
      <c r="AO60" s="22"/>
      <c r="AP60" s="22"/>
      <c r="AQ60" s="22"/>
      <c r="AR60" s="16"/>
      <c r="AS60" s="82">
        <v>44172</v>
      </c>
      <c r="AT60" s="22"/>
      <c r="AU60" s="46"/>
      <c r="AV60" s="22"/>
      <c r="AW60" s="46"/>
      <c r="AX60" s="103"/>
      <c r="AY60" s="104"/>
      <c r="AZ60" s="22"/>
      <c r="BA60" s="46"/>
      <c r="BC60" s="83"/>
      <c r="BD60" s="27"/>
      <c r="BE60" s="22"/>
      <c r="BF60" s="22"/>
      <c r="BH60" s="16"/>
      <c r="BJ60" s="21"/>
      <c r="BN60" s="85"/>
      <c r="BW60" s="85"/>
      <c r="CF60" s="85"/>
      <c r="CO60" s="85"/>
      <c r="CX60" s="85"/>
      <c r="DG60" s="85"/>
      <c r="DP60" s="85"/>
      <c r="DY60" s="85"/>
      <c r="EH60" s="85"/>
      <c r="EQ60" s="85"/>
      <c r="EZ60" s="21"/>
      <c r="FI60" s="66"/>
      <c r="FN60" s="16"/>
      <c r="FP60" s="85"/>
      <c r="FY60" s="85"/>
      <c r="GH60" s="85"/>
      <c r="GN60" s="85"/>
      <c r="HA60" s="20"/>
    </row>
    <row r="61" spans="2:209" x14ac:dyDescent="0.25">
      <c r="B61" s="82">
        <f>B60+7</f>
        <v>44179</v>
      </c>
      <c r="C61" s="22"/>
      <c r="D61" s="22"/>
      <c r="E61" s="46"/>
      <c r="F61" s="22"/>
      <c r="G61" s="22"/>
      <c r="H61" s="46"/>
      <c r="I61" s="22"/>
      <c r="J61" s="22"/>
      <c r="K61" s="46"/>
      <c r="L61" s="22"/>
      <c r="M61" s="22"/>
      <c r="N61" s="46"/>
      <c r="O61" s="22"/>
      <c r="P61" s="22"/>
      <c r="Q61" s="46"/>
      <c r="R61" s="22"/>
      <c r="S61" s="22"/>
      <c r="T61" s="46"/>
      <c r="U61" s="22"/>
      <c r="V61" s="22"/>
      <c r="W61" s="46"/>
      <c r="X61" s="22"/>
      <c r="Y61" s="22"/>
      <c r="Z61" s="46"/>
      <c r="AA61" s="22"/>
      <c r="AB61" s="22"/>
      <c r="AC61" s="46"/>
      <c r="AD61" s="22"/>
      <c r="AE61" s="22"/>
      <c r="AF61" s="46"/>
      <c r="AG61" s="22"/>
      <c r="AH61" s="22"/>
      <c r="AI61" s="46"/>
      <c r="AJ61" s="203"/>
      <c r="AK61" s="46"/>
      <c r="AL61" s="46"/>
      <c r="AN61" s="46"/>
      <c r="AO61" s="22"/>
      <c r="AP61" s="22"/>
      <c r="AQ61" s="22"/>
      <c r="AR61" s="16"/>
      <c r="AS61" s="82">
        <f>AS60+7</f>
        <v>44179</v>
      </c>
      <c r="AT61" s="22"/>
      <c r="AU61" s="46"/>
      <c r="AV61" s="22"/>
      <c r="AW61" s="46"/>
      <c r="AX61" s="103"/>
      <c r="AY61" s="104"/>
      <c r="AZ61" s="22"/>
      <c r="BA61" s="46"/>
      <c r="BC61" s="83"/>
      <c r="BD61" s="27"/>
      <c r="BE61" s="22"/>
      <c r="BF61" s="22"/>
      <c r="BH61" s="16"/>
      <c r="BJ61" s="21"/>
      <c r="BN61" s="85"/>
      <c r="BW61" s="85"/>
      <c r="CF61" s="85"/>
      <c r="CO61" s="85"/>
      <c r="CX61" s="85"/>
      <c r="DG61" s="85"/>
      <c r="DP61" s="85"/>
      <c r="DY61" s="85"/>
      <c r="EH61" s="85"/>
      <c r="EQ61" s="85"/>
      <c r="EZ61" s="21"/>
      <c r="FI61" s="66"/>
      <c r="FN61" s="16"/>
      <c r="FP61" s="85"/>
      <c r="FY61" s="85"/>
      <c r="GH61" s="85"/>
      <c r="GN61" s="85"/>
      <c r="HA61" s="20"/>
    </row>
    <row r="62" spans="2:209" x14ac:dyDescent="0.25">
      <c r="B62" s="82">
        <f t="shared" ref="B62:B63" si="63">B61+7</f>
        <v>44186</v>
      </c>
      <c r="C62" s="22"/>
      <c r="D62" s="22"/>
      <c r="E62" s="46"/>
      <c r="F62" s="22"/>
      <c r="G62" s="22"/>
      <c r="H62" s="46"/>
      <c r="I62" s="22"/>
      <c r="J62" s="22"/>
      <c r="K62" s="46"/>
      <c r="L62" s="22"/>
      <c r="M62" s="22"/>
      <c r="N62" s="46"/>
      <c r="O62" s="22"/>
      <c r="P62" s="22"/>
      <c r="Q62" s="46"/>
      <c r="R62" s="22"/>
      <c r="S62" s="22"/>
      <c r="T62" s="46"/>
      <c r="U62" s="22"/>
      <c r="V62" s="22"/>
      <c r="W62" s="46"/>
      <c r="X62" s="22"/>
      <c r="Y62" s="22"/>
      <c r="Z62" s="46"/>
      <c r="AA62" s="22"/>
      <c r="AB62" s="22"/>
      <c r="AC62" s="46"/>
      <c r="AD62" s="22"/>
      <c r="AE62" s="22"/>
      <c r="AF62" s="46"/>
      <c r="AG62" s="22"/>
      <c r="AH62" s="22"/>
      <c r="AI62" s="46"/>
      <c r="AJ62" s="203"/>
      <c r="AK62" s="46"/>
      <c r="AL62" s="46"/>
      <c r="AN62" s="46"/>
      <c r="AO62" s="22"/>
      <c r="AP62" s="22"/>
      <c r="AQ62" s="22"/>
      <c r="AR62" s="16"/>
      <c r="AS62" s="82">
        <f t="shared" ref="AS62:AS63" si="64">AS61+7</f>
        <v>44186</v>
      </c>
      <c r="AT62" s="22"/>
      <c r="AU62" s="46"/>
      <c r="AV62" s="22"/>
      <c r="AW62" s="46"/>
      <c r="AX62" s="103"/>
      <c r="AY62" s="104"/>
      <c r="AZ62" s="22"/>
      <c r="BA62" s="46"/>
      <c r="BC62" s="83"/>
      <c r="BD62" s="27"/>
      <c r="BE62" s="22"/>
      <c r="BF62" s="22"/>
      <c r="BH62" s="16"/>
      <c r="BJ62" s="21"/>
      <c r="BN62" s="85"/>
      <c r="BW62" s="85"/>
      <c r="CF62" s="85"/>
      <c r="CO62" s="85"/>
      <c r="CX62" s="85"/>
      <c r="DG62" s="85"/>
      <c r="DP62" s="85"/>
      <c r="DY62" s="85"/>
      <c r="EH62" s="85"/>
      <c r="EQ62" s="85"/>
      <c r="EZ62" s="21"/>
      <c r="FI62" s="66"/>
      <c r="FN62" s="16"/>
      <c r="FP62" s="85"/>
      <c r="FY62" s="85"/>
      <c r="GH62" s="85"/>
      <c r="GN62" s="85"/>
      <c r="HA62" s="20"/>
    </row>
    <row r="63" spans="2:209" x14ac:dyDescent="0.25">
      <c r="B63" s="82">
        <f t="shared" si="63"/>
        <v>44193</v>
      </c>
      <c r="C63" s="22"/>
      <c r="D63" s="22"/>
      <c r="E63" s="46"/>
      <c r="F63" s="22"/>
      <c r="G63" s="22"/>
      <c r="H63" s="46"/>
      <c r="I63" s="22"/>
      <c r="J63" s="22"/>
      <c r="K63" s="46"/>
      <c r="L63" s="22"/>
      <c r="M63" s="22"/>
      <c r="N63" s="46"/>
      <c r="O63" s="22"/>
      <c r="P63" s="22"/>
      <c r="Q63" s="46"/>
      <c r="R63" s="22"/>
      <c r="S63" s="22"/>
      <c r="T63" s="46"/>
      <c r="U63" s="22"/>
      <c r="V63" s="22"/>
      <c r="W63" s="46"/>
      <c r="X63" s="22"/>
      <c r="Y63" s="22"/>
      <c r="Z63" s="46"/>
      <c r="AA63" s="22"/>
      <c r="AB63" s="22"/>
      <c r="AC63" s="46"/>
      <c r="AD63" s="22"/>
      <c r="AE63" s="22"/>
      <c r="AF63" s="46"/>
      <c r="AG63" s="22"/>
      <c r="AH63" s="22"/>
      <c r="AI63" s="46"/>
      <c r="AJ63" s="203"/>
      <c r="AK63" s="46"/>
      <c r="AL63" s="46"/>
      <c r="AN63" s="46"/>
      <c r="AO63" s="22"/>
      <c r="AP63" s="22"/>
      <c r="AQ63" s="22"/>
      <c r="AR63" s="16"/>
      <c r="AS63" s="82">
        <f t="shared" si="64"/>
        <v>44193</v>
      </c>
      <c r="AT63" s="22"/>
      <c r="AU63" s="46"/>
      <c r="AV63" s="22"/>
      <c r="AW63" s="46"/>
      <c r="AX63" s="103"/>
      <c r="AY63" s="104"/>
      <c r="AZ63" s="22"/>
      <c r="BA63" s="46"/>
      <c r="BC63" s="83"/>
      <c r="BD63" s="27"/>
      <c r="BE63" s="22"/>
      <c r="BF63" s="22"/>
      <c r="BH63" s="16"/>
      <c r="BJ63" s="21"/>
      <c r="BN63" s="85"/>
      <c r="BW63" s="85"/>
      <c r="CF63" s="85"/>
      <c r="CO63" s="85"/>
      <c r="CX63" s="85"/>
      <c r="DG63" s="85"/>
      <c r="DP63" s="85"/>
      <c r="DY63" s="85"/>
      <c r="EH63" s="85"/>
      <c r="EQ63" s="85"/>
      <c r="EZ63" s="21"/>
      <c r="FI63" s="66"/>
      <c r="FN63" s="16"/>
      <c r="FP63" s="85"/>
      <c r="FY63" s="85"/>
      <c r="GH63" s="85"/>
      <c r="GN63" s="85"/>
      <c r="HA63" s="20"/>
    </row>
    <row r="64" spans="2:209" x14ac:dyDescent="0.25">
      <c r="B64" s="82">
        <v>44197</v>
      </c>
      <c r="C64" s="22"/>
      <c r="D64" s="22"/>
      <c r="E64" s="46"/>
      <c r="F64" s="22"/>
      <c r="G64" s="22"/>
      <c r="H64" s="46"/>
      <c r="I64" s="22"/>
      <c r="J64" s="22"/>
      <c r="K64" s="46"/>
      <c r="L64" s="22"/>
      <c r="M64" s="22"/>
      <c r="N64" s="46"/>
      <c r="O64" s="22"/>
      <c r="P64" s="22"/>
      <c r="Q64" s="46"/>
      <c r="R64" s="22"/>
      <c r="S64" s="22"/>
      <c r="T64" s="46"/>
      <c r="U64" s="22"/>
      <c r="V64" s="22"/>
      <c r="W64" s="46"/>
      <c r="X64" s="22"/>
      <c r="Y64" s="22"/>
      <c r="Z64" s="46"/>
      <c r="AA64" s="22"/>
      <c r="AB64" s="22"/>
      <c r="AC64" s="46"/>
      <c r="AD64" s="22"/>
      <c r="AE64" s="22"/>
      <c r="AF64" s="46"/>
      <c r="AG64" s="22"/>
      <c r="AH64" s="22"/>
      <c r="AI64" s="46"/>
      <c r="AJ64" s="203"/>
      <c r="AK64" s="46"/>
      <c r="AL64" s="46"/>
      <c r="AN64" s="46"/>
      <c r="AO64" s="22"/>
      <c r="AP64" s="22"/>
      <c r="AQ64" s="22"/>
      <c r="AR64" s="16"/>
      <c r="AS64" s="82">
        <v>44197</v>
      </c>
      <c r="AT64" s="22"/>
      <c r="AU64" s="46"/>
      <c r="AV64" s="22"/>
      <c r="AW64" s="46"/>
      <c r="AX64" s="103"/>
      <c r="AY64" s="104"/>
      <c r="AZ64" s="22"/>
      <c r="BA64" s="46"/>
      <c r="BC64" s="83"/>
      <c r="BD64" s="27"/>
      <c r="BE64" s="22"/>
      <c r="BF64" s="22"/>
      <c r="BH64" s="16"/>
      <c r="BJ64" s="21"/>
      <c r="BN64" s="85"/>
      <c r="BW64" s="85"/>
      <c r="CF64" s="85"/>
      <c r="CO64" s="85"/>
      <c r="CX64" s="85"/>
      <c r="DG64" s="85"/>
      <c r="DP64" s="85"/>
      <c r="DY64" s="85"/>
      <c r="EH64" s="85"/>
      <c r="EQ64" s="85"/>
      <c r="EZ64" s="21"/>
      <c r="FI64" s="66"/>
      <c r="FN64" s="16"/>
      <c r="FP64" s="85"/>
      <c r="FY64" s="85"/>
      <c r="GH64" s="85"/>
      <c r="GN64" s="85"/>
      <c r="HA64" s="20"/>
    </row>
  </sheetData>
  <mergeCells count="32">
    <mergeCell ref="AG1:AI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DG1:DO1"/>
    <mergeCell ref="AT1:AU1"/>
    <mergeCell ref="AV1:AW1"/>
    <mergeCell ref="AX1:AY1"/>
    <mergeCell ref="AZ1:BB1"/>
    <mergeCell ref="FY1:GG1"/>
    <mergeCell ref="GH1:GM1"/>
    <mergeCell ref="GN1:GV1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J64"/>
  <sheetViews>
    <sheetView tabSelected="1" topLeftCell="AL29" zoomScaleNormal="100" workbookViewId="0">
      <selection activeCell="AW50" sqref="AW5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105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106" customWidth="1"/>
    <col min="74" max="74" width="13" style="106" customWidth="1"/>
    <col min="75" max="75" width="13" style="107" customWidth="1"/>
    <col min="76" max="76" width="13" style="108" customWidth="1"/>
    <col min="77" max="77" width="13" style="106" customWidth="1"/>
    <col min="78" max="78" width="13" style="108" customWidth="1"/>
    <col min="79" max="79" width="13" style="106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9" customWidth="1"/>
    <col min="92" max="92" width="10.7109375" customWidth="1"/>
    <col min="93" max="93" width="15.7109375" customWidth="1"/>
    <col min="94" max="94" width="10.7109375" style="60" customWidth="1"/>
    <col min="95" max="95" width="11.7109375" style="110" customWidth="1"/>
    <col min="96" max="98" width="10.7109375" customWidth="1"/>
    <col min="99" max="99" width="13.7109375" style="61" customWidth="1"/>
    <col min="100" max="100" width="11.7109375" style="109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90" customFormat="1" ht="31.5" x14ac:dyDescent="0.35">
      <c r="B1" s="122">
        <v>2020</v>
      </c>
      <c r="C1" s="290">
        <v>74860172</v>
      </c>
      <c r="D1" s="292"/>
      <c r="E1" s="291"/>
      <c r="F1" s="290">
        <v>74860173</v>
      </c>
      <c r="G1" s="292"/>
      <c r="H1" s="291"/>
      <c r="I1" s="290">
        <v>44553004</v>
      </c>
      <c r="J1" s="292"/>
      <c r="K1" s="291"/>
      <c r="L1" s="290">
        <v>70275191</v>
      </c>
      <c r="M1" s="292"/>
      <c r="N1" s="291"/>
      <c r="O1" s="290">
        <v>2130521</v>
      </c>
      <c r="P1" s="292"/>
      <c r="Q1" s="291"/>
      <c r="R1" s="19"/>
      <c r="S1" s="293" t="s">
        <v>62</v>
      </c>
      <c r="T1" s="292"/>
      <c r="U1" s="291"/>
      <c r="V1" s="294">
        <v>93477704</v>
      </c>
      <c r="W1" s="295"/>
      <c r="X1" s="296"/>
      <c r="Y1" s="31" t="s">
        <v>63</v>
      </c>
      <c r="Z1" s="19"/>
      <c r="AA1" s="283">
        <v>79177804</v>
      </c>
      <c r="AB1" s="285"/>
      <c r="AC1" s="283">
        <v>79305675</v>
      </c>
      <c r="AD1" s="285"/>
      <c r="AE1" s="283">
        <v>79190041</v>
      </c>
      <c r="AF1" s="285"/>
      <c r="AG1" s="283" t="s">
        <v>49</v>
      </c>
      <c r="AH1" s="285"/>
      <c r="AI1" s="283">
        <v>79190039</v>
      </c>
      <c r="AJ1" s="285"/>
      <c r="AK1" s="283">
        <v>79324776</v>
      </c>
      <c r="AL1" s="285"/>
      <c r="AM1" s="283" t="s">
        <v>64</v>
      </c>
      <c r="AN1" s="285"/>
      <c r="AO1" s="283" t="s">
        <v>65</v>
      </c>
      <c r="AP1" s="285"/>
      <c r="AQ1" s="16"/>
      <c r="AS1" s="290" t="s">
        <v>66</v>
      </c>
      <c r="AT1" s="291"/>
      <c r="AU1" s="16"/>
      <c r="AV1" s="290" t="s">
        <v>55</v>
      </c>
      <c r="AW1" s="291"/>
      <c r="AX1" s="290">
        <v>65956268</v>
      </c>
      <c r="AY1" s="291"/>
      <c r="AZ1" s="32" t="s">
        <v>57</v>
      </c>
      <c r="BA1" s="290">
        <v>1334021</v>
      </c>
      <c r="BB1" s="291"/>
      <c r="BC1" s="290">
        <v>63265094</v>
      </c>
      <c r="BD1" s="291"/>
      <c r="BE1" s="290" t="s">
        <v>67</v>
      </c>
      <c r="BF1" s="291"/>
      <c r="BI1" s="283" t="s">
        <v>68</v>
      </c>
      <c r="BJ1" s="284"/>
      <c r="BK1" s="284"/>
      <c r="BL1" s="284"/>
      <c r="BM1" s="285"/>
      <c r="BN1" s="283" t="s">
        <v>69</v>
      </c>
      <c r="BO1" s="284"/>
      <c r="BP1" s="284"/>
      <c r="BQ1" s="285"/>
      <c r="BR1" s="283" t="s">
        <v>70</v>
      </c>
      <c r="BS1" s="284"/>
      <c r="BT1" s="284"/>
      <c r="BU1" s="285"/>
      <c r="BV1" s="286" t="s">
        <v>70</v>
      </c>
      <c r="BW1" s="287"/>
      <c r="BX1" s="287"/>
      <c r="BY1" s="288"/>
      <c r="BZ1" s="18" t="s">
        <v>206</v>
      </c>
      <c r="CA1" s="123" t="s">
        <v>207</v>
      </c>
      <c r="CB1" s="60"/>
      <c r="CC1" s="283" t="s">
        <v>71</v>
      </c>
      <c r="CD1" s="284"/>
      <c r="CE1" s="284"/>
      <c r="CF1" s="284"/>
      <c r="CG1" s="289" t="s">
        <v>144</v>
      </c>
      <c r="CH1" s="289"/>
      <c r="CI1" s="283" t="s">
        <v>72</v>
      </c>
      <c r="CJ1" s="284"/>
      <c r="CK1" s="284"/>
      <c r="CL1" s="285"/>
      <c r="CM1" s="124"/>
      <c r="CN1" s="283" t="s">
        <v>73</v>
      </c>
      <c r="CO1" s="284"/>
      <c r="CP1" s="284"/>
      <c r="CQ1" s="285"/>
      <c r="CR1" s="283" t="s">
        <v>74</v>
      </c>
      <c r="CS1" s="284"/>
      <c r="CT1" s="284"/>
      <c r="CU1" s="285"/>
      <c r="CV1" s="280" t="s">
        <v>208</v>
      </c>
      <c r="CW1" s="283" t="s">
        <v>75</v>
      </c>
      <c r="CX1" s="284"/>
      <c r="CY1" s="284"/>
      <c r="CZ1" s="285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25" t="s">
        <v>218</v>
      </c>
      <c r="DJ1" s="125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248" t="s">
        <v>84</v>
      </c>
      <c r="P2" s="249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252" t="s">
        <v>86</v>
      </c>
      <c r="AB2" s="253"/>
      <c r="AC2" s="252" t="s">
        <v>87</v>
      </c>
      <c r="AD2" s="253"/>
      <c r="AE2" s="252" t="s">
        <v>88</v>
      </c>
      <c r="AF2" s="253"/>
      <c r="AG2" s="252" t="s">
        <v>89</v>
      </c>
      <c r="AH2" s="253"/>
      <c r="AI2" s="252" t="s">
        <v>90</v>
      </c>
      <c r="AJ2" s="253"/>
      <c r="AK2" s="252" t="s">
        <v>91</v>
      </c>
      <c r="AL2" s="253"/>
      <c r="AM2" s="252" t="s">
        <v>92</v>
      </c>
      <c r="AN2" s="253"/>
      <c r="AO2" s="252" t="s">
        <v>93</v>
      </c>
      <c r="AP2" s="253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252" t="s">
        <v>95</v>
      </c>
      <c r="BJ2" s="260"/>
      <c r="BK2" s="260"/>
      <c r="BL2" s="260"/>
      <c r="BM2" s="253"/>
      <c r="BN2" s="252" t="s">
        <v>96</v>
      </c>
      <c r="BO2" s="260"/>
      <c r="BP2" s="260"/>
      <c r="BQ2" s="253"/>
      <c r="BR2" s="252" t="s">
        <v>97</v>
      </c>
      <c r="BS2" s="260"/>
      <c r="BT2" s="260"/>
      <c r="BU2" s="253"/>
      <c r="BV2" s="252" t="s">
        <v>97</v>
      </c>
      <c r="BW2" s="260"/>
      <c r="BX2" s="260"/>
      <c r="BY2" s="253"/>
      <c r="BZ2" s="111" t="s">
        <v>209</v>
      </c>
      <c r="CA2" s="112" t="s">
        <v>210</v>
      </c>
      <c r="CB2" s="16"/>
      <c r="CC2" s="252" t="s">
        <v>98</v>
      </c>
      <c r="CD2" s="260"/>
      <c r="CE2" s="260"/>
      <c r="CF2" s="260"/>
      <c r="CG2" s="278" t="s">
        <v>211</v>
      </c>
      <c r="CH2" s="278" t="s">
        <v>212</v>
      </c>
      <c r="CI2" s="252" t="s">
        <v>99</v>
      </c>
      <c r="CJ2" s="260"/>
      <c r="CK2" s="260"/>
      <c r="CL2" s="253"/>
      <c r="CM2" s="280" t="s">
        <v>211</v>
      </c>
      <c r="CN2" s="252" t="s">
        <v>100</v>
      </c>
      <c r="CO2" s="260"/>
      <c r="CP2" s="260"/>
      <c r="CQ2" s="253"/>
      <c r="CR2" s="252" t="s">
        <v>101</v>
      </c>
      <c r="CS2" s="260"/>
      <c r="CT2" s="260"/>
      <c r="CU2" s="253"/>
      <c r="CV2" s="282"/>
      <c r="CW2" s="252" t="s">
        <v>102</v>
      </c>
      <c r="CX2" s="260"/>
      <c r="CY2" s="260"/>
      <c r="CZ2" s="253"/>
      <c r="DC2" s="126" t="s">
        <v>216</v>
      </c>
      <c r="DD2" s="126" t="s">
        <v>216</v>
      </c>
      <c r="DE2" s="126" t="s">
        <v>217</v>
      </c>
      <c r="DF2" s="126" t="s">
        <v>81</v>
      </c>
      <c r="DG2" s="126" t="s">
        <v>216</v>
      </c>
      <c r="DI2" s="36" t="s">
        <v>81</v>
      </c>
      <c r="DJ2" s="36" t="s">
        <v>81</v>
      </c>
    </row>
    <row r="3" spans="2:114" x14ac:dyDescent="0.25">
      <c r="B3" s="76"/>
      <c r="C3" s="252" t="s">
        <v>131</v>
      </c>
      <c r="D3" s="253"/>
      <c r="E3" s="24" t="s">
        <v>132</v>
      </c>
      <c r="F3" s="252" t="s">
        <v>133</v>
      </c>
      <c r="G3" s="253"/>
      <c r="H3" s="24" t="s">
        <v>132</v>
      </c>
      <c r="I3" s="252" t="s">
        <v>134</v>
      </c>
      <c r="J3" s="253"/>
      <c r="K3" s="24"/>
      <c r="L3" s="252" t="s">
        <v>135</v>
      </c>
      <c r="M3" s="253"/>
      <c r="N3" s="24"/>
      <c r="O3" s="252" t="s">
        <v>136</v>
      </c>
      <c r="P3" s="253"/>
      <c r="Q3" s="24" t="s">
        <v>132</v>
      </c>
      <c r="R3" s="38"/>
      <c r="S3" s="252" t="s">
        <v>137</v>
      </c>
      <c r="T3" s="253"/>
      <c r="U3" s="25"/>
      <c r="V3" s="252" t="s">
        <v>137</v>
      </c>
      <c r="W3" s="253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13" t="s">
        <v>81</v>
      </c>
      <c r="BM3" s="120" t="s">
        <v>211</v>
      </c>
      <c r="BN3" s="29" t="s">
        <v>76</v>
      </c>
      <c r="BO3" s="4" t="s">
        <v>198</v>
      </c>
      <c r="BP3" s="29" t="s">
        <v>104</v>
      </c>
      <c r="BQ3" s="113" t="s">
        <v>81</v>
      </c>
      <c r="BR3" s="29" t="s">
        <v>76</v>
      </c>
      <c r="BS3" s="4" t="s">
        <v>198</v>
      </c>
      <c r="BT3" s="30" t="s">
        <v>142</v>
      </c>
      <c r="BU3" s="114" t="s">
        <v>81</v>
      </c>
      <c r="BV3" s="29" t="s">
        <v>76</v>
      </c>
      <c r="BW3" s="128" t="s">
        <v>198</v>
      </c>
      <c r="BX3" s="48" t="s">
        <v>142</v>
      </c>
      <c r="BY3" s="114" t="s">
        <v>81</v>
      </c>
      <c r="BZ3" s="117" t="s">
        <v>81</v>
      </c>
      <c r="CA3" s="115"/>
      <c r="CB3" s="16"/>
      <c r="CC3" s="29" t="s">
        <v>76</v>
      </c>
      <c r="CD3" s="4" t="s">
        <v>198</v>
      </c>
      <c r="CE3" s="29" t="s">
        <v>104</v>
      </c>
      <c r="CF3" s="113" t="s">
        <v>81</v>
      </c>
      <c r="CG3" s="279"/>
      <c r="CH3" s="279"/>
      <c r="CI3" s="29" t="s">
        <v>76</v>
      </c>
      <c r="CJ3" s="4" t="s">
        <v>198</v>
      </c>
      <c r="CK3" s="29" t="s">
        <v>104</v>
      </c>
      <c r="CL3" s="113" t="s">
        <v>81</v>
      </c>
      <c r="CM3" s="281"/>
      <c r="CN3" s="29" t="s">
        <v>76</v>
      </c>
      <c r="CO3" s="4" t="s">
        <v>198</v>
      </c>
      <c r="CP3" s="30" t="s">
        <v>104</v>
      </c>
      <c r="CQ3" s="114" t="s">
        <v>81</v>
      </c>
      <c r="CR3" s="29" t="s">
        <v>76</v>
      </c>
      <c r="CS3" s="4" t="s">
        <v>198</v>
      </c>
      <c r="CT3" s="29" t="s">
        <v>104</v>
      </c>
      <c r="CU3" s="113" t="s">
        <v>81</v>
      </c>
      <c r="CV3" s="281"/>
      <c r="CW3" s="29" t="s">
        <v>76</v>
      </c>
      <c r="CX3" s="4" t="s">
        <v>198</v>
      </c>
      <c r="CY3" s="29" t="s">
        <v>104</v>
      </c>
      <c r="CZ3" s="113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30" customFormat="1" x14ac:dyDescent="0.25">
      <c r="B4" s="129">
        <v>43831</v>
      </c>
      <c r="C4" s="277">
        <v>36660828</v>
      </c>
      <c r="D4" s="277"/>
      <c r="E4" s="39">
        <v>0</v>
      </c>
      <c r="F4" s="277">
        <v>4194369</v>
      </c>
      <c r="G4" s="277"/>
      <c r="H4" s="39">
        <v>0</v>
      </c>
      <c r="I4" s="277">
        <v>15866</v>
      </c>
      <c r="J4" s="277"/>
      <c r="K4" s="39">
        <v>0</v>
      </c>
      <c r="L4" s="277">
        <v>268314</v>
      </c>
      <c r="M4" s="277"/>
      <c r="N4" s="39">
        <v>0</v>
      </c>
      <c r="O4" s="277">
        <v>8303</v>
      </c>
      <c r="P4" s="277"/>
      <c r="Q4" s="39">
        <v>0</v>
      </c>
      <c r="R4" s="40"/>
      <c r="S4" s="277">
        <v>610958</v>
      </c>
      <c r="T4" s="277"/>
      <c r="U4" s="39">
        <v>0</v>
      </c>
      <c r="V4" s="276">
        <v>73030</v>
      </c>
      <c r="W4" s="276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9">
        <f t="shared" ref="AR4:AR43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44" si="1">(C4)</f>
        <v>36660828</v>
      </c>
      <c r="BJ4" s="22">
        <v>364911</v>
      </c>
      <c r="BL4" s="131"/>
      <c r="BM4" s="131"/>
      <c r="BN4" s="49">
        <f t="shared" ref="BN4:BN44" si="2">(F4)</f>
        <v>4194369</v>
      </c>
      <c r="BO4" s="22">
        <v>41928</v>
      </c>
      <c r="BR4" s="49">
        <f t="shared" ref="BR4:BR44" si="3">(S4)</f>
        <v>610958</v>
      </c>
      <c r="BU4" s="106"/>
      <c r="BV4" s="49">
        <f t="shared" ref="BV4:BV44" si="4">V4</f>
        <v>73030</v>
      </c>
      <c r="BW4" s="107"/>
      <c r="BX4" s="108"/>
      <c r="BY4" s="106"/>
      <c r="BZ4" s="108"/>
      <c r="CA4" s="106"/>
      <c r="CB4" s="43"/>
      <c r="CC4" s="49">
        <f t="shared" ref="CC4:CC44" si="5">(BA4)</f>
        <v>6803100</v>
      </c>
      <c r="CD4" s="22">
        <v>6801</v>
      </c>
      <c r="CF4" s="131"/>
      <c r="CG4" s="131"/>
      <c r="CH4" s="131"/>
      <c r="CI4" s="49">
        <f t="shared" ref="CI4:CI44" si="6">(AV4)</f>
        <v>15394250</v>
      </c>
      <c r="CJ4" s="22">
        <v>15267</v>
      </c>
      <c r="CL4" s="131"/>
      <c r="CM4" s="132"/>
      <c r="CN4" s="49">
        <f t="shared" ref="CN4:CN44" si="7">(AS4)</f>
        <v>4578</v>
      </c>
      <c r="CP4" s="133"/>
      <c r="CQ4" s="110"/>
      <c r="CR4" s="49">
        <f t="shared" ref="CR4:CR40" si="8">(BC4)</f>
        <v>3682500</v>
      </c>
      <c r="CS4" s="22">
        <v>3682</v>
      </c>
      <c r="CU4" s="131"/>
      <c r="CV4" s="132"/>
      <c r="CW4" s="49">
        <f t="shared" ref="CW4:CW44" si="9">(BE4)</f>
        <v>35751867</v>
      </c>
      <c r="CX4" s="22">
        <v>357402</v>
      </c>
      <c r="CZ4" s="131"/>
      <c r="DD4" s="134"/>
      <c r="DE4" s="134"/>
      <c r="DF4" s="134"/>
      <c r="DG4" s="134"/>
      <c r="DH4" s="135"/>
      <c r="DI4" s="136"/>
      <c r="DJ4" s="136"/>
    </row>
    <row r="5" spans="2:114" s="130" customFormat="1" x14ac:dyDescent="0.25">
      <c r="B5" s="129">
        <v>43835</v>
      </c>
      <c r="C5" s="277">
        <v>36742143</v>
      </c>
      <c r="D5" s="277"/>
      <c r="E5" s="39">
        <f t="shared" ref="E5:E11" si="10">SUM(C5-C4)*10</f>
        <v>813150</v>
      </c>
      <c r="F5" s="277">
        <v>4194598</v>
      </c>
      <c r="G5" s="277"/>
      <c r="H5" s="39">
        <f t="shared" ref="H5" si="11">SUM(F5-F4)*10</f>
        <v>2290</v>
      </c>
      <c r="I5" s="277">
        <v>15875</v>
      </c>
      <c r="J5" s="277"/>
      <c r="K5" s="39">
        <f t="shared" ref="K5:K6" si="12">SUM(I5-I4)*10</f>
        <v>90</v>
      </c>
      <c r="L5" s="277">
        <v>268816</v>
      </c>
      <c r="M5" s="277"/>
      <c r="N5" s="39">
        <f t="shared" ref="N5:N55" si="13">SUM(L5-L4)*1000</f>
        <v>502000</v>
      </c>
      <c r="O5" s="277">
        <v>8434</v>
      </c>
      <c r="P5" s="277"/>
      <c r="Q5" s="39">
        <f t="shared" ref="Q5:Q27" si="14">SUM(O5-O4)*100</f>
        <v>13100</v>
      </c>
      <c r="R5" s="40"/>
      <c r="S5" s="277">
        <v>612904</v>
      </c>
      <c r="T5" s="277"/>
      <c r="U5" s="39">
        <f t="shared" ref="U5:U27" si="15">SUM(S5-S4)*100</f>
        <v>194600</v>
      </c>
      <c r="V5" s="276">
        <v>86168</v>
      </c>
      <c r="W5" s="276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5" si="20">SUM(AE5-AE4)*10</f>
        <v>180</v>
      </c>
      <c r="AG5" s="42">
        <v>2627901</v>
      </c>
      <c r="AH5" s="39">
        <f t="shared" ref="AH5:AH55" si="21">SUM(AG5-AG4)*10</f>
        <v>39230</v>
      </c>
      <c r="AI5" s="42">
        <v>3365606</v>
      </c>
      <c r="AJ5" s="39">
        <f t="shared" ref="AJ5:AJ55" si="22">SUM(AI5-AI4)</f>
        <v>12126</v>
      </c>
      <c r="AK5" s="42">
        <v>14423</v>
      </c>
      <c r="AL5" s="39">
        <f t="shared" ref="AL5:AL55" si="23">SUM(AK5-AK4)*1000</f>
        <v>28000</v>
      </c>
      <c r="AM5" s="42">
        <v>7</v>
      </c>
      <c r="AN5" s="46">
        <f t="shared" ref="AN5:AN55" si="24">SUM(AM5-AM4)*1000</f>
        <v>0</v>
      </c>
      <c r="AO5" s="42">
        <v>10018</v>
      </c>
      <c r="AP5" s="39">
        <f t="shared" ref="AP5:AP55" si="25">SUM(AO5-AO4)*100</f>
        <v>4000</v>
      </c>
      <c r="AQ5" s="43"/>
      <c r="AR5" s="129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5" si="30">SUM(BA5-BA4)</f>
        <v>1500</v>
      </c>
      <c r="BC5" s="44">
        <v>3682700</v>
      </c>
      <c r="BD5" s="39">
        <f t="shared" ref="BD5:BD55" si="31">SUM(BC5-BC4)</f>
        <v>200</v>
      </c>
      <c r="BE5" s="44">
        <v>35758144</v>
      </c>
      <c r="BF5" s="39">
        <f t="shared" ref="BF5:BF55" si="32">SUM(BE5-BE4)</f>
        <v>6277</v>
      </c>
      <c r="BI5" s="49">
        <f t="shared" si="1"/>
        <v>36742143</v>
      </c>
      <c r="BL5" s="131"/>
      <c r="BM5" s="131"/>
      <c r="BN5" s="49">
        <f t="shared" si="2"/>
        <v>4194598</v>
      </c>
      <c r="BR5" s="49">
        <f t="shared" si="3"/>
        <v>612904</v>
      </c>
      <c r="BU5" s="106"/>
      <c r="BV5" s="49">
        <f t="shared" si="4"/>
        <v>86168</v>
      </c>
      <c r="BW5" s="107"/>
      <c r="BX5" s="108"/>
      <c r="BY5" s="106"/>
      <c r="BZ5" s="108"/>
      <c r="CA5" s="106"/>
      <c r="CB5" s="43"/>
      <c r="CC5" s="49">
        <f t="shared" si="5"/>
        <v>6804600</v>
      </c>
      <c r="CF5" s="131"/>
      <c r="CG5" s="131"/>
      <c r="CH5" s="131"/>
      <c r="CI5" s="49">
        <f t="shared" si="6"/>
        <v>15461945</v>
      </c>
      <c r="CL5" s="131"/>
      <c r="CM5" s="132"/>
      <c r="CN5" s="49">
        <f t="shared" si="7"/>
        <v>4679</v>
      </c>
      <c r="CP5" s="133"/>
      <c r="CQ5" s="110"/>
      <c r="CR5" s="49">
        <f t="shared" si="8"/>
        <v>3682700</v>
      </c>
      <c r="CU5" s="131"/>
      <c r="CV5" s="132"/>
      <c r="CW5" s="49">
        <f t="shared" si="9"/>
        <v>35758144</v>
      </c>
      <c r="CZ5" s="131"/>
      <c r="DD5" s="134"/>
      <c r="DE5" s="134"/>
      <c r="DF5" s="134"/>
      <c r="DG5" s="134"/>
      <c r="DH5" s="135"/>
      <c r="DI5" s="136"/>
      <c r="DJ5" s="136"/>
    </row>
    <row r="6" spans="2:114" s="130" customFormat="1" x14ac:dyDescent="0.25">
      <c r="B6" s="129">
        <v>43842</v>
      </c>
      <c r="C6" s="277">
        <v>36829385</v>
      </c>
      <c r="D6" s="277"/>
      <c r="E6" s="39">
        <f t="shared" si="10"/>
        <v>872420</v>
      </c>
      <c r="F6" s="277">
        <v>4199287</v>
      </c>
      <c r="G6" s="277"/>
      <c r="H6" s="39">
        <f t="shared" ref="H6" si="33">SUM(F6-F5)*10</f>
        <v>46890</v>
      </c>
      <c r="I6" s="277">
        <v>15899</v>
      </c>
      <c r="J6" s="277"/>
      <c r="K6" s="39">
        <f t="shared" si="12"/>
        <v>240</v>
      </c>
      <c r="L6" s="277">
        <v>269453</v>
      </c>
      <c r="M6" s="277"/>
      <c r="N6" s="39">
        <f t="shared" si="13"/>
        <v>637000</v>
      </c>
      <c r="O6" s="277">
        <v>8471</v>
      </c>
      <c r="P6" s="277"/>
      <c r="Q6" s="39">
        <f t="shared" si="14"/>
        <v>3700</v>
      </c>
      <c r="R6" s="40"/>
      <c r="S6" s="277">
        <v>614988</v>
      </c>
      <c r="T6" s="277"/>
      <c r="U6" s="39">
        <f t="shared" si="15"/>
        <v>208400</v>
      </c>
      <c r="V6" s="276">
        <v>102749</v>
      </c>
      <c r="W6" s="276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9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31"/>
      <c r="BM6" s="131"/>
      <c r="BN6" s="49">
        <f t="shared" si="2"/>
        <v>4199287</v>
      </c>
      <c r="BR6" s="49">
        <f t="shared" si="3"/>
        <v>614988</v>
      </c>
      <c r="BU6" s="106"/>
      <c r="BV6" s="49">
        <f t="shared" si="4"/>
        <v>102749</v>
      </c>
      <c r="BW6" s="107"/>
      <c r="BX6" s="108"/>
      <c r="BY6" s="106"/>
      <c r="BZ6" s="108"/>
      <c r="CA6" s="106"/>
      <c r="CB6" s="43"/>
      <c r="CC6" s="49">
        <f t="shared" si="5"/>
        <v>6810600</v>
      </c>
      <c r="CF6" s="131"/>
      <c r="CG6" s="131"/>
      <c r="CH6" s="131"/>
      <c r="CI6" s="49">
        <f t="shared" si="6"/>
        <v>15542330</v>
      </c>
      <c r="CL6" s="131"/>
      <c r="CM6" s="132"/>
      <c r="CN6" s="49">
        <f t="shared" si="7"/>
        <v>4791</v>
      </c>
      <c r="CP6" s="133"/>
      <c r="CQ6" s="110"/>
      <c r="CR6" s="49">
        <f t="shared" si="8"/>
        <v>3683100</v>
      </c>
      <c r="CU6" s="131"/>
      <c r="CV6" s="132"/>
      <c r="CW6" s="49">
        <f t="shared" si="9"/>
        <v>35765649</v>
      </c>
      <c r="CZ6" s="131"/>
      <c r="DD6" s="134"/>
      <c r="DE6" s="134"/>
      <c r="DF6" s="134"/>
      <c r="DG6" s="134"/>
      <c r="DH6" s="135"/>
      <c r="DI6" s="136"/>
      <c r="DJ6" s="136"/>
    </row>
    <row r="7" spans="2:114" s="130" customFormat="1" x14ac:dyDescent="0.25">
      <c r="B7" s="129">
        <v>43849</v>
      </c>
      <c r="C7" s="277">
        <v>36941045</v>
      </c>
      <c r="D7" s="277"/>
      <c r="E7" s="39">
        <f t="shared" si="10"/>
        <v>1116600</v>
      </c>
      <c r="F7" s="277">
        <v>4208571</v>
      </c>
      <c r="G7" s="277"/>
      <c r="H7" s="39">
        <f t="shared" ref="H7" si="34">SUM(F7-F6)*10</f>
        <v>92840</v>
      </c>
      <c r="I7" s="277">
        <v>15967</v>
      </c>
      <c r="J7" s="277"/>
      <c r="K7" s="39">
        <f t="shared" ref="K7" si="35">SUM(I7-I6)*10</f>
        <v>680</v>
      </c>
      <c r="L7" s="277">
        <v>270287</v>
      </c>
      <c r="M7" s="277"/>
      <c r="N7" s="39">
        <f t="shared" si="13"/>
        <v>834000</v>
      </c>
      <c r="O7" s="277">
        <v>8471</v>
      </c>
      <c r="P7" s="277"/>
      <c r="Q7" s="39">
        <f t="shared" si="14"/>
        <v>0</v>
      </c>
      <c r="R7" s="40"/>
      <c r="S7" s="277">
        <v>617089</v>
      </c>
      <c r="T7" s="277"/>
      <c r="U7" s="39">
        <f t="shared" si="15"/>
        <v>210100</v>
      </c>
      <c r="V7" s="276">
        <v>114470</v>
      </c>
      <c r="W7" s="276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9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31"/>
      <c r="BM7" s="131"/>
      <c r="BN7" s="49">
        <f t="shared" si="2"/>
        <v>4208571</v>
      </c>
      <c r="BR7" s="49">
        <f t="shared" si="3"/>
        <v>617089</v>
      </c>
      <c r="BU7" s="106"/>
      <c r="BV7" s="49">
        <f t="shared" si="4"/>
        <v>114470</v>
      </c>
      <c r="BW7" s="107"/>
      <c r="BX7" s="108"/>
      <c r="BY7" s="106"/>
      <c r="BZ7" s="108"/>
      <c r="CA7" s="106"/>
      <c r="CB7" s="43"/>
      <c r="CC7" s="49">
        <f t="shared" si="5"/>
        <v>6815000</v>
      </c>
      <c r="CF7" s="131"/>
      <c r="CG7" s="131"/>
      <c r="CH7" s="131"/>
      <c r="CI7" s="49">
        <f t="shared" si="6"/>
        <v>15633869</v>
      </c>
      <c r="CL7" s="131"/>
      <c r="CM7" s="132"/>
      <c r="CN7" s="49">
        <f t="shared" si="7"/>
        <v>4966</v>
      </c>
      <c r="CP7" s="133"/>
      <c r="CQ7" s="110"/>
      <c r="CR7" s="49">
        <f t="shared" si="8"/>
        <v>3684200</v>
      </c>
      <c r="CU7" s="131"/>
      <c r="CV7" s="132"/>
      <c r="CW7" s="49">
        <f t="shared" si="9"/>
        <v>35772955</v>
      </c>
      <c r="CZ7" s="131"/>
      <c r="DD7" s="134"/>
      <c r="DE7" s="134"/>
      <c r="DF7" s="134"/>
      <c r="DG7" s="134"/>
      <c r="DH7" s="135"/>
      <c r="DI7" s="136"/>
      <c r="DJ7" s="136"/>
    </row>
    <row r="8" spans="2:114" s="130" customFormat="1" x14ac:dyDescent="0.25">
      <c r="B8" s="129">
        <v>43856</v>
      </c>
      <c r="C8" s="277">
        <v>37032830</v>
      </c>
      <c r="D8" s="277"/>
      <c r="E8" s="39">
        <f t="shared" si="10"/>
        <v>917850</v>
      </c>
      <c r="F8" s="277">
        <v>4208999</v>
      </c>
      <c r="G8" s="277"/>
      <c r="H8" s="39">
        <f t="shared" ref="H8:H9" si="36">SUM(F8-F7)*10</f>
        <v>4280</v>
      </c>
      <c r="I8" s="277">
        <v>15991</v>
      </c>
      <c r="J8" s="277"/>
      <c r="K8" s="39">
        <f t="shared" ref="K8:K9" si="37">SUM(I8-I7)*10</f>
        <v>240</v>
      </c>
      <c r="L8" s="277">
        <v>271023</v>
      </c>
      <c r="M8" s="277"/>
      <c r="N8" s="39">
        <f t="shared" si="13"/>
        <v>736000</v>
      </c>
      <c r="O8" s="277">
        <v>8471</v>
      </c>
      <c r="P8" s="277"/>
      <c r="Q8" s="39">
        <f t="shared" si="14"/>
        <v>0</v>
      </c>
      <c r="R8" s="40"/>
      <c r="S8" s="277">
        <v>619645</v>
      </c>
      <c r="T8" s="277"/>
      <c r="U8" s="39">
        <f t="shared" si="15"/>
        <v>255600</v>
      </c>
      <c r="V8" s="276">
        <v>127420</v>
      </c>
      <c r="W8" s="276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9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31"/>
      <c r="BM8" s="131"/>
      <c r="BN8" s="49">
        <f t="shared" si="2"/>
        <v>4208999</v>
      </c>
      <c r="BR8" s="49">
        <f t="shared" si="3"/>
        <v>619645</v>
      </c>
      <c r="BU8" s="106"/>
      <c r="BV8" s="49">
        <f t="shared" si="4"/>
        <v>127420</v>
      </c>
      <c r="BW8" s="107"/>
      <c r="BX8" s="108"/>
      <c r="BY8" s="106"/>
      <c r="BZ8" s="108"/>
      <c r="CA8" s="106"/>
      <c r="CB8" s="43"/>
      <c r="CC8" s="49">
        <f t="shared" si="5"/>
        <v>6818000</v>
      </c>
      <c r="CF8" s="131"/>
      <c r="CG8" s="131"/>
      <c r="CH8" s="131"/>
      <c r="CI8" s="49">
        <f t="shared" si="6"/>
        <v>15712345</v>
      </c>
      <c r="CL8" s="131"/>
      <c r="CM8" s="132"/>
      <c r="CN8" s="49">
        <f t="shared" si="7"/>
        <v>5106</v>
      </c>
      <c r="CP8" s="133"/>
      <c r="CQ8" s="110"/>
      <c r="CR8" s="49">
        <f t="shared" si="8"/>
        <v>3704900</v>
      </c>
      <c r="CU8" s="131"/>
      <c r="CV8" s="132"/>
      <c r="CW8" s="49">
        <f t="shared" si="9"/>
        <v>35870281</v>
      </c>
      <c r="CZ8" s="131"/>
      <c r="DD8" s="134"/>
      <c r="DE8" s="134"/>
      <c r="DF8" s="134"/>
      <c r="DG8" s="134"/>
      <c r="DH8" s="135"/>
      <c r="DI8" s="136"/>
      <c r="DJ8" s="136"/>
    </row>
    <row r="9" spans="2:114" s="130" customFormat="1" x14ac:dyDescent="0.25">
      <c r="B9" s="129">
        <v>43862</v>
      </c>
      <c r="C9" s="277">
        <v>37154200</v>
      </c>
      <c r="D9" s="277"/>
      <c r="E9" s="39">
        <f t="shared" si="10"/>
        <v>1213700</v>
      </c>
      <c r="F9" s="277">
        <v>4216368</v>
      </c>
      <c r="G9" s="277"/>
      <c r="H9" s="39">
        <f t="shared" si="36"/>
        <v>73690</v>
      </c>
      <c r="I9" s="277">
        <v>16018</v>
      </c>
      <c r="J9" s="277"/>
      <c r="K9" s="39">
        <f t="shared" si="37"/>
        <v>270</v>
      </c>
      <c r="L9" s="277">
        <v>271730</v>
      </c>
      <c r="M9" s="277"/>
      <c r="N9" s="39">
        <f t="shared" si="13"/>
        <v>707000</v>
      </c>
      <c r="O9" s="277">
        <v>8471</v>
      </c>
      <c r="P9" s="277"/>
      <c r="Q9" s="39">
        <f t="shared" si="14"/>
        <v>0</v>
      </c>
      <c r="R9" s="40"/>
      <c r="S9" s="277">
        <v>621977</v>
      </c>
      <c r="T9" s="277"/>
      <c r="U9" s="39">
        <f t="shared" si="15"/>
        <v>233200</v>
      </c>
      <c r="V9" s="276">
        <v>141003</v>
      </c>
      <c r="W9" s="276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9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4">
        <f>SUM(BK9*1.0228)+1887.37</f>
        <v>6037.8923999999997</v>
      </c>
      <c r="BM9" s="102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4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15">
        <v>33856.559999999998</v>
      </c>
      <c r="BV9" s="49">
        <f t="shared" si="4"/>
        <v>141003</v>
      </c>
      <c r="BW9" s="116">
        <v>12220</v>
      </c>
      <c r="BX9" s="50">
        <v>2458.71</v>
      </c>
      <c r="BY9" s="115">
        <v>1831.91</v>
      </c>
      <c r="BZ9" s="127">
        <f t="shared" ref="BZ9" si="38">SUM(BT9+BX9)</f>
        <v>48080.37</v>
      </c>
      <c r="CA9" s="115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4">
        <f>SUM(CE9*1.0228)+117.88</f>
        <v>132.19919999999999</v>
      </c>
      <c r="CG9" s="102">
        <v>80.08</v>
      </c>
      <c r="CH9" s="102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4">
        <f>SUM(CK9*1.0228+188.7)</f>
        <v>522.13279999999997</v>
      </c>
      <c r="CM9" s="119">
        <v>371.81</v>
      </c>
      <c r="CN9" s="49">
        <f t="shared" si="7"/>
        <v>5249</v>
      </c>
      <c r="CO9" s="22">
        <v>5029</v>
      </c>
      <c r="CP9" s="27">
        <v>1291.3499999999999</v>
      </c>
      <c r="CQ9" s="118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4">
        <f>SUM(CT9*1.0228)+188.7</f>
        <v>211.20159999999998</v>
      </c>
      <c r="CV9" s="132"/>
      <c r="CW9" s="49">
        <f t="shared" si="9"/>
        <v>35924097</v>
      </c>
      <c r="CX9" s="22">
        <v>360202</v>
      </c>
      <c r="CY9" s="21">
        <f>SUM(CX9-CX4)</f>
        <v>2800</v>
      </c>
      <c r="CZ9" s="84">
        <f>SUM(CY9*0.8062)+973.2</f>
        <v>3230.5600000000004</v>
      </c>
      <c r="DC9" s="22">
        <f>SUM(E7:E10)</f>
        <v>4328160</v>
      </c>
      <c r="DD9" s="102" t="e">
        <f>SUM(BL9+CF9+CL9+#REF!+CU9)</f>
        <v>#REF!</v>
      </c>
      <c r="DE9" s="102">
        <f>SUM(BQ9+CZ9)</f>
        <v>4894.2184000000007</v>
      </c>
      <c r="DF9" s="102">
        <f>SUM(BM9+CG9+CV9)</f>
        <v>18487.04</v>
      </c>
      <c r="DG9" s="102" t="e">
        <f>SUM(DD9:DF9)</f>
        <v>#REF!</v>
      </c>
      <c r="DH9"/>
      <c r="DI9" s="121">
        <f>SUM(BU9+CQ9+BY9)</f>
        <v>36650.6</v>
      </c>
      <c r="DJ9" s="121">
        <f>SUM(CA9+CH9)</f>
        <v>12520.18</v>
      </c>
    </row>
    <row r="10" spans="2:114" s="130" customFormat="1" x14ac:dyDescent="0.25">
      <c r="B10" s="129">
        <v>43870</v>
      </c>
      <c r="C10" s="277">
        <v>37262201</v>
      </c>
      <c r="D10" s="277"/>
      <c r="E10" s="39">
        <f t="shared" si="10"/>
        <v>1080010</v>
      </c>
      <c r="F10" s="277">
        <v>4224326</v>
      </c>
      <c r="G10" s="277"/>
      <c r="H10" s="39">
        <f t="shared" ref="H10" si="39">SUM(F10-F9)*10</f>
        <v>79580</v>
      </c>
      <c r="I10" s="277">
        <v>16047</v>
      </c>
      <c r="J10" s="277"/>
      <c r="K10" s="39">
        <f t="shared" ref="K10" si="40">SUM(I10-I9)*10</f>
        <v>290</v>
      </c>
      <c r="L10" s="277">
        <v>272540</v>
      </c>
      <c r="M10" s="277"/>
      <c r="N10" s="39">
        <f t="shared" si="13"/>
        <v>810000</v>
      </c>
      <c r="O10" s="277">
        <v>8471</v>
      </c>
      <c r="P10" s="277"/>
      <c r="Q10" s="39">
        <f t="shared" si="14"/>
        <v>0</v>
      </c>
      <c r="R10" s="40"/>
      <c r="S10" s="277">
        <v>624313</v>
      </c>
      <c r="T10" s="277"/>
      <c r="U10" s="39">
        <f t="shared" si="15"/>
        <v>233600</v>
      </c>
      <c r="V10" s="276">
        <v>159033</v>
      </c>
      <c r="W10" s="276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9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31"/>
      <c r="BM10" s="131"/>
      <c r="BN10" s="49">
        <f t="shared" si="2"/>
        <v>4224326</v>
      </c>
      <c r="BR10" s="49">
        <f t="shared" si="3"/>
        <v>624313</v>
      </c>
      <c r="BU10" s="106"/>
      <c r="BV10" s="49">
        <f t="shared" si="4"/>
        <v>159033</v>
      </c>
      <c r="BW10" s="107"/>
      <c r="BX10" s="108"/>
      <c r="BY10" s="106"/>
      <c r="BZ10" s="108"/>
      <c r="CA10" s="106"/>
      <c r="CB10" s="43"/>
      <c r="CC10" s="49">
        <f t="shared" si="5"/>
        <v>6822100</v>
      </c>
      <c r="CF10" s="131"/>
      <c r="CG10" s="131"/>
      <c r="CH10" s="131"/>
      <c r="CI10" s="49">
        <f t="shared" si="6"/>
        <v>15872767</v>
      </c>
      <c r="CL10" s="131"/>
      <c r="CM10" s="132"/>
      <c r="CN10" s="49">
        <f t="shared" si="7"/>
        <v>5249</v>
      </c>
      <c r="CP10" s="133"/>
      <c r="CQ10" s="110"/>
      <c r="CR10" s="49">
        <f t="shared" si="8"/>
        <v>3706800</v>
      </c>
      <c r="CU10" s="131"/>
      <c r="CV10" s="132"/>
      <c r="CW10" s="49">
        <f t="shared" si="9"/>
        <v>35957066</v>
      </c>
      <c r="CZ10" s="131"/>
      <c r="DD10" s="134"/>
      <c r="DE10" s="134"/>
      <c r="DF10" s="134"/>
      <c r="DG10" s="134"/>
      <c r="DH10" s="135"/>
      <c r="DI10" s="136"/>
      <c r="DJ10" s="136"/>
    </row>
    <row r="11" spans="2:114" s="130" customFormat="1" x14ac:dyDescent="0.25">
      <c r="B11" s="129">
        <v>43877</v>
      </c>
      <c r="C11" s="277">
        <v>37383563</v>
      </c>
      <c r="D11" s="277"/>
      <c r="E11" s="39">
        <f t="shared" si="10"/>
        <v>1213620</v>
      </c>
      <c r="F11" s="277">
        <v>4235738</v>
      </c>
      <c r="G11" s="277"/>
      <c r="H11" s="39">
        <f t="shared" ref="H11:H13" si="41">SUM(F11-F10)*10</f>
        <v>114120</v>
      </c>
      <c r="I11" s="277">
        <v>16077</v>
      </c>
      <c r="J11" s="277"/>
      <c r="K11" s="39">
        <f t="shared" ref="K11:K55" si="42">SUM(I11-I10)*10</f>
        <v>300</v>
      </c>
      <c r="L11" s="277">
        <v>273465</v>
      </c>
      <c r="M11" s="277"/>
      <c r="N11" s="39">
        <f t="shared" si="13"/>
        <v>925000</v>
      </c>
      <c r="O11" s="277">
        <v>8471</v>
      </c>
      <c r="P11" s="277"/>
      <c r="Q11" s="39">
        <f t="shared" si="14"/>
        <v>0</v>
      </c>
      <c r="R11" s="40"/>
      <c r="S11" s="277">
        <v>626627</v>
      </c>
      <c r="T11" s="277"/>
      <c r="U11" s="39">
        <f t="shared" si="15"/>
        <v>231400</v>
      </c>
      <c r="V11" s="276">
        <v>171461</v>
      </c>
      <c r="W11" s="276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9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31"/>
      <c r="BM11" s="131"/>
      <c r="BN11" s="49">
        <f t="shared" si="2"/>
        <v>4235738</v>
      </c>
      <c r="BR11" s="49">
        <f t="shared" si="3"/>
        <v>626627</v>
      </c>
      <c r="BU11" s="106"/>
      <c r="BV11" s="49">
        <f t="shared" si="4"/>
        <v>171461</v>
      </c>
      <c r="BW11" s="107"/>
      <c r="BX11" s="108"/>
      <c r="BY11" s="106"/>
      <c r="BZ11" s="108"/>
      <c r="CA11" s="106"/>
      <c r="CB11" s="43"/>
      <c r="CC11" s="49">
        <f t="shared" si="5"/>
        <v>6824800</v>
      </c>
      <c r="CF11" s="131"/>
      <c r="CG11" s="131"/>
      <c r="CH11" s="131"/>
      <c r="CI11" s="49">
        <f t="shared" si="6"/>
        <v>15952097</v>
      </c>
      <c r="CL11" s="131"/>
      <c r="CM11" s="132"/>
      <c r="CN11" s="49">
        <f t="shared" si="7"/>
        <v>5506</v>
      </c>
      <c r="CP11" s="133"/>
      <c r="CQ11" s="110"/>
      <c r="CR11" s="49">
        <f t="shared" si="8"/>
        <v>3707200</v>
      </c>
      <c r="CU11" s="131"/>
      <c r="CV11" s="132"/>
      <c r="CW11" s="49">
        <f t="shared" si="9"/>
        <v>36073596</v>
      </c>
      <c r="CZ11" s="131"/>
      <c r="DD11" s="134"/>
      <c r="DE11" s="134"/>
      <c r="DF11" s="134"/>
      <c r="DG11" s="134"/>
      <c r="DH11" s="135"/>
      <c r="DI11" s="136"/>
      <c r="DJ11" s="136"/>
    </row>
    <row r="12" spans="2:114" s="130" customFormat="1" x14ac:dyDescent="0.25">
      <c r="B12" s="129">
        <v>43885</v>
      </c>
      <c r="C12" s="277">
        <v>37503571</v>
      </c>
      <c r="D12" s="277"/>
      <c r="E12" s="39">
        <f t="shared" ref="E12:E13" si="43">SUM(C12-C11)*10</f>
        <v>1200080</v>
      </c>
      <c r="F12" s="277">
        <v>4243580</v>
      </c>
      <c r="G12" s="277"/>
      <c r="H12" s="39">
        <f t="shared" si="41"/>
        <v>78420</v>
      </c>
      <c r="I12" s="277">
        <v>16106</v>
      </c>
      <c r="J12" s="277"/>
      <c r="K12" s="39">
        <f t="shared" si="42"/>
        <v>290</v>
      </c>
      <c r="L12" s="277">
        <v>274382</v>
      </c>
      <c r="M12" s="277"/>
      <c r="N12" s="39">
        <f t="shared" si="13"/>
        <v>917000</v>
      </c>
      <c r="O12" s="277">
        <v>8471</v>
      </c>
      <c r="P12" s="277"/>
      <c r="Q12" s="39">
        <f t="shared" si="14"/>
        <v>0</v>
      </c>
      <c r="R12" s="40"/>
      <c r="S12" s="277">
        <v>629153</v>
      </c>
      <c r="T12" s="277"/>
      <c r="U12" s="39">
        <f t="shared" si="15"/>
        <v>252600</v>
      </c>
      <c r="V12" s="276">
        <v>184954</v>
      </c>
      <c r="W12" s="276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9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31"/>
      <c r="BM12" s="131"/>
      <c r="BN12" s="49">
        <f t="shared" si="2"/>
        <v>4243580</v>
      </c>
      <c r="BR12" s="49">
        <f t="shared" si="3"/>
        <v>629153</v>
      </c>
      <c r="BU12" s="106"/>
      <c r="BV12" s="49">
        <f t="shared" si="4"/>
        <v>184954</v>
      </c>
      <c r="BW12" s="107"/>
      <c r="BX12" s="108"/>
      <c r="BY12" s="106"/>
      <c r="BZ12" s="108"/>
      <c r="CA12" s="106"/>
      <c r="CB12" s="43"/>
      <c r="CC12" s="49">
        <f t="shared" si="5"/>
        <v>6826000</v>
      </c>
      <c r="CF12" s="131"/>
      <c r="CG12" s="131"/>
      <c r="CH12" s="131"/>
      <c r="CI12" s="49">
        <f t="shared" si="6"/>
        <v>16039951</v>
      </c>
      <c r="CL12" s="131"/>
      <c r="CM12" s="132"/>
      <c r="CN12" s="49">
        <f t="shared" si="7"/>
        <v>5506</v>
      </c>
      <c r="CP12" s="133"/>
      <c r="CQ12" s="110"/>
      <c r="CR12" s="49">
        <f t="shared" si="8"/>
        <v>3713900</v>
      </c>
      <c r="CU12" s="131"/>
      <c r="CV12" s="132"/>
      <c r="CW12" s="49">
        <f t="shared" si="9"/>
        <v>36309859</v>
      </c>
      <c r="CZ12" s="131"/>
      <c r="DD12" s="134"/>
      <c r="DE12" s="134"/>
      <c r="DF12" s="134"/>
      <c r="DG12" s="134"/>
      <c r="DH12" s="135"/>
      <c r="DI12" s="136"/>
      <c r="DJ12" s="136"/>
    </row>
    <row r="13" spans="2:114" s="130" customFormat="1" x14ac:dyDescent="0.25">
      <c r="B13" s="129">
        <v>43891</v>
      </c>
      <c r="C13" s="277">
        <v>37600284</v>
      </c>
      <c r="D13" s="277"/>
      <c r="E13" s="39">
        <f t="shared" si="43"/>
        <v>967130</v>
      </c>
      <c r="F13" s="277">
        <v>4253596</v>
      </c>
      <c r="G13" s="277"/>
      <c r="H13" s="39">
        <f t="shared" si="41"/>
        <v>100160</v>
      </c>
      <c r="I13" s="277">
        <v>16131</v>
      </c>
      <c r="J13" s="277"/>
      <c r="K13" s="39">
        <f t="shared" si="42"/>
        <v>250</v>
      </c>
      <c r="L13" s="277">
        <v>275118</v>
      </c>
      <c r="M13" s="277"/>
      <c r="N13" s="39">
        <f t="shared" si="13"/>
        <v>736000</v>
      </c>
      <c r="O13" s="277">
        <v>8471</v>
      </c>
      <c r="P13" s="277"/>
      <c r="Q13" s="39">
        <f t="shared" si="14"/>
        <v>0</v>
      </c>
      <c r="R13" s="40"/>
      <c r="S13" s="277">
        <v>631329</v>
      </c>
      <c r="T13" s="277"/>
      <c r="U13" s="39">
        <f t="shared" si="15"/>
        <v>217600</v>
      </c>
      <c r="V13" s="276">
        <v>199540</v>
      </c>
      <c r="W13" s="276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9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4">
        <f>SUM(BK13*1.0228)+1887.37</f>
        <v>8176.5671999999995</v>
      </c>
      <c r="BM13" s="102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4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15">
        <v>44183.11</v>
      </c>
      <c r="BV13" s="49">
        <f t="shared" si="4"/>
        <v>199540</v>
      </c>
      <c r="BW13" s="116">
        <v>19133</v>
      </c>
      <c r="BX13" s="50">
        <v>2987.18</v>
      </c>
      <c r="BY13" s="115">
        <v>2223.4899999999998</v>
      </c>
      <c r="BZ13" s="127">
        <f t="shared" ref="BZ13" si="44">SUM(BT13+BX13)</f>
        <v>62592.17</v>
      </c>
      <c r="CA13" s="115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4">
        <f>SUM(CE13*1.0228)+117.88</f>
        <v>130.15359999999998</v>
      </c>
      <c r="CG13" s="102">
        <v>68.64</v>
      </c>
      <c r="CH13" s="102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4">
        <f>SUM(CK13*1.0228+188.7)</f>
        <v>644.86879999999996</v>
      </c>
      <c r="CM13" s="119">
        <v>537.67999999999995</v>
      </c>
      <c r="CN13" s="49">
        <f t="shared" si="7"/>
        <v>5825</v>
      </c>
      <c r="CO13" s="22">
        <v>5735</v>
      </c>
      <c r="CP13" s="27">
        <v>1636.69</v>
      </c>
      <c r="CQ13" s="118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4">
        <f>SUM(CT13*1.0228)+188.7</f>
        <v>198.928</v>
      </c>
      <c r="CV13" s="132"/>
      <c r="CW13" s="49">
        <f t="shared" si="9"/>
        <v>36548737</v>
      </c>
      <c r="CX13" s="22">
        <v>363098</v>
      </c>
      <c r="CY13" s="21">
        <f>SUM(CX13-CX9)</f>
        <v>2896</v>
      </c>
      <c r="CZ13" s="84">
        <f>SUM(CY13*0.8062)+973.2</f>
        <v>3307.9552000000003</v>
      </c>
      <c r="DC13" s="22">
        <f>SUM(E11:E14)</f>
        <v>4655990</v>
      </c>
      <c r="DD13" s="102" t="e">
        <f>SUM(BL13+CF13+CL13+#REF!+CU13)</f>
        <v>#REF!</v>
      </c>
      <c r="DE13" s="102">
        <f>SUM(BQ13+CZ13)</f>
        <v>5175.5822000000007</v>
      </c>
      <c r="DF13" s="102">
        <f>SUM(BM13+CG13+CV13)</f>
        <v>27610.44</v>
      </c>
      <c r="DG13" s="102" t="e">
        <f>SUM(DD13:DF13)</f>
        <v>#REF!</v>
      </c>
      <c r="DH13"/>
      <c r="DI13" s="121">
        <f>SUM(BU13+CQ13+BY13)</f>
        <v>47624.939999999995</v>
      </c>
      <c r="DJ13" s="121">
        <f>SUM(CA13+CH13)</f>
        <v>16243.890000000001</v>
      </c>
    </row>
    <row r="14" spans="2:114" s="130" customFormat="1" x14ac:dyDescent="0.25">
      <c r="B14" s="129">
        <v>43898</v>
      </c>
      <c r="C14" s="277">
        <v>37727800</v>
      </c>
      <c r="D14" s="277"/>
      <c r="E14" s="39">
        <f t="shared" ref="E14" si="45">SUM(C14-C13)*10</f>
        <v>1275160</v>
      </c>
      <c r="F14" s="277">
        <v>4264302</v>
      </c>
      <c r="G14" s="277"/>
      <c r="H14" s="39">
        <f t="shared" ref="H14" si="46">SUM(F14-F13)*10</f>
        <v>107060</v>
      </c>
      <c r="I14" s="277">
        <v>16163</v>
      </c>
      <c r="J14" s="277"/>
      <c r="K14" s="39">
        <f t="shared" si="42"/>
        <v>320</v>
      </c>
      <c r="L14" s="277">
        <v>276074</v>
      </c>
      <c r="M14" s="277"/>
      <c r="N14" s="39">
        <f t="shared" si="13"/>
        <v>956000</v>
      </c>
      <c r="O14" s="277">
        <v>8471</v>
      </c>
      <c r="P14" s="277"/>
      <c r="Q14" s="39">
        <f t="shared" si="14"/>
        <v>0</v>
      </c>
      <c r="R14" s="40"/>
      <c r="S14" s="277">
        <v>633985</v>
      </c>
      <c r="T14" s="277"/>
      <c r="U14" s="39">
        <f t="shared" si="15"/>
        <v>265600</v>
      </c>
      <c r="V14" s="276">
        <v>215440</v>
      </c>
      <c r="W14" s="276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9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31"/>
      <c r="BM14" s="131"/>
      <c r="BN14" s="49">
        <f t="shared" si="2"/>
        <v>4264302</v>
      </c>
      <c r="BR14" s="49">
        <f t="shared" si="3"/>
        <v>633985</v>
      </c>
      <c r="BU14" s="106"/>
      <c r="BV14" s="49">
        <f t="shared" si="4"/>
        <v>215440</v>
      </c>
      <c r="BW14" s="107"/>
      <c r="BX14" s="108"/>
      <c r="BY14" s="106"/>
      <c r="BZ14" s="108"/>
      <c r="CA14" s="106"/>
      <c r="CB14" s="43"/>
      <c r="CC14" s="49">
        <f t="shared" si="5"/>
        <v>6832700</v>
      </c>
      <c r="CF14" s="131"/>
      <c r="CG14" s="131"/>
      <c r="CH14" s="131"/>
      <c r="CI14" s="49">
        <f t="shared" si="6"/>
        <v>16199055</v>
      </c>
      <c r="CL14" s="131"/>
      <c r="CM14" s="132"/>
      <c r="CN14" s="49">
        <f t="shared" si="7"/>
        <v>5945</v>
      </c>
      <c r="CP14" s="133"/>
      <c r="CQ14" s="110"/>
      <c r="CR14" s="49">
        <f t="shared" si="8"/>
        <v>3719400</v>
      </c>
      <c r="CU14" s="131"/>
      <c r="CV14" s="132"/>
      <c r="CW14" s="49">
        <f t="shared" si="9"/>
        <v>36853926</v>
      </c>
      <c r="CZ14" s="131"/>
      <c r="DD14" s="134"/>
      <c r="DE14" s="134"/>
      <c r="DF14" s="134"/>
      <c r="DG14" s="134"/>
      <c r="DH14" s="135"/>
      <c r="DI14" s="136"/>
      <c r="DJ14" s="136"/>
    </row>
    <row r="15" spans="2:114" s="130" customFormat="1" x14ac:dyDescent="0.25">
      <c r="B15" s="129">
        <v>43905</v>
      </c>
      <c r="C15" s="277">
        <v>37839997</v>
      </c>
      <c r="D15" s="277"/>
      <c r="E15" s="39">
        <f t="shared" ref="E15:E17" si="50">SUM(C15-C14)*10</f>
        <v>1121970</v>
      </c>
      <c r="F15" s="277">
        <v>4275852</v>
      </c>
      <c r="G15" s="277"/>
      <c r="H15" s="39">
        <f t="shared" ref="H15:H17" si="51">SUM(F15-F14)*10</f>
        <v>115500</v>
      </c>
      <c r="I15" s="277">
        <v>16191</v>
      </c>
      <c r="J15" s="277"/>
      <c r="K15" s="39">
        <f t="shared" si="42"/>
        <v>280</v>
      </c>
      <c r="L15" s="277">
        <v>276871</v>
      </c>
      <c r="M15" s="277"/>
      <c r="N15" s="39">
        <f t="shared" si="13"/>
        <v>797000</v>
      </c>
      <c r="O15" s="277">
        <v>8471</v>
      </c>
      <c r="P15" s="277"/>
      <c r="Q15" s="39">
        <f t="shared" si="14"/>
        <v>0</v>
      </c>
      <c r="R15" s="40"/>
      <c r="S15" s="277">
        <v>636154</v>
      </c>
      <c r="T15" s="277"/>
      <c r="U15" s="39">
        <f t="shared" si="15"/>
        <v>216900</v>
      </c>
      <c r="V15" s="276">
        <v>225375</v>
      </c>
      <c r="W15" s="276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9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31"/>
      <c r="BM15" s="131"/>
      <c r="BN15" s="49">
        <f t="shared" si="2"/>
        <v>4275852</v>
      </c>
      <c r="BR15" s="49">
        <f t="shared" si="3"/>
        <v>636154</v>
      </c>
      <c r="BU15" s="106"/>
      <c r="BV15" s="49">
        <f t="shared" si="4"/>
        <v>225375</v>
      </c>
      <c r="BW15" s="107"/>
      <c r="BX15" s="108"/>
      <c r="BY15" s="106"/>
      <c r="BZ15" s="108"/>
      <c r="CA15" s="106"/>
      <c r="CB15" s="43"/>
      <c r="CC15" s="49">
        <f t="shared" si="5"/>
        <v>6839700</v>
      </c>
      <c r="CF15" s="131"/>
      <c r="CG15" s="131"/>
      <c r="CH15" s="131"/>
      <c r="CI15" s="49">
        <f t="shared" si="6"/>
        <v>16277037</v>
      </c>
      <c r="CL15" s="131"/>
      <c r="CM15" s="132"/>
      <c r="CN15" s="49">
        <f t="shared" si="7"/>
        <v>6052</v>
      </c>
      <c r="CP15" s="133"/>
      <c r="CQ15" s="110"/>
      <c r="CR15" s="49">
        <f t="shared" si="8"/>
        <v>3720600</v>
      </c>
      <c r="CU15" s="131"/>
      <c r="CV15" s="132"/>
      <c r="CW15" s="49">
        <f t="shared" si="9"/>
        <v>37173998</v>
      </c>
      <c r="CZ15" s="131"/>
      <c r="DD15" s="134"/>
      <c r="DE15" s="134"/>
      <c r="DF15" s="134"/>
      <c r="DG15" s="134"/>
      <c r="DH15" s="135"/>
      <c r="DI15" s="136"/>
      <c r="DJ15" s="136"/>
    </row>
    <row r="16" spans="2:114" s="130" customFormat="1" x14ac:dyDescent="0.25">
      <c r="B16" s="129">
        <v>43912</v>
      </c>
      <c r="C16" s="277">
        <v>37924163</v>
      </c>
      <c r="D16" s="277"/>
      <c r="E16" s="39">
        <f t="shared" si="50"/>
        <v>841660</v>
      </c>
      <c r="F16" s="277">
        <v>4297544</v>
      </c>
      <c r="G16" s="277"/>
      <c r="H16" s="39">
        <f t="shared" si="51"/>
        <v>216920</v>
      </c>
      <c r="I16" s="277">
        <v>16218</v>
      </c>
      <c r="J16" s="277"/>
      <c r="K16" s="39">
        <f t="shared" si="42"/>
        <v>270</v>
      </c>
      <c r="L16" s="277">
        <v>277388</v>
      </c>
      <c r="M16" s="277"/>
      <c r="N16" s="39">
        <f t="shared" si="13"/>
        <v>517000</v>
      </c>
      <c r="O16" s="277">
        <v>8471</v>
      </c>
      <c r="P16" s="277"/>
      <c r="Q16" s="39">
        <f t="shared" si="14"/>
        <v>0</v>
      </c>
      <c r="R16" s="40"/>
      <c r="S16" s="277">
        <v>637640</v>
      </c>
      <c r="T16" s="277"/>
      <c r="U16" s="39">
        <f t="shared" si="15"/>
        <v>148600</v>
      </c>
      <c r="V16" s="276">
        <v>232661</v>
      </c>
      <c r="W16" s="276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9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31"/>
      <c r="BM16" s="131"/>
      <c r="BN16" s="49">
        <f t="shared" si="2"/>
        <v>4297544</v>
      </c>
      <c r="BR16" s="49">
        <f t="shared" si="3"/>
        <v>637640</v>
      </c>
      <c r="BU16" s="106"/>
      <c r="BV16" s="49">
        <f t="shared" si="4"/>
        <v>232661</v>
      </c>
      <c r="BW16" s="107"/>
      <c r="BX16" s="108"/>
      <c r="BY16" s="106"/>
      <c r="BZ16" s="108"/>
      <c r="CA16" s="106"/>
      <c r="CB16" s="43"/>
      <c r="CC16" s="49">
        <f t="shared" si="5"/>
        <v>6843800</v>
      </c>
      <c r="CF16" s="131"/>
      <c r="CG16" s="131"/>
      <c r="CH16" s="131"/>
      <c r="CI16" s="49">
        <f t="shared" si="6"/>
        <v>16352700</v>
      </c>
      <c r="CL16" s="131"/>
      <c r="CM16" s="132"/>
      <c r="CN16" s="49">
        <f t="shared" si="7"/>
        <v>6052</v>
      </c>
      <c r="CP16" s="133"/>
      <c r="CQ16" s="110"/>
      <c r="CR16" s="49">
        <f t="shared" si="8"/>
        <v>3721000</v>
      </c>
      <c r="CU16" s="131"/>
      <c r="CV16" s="132"/>
      <c r="CW16" s="49">
        <f t="shared" si="9"/>
        <v>37431106</v>
      </c>
      <c r="CZ16" s="131"/>
      <c r="DD16" s="134"/>
      <c r="DE16" s="134"/>
      <c r="DF16" s="134"/>
      <c r="DG16" s="134"/>
      <c r="DH16" s="135"/>
      <c r="DI16" s="136"/>
      <c r="DJ16" s="136"/>
    </row>
    <row r="17" spans="2:114" s="130" customFormat="1" x14ac:dyDescent="0.25">
      <c r="B17" s="129">
        <v>43919</v>
      </c>
      <c r="C17" s="277">
        <v>37975233</v>
      </c>
      <c r="D17" s="277"/>
      <c r="E17" s="39">
        <f t="shared" si="50"/>
        <v>510700</v>
      </c>
      <c r="F17" s="277">
        <v>4320557</v>
      </c>
      <c r="G17" s="277"/>
      <c r="H17" s="39">
        <f t="shared" si="51"/>
        <v>230130</v>
      </c>
      <c r="I17" s="277">
        <v>16272</v>
      </c>
      <c r="J17" s="277"/>
      <c r="K17" s="39">
        <f t="shared" si="42"/>
        <v>540</v>
      </c>
      <c r="L17" s="277">
        <v>277663</v>
      </c>
      <c r="M17" s="277"/>
      <c r="N17" s="39">
        <f t="shared" si="13"/>
        <v>275000</v>
      </c>
      <c r="O17" s="277">
        <v>8471</v>
      </c>
      <c r="P17" s="277"/>
      <c r="Q17" s="39">
        <f t="shared" si="14"/>
        <v>0</v>
      </c>
      <c r="R17" s="40"/>
      <c r="S17" s="277">
        <v>638222</v>
      </c>
      <c r="T17" s="277"/>
      <c r="U17" s="39">
        <f t="shared" si="15"/>
        <v>58200</v>
      </c>
      <c r="V17" s="276">
        <v>235060</v>
      </c>
      <c r="W17" s="276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9">
        <f t="shared" si="0"/>
        <v>43919</v>
      </c>
      <c r="AS17" s="44">
        <v>6162</v>
      </c>
      <c r="AT17" s="39">
        <f t="shared" ref="AT17:AT55" si="59">SUM(AS17-AS16)</f>
        <v>110</v>
      </c>
      <c r="AU17" s="43"/>
      <c r="AV17" s="44">
        <v>16416296</v>
      </c>
      <c r="AW17" s="39">
        <f t="shared" ref="AW17:AW55" si="60">SUM(AV17-AV16)</f>
        <v>63596</v>
      </c>
      <c r="AX17" s="42">
        <v>304348069</v>
      </c>
      <c r="AY17" s="47">
        <f t="shared" ref="AY17:AY55" si="61">SUM(AX17-AX16)/100</f>
        <v>60689.66</v>
      </c>
      <c r="AZ17" s="39">
        <f t="shared" ref="AZ17:AZ55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4">
        <f>SUM(BK17*1.0228)+1887.37</f>
        <v>5938.6808000000001</v>
      </c>
      <c r="BM17" s="102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4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15">
        <v>28444.240000000002</v>
      </c>
      <c r="BV17" s="49">
        <f t="shared" si="4"/>
        <v>235060</v>
      </c>
      <c r="BW17" s="116">
        <v>23449</v>
      </c>
      <c r="BX17" s="50">
        <v>1864.99</v>
      </c>
      <c r="BY17" s="115">
        <v>1390.81</v>
      </c>
      <c r="BZ17" s="127">
        <f t="shared" ref="BZ17" si="63">SUM(BT17+BX17)</f>
        <v>40153.259999999995</v>
      </c>
      <c r="CA17" s="115">
        <v>6873.73</v>
      </c>
      <c r="CB17" s="43"/>
      <c r="CC17" s="137">
        <f t="shared" si="5"/>
        <v>6844700</v>
      </c>
      <c r="CD17" s="138">
        <v>6844</v>
      </c>
      <c r="CE17" s="98">
        <f>SUM(CD17-CD13)</f>
        <v>17</v>
      </c>
      <c r="CF17" s="84">
        <f>SUM(CE17*1.0228)+117.88</f>
        <v>135.26759999999999</v>
      </c>
      <c r="CG17" s="102">
        <v>97.24</v>
      </c>
      <c r="CH17" s="102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4">
        <f>SUM(CK17*1.0228+188.7)</f>
        <v>488.38039999999995</v>
      </c>
      <c r="CM17" s="119">
        <v>308.88</v>
      </c>
      <c r="CN17" s="49">
        <f t="shared" si="7"/>
        <v>6162</v>
      </c>
      <c r="CO17" s="22">
        <v>6153</v>
      </c>
      <c r="CP17" s="27">
        <v>969.09</v>
      </c>
      <c r="CQ17" s="118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4">
        <f>SUM(CT17*1.0228)+188.7</f>
        <v>195.8596</v>
      </c>
      <c r="CV17" s="132"/>
      <c r="CW17" s="49">
        <f t="shared" si="9"/>
        <v>37749669</v>
      </c>
      <c r="CX17" s="22">
        <v>373229</v>
      </c>
      <c r="CY17" s="21">
        <f>SUM(CX17-CX13)</f>
        <v>10131</v>
      </c>
      <c r="CZ17" s="84">
        <f>SUM(CY17*0.8062)+973.2</f>
        <v>9140.8122000000003</v>
      </c>
      <c r="DC17" s="22">
        <f>SUM(E15:E18)</f>
        <v>2647720</v>
      </c>
      <c r="DD17" s="102" t="e">
        <f>SUM(BL17+CF17+CL17+#REF!+CU17)</f>
        <v>#REF!</v>
      </c>
      <c r="DE17" s="102">
        <f>SUM(BQ17+CZ17)</f>
        <v>11097.1212</v>
      </c>
      <c r="DF17" s="102">
        <f>SUM(BM17+CG17+CV17)</f>
        <v>16753.36</v>
      </c>
      <c r="DG17" s="102" t="e">
        <f>SUM(DD17:DF17)</f>
        <v>#REF!</v>
      </c>
      <c r="DH17"/>
      <c r="DI17" s="121">
        <f>SUM(BU17+CQ17+BY17)</f>
        <v>30557.750000000004</v>
      </c>
      <c r="DJ17" s="121">
        <f>SUM(CA17+CH17)</f>
        <v>7876.2599999999993</v>
      </c>
    </row>
    <row r="18" spans="2:114" s="130" customFormat="1" x14ac:dyDescent="0.25">
      <c r="B18" s="129">
        <v>43922</v>
      </c>
      <c r="C18" s="277">
        <v>37992572</v>
      </c>
      <c r="D18" s="277"/>
      <c r="E18" s="39">
        <f t="shared" ref="E18" si="64">SUM(C18-C17)*10</f>
        <v>173390</v>
      </c>
      <c r="F18" s="277">
        <v>4329989</v>
      </c>
      <c r="G18" s="277"/>
      <c r="H18" s="39">
        <f t="shared" ref="H18" si="65">SUM(F18-F17)*10</f>
        <v>94320</v>
      </c>
      <c r="I18" s="277">
        <v>16287</v>
      </c>
      <c r="J18" s="277"/>
      <c r="K18" s="39">
        <f t="shared" si="42"/>
        <v>150</v>
      </c>
      <c r="L18" s="277">
        <v>277767</v>
      </c>
      <c r="M18" s="277"/>
      <c r="N18" s="39">
        <f t="shared" si="13"/>
        <v>104000</v>
      </c>
      <c r="O18" s="277">
        <v>8471</v>
      </c>
      <c r="P18" s="277"/>
      <c r="Q18" s="39">
        <f t="shared" si="14"/>
        <v>0</v>
      </c>
      <c r="R18" s="40"/>
      <c r="S18" s="277">
        <v>638348</v>
      </c>
      <c r="T18" s="277"/>
      <c r="U18" s="39">
        <f t="shared" si="15"/>
        <v>12600</v>
      </c>
      <c r="V18" s="276">
        <v>235091</v>
      </c>
      <c r="W18" s="276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9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31"/>
      <c r="BM18" s="131"/>
      <c r="BN18" s="49">
        <f t="shared" si="2"/>
        <v>4329989</v>
      </c>
      <c r="BR18" s="49">
        <f t="shared" si="3"/>
        <v>638348</v>
      </c>
      <c r="BU18" s="106"/>
      <c r="BV18" s="49">
        <f t="shared" si="4"/>
        <v>235091</v>
      </c>
      <c r="BW18" s="107"/>
      <c r="BX18" s="108"/>
      <c r="BY18" s="106"/>
      <c r="BZ18" s="108"/>
      <c r="CA18" s="106"/>
      <c r="CB18" s="43"/>
      <c r="CC18" s="49">
        <f t="shared" si="5"/>
        <v>6845700</v>
      </c>
      <c r="CF18" s="131"/>
      <c r="CG18" s="131"/>
      <c r="CH18" s="131"/>
      <c r="CI18" s="49">
        <f t="shared" si="6"/>
        <v>16435246</v>
      </c>
      <c r="CL18" s="131"/>
      <c r="CM18" s="132"/>
      <c r="CN18" s="49">
        <f t="shared" si="7"/>
        <v>6166</v>
      </c>
      <c r="CP18" s="133"/>
      <c r="CQ18" s="110"/>
      <c r="CR18" s="49">
        <f t="shared" si="8"/>
        <v>3721300</v>
      </c>
      <c r="CU18" s="131"/>
      <c r="CV18" s="132"/>
      <c r="CW18" s="49">
        <f t="shared" si="9"/>
        <v>37912292</v>
      </c>
      <c r="CZ18" s="131"/>
      <c r="DD18" s="134"/>
      <c r="DE18" s="134"/>
      <c r="DF18" s="134"/>
      <c r="DG18" s="134"/>
      <c r="DH18" s="135"/>
      <c r="DI18" s="136"/>
      <c r="DJ18" s="136"/>
    </row>
    <row r="19" spans="2:114" s="130" customFormat="1" x14ac:dyDescent="0.25">
      <c r="B19" s="129">
        <v>43926</v>
      </c>
      <c r="C19" s="277">
        <v>38024310</v>
      </c>
      <c r="D19" s="277"/>
      <c r="E19" s="39">
        <f t="shared" ref="E19:E22" si="66">SUM(C19-C18)*10</f>
        <v>317380</v>
      </c>
      <c r="F19" s="277">
        <v>4343897</v>
      </c>
      <c r="G19" s="277"/>
      <c r="H19" s="39">
        <f t="shared" ref="H19:H22" si="67">SUM(F19-F18)*10</f>
        <v>139080</v>
      </c>
      <c r="I19" s="277">
        <v>16301</v>
      </c>
      <c r="J19" s="277"/>
      <c r="K19" s="39">
        <f t="shared" si="42"/>
        <v>140</v>
      </c>
      <c r="L19" s="277">
        <v>277901</v>
      </c>
      <c r="M19" s="277"/>
      <c r="N19" s="39">
        <f t="shared" si="13"/>
        <v>134000</v>
      </c>
      <c r="O19" s="277">
        <v>8471</v>
      </c>
      <c r="P19" s="277"/>
      <c r="Q19" s="39">
        <f t="shared" si="14"/>
        <v>0</v>
      </c>
      <c r="R19" s="40"/>
      <c r="S19" s="277">
        <v>638682</v>
      </c>
      <c r="T19" s="277"/>
      <c r="U19" s="39">
        <f t="shared" si="15"/>
        <v>33400</v>
      </c>
      <c r="V19" s="276">
        <v>235159</v>
      </c>
      <c r="W19" s="276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9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31"/>
      <c r="BM19" s="131"/>
      <c r="BN19" s="49">
        <f t="shared" si="2"/>
        <v>4343897</v>
      </c>
      <c r="BR19" s="49">
        <f t="shared" si="3"/>
        <v>638682</v>
      </c>
      <c r="BU19" s="106"/>
      <c r="BV19" s="49">
        <f t="shared" si="4"/>
        <v>235159</v>
      </c>
      <c r="BW19" s="107"/>
      <c r="BX19" s="108"/>
      <c r="BY19" s="106"/>
      <c r="BZ19" s="108"/>
      <c r="CA19" s="106"/>
      <c r="CB19" s="43"/>
      <c r="CC19" s="49">
        <f t="shared" si="5"/>
        <v>6848300</v>
      </c>
      <c r="CF19" s="131"/>
      <c r="CG19" s="131"/>
      <c r="CH19" s="131"/>
      <c r="CI19" s="49">
        <f t="shared" si="6"/>
        <v>16481034</v>
      </c>
      <c r="CL19" s="131"/>
      <c r="CM19" s="132"/>
      <c r="CN19" s="49">
        <f t="shared" si="7"/>
        <v>6178</v>
      </c>
      <c r="CP19" s="133"/>
      <c r="CQ19" s="110"/>
      <c r="CR19" s="49">
        <f t="shared" si="8"/>
        <v>3721600</v>
      </c>
      <c r="CU19" s="131"/>
      <c r="CV19" s="132"/>
      <c r="CW19" s="49">
        <f t="shared" si="9"/>
        <v>38172424</v>
      </c>
      <c r="CZ19" s="131"/>
      <c r="DD19" s="134"/>
      <c r="DE19" s="134"/>
      <c r="DF19" s="134"/>
      <c r="DG19" s="134"/>
      <c r="DH19" s="135"/>
      <c r="DI19" s="136"/>
      <c r="DJ19" s="136"/>
    </row>
    <row r="20" spans="2:114" s="130" customFormat="1" x14ac:dyDescent="0.25">
      <c r="B20" s="129">
        <v>43933</v>
      </c>
      <c r="C20" s="277">
        <v>38060680</v>
      </c>
      <c r="D20" s="277"/>
      <c r="E20" s="39">
        <f t="shared" si="66"/>
        <v>363700</v>
      </c>
      <c r="F20" s="277">
        <v>4364332</v>
      </c>
      <c r="G20" s="277"/>
      <c r="H20" s="39">
        <f t="shared" si="67"/>
        <v>204350</v>
      </c>
      <c r="I20" s="277">
        <v>16301</v>
      </c>
      <c r="J20" s="277"/>
      <c r="K20" s="39">
        <f t="shared" si="42"/>
        <v>0</v>
      </c>
      <c r="L20" s="277">
        <v>278129</v>
      </c>
      <c r="M20" s="277"/>
      <c r="N20" s="39">
        <f t="shared" si="13"/>
        <v>228000</v>
      </c>
      <c r="O20" s="277">
        <v>8471</v>
      </c>
      <c r="P20" s="277"/>
      <c r="Q20" s="39">
        <f t="shared" si="14"/>
        <v>0</v>
      </c>
      <c r="R20" s="40"/>
      <c r="S20" s="277">
        <v>639095</v>
      </c>
      <c r="T20" s="277"/>
      <c r="U20" s="39">
        <f t="shared" si="15"/>
        <v>41300</v>
      </c>
      <c r="V20" s="276">
        <v>235240</v>
      </c>
      <c r="W20" s="276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9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31"/>
      <c r="BM20" s="131"/>
      <c r="BN20" s="49">
        <f t="shared" si="2"/>
        <v>4364332</v>
      </c>
      <c r="BR20" s="49">
        <f t="shared" si="3"/>
        <v>639095</v>
      </c>
      <c r="BU20" s="106"/>
      <c r="BV20" s="49">
        <f t="shared" si="4"/>
        <v>235240</v>
      </c>
      <c r="BW20" s="107"/>
      <c r="BX20" s="108"/>
      <c r="BY20" s="106"/>
      <c r="BZ20" s="108"/>
      <c r="CA20" s="106"/>
      <c r="CB20" s="43"/>
      <c r="CC20" s="49">
        <f t="shared" si="5"/>
        <v>6849600</v>
      </c>
      <c r="CF20" s="131"/>
      <c r="CG20" s="131"/>
      <c r="CH20" s="131"/>
      <c r="CI20" s="49">
        <f t="shared" si="6"/>
        <v>16545282</v>
      </c>
      <c r="CL20" s="131"/>
      <c r="CM20" s="132"/>
      <c r="CN20" s="49">
        <f t="shared" si="7"/>
        <v>6196</v>
      </c>
      <c r="CP20" s="133"/>
      <c r="CQ20" s="110"/>
      <c r="CR20" s="49">
        <f t="shared" si="8"/>
        <v>3721900</v>
      </c>
      <c r="CU20" s="131"/>
      <c r="CV20" s="132"/>
      <c r="CW20" s="49">
        <f t="shared" si="9"/>
        <v>38479889</v>
      </c>
      <c r="CZ20" s="131"/>
      <c r="DD20" s="134"/>
      <c r="DE20" s="134"/>
      <c r="DF20" s="134"/>
      <c r="DG20" s="134"/>
      <c r="DH20" s="135"/>
      <c r="DI20" s="136"/>
      <c r="DJ20" s="136"/>
    </row>
    <row r="21" spans="2:114" s="130" customFormat="1" x14ac:dyDescent="0.25">
      <c r="B21" s="129">
        <v>43940</v>
      </c>
      <c r="C21" s="277">
        <v>38095654</v>
      </c>
      <c r="D21" s="277"/>
      <c r="E21" s="39">
        <f t="shared" si="66"/>
        <v>349740</v>
      </c>
      <c r="F21" s="277">
        <v>4379811</v>
      </c>
      <c r="G21" s="277"/>
      <c r="H21" s="39">
        <f t="shared" si="67"/>
        <v>154790</v>
      </c>
      <c r="I21" s="277">
        <v>16301</v>
      </c>
      <c r="J21" s="277"/>
      <c r="K21" s="39">
        <f t="shared" si="42"/>
        <v>0</v>
      </c>
      <c r="L21" s="277">
        <v>278377</v>
      </c>
      <c r="M21" s="277"/>
      <c r="N21" s="39">
        <f t="shared" si="13"/>
        <v>248000</v>
      </c>
      <c r="O21" s="277">
        <v>8471</v>
      </c>
      <c r="P21" s="277"/>
      <c r="Q21" s="39">
        <f t="shared" si="14"/>
        <v>0</v>
      </c>
      <c r="R21" s="40"/>
      <c r="S21" s="277">
        <v>639481</v>
      </c>
      <c r="T21" s="277"/>
      <c r="U21" s="39">
        <f t="shared" si="15"/>
        <v>38600</v>
      </c>
      <c r="V21" s="276">
        <v>235300</v>
      </c>
      <c r="W21" s="276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9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31"/>
      <c r="BM21" s="131"/>
      <c r="BN21" s="49">
        <f t="shared" si="2"/>
        <v>4379811</v>
      </c>
      <c r="BR21" s="49">
        <f t="shared" si="3"/>
        <v>639481</v>
      </c>
      <c r="BU21" s="106"/>
      <c r="BV21" s="49">
        <f t="shared" si="4"/>
        <v>235300</v>
      </c>
      <c r="BW21" s="107"/>
      <c r="BX21" s="108"/>
      <c r="BY21" s="106"/>
      <c r="BZ21" s="108"/>
      <c r="CA21" s="106"/>
      <c r="CB21" s="43"/>
      <c r="CC21" s="49">
        <f t="shared" si="5"/>
        <v>6849600</v>
      </c>
      <c r="CF21" s="131"/>
      <c r="CG21" s="131"/>
      <c r="CH21" s="131"/>
      <c r="CI21" s="49">
        <f t="shared" si="6"/>
        <v>16617643</v>
      </c>
      <c r="CL21" s="131"/>
      <c r="CM21" s="132"/>
      <c r="CN21" s="49">
        <f t="shared" si="7"/>
        <v>6224</v>
      </c>
      <c r="CP21" s="133"/>
      <c r="CQ21" s="110"/>
      <c r="CR21" s="49">
        <f t="shared" si="8"/>
        <v>3723100</v>
      </c>
      <c r="CU21" s="131"/>
      <c r="CV21" s="132"/>
      <c r="CW21" s="49">
        <f t="shared" si="9"/>
        <v>38710911</v>
      </c>
      <c r="CZ21" s="131"/>
      <c r="DD21" s="134"/>
      <c r="DE21" s="134"/>
      <c r="DF21" s="134"/>
      <c r="DG21" s="134"/>
      <c r="DH21" s="135"/>
      <c r="DI21" s="136"/>
      <c r="DJ21" s="136"/>
    </row>
    <row r="22" spans="2:114" s="130" customFormat="1" x14ac:dyDescent="0.25">
      <c r="B22" s="129">
        <v>43947</v>
      </c>
      <c r="C22" s="277">
        <v>38150256</v>
      </c>
      <c r="D22" s="277"/>
      <c r="E22" s="39">
        <f t="shared" si="66"/>
        <v>546020</v>
      </c>
      <c r="F22" s="277">
        <v>4390651</v>
      </c>
      <c r="G22" s="277"/>
      <c r="H22" s="39">
        <f t="shared" si="67"/>
        <v>108400</v>
      </c>
      <c r="I22" s="277">
        <v>16301</v>
      </c>
      <c r="J22" s="277"/>
      <c r="K22" s="39">
        <f t="shared" si="42"/>
        <v>0</v>
      </c>
      <c r="L22" s="277">
        <v>278689</v>
      </c>
      <c r="M22" s="277"/>
      <c r="N22" s="39">
        <f t="shared" si="13"/>
        <v>312000</v>
      </c>
      <c r="O22" s="277">
        <v>8471</v>
      </c>
      <c r="P22" s="277"/>
      <c r="Q22" s="39">
        <f t="shared" si="14"/>
        <v>0</v>
      </c>
      <c r="R22" s="40"/>
      <c r="S22" s="277">
        <v>639921</v>
      </c>
      <c r="T22" s="277"/>
      <c r="U22" s="39">
        <f t="shared" si="15"/>
        <v>44000</v>
      </c>
      <c r="V22" s="276">
        <v>235440</v>
      </c>
      <c r="W22" s="276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9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31"/>
      <c r="BM22" s="131"/>
      <c r="BN22" s="49">
        <f t="shared" si="2"/>
        <v>4390651</v>
      </c>
      <c r="BR22" s="49">
        <f t="shared" si="3"/>
        <v>639921</v>
      </c>
      <c r="BU22" s="106"/>
      <c r="BV22" s="49">
        <f t="shared" si="4"/>
        <v>235440</v>
      </c>
      <c r="BW22" s="107"/>
      <c r="BX22" s="108"/>
      <c r="BY22" s="106"/>
      <c r="BZ22" s="108"/>
      <c r="CA22" s="106"/>
      <c r="CB22" s="43"/>
      <c r="CC22" s="49">
        <f t="shared" si="5"/>
        <v>6855300</v>
      </c>
      <c r="CF22" s="131"/>
      <c r="CG22" s="131"/>
      <c r="CH22" s="131"/>
      <c r="CI22" s="49">
        <f t="shared" si="6"/>
        <v>16673800</v>
      </c>
      <c r="CL22" s="131"/>
      <c r="CM22" s="132"/>
      <c r="CN22" s="49">
        <f t="shared" si="7"/>
        <v>6244</v>
      </c>
      <c r="CP22" s="133"/>
      <c r="CQ22" s="110"/>
      <c r="CR22" s="49">
        <f t="shared" si="8"/>
        <v>3723400</v>
      </c>
      <c r="CU22" s="131"/>
      <c r="CV22" s="132"/>
      <c r="CW22" s="49">
        <f t="shared" si="9"/>
        <v>38837140</v>
      </c>
      <c r="CZ22" s="131"/>
      <c r="DD22" s="134"/>
      <c r="DE22" s="134"/>
      <c r="DF22" s="134"/>
      <c r="DG22" s="134"/>
      <c r="DH22" s="135"/>
      <c r="DI22" s="136"/>
      <c r="DJ22" s="136"/>
    </row>
    <row r="23" spans="2:114" s="130" customFormat="1" x14ac:dyDescent="0.25">
      <c r="B23" s="129">
        <v>43952</v>
      </c>
      <c r="C23" s="277">
        <v>38183929</v>
      </c>
      <c r="D23" s="277"/>
      <c r="E23" s="39">
        <f t="shared" ref="E23:E24" si="68">SUM(C23-C22)*10</f>
        <v>336730</v>
      </c>
      <c r="F23" s="277">
        <v>4402020</v>
      </c>
      <c r="G23" s="277"/>
      <c r="H23" s="39">
        <f t="shared" ref="H23:H24" si="69">SUM(F23-F22)*10</f>
        <v>113690</v>
      </c>
      <c r="I23" s="277">
        <v>16301</v>
      </c>
      <c r="J23" s="277"/>
      <c r="K23" s="39">
        <f t="shared" si="42"/>
        <v>0</v>
      </c>
      <c r="L23" s="277">
        <v>278879</v>
      </c>
      <c r="M23" s="277"/>
      <c r="N23" s="39">
        <f t="shared" si="13"/>
        <v>190000</v>
      </c>
      <c r="O23" s="277">
        <v>8471</v>
      </c>
      <c r="P23" s="277"/>
      <c r="Q23" s="39">
        <f t="shared" si="14"/>
        <v>0</v>
      </c>
      <c r="R23" s="40"/>
      <c r="S23" s="277">
        <v>640213</v>
      </c>
      <c r="T23" s="277"/>
      <c r="U23" s="39">
        <f t="shared" si="15"/>
        <v>29200</v>
      </c>
      <c r="V23" s="276">
        <v>235496</v>
      </c>
      <c r="W23" s="276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9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4">
        <f>SUM(BK23*1.1251)+2076.11</f>
        <v>4158.6701000000003</v>
      </c>
      <c r="BM23" s="102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4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15">
        <v>6857.36</v>
      </c>
      <c r="BV23" s="49">
        <f t="shared" si="4"/>
        <v>235496</v>
      </c>
      <c r="BW23" s="116">
        <v>23538</v>
      </c>
      <c r="BX23" s="50">
        <v>38.46</v>
      </c>
      <c r="BY23" s="115">
        <v>31.53</v>
      </c>
      <c r="BZ23" s="127">
        <f t="shared" ref="BZ23" si="70">SUM(BT23+BX23)</f>
        <v>8414.49</v>
      </c>
      <c r="CA23" s="115">
        <v>2754.81</v>
      </c>
      <c r="CB23" s="43"/>
      <c r="CC23" s="137">
        <f t="shared" si="5"/>
        <v>6858200</v>
      </c>
      <c r="CD23" s="138">
        <v>6852</v>
      </c>
      <c r="CE23" s="98">
        <f>SUM(CD23-CD17)</f>
        <v>8</v>
      </c>
      <c r="CF23" s="84">
        <f>SUM(CE23*1.1251)+129.67</f>
        <v>138.67079999999999</v>
      </c>
      <c r="CG23" s="102">
        <v>50.32</v>
      </c>
      <c r="CH23" s="102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4">
        <f>SUM(CK23*1.1251+207.57)</f>
        <v>507.9717</v>
      </c>
      <c r="CM23" s="119">
        <v>94.35</v>
      </c>
      <c r="CN23" s="49">
        <f t="shared" si="7"/>
        <v>6261</v>
      </c>
      <c r="CO23" s="22">
        <v>6230</v>
      </c>
      <c r="CP23" s="27">
        <v>178.52</v>
      </c>
      <c r="CQ23" s="118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4">
        <f>SUM(CT23*1.1251)+207.57</f>
        <v>209.8202</v>
      </c>
      <c r="CV23" s="132"/>
      <c r="CW23" s="49">
        <f t="shared" si="9"/>
        <v>39028478</v>
      </c>
      <c r="CX23" s="22">
        <v>386385</v>
      </c>
      <c r="CY23" s="21">
        <f>SUM(CX23-CX17)</f>
        <v>13156</v>
      </c>
      <c r="CZ23" s="84">
        <f>SUM(CY23*0.8868)+1070.52</f>
        <v>12737.2608</v>
      </c>
      <c r="DC23" s="22">
        <f>SUM(E21:E24)</f>
        <v>1508260</v>
      </c>
      <c r="DD23" s="102" t="e">
        <f>SUM(BL23+CF23+CL23+#REF!+CU23)</f>
        <v>#REF!</v>
      </c>
      <c r="DE23" s="102">
        <f>SUM(BQ23+CZ23)</f>
        <v>15211.0952</v>
      </c>
      <c r="DF23" s="102">
        <f>SUM(BM23+CG23+CV23)</f>
        <v>5604.3899999999994</v>
      </c>
      <c r="DG23" s="102" t="e">
        <f>SUM(DD23:DF23)</f>
        <v>#REF!</v>
      </c>
      <c r="DH23"/>
      <c r="DI23" s="121">
        <f>SUM(BU23+CQ23+BY23)</f>
        <v>7035.19</v>
      </c>
      <c r="DJ23" s="121">
        <f>SUM(CA23+CH23)</f>
        <v>3757.34</v>
      </c>
    </row>
    <row r="24" spans="2:114" s="130" customFormat="1" x14ac:dyDescent="0.25">
      <c r="B24" s="129">
        <v>43955</v>
      </c>
      <c r="C24" s="277">
        <v>38211506</v>
      </c>
      <c r="D24" s="277"/>
      <c r="E24" s="39">
        <f t="shared" si="68"/>
        <v>275770</v>
      </c>
      <c r="F24" s="277">
        <v>4411492</v>
      </c>
      <c r="G24" s="277"/>
      <c r="H24" s="39">
        <f t="shared" si="69"/>
        <v>94720</v>
      </c>
      <c r="I24" s="277">
        <v>16301</v>
      </c>
      <c r="J24" s="277"/>
      <c r="K24" s="39">
        <f t="shared" si="42"/>
        <v>0</v>
      </c>
      <c r="L24" s="277">
        <v>278983</v>
      </c>
      <c r="M24" s="277"/>
      <c r="N24" s="39">
        <f t="shared" si="13"/>
        <v>104000</v>
      </c>
      <c r="O24" s="277">
        <v>8471</v>
      </c>
      <c r="P24" s="277"/>
      <c r="Q24" s="39">
        <f t="shared" si="14"/>
        <v>0</v>
      </c>
      <c r="R24" s="40"/>
      <c r="S24" s="277">
        <v>640422</v>
      </c>
      <c r="T24" s="277"/>
      <c r="U24" s="39">
        <f t="shared" si="15"/>
        <v>20900</v>
      </c>
      <c r="V24" s="276">
        <v>235529</v>
      </c>
      <c r="W24" s="276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9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31"/>
      <c r="BM24" s="131"/>
      <c r="BN24" s="49">
        <f t="shared" si="2"/>
        <v>4411492</v>
      </c>
      <c r="BR24" s="49">
        <f t="shared" si="3"/>
        <v>640422</v>
      </c>
      <c r="BU24" s="106"/>
      <c r="BV24" s="49">
        <f t="shared" si="4"/>
        <v>235529</v>
      </c>
      <c r="BW24" s="107"/>
      <c r="BX24" s="108"/>
      <c r="BY24" s="106"/>
      <c r="BZ24" s="108"/>
      <c r="CA24" s="106"/>
      <c r="CB24" s="43"/>
      <c r="CC24" s="49">
        <f t="shared" si="5"/>
        <v>6858500</v>
      </c>
      <c r="CF24" s="131"/>
      <c r="CG24" s="131"/>
      <c r="CH24" s="131"/>
      <c r="CI24" s="49">
        <f t="shared" si="6"/>
        <v>16738138</v>
      </c>
      <c r="CL24" s="131"/>
      <c r="CM24" s="132"/>
      <c r="CN24" s="49">
        <f t="shared" si="7"/>
        <v>6263</v>
      </c>
      <c r="CP24" s="133"/>
      <c r="CQ24" s="110"/>
      <c r="CR24" s="49">
        <f t="shared" si="8"/>
        <v>3723900</v>
      </c>
      <c r="CU24" s="131"/>
      <c r="CV24" s="132"/>
      <c r="CW24" s="49">
        <f t="shared" si="9"/>
        <v>39101076</v>
      </c>
      <c r="CZ24" s="131"/>
      <c r="DD24" s="134"/>
      <c r="DE24" s="134"/>
      <c r="DF24" s="134"/>
      <c r="DG24" s="134"/>
      <c r="DH24" s="135"/>
      <c r="DI24" s="136"/>
      <c r="DJ24" s="136"/>
    </row>
    <row r="25" spans="2:114" s="130" customFormat="1" x14ac:dyDescent="0.25">
      <c r="B25" s="129">
        <v>43961</v>
      </c>
      <c r="C25" s="277">
        <v>38257669</v>
      </c>
      <c r="D25" s="277"/>
      <c r="E25" s="39">
        <f t="shared" ref="E25:E28" si="73">SUM(C25-C24)*10</f>
        <v>461630</v>
      </c>
      <c r="F25" s="277">
        <v>4431377</v>
      </c>
      <c r="G25" s="277"/>
      <c r="H25" s="39">
        <f t="shared" ref="H25:H28" si="74">SUM(F25-F24)*10</f>
        <v>198850</v>
      </c>
      <c r="I25" s="277">
        <v>16301</v>
      </c>
      <c r="J25" s="277"/>
      <c r="K25" s="39">
        <f t="shared" si="42"/>
        <v>0</v>
      </c>
      <c r="L25" s="277">
        <v>279224</v>
      </c>
      <c r="M25" s="277"/>
      <c r="N25" s="39">
        <f t="shared" si="13"/>
        <v>241000</v>
      </c>
      <c r="O25" s="277">
        <v>8471</v>
      </c>
      <c r="P25" s="277"/>
      <c r="Q25" s="39">
        <f t="shared" si="14"/>
        <v>0</v>
      </c>
      <c r="R25" s="40"/>
      <c r="S25" s="277">
        <v>640928</v>
      </c>
      <c r="T25" s="277"/>
      <c r="U25" s="39">
        <f t="shared" si="15"/>
        <v>50600</v>
      </c>
      <c r="V25" s="276">
        <v>235603</v>
      </c>
      <c r="W25" s="276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5" si="75">SUM(AA25-AA24)*10000</f>
        <v>1270000</v>
      </c>
      <c r="AC25" s="42">
        <v>231511872</v>
      </c>
      <c r="AD25" s="39">
        <f t="shared" ref="AD25:AD55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9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31"/>
      <c r="BM25" s="131"/>
      <c r="BN25" s="49">
        <f t="shared" si="2"/>
        <v>4431377</v>
      </c>
      <c r="BR25" s="49">
        <f t="shared" si="3"/>
        <v>640928</v>
      </c>
      <c r="BU25" s="106"/>
      <c r="BV25" s="49">
        <f t="shared" si="4"/>
        <v>235603</v>
      </c>
      <c r="BW25" s="107"/>
      <c r="BX25" s="108"/>
      <c r="BY25" s="106"/>
      <c r="BZ25" s="108"/>
      <c r="CA25" s="106"/>
      <c r="CB25" s="43"/>
      <c r="CC25" s="49">
        <f t="shared" si="5"/>
        <v>6860900</v>
      </c>
      <c r="CF25" s="131"/>
      <c r="CG25" s="131"/>
      <c r="CH25" s="131"/>
      <c r="CI25" s="49">
        <f t="shared" si="6"/>
        <v>16804463</v>
      </c>
      <c r="CL25" s="131"/>
      <c r="CM25" s="132"/>
      <c r="CN25" s="49">
        <f t="shared" si="7"/>
        <v>6292</v>
      </c>
      <c r="CP25" s="133"/>
      <c r="CQ25" s="110"/>
      <c r="CR25" s="49">
        <f t="shared" si="8"/>
        <v>3724500</v>
      </c>
      <c r="CU25" s="131"/>
      <c r="CV25" s="132"/>
      <c r="CW25" s="49">
        <f t="shared" si="9"/>
        <v>39387017</v>
      </c>
      <c r="CZ25" s="131"/>
      <c r="DD25" s="134"/>
      <c r="DE25" s="134"/>
      <c r="DF25" s="134"/>
      <c r="DG25" s="134"/>
      <c r="DH25" s="135"/>
      <c r="DI25" s="136"/>
      <c r="DJ25" s="136"/>
    </row>
    <row r="26" spans="2:114" s="130" customFormat="1" x14ac:dyDescent="0.25">
      <c r="B26" s="129">
        <v>43968</v>
      </c>
      <c r="C26" s="277">
        <v>38300440</v>
      </c>
      <c r="D26" s="277"/>
      <c r="E26" s="39">
        <f t="shared" si="73"/>
        <v>427710</v>
      </c>
      <c r="F26" s="277">
        <v>4454847</v>
      </c>
      <c r="G26" s="277"/>
      <c r="H26" s="39">
        <f t="shared" si="74"/>
        <v>234700</v>
      </c>
      <c r="I26" s="277">
        <v>16301</v>
      </c>
      <c r="J26" s="277"/>
      <c r="K26" s="39">
        <f t="shared" si="42"/>
        <v>0</v>
      </c>
      <c r="L26" s="277">
        <v>279495</v>
      </c>
      <c r="M26" s="277"/>
      <c r="N26" s="39">
        <f t="shared" si="13"/>
        <v>271000</v>
      </c>
      <c r="O26" s="277">
        <v>8471</v>
      </c>
      <c r="P26" s="277"/>
      <c r="Q26" s="39">
        <f t="shared" si="14"/>
        <v>0</v>
      </c>
      <c r="R26" s="40"/>
      <c r="S26" s="277">
        <v>641413</v>
      </c>
      <c r="T26" s="277"/>
      <c r="U26" s="39">
        <f t="shared" si="15"/>
        <v>48500</v>
      </c>
      <c r="V26" s="276">
        <v>235706</v>
      </c>
      <c r="W26" s="276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9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31"/>
      <c r="BM26" s="131"/>
      <c r="BN26" s="49">
        <f t="shared" si="2"/>
        <v>4454847</v>
      </c>
      <c r="BR26" s="49">
        <f t="shared" si="3"/>
        <v>641413</v>
      </c>
      <c r="BU26" s="106"/>
      <c r="BV26" s="49">
        <f t="shared" si="4"/>
        <v>235706</v>
      </c>
      <c r="BW26" s="107"/>
      <c r="BX26" s="108"/>
      <c r="BY26" s="106"/>
      <c r="BZ26" s="108"/>
      <c r="CA26" s="106"/>
      <c r="CB26" s="43"/>
      <c r="CC26" s="49">
        <f t="shared" si="5"/>
        <v>6864600</v>
      </c>
      <c r="CF26" s="131"/>
      <c r="CG26" s="131"/>
      <c r="CH26" s="131"/>
      <c r="CI26" s="49">
        <f t="shared" si="6"/>
        <v>16887455</v>
      </c>
      <c r="CL26" s="131"/>
      <c r="CM26" s="132"/>
      <c r="CN26" s="49">
        <f t="shared" si="7"/>
        <v>6378</v>
      </c>
      <c r="CP26" s="133"/>
      <c r="CQ26" s="110"/>
      <c r="CR26" s="49">
        <f t="shared" si="8"/>
        <v>3724900</v>
      </c>
      <c r="CU26" s="131"/>
      <c r="CV26" s="132"/>
      <c r="CW26" s="49">
        <f t="shared" si="9"/>
        <v>40000946</v>
      </c>
      <c r="CZ26" s="131"/>
      <c r="DD26" s="134"/>
      <c r="DE26" s="134"/>
      <c r="DF26" s="134"/>
      <c r="DG26" s="134"/>
      <c r="DH26" s="135"/>
      <c r="DI26" s="136"/>
      <c r="DJ26" s="136"/>
    </row>
    <row r="27" spans="2:114" s="130" customFormat="1" x14ac:dyDescent="0.25">
      <c r="B27" s="129">
        <v>43975</v>
      </c>
      <c r="C27" s="277">
        <v>38350516</v>
      </c>
      <c r="D27" s="277"/>
      <c r="E27" s="39">
        <f t="shared" si="73"/>
        <v>500760</v>
      </c>
      <c r="F27" s="277">
        <v>4477157</v>
      </c>
      <c r="G27" s="277"/>
      <c r="H27" s="39">
        <f t="shared" si="74"/>
        <v>223100</v>
      </c>
      <c r="I27" s="277">
        <v>16301</v>
      </c>
      <c r="J27" s="277"/>
      <c r="K27" s="39">
        <f t="shared" si="42"/>
        <v>0</v>
      </c>
      <c r="L27" s="277">
        <v>279770</v>
      </c>
      <c r="M27" s="277"/>
      <c r="N27" s="39">
        <f t="shared" si="13"/>
        <v>275000</v>
      </c>
      <c r="O27" s="277">
        <v>8471</v>
      </c>
      <c r="P27" s="277"/>
      <c r="Q27" s="39">
        <f t="shared" si="14"/>
        <v>0</v>
      </c>
      <c r="R27" s="40"/>
      <c r="S27" s="277">
        <v>641888</v>
      </c>
      <c r="T27" s="277"/>
      <c r="U27" s="39">
        <f t="shared" si="15"/>
        <v>47500</v>
      </c>
      <c r="V27" s="276">
        <v>235774</v>
      </c>
      <c r="W27" s="276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9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31"/>
      <c r="BM27" s="131"/>
      <c r="BN27" s="49">
        <f t="shared" si="2"/>
        <v>4477157</v>
      </c>
      <c r="BR27" s="49">
        <f t="shared" si="3"/>
        <v>641888</v>
      </c>
      <c r="BU27" s="106"/>
      <c r="BV27" s="49">
        <f t="shared" si="4"/>
        <v>235774</v>
      </c>
      <c r="BW27" s="107"/>
      <c r="BX27" s="108"/>
      <c r="BY27" s="106"/>
      <c r="BZ27" s="108"/>
      <c r="CA27" s="106"/>
      <c r="CB27" s="43"/>
      <c r="CC27" s="49">
        <f t="shared" si="5"/>
        <v>6866900</v>
      </c>
      <c r="CF27" s="131"/>
      <c r="CG27" s="131"/>
      <c r="CH27" s="131"/>
      <c r="CI27" s="49">
        <f t="shared" si="6"/>
        <v>16958087</v>
      </c>
      <c r="CL27" s="131"/>
      <c r="CM27" s="132"/>
      <c r="CN27" s="49">
        <f t="shared" si="7"/>
        <v>6434</v>
      </c>
      <c r="CP27" s="133"/>
      <c r="CQ27" s="110"/>
      <c r="CR27" s="49">
        <f t="shared" si="8"/>
        <v>3725300</v>
      </c>
      <c r="CU27" s="131"/>
      <c r="CV27" s="132"/>
      <c r="CW27" s="49">
        <f t="shared" si="9"/>
        <v>40259715</v>
      </c>
      <c r="CZ27" s="131"/>
      <c r="DD27" s="134"/>
      <c r="DE27" s="134"/>
      <c r="DF27" s="134"/>
      <c r="DG27" s="134"/>
      <c r="DH27" s="135"/>
      <c r="DI27" s="136"/>
      <c r="DJ27" s="136"/>
    </row>
    <row r="28" spans="2:114" s="130" customFormat="1" x14ac:dyDescent="0.25">
      <c r="B28" s="129">
        <v>43983</v>
      </c>
      <c r="C28" s="277">
        <v>38407146</v>
      </c>
      <c r="D28" s="277"/>
      <c r="E28" s="39">
        <f t="shared" si="73"/>
        <v>566300</v>
      </c>
      <c r="F28" s="277">
        <v>4480519</v>
      </c>
      <c r="G28" s="277"/>
      <c r="H28" s="39">
        <f t="shared" si="74"/>
        <v>33620</v>
      </c>
      <c r="I28" s="277">
        <v>16301</v>
      </c>
      <c r="J28" s="277"/>
      <c r="K28" s="39">
        <f t="shared" si="42"/>
        <v>0</v>
      </c>
      <c r="L28" s="277">
        <v>280036</v>
      </c>
      <c r="M28" s="277"/>
      <c r="N28" s="39">
        <f t="shared" si="13"/>
        <v>266000</v>
      </c>
      <c r="O28" s="277">
        <v>8471</v>
      </c>
      <c r="P28" s="277"/>
      <c r="Q28" s="39">
        <f t="shared" ref="Q28" si="81">SUM(O28-O27)*100</f>
        <v>0</v>
      </c>
      <c r="R28" s="40"/>
      <c r="S28" s="277">
        <v>642356</v>
      </c>
      <c r="T28" s="277"/>
      <c r="U28" s="39">
        <f t="shared" ref="U28" si="82">SUM(S28-S27)*100</f>
        <v>46800</v>
      </c>
      <c r="V28" s="276">
        <v>235820</v>
      </c>
      <c r="W28" s="276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9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4">
        <f>SUM(BK28*1.1251)+2076.11</f>
        <v>5178.0107000000007</v>
      </c>
      <c r="BM28" s="102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4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15">
        <v>10060.66</v>
      </c>
      <c r="BV28" s="49">
        <f t="shared" si="4"/>
        <v>235820</v>
      </c>
      <c r="BW28" s="116">
        <v>23580</v>
      </c>
      <c r="BX28" s="50">
        <v>18.149999999999999</v>
      </c>
      <c r="BY28" s="115">
        <v>14.85</v>
      </c>
      <c r="BZ28" s="127">
        <f t="shared" ref="BZ28" si="83">SUM(BT28+BX28)</f>
        <v>12345.23</v>
      </c>
      <c r="CA28" s="115">
        <v>1197.8699999999999</v>
      </c>
      <c r="CB28" s="43"/>
      <c r="CC28" s="49">
        <f t="shared" si="5"/>
        <v>6868200</v>
      </c>
      <c r="CD28" s="138">
        <v>6867</v>
      </c>
      <c r="CE28" s="98">
        <f>SUM(CD28-CD23)</f>
        <v>15</v>
      </c>
      <c r="CF28" s="84">
        <f>SUM(CE28*1.1251)+129.67</f>
        <v>146.54649999999998</v>
      </c>
      <c r="CG28" s="102">
        <v>94.35</v>
      </c>
      <c r="CH28" s="102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4">
        <f>SUM(CK28*1.1251+207.57)</f>
        <v>633.98289999999997</v>
      </c>
      <c r="CM28" s="119">
        <v>257.89</v>
      </c>
      <c r="CN28" s="49">
        <f t="shared" si="7"/>
        <v>6498</v>
      </c>
      <c r="CO28" s="22">
        <v>6466</v>
      </c>
      <c r="CP28" s="27">
        <v>547.14</v>
      </c>
      <c r="CQ28" s="118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4">
        <f>SUM(CT28*1.1251)+207.57</f>
        <v>209.8202</v>
      </c>
      <c r="CV28" s="132"/>
      <c r="CW28" s="49">
        <f t="shared" si="9"/>
        <v>40268110</v>
      </c>
      <c r="CX28" s="22">
        <v>402623</v>
      </c>
      <c r="CY28" s="21">
        <f>SUM(CX28-CX23)</f>
        <v>16238</v>
      </c>
      <c r="CZ28" s="84">
        <f>SUM(CY28*0.8868)+1070.52</f>
        <v>15470.378400000001</v>
      </c>
      <c r="DC28" s="22">
        <f>SUM(E3023,E28)</f>
        <v>566300</v>
      </c>
      <c r="DD28" s="102" t="e">
        <f>SUM(BL28+CF28+CL28+#REF!+CU28)</f>
        <v>#REF!</v>
      </c>
      <c r="DE28" s="102">
        <f>SUM(BQ28+CZ28)</f>
        <v>18058.61</v>
      </c>
      <c r="DF28" s="102">
        <f>SUM(BM28+CG28+CV28)</f>
        <v>8938.09</v>
      </c>
      <c r="DG28" s="102" t="e">
        <f>SUM(DD28:DF28)</f>
        <v>#REF!</v>
      </c>
      <c r="DH28"/>
      <c r="DI28" s="121">
        <f>SUM(BU28+CQ28+BY28)</f>
        <v>10523.04</v>
      </c>
      <c r="DJ28" s="121">
        <f>SUM(CA28+CH28)</f>
        <v>1197.8699999999999</v>
      </c>
    </row>
    <row r="29" spans="2:114" s="130" customFormat="1" x14ac:dyDescent="0.25">
      <c r="B29" s="129">
        <v>43990</v>
      </c>
      <c r="C29" s="277">
        <v>38443480</v>
      </c>
      <c r="D29" s="277"/>
      <c r="E29" s="39">
        <f t="shared" ref="E29" si="84">SUM(C29-C28)*10</f>
        <v>363340</v>
      </c>
      <c r="F29" s="277">
        <v>4482884</v>
      </c>
      <c r="G29" s="277"/>
      <c r="H29" s="39">
        <f t="shared" ref="H29" si="85">SUM(F29-F28)*10</f>
        <v>23650</v>
      </c>
      <c r="I29" s="277">
        <v>16301</v>
      </c>
      <c r="J29" s="277"/>
      <c r="K29" s="39">
        <f t="shared" si="42"/>
        <v>0</v>
      </c>
      <c r="L29" s="277">
        <v>280276</v>
      </c>
      <c r="M29" s="277"/>
      <c r="N29" s="39">
        <f t="shared" si="13"/>
        <v>240000</v>
      </c>
      <c r="O29" s="277">
        <v>8471</v>
      </c>
      <c r="P29" s="277"/>
      <c r="Q29" s="39">
        <f t="shared" ref="Q29:Q55" si="86">SUM(O29-O28)*100</f>
        <v>0</v>
      </c>
      <c r="R29" s="40"/>
      <c r="S29" s="277">
        <v>642831</v>
      </c>
      <c r="T29" s="277"/>
      <c r="U29" s="39">
        <f t="shared" ref="U29:U55" si="87">SUM(S29-S28)*100</f>
        <v>47500</v>
      </c>
      <c r="V29" s="276">
        <v>235889</v>
      </c>
      <c r="W29" s="276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9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31"/>
      <c r="BM29" s="131"/>
      <c r="BN29" s="49">
        <f t="shared" si="2"/>
        <v>4482884</v>
      </c>
      <c r="BR29" s="49">
        <f t="shared" si="3"/>
        <v>642831</v>
      </c>
      <c r="BU29" s="106"/>
      <c r="BV29" s="49">
        <f t="shared" si="4"/>
        <v>235889</v>
      </c>
      <c r="BW29" s="107"/>
      <c r="BX29" s="108"/>
      <c r="BY29" s="106"/>
      <c r="BZ29" s="108"/>
      <c r="CA29" s="106"/>
      <c r="CB29" s="43"/>
      <c r="CC29" s="49">
        <f t="shared" si="5"/>
        <v>6869400</v>
      </c>
      <c r="CF29" s="131"/>
      <c r="CG29" s="131"/>
      <c r="CH29" s="131"/>
      <c r="CI29" s="49">
        <f t="shared" si="6"/>
        <v>17045900</v>
      </c>
      <c r="CL29" s="131"/>
      <c r="CM29" s="132"/>
      <c r="CN29" s="49">
        <f t="shared" si="7"/>
        <v>6567</v>
      </c>
      <c r="CP29" s="133"/>
      <c r="CQ29" s="110"/>
      <c r="CR29" s="49">
        <f t="shared" si="8"/>
        <v>3726000</v>
      </c>
      <c r="CU29" s="131"/>
      <c r="CV29" s="132"/>
      <c r="CW29" s="49">
        <f t="shared" si="9"/>
        <v>40276481</v>
      </c>
      <c r="CZ29" s="131"/>
      <c r="DD29" s="134"/>
      <c r="DE29" s="134"/>
      <c r="DF29" s="134"/>
      <c r="DG29" s="134"/>
      <c r="DH29" s="135"/>
      <c r="DI29" s="136"/>
      <c r="DJ29" s="136"/>
    </row>
    <row r="30" spans="2:114" s="130" customFormat="1" x14ac:dyDescent="0.25">
      <c r="B30" s="129">
        <v>43997</v>
      </c>
      <c r="C30" s="277">
        <v>38474944</v>
      </c>
      <c r="D30" s="277"/>
      <c r="E30" s="39">
        <f t="shared" ref="E30:E33" si="88">SUM(C30-C29)*10</f>
        <v>314640</v>
      </c>
      <c r="F30" s="277">
        <v>4484104</v>
      </c>
      <c r="G30" s="277"/>
      <c r="H30" s="39">
        <f t="shared" ref="H30:H33" si="89">SUM(F30-F29)*10</f>
        <v>12200</v>
      </c>
      <c r="I30" s="277">
        <v>16301</v>
      </c>
      <c r="J30" s="277"/>
      <c r="K30" s="39">
        <f t="shared" si="42"/>
        <v>0</v>
      </c>
      <c r="L30" s="277">
        <v>280509</v>
      </c>
      <c r="M30" s="277"/>
      <c r="N30" s="39">
        <f t="shared" si="13"/>
        <v>233000</v>
      </c>
      <c r="O30" s="277">
        <v>8471</v>
      </c>
      <c r="P30" s="277"/>
      <c r="Q30" s="39">
        <f t="shared" si="86"/>
        <v>0</v>
      </c>
      <c r="R30" s="40"/>
      <c r="S30" s="277">
        <v>643328</v>
      </c>
      <c r="T30" s="277"/>
      <c r="U30" s="39">
        <f t="shared" si="87"/>
        <v>49700</v>
      </c>
      <c r="V30" s="276">
        <v>235962</v>
      </c>
      <c r="W30" s="276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9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31"/>
      <c r="BM30" s="131"/>
      <c r="BN30" s="49">
        <f t="shared" si="2"/>
        <v>4484104</v>
      </c>
      <c r="BR30" s="49">
        <f t="shared" si="3"/>
        <v>643328</v>
      </c>
      <c r="BU30" s="106"/>
      <c r="BV30" s="49">
        <f t="shared" si="4"/>
        <v>235962</v>
      </c>
      <c r="BW30" s="107"/>
      <c r="BX30" s="108"/>
      <c r="BY30" s="106"/>
      <c r="BZ30" s="108"/>
      <c r="CA30" s="106"/>
      <c r="CB30" s="43"/>
      <c r="CC30" s="49">
        <f t="shared" si="5"/>
        <v>6872400</v>
      </c>
      <c r="CF30" s="131"/>
      <c r="CG30" s="131"/>
      <c r="CH30" s="131"/>
      <c r="CI30" s="49">
        <f t="shared" si="6"/>
        <v>17131694</v>
      </c>
      <c r="CL30" s="131"/>
      <c r="CM30" s="132"/>
      <c r="CN30" s="49">
        <f t="shared" si="7"/>
        <v>6630</v>
      </c>
      <c r="CP30" s="133"/>
      <c r="CQ30" s="110"/>
      <c r="CR30" s="49">
        <f t="shared" si="8"/>
        <v>3726300</v>
      </c>
      <c r="CU30" s="131"/>
      <c r="CV30" s="132"/>
      <c r="CW30" s="49">
        <f t="shared" si="9"/>
        <v>40284612</v>
      </c>
      <c r="CZ30" s="131"/>
      <c r="DD30" s="134"/>
      <c r="DE30" s="134"/>
      <c r="DF30" s="134"/>
      <c r="DG30" s="134"/>
      <c r="DH30" s="135"/>
      <c r="DI30" s="136"/>
      <c r="DJ30" s="136"/>
    </row>
    <row r="31" spans="2:114" s="130" customFormat="1" x14ac:dyDescent="0.25">
      <c r="B31" s="129">
        <v>44004</v>
      </c>
      <c r="C31" s="277">
        <v>38530741</v>
      </c>
      <c r="D31" s="277"/>
      <c r="E31" s="39">
        <f t="shared" si="88"/>
        <v>557970</v>
      </c>
      <c r="F31" s="277">
        <v>4500299</v>
      </c>
      <c r="G31" s="277"/>
      <c r="H31" s="39">
        <f t="shared" si="89"/>
        <v>161950</v>
      </c>
      <c r="I31" s="277">
        <v>16301</v>
      </c>
      <c r="J31" s="277"/>
      <c r="K31" s="39">
        <f t="shared" si="42"/>
        <v>0</v>
      </c>
      <c r="L31" s="277">
        <v>280882</v>
      </c>
      <c r="M31" s="277"/>
      <c r="N31" s="39">
        <f t="shared" si="13"/>
        <v>373000</v>
      </c>
      <c r="O31" s="277">
        <v>8471</v>
      </c>
      <c r="P31" s="277"/>
      <c r="Q31" s="39">
        <f t="shared" si="86"/>
        <v>0</v>
      </c>
      <c r="R31" s="40"/>
      <c r="S31" s="277">
        <v>643948</v>
      </c>
      <c r="T31" s="277"/>
      <c r="U31" s="39">
        <f t="shared" si="87"/>
        <v>62000</v>
      </c>
      <c r="V31" s="276">
        <v>236080</v>
      </c>
      <c r="W31" s="276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9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31"/>
      <c r="BM31" s="131"/>
      <c r="BN31" s="49">
        <f t="shared" si="2"/>
        <v>4500299</v>
      </c>
      <c r="BR31" s="49">
        <f t="shared" si="3"/>
        <v>643948</v>
      </c>
      <c r="BU31" s="106"/>
      <c r="BV31" s="49">
        <f t="shared" si="4"/>
        <v>236080</v>
      </c>
      <c r="BW31" s="107"/>
      <c r="BX31" s="108"/>
      <c r="BY31" s="106"/>
      <c r="BZ31" s="108"/>
      <c r="CA31" s="106"/>
      <c r="CB31" s="43"/>
      <c r="CC31" s="49">
        <f t="shared" si="5"/>
        <v>6876400</v>
      </c>
      <c r="CF31" s="131"/>
      <c r="CG31" s="131"/>
      <c r="CH31" s="131"/>
      <c r="CI31" s="49">
        <f t="shared" si="6"/>
        <v>17139257</v>
      </c>
      <c r="CL31" s="131"/>
      <c r="CM31" s="132"/>
      <c r="CN31" s="49">
        <f t="shared" si="7"/>
        <v>6698</v>
      </c>
      <c r="CP31" s="133"/>
      <c r="CQ31" s="110"/>
      <c r="CR31" s="49">
        <f t="shared" si="8"/>
        <v>3726700</v>
      </c>
      <c r="CU31" s="131"/>
      <c r="CV31" s="132"/>
      <c r="CW31" s="49">
        <f t="shared" si="9"/>
        <v>40372302</v>
      </c>
      <c r="CZ31" s="131"/>
      <c r="DD31" s="134"/>
      <c r="DE31" s="134"/>
      <c r="DF31" s="134"/>
      <c r="DG31" s="134"/>
      <c r="DH31" s="135"/>
      <c r="DI31" s="136"/>
      <c r="DJ31" s="136"/>
    </row>
    <row r="32" spans="2:114" s="130" customFormat="1" x14ac:dyDescent="0.25">
      <c r="B32" s="129">
        <v>44011</v>
      </c>
      <c r="C32" s="277">
        <v>38600820</v>
      </c>
      <c r="D32" s="277"/>
      <c r="E32" s="39">
        <f t="shared" si="88"/>
        <v>700790</v>
      </c>
      <c r="F32" s="277">
        <v>4511632</v>
      </c>
      <c r="G32" s="277"/>
      <c r="H32" s="39">
        <f t="shared" si="89"/>
        <v>113330</v>
      </c>
      <c r="I32" s="277">
        <v>16313</v>
      </c>
      <c r="J32" s="277"/>
      <c r="K32" s="39">
        <f t="shared" si="42"/>
        <v>120</v>
      </c>
      <c r="L32" s="277">
        <v>281315</v>
      </c>
      <c r="M32" s="277"/>
      <c r="N32" s="39">
        <f t="shared" si="13"/>
        <v>433000</v>
      </c>
      <c r="O32" s="277">
        <v>129</v>
      </c>
      <c r="P32" s="277"/>
      <c r="Q32" s="39">
        <v>129</v>
      </c>
      <c r="R32" s="40"/>
      <c r="S32" s="277">
        <v>645045</v>
      </c>
      <c r="T32" s="277"/>
      <c r="U32" s="39">
        <f t="shared" si="87"/>
        <v>109700</v>
      </c>
      <c r="V32" s="276">
        <v>236340</v>
      </c>
      <c r="W32" s="276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9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31"/>
      <c r="BM32" s="131"/>
      <c r="BN32" s="49">
        <f t="shared" si="2"/>
        <v>4511632</v>
      </c>
      <c r="BR32" s="49">
        <f t="shared" si="3"/>
        <v>645045</v>
      </c>
      <c r="BU32" s="106"/>
      <c r="BV32" s="49">
        <f t="shared" si="4"/>
        <v>236340</v>
      </c>
      <c r="BW32" s="107"/>
      <c r="BX32" s="108"/>
      <c r="BY32" s="106"/>
      <c r="BZ32" s="108"/>
      <c r="CA32" s="106"/>
      <c r="CB32" s="43"/>
      <c r="CC32" s="49">
        <f t="shared" si="5"/>
        <v>6878400</v>
      </c>
      <c r="CF32" s="131"/>
      <c r="CG32" s="131"/>
      <c r="CH32" s="131"/>
      <c r="CI32" s="49">
        <f t="shared" si="6"/>
        <v>17145687</v>
      </c>
      <c r="CL32" s="131"/>
      <c r="CM32" s="132"/>
      <c r="CN32" s="49">
        <f t="shared" si="7"/>
        <v>6751</v>
      </c>
      <c r="CP32" s="133"/>
      <c r="CQ32" s="110"/>
      <c r="CR32" s="49">
        <f t="shared" si="8"/>
        <v>3727100</v>
      </c>
      <c r="CU32" s="131"/>
      <c r="CV32" s="132"/>
      <c r="CW32" s="49">
        <f t="shared" si="9"/>
        <v>40673066</v>
      </c>
      <c r="CZ32" s="131"/>
      <c r="DD32" s="134"/>
      <c r="DE32" s="134"/>
      <c r="DF32" s="134"/>
      <c r="DG32" s="134"/>
      <c r="DH32" s="135"/>
      <c r="DI32" s="136"/>
      <c r="DJ32" s="136"/>
    </row>
    <row r="33" spans="2:114" s="130" customFormat="1" x14ac:dyDescent="0.25">
      <c r="B33" s="129">
        <v>44013</v>
      </c>
      <c r="C33" s="277">
        <v>38619000</v>
      </c>
      <c r="D33" s="277"/>
      <c r="E33" s="39">
        <f t="shared" si="88"/>
        <v>181800</v>
      </c>
      <c r="F33" s="277">
        <v>4521602</v>
      </c>
      <c r="G33" s="277"/>
      <c r="H33" s="39">
        <f t="shared" si="89"/>
        <v>99700</v>
      </c>
      <c r="I33" s="277">
        <v>16326</v>
      </c>
      <c r="J33" s="277"/>
      <c r="K33" s="39">
        <f t="shared" si="42"/>
        <v>130</v>
      </c>
      <c r="L33" s="277">
        <v>281431</v>
      </c>
      <c r="M33" s="277"/>
      <c r="N33" s="39">
        <f t="shared" si="13"/>
        <v>116000</v>
      </c>
      <c r="O33" s="277">
        <v>170</v>
      </c>
      <c r="P33" s="277"/>
      <c r="Q33" s="39">
        <f t="shared" si="86"/>
        <v>4100</v>
      </c>
      <c r="R33" s="40"/>
      <c r="S33" s="277">
        <v>645255</v>
      </c>
      <c r="T33" s="277"/>
      <c r="U33" s="39">
        <f t="shared" si="87"/>
        <v>21000</v>
      </c>
      <c r="V33" s="276">
        <v>236450</v>
      </c>
      <c r="W33" s="276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9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4">
        <f>SUM(BK33*1.1251)+2076.11</f>
        <v>3632.1233000000002</v>
      </c>
      <c r="BM33" s="102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4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15">
        <v>9107.86</v>
      </c>
      <c r="BV33" s="49">
        <f t="shared" si="4"/>
        <v>236450</v>
      </c>
      <c r="BW33" s="116">
        <v>26328</v>
      </c>
      <c r="BX33" s="50">
        <v>1187.44</v>
      </c>
      <c r="BY33" s="115">
        <v>969.71</v>
      </c>
      <c r="BZ33" s="127">
        <f t="shared" ref="BZ33" si="90">SUM(BT33+BX33)</f>
        <v>12362.130000000001</v>
      </c>
      <c r="CA33" s="115">
        <v>2882.89</v>
      </c>
      <c r="CB33" s="43"/>
      <c r="CC33" s="49">
        <f t="shared" si="5"/>
        <v>6880100</v>
      </c>
      <c r="CD33" s="138">
        <v>6876</v>
      </c>
      <c r="CE33" s="98">
        <f>SUM(CD33-CD28)</f>
        <v>9</v>
      </c>
      <c r="CF33" s="84">
        <f>SUM(CE33*1.1251)+129.67</f>
        <v>139.79589999999999</v>
      </c>
      <c r="CG33" s="102">
        <v>56.61</v>
      </c>
      <c r="CH33" s="102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4">
        <f>SUM(CK33*1.1251+207.57)</f>
        <v>384.21069999999997</v>
      </c>
      <c r="CM33" s="119">
        <v>188.7</v>
      </c>
      <c r="CN33" s="49">
        <f t="shared" si="7"/>
        <v>6764</v>
      </c>
      <c r="CO33" s="22">
        <v>6720</v>
      </c>
      <c r="CP33" s="27">
        <v>588.87</v>
      </c>
      <c r="CQ33" s="118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4">
        <f>SUM(CT33*1.1251)+207.57</f>
        <v>208.6951</v>
      </c>
      <c r="CV33" s="132"/>
      <c r="CW33" s="49">
        <f t="shared" si="9"/>
        <v>40840086</v>
      </c>
      <c r="CX33" s="22">
        <v>402896</v>
      </c>
      <c r="CY33" s="21">
        <f>SUM(CX33-CX28)</f>
        <v>273</v>
      </c>
      <c r="CZ33" s="84">
        <f>SUM(CY33*0.8868)+1070.52</f>
        <v>1312.6163999999999</v>
      </c>
      <c r="DC33" s="22">
        <f>SUM(E3028,E33)</f>
        <v>181800</v>
      </c>
      <c r="DD33" s="102" t="e">
        <f>SUM(BL33+CF33+CL33+#REF!+CU33)</f>
        <v>#REF!</v>
      </c>
      <c r="DE33" s="102">
        <f>SUM(BQ33+CZ33)</f>
        <v>3172.7851999999998</v>
      </c>
      <c r="DF33" s="102">
        <f>SUM(BM33+CG33+CV33)</f>
        <v>4151.3999999999996</v>
      </c>
      <c r="DG33" s="102" t="e">
        <f>SUM(DD33:DF33)</f>
        <v>#REF!</v>
      </c>
      <c r="DH33"/>
      <c r="DI33" s="121">
        <f>SUM(BU33+CQ33+BY33)</f>
        <v>10558.46</v>
      </c>
      <c r="DJ33" s="121">
        <f>SUM(CA33+CH33)</f>
        <v>2958.95</v>
      </c>
    </row>
    <row r="34" spans="2:114" s="130" customFormat="1" x14ac:dyDescent="0.25">
      <c r="B34" s="129">
        <v>44018</v>
      </c>
      <c r="C34" s="277">
        <v>38687385</v>
      </c>
      <c r="D34" s="277"/>
      <c r="E34" s="39">
        <f t="shared" ref="E34" si="91">SUM(C34-C33)*10</f>
        <v>683850</v>
      </c>
      <c r="F34" s="277">
        <v>4525358</v>
      </c>
      <c r="G34" s="277"/>
      <c r="H34" s="39">
        <f t="shared" ref="H34" si="92">SUM(F34-F33)*10</f>
        <v>37560</v>
      </c>
      <c r="I34" s="277">
        <v>16341</v>
      </c>
      <c r="J34" s="277"/>
      <c r="K34" s="39">
        <f t="shared" si="42"/>
        <v>150</v>
      </c>
      <c r="L34" s="277">
        <v>281950</v>
      </c>
      <c r="M34" s="277"/>
      <c r="N34" s="39">
        <f t="shared" si="13"/>
        <v>519000</v>
      </c>
      <c r="O34" s="277">
        <v>238</v>
      </c>
      <c r="P34" s="277"/>
      <c r="Q34" s="39">
        <f t="shared" si="86"/>
        <v>6800</v>
      </c>
      <c r="R34" s="40"/>
      <c r="S34" s="277">
        <v>646500</v>
      </c>
      <c r="T34" s="277"/>
      <c r="U34" s="39">
        <f t="shared" si="87"/>
        <v>124500</v>
      </c>
      <c r="V34" s="276">
        <v>237800</v>
      </c>
      <c r="W34" s="276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9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31"/>
      <c r="BM34" s="131"/>
      <c r="BN34" s="49">
        <f t="shared" si="2"/>
        <v>4525358</v>
      </c>
      <c r="BR34" s="49">
        <f t="shared" si="3"/>
        <v>646500</v>
      </c>
      <c r="BU34" s="106"/>
      <c r="BV34" s="49">
        <f t="shared" si="4"/>
        <v>237800</v>
      </c>
      <c r="BW34" s="107"/>
      <c r="BX34" s="108"/>
      <c r="BY34" s="106"/>
      <c r="BZ34" s="108"/>
      <c r="CA34" s="106"/>
      <c r="CB34" s="43"/>
      <c r="CC34" s="49">
        <f t="shared" si="5"/>
        <v>6881400</v>
      </c>
      <c r="CF34" s="131"/>
      <c r="CG34" s="131"/>
      <c r="CH34" s="131"/>
      <c r="CI34" s="49">
        <f t="shared" si="6"/>
        <v>17153524</v>
      </c>
      <c r="CL34" s="131"/>
      <c r="CM34" s="132"/>
      <c r="CN34" s="49">
        <f t="shared" si="7"/>
        <v>6819</v>
      </c>
      <c r="CP34" s="133"/>
      <c r="CQ34" s="110"/>
      <c r="CR34" s="49">
        <f t="shared" si="8"/>
        <v>3727500</v>
      </c>
      <c r="CU34" s="131"/>
      <c r="CV34" s="132"/>
      <c r="CW34" s="49">
        <f t="shared" si="9"/>
        <v>40915522</v>
      </c>
      <c r="CZ34" s="131"/>
      <c r="DD34" s="134"/>
      <c r="DE34" s="134"/>
      <c r="DF34" s="134"/>
      <c r="DG34" s="134"/>
      <c r="DH34" s="135"/>
      <c r="DI34" s="136"/>
      <c r="DJ34" s="136"/>
    </row>
    <row r="35" spans="2:114" s="130" customFormat="1" x14ac:dyDescent="0.25">
      <c r="B35" s="129">
        <v>44025</v>
      </c>
      <c r="C35" s="277">
        <v>38764399</v>
      </c>
      <c r="D35" s="277"/>
      <c r="E35" s="39">
        <f t="shared" ref="E35:E38" si="93">SUM(C35-C34)*10</f>
        <v>770140</v>
      </c>
      <c r="F35" s="277">
        <v>4532992</v>
      </c>
      <c r="G35" s="277"/>
      <c r="H35" s="39">
        <f t="shared" ref="H35:H38" si="94">SUM(F35-F34)*10</f>
        <v>76340</v>
      </c>
      <c r="I35" s="277">
        <v>16345</v>
      </c>
      <c r="J35" s="277"/>
      <c r="K35" s="39">
        <f t="shared" si="42"/>
        <v>40</v>
      </c>
      <c r="L35" s="277">
        <v>282540</v>
      </c>
      <c r="M35" s="277"/>
      <c r="N35" s="39">
        <f t="shared" si="13"/>
        <v>590000</v>
      </c>
      <c r="O35" s="277">
        <v>267</v>
      </c>
      <c r="P35" s="277"/>
      <c r="Q35" s="39">
        <f t="shared" si="86"/>
        <v>2900</v>
      </c>
      <c r="R35" s="40"/>
      <c r="S35" s="277">
        <v>648126</v>
      </c>
      <c r="T35" s="277"/>
      <c r="U35" s="39">
        <f t="shared" si="87"/>
        <v>162600</v>
      </c>
      <c r="V35" s="276">
        <v>239530</v>
      </c>
      <c r="W35" s="276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9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31"/>
      <c r="BM35" s="131"/>
      <c r="BN35" s="49">
        <f t="shared" si="2"/>
        <v>4532992</v>
      </c>
      <c r="BR35" s="49">
        <f t="shared" si="3"/>
        <v>648126</v>
      </c>
      <c r="BU35" s="106"/>
      <c r="BV35" s="49">
        <f t="shared" si="4"/>
        <v>239530</v>
      </c>
      <c r="BW35" s="107"/>
      <c r="BX35" s="108"/>
      <c r="BY35" s="106"/>
      <c r="BZ35" s="108"/>
      <c r="CA35" s="106"/>
      <c r="CB35" s="43"/>
      <c r="CC35" s="49">
        <f t="shared" si="5"/>
        <v>6882600</v>
      </c>
      <c r="CF35" s="131"/>
      <c r="CG35" s="131"/>
      <c r="CH35" s="131"/>
      <c r="CI35" s="49">
        <f t="shared" si="6"/>
        <v>17160912</v>
      </c>
      <c r="CL35" s="131"/>
      <c r="CM35" s="132"/>
      <c r="CN35" s="49">
        <f t="shared" si="7"/>
        <v>6891</v>
      </c>
      <c r="CP35" s="133"/>
      <c r="CQ35" s="110"/>
      <c r="CR35" s="49">
        <f t="shared" si="8"/>
        <v>3727900</v>
      </c>
      <c r="CU35" s="131"/>
      <c r="CV35" s="132"/>
      <c r="CW35" s="49">
        <f t="shared" si="9"/>
        <v>40923966</v>
      </c>
      <c r="CZ35" s="131"/>
      <c r="DD35" s="134"/>
      <c r="DE35" s="134"/>
      <c r="DF35" s="134"/>
      <c r="DG35" s="134"/>
      <c r="DH35" s="135"/>
      <c r="DI35" s="136"/>
      <c r="DJ35" s="136"/>
    </row>
    <row r="36" spans="2:114" s="130" customFormat="1" x14ac:dyDescent="0.25">
      <c r="B36" s="129">
        <v>44032</v>
      </c>
      <c r="C36" s="277">
        <v>38856322</v>
      </c>
      <c r="D36" s="277"/>
      <c r="E36" s="39">
        <f t="shared" si="93"/>
        <v>919230</v>
      </c>
      <c r="F36" s="277">
        <v>4546842</v>
      </c>
      <c r="G36" s="277"/>
      <c r="H36" s="39">
        <f t="shared" si="94"/>
        <v>138500</v>
      </c>
      <c r="I36" s="277">
        <v>16361</v>
      </c>
      <c r="J36" s="277"/>
      <c r="K36" s="39">
        <f t="shared" si="42"/>
        <v>160</v>
      </c>
      <c r="L36" s="277">
        <v>283170</v>
      </c>
      <c r="M36" s="277"/>
      <c r="N36" s="39">
        <f t="shared" si="13"/>
        <v>630000</v>
      </c>
      <c r="O36" s="277">
        <v>267</v>
      </c>
      <c r="P36" s="277"/>
      <c r="Q36" s="39">
        <f t="shared" si="86"/>
        <v>0</v>
      </c>
      <c r="R36" s="40"/>
      <c r="S36" s="277">
        <v>649770</v>
      </c>
      <c r="T36" s="277"/>
      <c r="U36" s="39">
        <f t="shared" si="87"/>
        <v>164400</v>
      </c>
      <c r="V36" s="276">
        <v>240790</v>
      </c>
      <c r="W36" s="276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9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31"/>
      <c r="BM36" s="131"/>
      <c r="BN36" s="49">
        <f t="shared" si="2"/>
        <v>4546842</v>
      </c>
      <c r="BR36" s="49">
        <f t="shared" si="3"/>
        <v>649770</v>
      </c>
      <c r="BU36" s="106"/>
      <c r="BV36" s="49">
        <f t="shared" si="4"/>
        <v>240790</v>
      </c>
      <c r="BW36" s="107"/>
      <c r="BX36" s="108"/>
      <c r="BY36" s="106"/>
      <c r="BZ36" s="108"/>
      <c r="CA36" s="106"/>
      <c r="CB36" s="43"/>
      <c r="CC36" s="49">
        <f t="shared" si="5"/>
        <v>6884600</v>
      </c>
      <c r="CF36" s="131"/>
      <c r="CG36" s="131"/>
      <c r="CH36" s="131"/>
      <c r="CI36" s="49">
        <f t="shared" si="6"/>
        <v>17169253</v>
      </c>
      <c r="CL36" s="131"/>
      <c r="CM36" s="132"/>
      <c r="CN36" s="49">
        <f t="shared" si="7"/>
        <v>6954</v>
      </c>
      <c r="CP36" s="133"/>
      <c r="CQ36" s="110"/>
      <c r="CR36" s="49">
        <f t="shared" si="8"/>
        <v>3728700</v>
      </c>
      <c r="CU36" s="131"/>
      <c r="CV36" s="132"/>
      <c r="CW36" s="49">
        <f t="shared" si="9"/>
        <v>41123656</v>
      </c>
      <c r="CZ36" s="131"/>
      <c r="DD36" s="134"/>
      <c r="DE36" s="134"/>
      <c r="DF36" s="134"/>
      <c r="DG36" s="134"/>
      <c r="DH36" s="135"/>
      <c r="DI36" s="136"/>
      <c r="DJ36" s="136"/>
    </row>
    <row r="37" spans="2:114" s="130" customFormat="1" x14ac:dyDescent="0.25">
      <c r="B37" s="129">
        <v>44039</v>
      </c>
      <c r="C37" s="277">
        <v>38944662</v>
      </c>
      <c r="D37" s="277"/>
      <c r="E37" s="39">
        <f t="shared" si="93"/>
        <v>883400</v>
      </c>
      <c r="F37" s="277">
        <v>4553700</v>
      </c>
      <c r="G37" s="277"/>
      <c r="H37" s="39">
        <f t="shared" si="94"/>
        <v>68580</v>
      </c>
      <c r="I37" s="277">
        <v>16378</v>
      </c>
      <c r="J37" s="277"/>
      <c r="K37" s="39">
        <f t="shared" si="42"/>
        <v>170</v>
      </c>
      <c r="L37" s="277">
        <v>283804</v>
      </c>
      <c r="M37" s="277"/>
      <c r="N37" s="39">
        <f t="shared" si="13"/>
        <v>634000</v>
      </c>
      <c r="O37" s="277">
        <v>267</v>
      </c>
      <c r="P37" s="277"/>
      <c r="Q37" s="39">
        <f t="shared" si="86"/>
        <v>0</v>
      </c>
      <c r="R37" s="40"/>
      <c r="S37" s="277">
        <v>651422</v>
      </c>
      <c r="T37" s="277"/>
      <c r="U37" s="39">
        <f t="shared" si="87"/>
        <v>165200</v>
      </c>
      <c r="V37" s="276">
        <v>243000</v>
      </c>
      <c r="W37" s="276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9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31"/>
      <c r="BM37" s="131"/>
      <c r="BN37" s="49">
        <f t="shared" si="2"/>
        <v>4553700</v>
      </c>
      <c r="BR37" s="49">
        <f t="shared" si="3"/>
        <v>651422</v>
      </c>
      <c r="BU37" s="106"/>
      <c r="BV37" s="49">
        <f t="shared" si="4"/>
        <v>243000</v>
      </c>
      <c r="BW37" s="107"/>
      <c r="BX37" s="108"/>
      <c r="BY37" s="106"/>
      <c r="BZ37" s="108"/>
      <c r="CA37" s="106"/>
      <c r="CB37" s="43"/>
      <c r="CC37" s="49">
        <f t="shared" si="5"/>
        <v>6887700</v>
      </c>
      <c r="CF37" s="131"/>
      <c r="CG37" s="131"/>
      <c r="CH37" s="131"/>
      <c r="CI37" s="49">
        <f t="shared" si="6"/>
        <v>17175661</v>
      </c>
      <c r="CL37" s="131"/>
      <c r="CM37" s="132"/>
      <c r="CN37" s="49">
        <f t="shared" si="7"/>
        <v>7019</v>
      </c>
      <c r="CP37" s="133"/>
      <c r="CQ37" s="110"/>
      <c r="CR37" s="49">
        <f t="shared" si="8"/>
        <v>3728700</v>
      </c>
      <c r="CU37" s="131"/>
      <c r="CV37" s="132"/>
      <c r="CW37" s="49">
        <f t="shared" si="9"/>
        <v>41169920</v>
      </c>
      <c r="CZ37" s="131"/>
      <c r="DD37" s="134"/>
      <c r="DE37" s="134"/>
      <c r="DF37" s="134"/>
      <c r="DG37" s="134"/>
      <c r="DH37" s="135"/>
      <c r="DI37" s="136"/>
      <c r="DJ37" s="136"/>
    </row>
    <row r="38" spans="2:114" s="130" customFormat="1" x14ac:dyDescent="0.25">
      <c r="B38" s="129">
        <v>44044</v>
      </c>
      <c r="C38" s="277">
        <v>39009065</v>
      </c>
      <c r="D38" s="277"/>
      <c r="E38" s="39">
        <f t="shared" si="93"/>
        <v>644030</v>
      </c>
      <c r="F38" s="277">
        <v>4563353</v>
      </c>
      <c r="G38" s="277"/>
      <c r="H38" s="39">
        <f t="shared" si="94"/>
        <v>96530</v>
      </c>
      <c r="I38" s="277">
        <v>16392</v>
      </c>
      <c r="J38" s="277"/>
      <c r="K38" s="39">
        <f t="shared" si="42"/>
        <v>140</v>
      </c>
      <c r="L38" s="277">
        <v>284264</v>
      </c>
      <c r="M38" s="277"/>
      <c r="N38" s="39">
        <f t="shared" si="13"/>
        <v>460000</v>
      </c>
      <c r="O38" s="277">
        <v>1306</v>
      </c>
      <c r="P38" s="277"/>
      <c r="Q38" s="39">
        <f t="shared" si="86"/>
        <v>103900</v>
      </c>
      <c r="R38" s="40"/>
      <c r="S38" s="277">
        <v>652605</v>
      </c>
      <c r="T38" s="277"/>
      <c r="U38" s="39">
        <f t="shared" si="87"/>
        <v>118300</v>
      </c>
      <c r="V38" s="276">
        <v>244175</v>
      </c>
      <c r="W38" s="276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9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4">
        <f>SUM(BK38*1.1251)+2076.11</f>
        <v>5691.0563000000002</v>
      </c>
      <c r="BM38" s="102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4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15">
        <v>25075.15</v>
      </c>
      <c r="BV38" s="49">
        <f t="shared" si="4"/>
        <v>244175</v>
      </c>
      <c r="BW38" s="116">
        <v>26328</v>
      </c>
      <c r="BX38" s="50">
        <v>0</v>
      </c>
      <c r="BY38" s="115">
        <v>0</v>
      </c>
      <c r="BZ38" s="127">
        <f t="shared" ref="BZ38" si="95">SUM(BT38+BX38)</f>
        <v>30750.35</v>
      </c>
      <c r="CA38" s="115">
        <v>6828.29</v>
      </c>
      <c r="CB38" s="43"/>
      <c r="CC38" s="49">
        <f t="shared" si="5"/>
        <v>6891000</v>
      </c>
      <c r="CD38" s="138">
        <v>6885</v>
      </c>
      <c r="CE38" s="98">
        <f>SUM(CD38-CD33)</f>
        <v>9</v>
      </c>
      <c r="CF38" s="84">
        <f>SUM(CE38*1.1251)+129.67</f>
        <v>139.79589999999999</v>
      </c>
      <c r="CG38" s="102">
        <v>56.61</v>
      </c>
      <c r="CH38" s="102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4">
        <f>SUM(CK38*1.1251+207.57)</f>
        <v>242.44809999999998</v>
      </c>
      <c r="CM38" s="119">
        <v>194.99</v>
      </c>
      <c r="CN38" s="49">
        <f t="shared" si="7"/>
        <v>7060</v>
      </c>
      <c r="CO38" s="22">
        <v>6981</v>
      </c>
      <c r="CP38" s="27">
        <v>605.1</v>
      </c>
      <c r="CQ38" s="118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4">
        <f>SUM(CT38*1.1251)+207.57</f>
        <v>209.8202</v>
      </c>
      <c r="CV38" s="132"/>
      <c r="CW38" s="49">
        <f t="shared" si="9"/>
        <v>41210000</v>
      </c>
      <c r="CX38" s="22">
        <v>410264</v>
      </c>
      <c r="CY38" s="21">
        <f>SUM(CX38-CX33)</f>
        <v>7368</v>
      </c>
      <c r="CZ38" s="84">
        <f>SUM(CY38*0.8868)+1070.52</f>
        <v>7604.4624000000003</v>
      </c>
      <c r="DC38" s="22">
        <f>SUM(E3033,E38)</f>
        <v>644030</v>
      </c>
      <c r="DD38" s="102" t="e">
        <f>SUM(BL38+CF38+CL38+#REF!+CU38)</f>
        <v>#REF!</v>
      </c>
      <c r="DE38" s="102">
        <f>SUM(BQ38+CZ38)</f>
        <v>9757.2752</v>
      </c>
      <c r="DF38" s="102">
        <f>SUM(BM38+CG38+CV38)</f>
        <v>11737.140000000001</v>
      </c>
      <c r="DG38" s="102" t="e">
        <f>SUM(DD38:DF38)</f>
        <v>#REF!</v>
      </c>
      <c r="DH38"/>
      <c r="DI38" s="121">
        <f>SUM(BU38+CQ38+BY38)</f>
        <v>25570.41</v>
      </c>
      <c r="DJ38" s="121">
        <f>SUM(CA38+CH38)</f>
        <v>7931.16</v>
      </c>
    </row>
    <row r="39" spans="2:114" s="130" customFormat="1" x14ac:dyDescent="0.25">
      <c r="B39" s="129">
        <v>44046</v>
      </c>
      <c r="C39" s="277">
        <v>39033100</v>
      </c>
      <c r="D39" s="277"/>
      <c r="E39" s="39">
        <f t="shared" ref="E39:E40" si="96">SUM(C39-C38)*10</f>
        <v>240350</v>
      </c>
      <c r="F39" s="277">
        <v>4565230</v>
      </c>
      <c r="G39" s="277"/>
      <c r="H39" s="39">
        <f t="shared" ref="H39:H40" si="97">SUM(F39-F38)*10</f>
        <v>18770</v>
      </c>
      <c r="I39" s="277">
        <v>16393</v>
      </c>
      <c r="J39" s="277"/>
      <c r="K39" s="39">
        <f t="shared" si="42"/>
        <v>10</v>
      </c>
      <c r="L39" s="277">
        <v>284440</v>
      </c>
      <c r="M39" s="277"/>
      <c r="N39" s="39">
        <f t="shared" si="13"/>
        <v>176000</v>
      </c>
      <c r="O39" s="277">
        <v>1373</v>
      </c>
      <c r="P39" s="277"/>
      <c r="Q39" s="39">
        <f t="shared" si="86"/>
        <v>6700</v>
      </c>
      <c r="R39" s="40"/>
      <c r="S39" s="277">
        <v>653019</v>
      </c>
      <c r="T39" s="277"/>
      <c r="U39" s="39">
        <f t="shared" si="87"/>
        <v>41400</v>
      </c>
      <c r="V39" s="276">
        <v>244420</v>
      </c>
      <c r="W39" s="276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9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31"/>
      <c r="BM39" s="131"/>
      <c r="BN39" s="49">
        <f t="shared" si="2"/>
        <v>4565230</v>
      </c>
      <c r="BR39" s="49">
        <f t="shared" si="3"/>
        <v>653019</v>
      </c>
      <c r="BU39" s="106"/>
      <c r="BV39" s="49">
        <f t="shared" si="4"/>
        <v>244420</v>
      </c>
      <c r="BW39" s="107"/>
      <c r="BX39" s="108"/>
      <c r="BY39" s="106"/>
      <c r="BZ39" s="108"/>
      <c r="CA39" s="106"/>
      <c r="CB39" s="43"/>
      <c r="CC39" s="49">
        <f t="shared" si="5"/>
        <v>6892600</v>
      </c>
      <c r="CF39" s="131"/>
      <c r="CG39" s="131"/>
      <c r="CH39" s="131"/>
      <c r="CI39" s="49">
        <f t="shared" si="6"/>
        <v>17184383</v>
      </c>
      <c r="CL39" s="131"/>
      <c r="CM39" s="132"/>
      <c r="CN39" s="49">
        <f t="shared" si="7"/>
        <v>7094</v>
      </c>
      <c r="CP39" s="133"/>
      <c r="CQ39" s="110"/>
      <c r="CR39" s="49">
        <f t="shared" si="8"/>
        <v>3729000</v>
      </c>
      <c r="CU39" s="131"/>
      <c r="CV39" s="132"/>
      <c r="CW39" s="49">
        <f t="shared" si="9"/>
        <v>41310200</v>
      </c>
      <c r="CZ39" s="131"/>
      <c r="DD39" s="134"/>
      <c r="DE39" s="134"/>
      <c r="DF39" s="134"/>
      <c r="DG39" s="134"/>
      <c r="DH39" s="135"/>
      <c r="DI39" s="136"/>
      <c r="DJ39" s="136"/>
    </row>
    <row r="40" spans="2:114" s="130" customFormat="1" x14ac:dyDescent="0.25">
      <c r="B40" s="129">
        <v>44053</v>
      </c>
      <c r="C40" s="277">
        <v>39128069</v>
      </c>
      <c r="D40" s="277"/>
      <c r="E40" s="39">
        <f t="shared" si="96"/>
        <v>949690</v>
      </c>
      <c r="F40" s="277">
        <v>4575395</v>
      </c>
      <c r="G40" s="277"/>
      <c r="H40" s="39">
        <f t="shared" si="97"/>
        <v>101650</v>
      </c>
      <c r="I40" s="277">
        <v>16410</v>
      </c>
      <c r="J40" s="277"/>
      <c r="K40" s="39">
        <f t="shared" si="42"/>
        <v>170</v>
      </c>
      <c r="L40" s="277">
        <v>285147</v>
      </c>
      <c r="M40" s="277"/>
      <c r="N40" s="39">
        <f t="shared" si="13"/>
        <v>707000</v>
      </c>
      <c r="O40" s="277">
        <v>1590</v>
      </c>
      <c r="P40" s="277"/>
      <c r="Q40" s="39">
        <f t="shared" si="86"/>
        <v>21700</v>
      </c>
      <c r="R40" s="40"/>
      <c r="S40" s="277">
        <v>654705</v>
      </c>
      <c r="T40" s="277"/>
      <c r="U40" s="39">
        <f t="shared" si="87"/>
        <v>168600</v>
      </c>
      <c r="V40" s="276">
        <v>245500</v>
      </c>
      <c r="W40" s="276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9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31"/>
      <c r="BM40" s="131"/>
      <c r="BN40" s="49">
        <f t="shared" si="2"/>
        <v>4575395</v>
      </c>
      <c r="BR40" s="49">
        <f t="shared" si="3"/>
        <v>654705</v>
      </c>
      <c r="BU40" s="106"/>
      <c r="BV40" s="49">
        <f t="shared" si="4"/>
        <v>245500</v>
      </c>
      <c r="BW40" s="107"/>
      <c r="BX40" s="108"/>
      <c r="BY40" s="106"/>
      <c r="BZ40" s="108"/>
      <c r="CA40" s="106"/>
      <c r="CB40" s="43"/>
      <c r="CC40" s="49">
        <f t="shared" si="5"/>
        <v>6894200</v>
      </c>
      <c r="CF40" s="131"/>
      <c r="CG40" s="131"/>
      <c r="CH40" s="131"/>
      <c r="CI40" s="49">
        <f t="shared" si="6"/>
        <v>17190827</v>
      </c>
      <c r="CL40" s="131"/>
      <c r="CM40" s="132"/>
      <c r="CN40" s="49">
        <f t="shared" si="7"/>
        <v>7153</v>
      </c>
      <c r="CP40" s="133"/>
      <c r="CQ40" s="110"/>
      <c r="CR40" s="49">
        <f t="shared" si="8"/>
        <v>3729600</v>
      </c>
      <c r="CU40" s="131"/>
      <c r="CV40" s="132"/>
      <c r="CW40" s="49">
        <f t="shared" si="9"/>
        <v>41444056</v>
      </c>
      <c r="CZ40" s="131"/>
      <c r="DD40" s="134"/>
      <c r="DE40" s="134"/>
      <c r="DF40" s="134"/>
      <c r="DG40" s="134"/>
      <c r="DH40" s="135"/>
      <c r="DI40" s="136"/>
      <c r="DJ40" s="136"/>
    </row>
    <row r="41" spans="2:114" s="130" customFormat="1" x14ac:dyDescent="0.25">
      <c r="B41" s="129">
        <v>44060</v>
      </c>
      <c r="C41" s="277">
        <v>39232845</v>
      </c>
      <c r="D41" s="277"/>
      <c r="E41" s="39">
        <f t="shared" ref="E41" si="98">SUM(C41-C40)*10</f>
        <v>1047760</v>
      </c>
      <c r="F41" s="277">
        <v>4576838</v>
      </c>
      <c r="G41" s="277"/>
      <c r="H41" s="39">
        <f t="shared" ref="H41" si="99">SUM(F41-F40)*10</f>
        <v>14430</v>
      </c>
      <c r="I41" s="277">
        <v>16431</v>
      </c>
      <c r="J41" s="277"/>
      <c r="K41" s="39">
        <f t="shared" si="42"/>
        <v>210</v>
      </c>
      <c r="L41" s="277">
        <v>285886</v>
      </c>
      <c r="M41" s="277"/>
      <c r="N41" s="39">
        <f t="shared" si="13"/>
        <v>739000</v>
      </c>
      <c r="O41" s="277">
        <v>1800</v>
      </c>
      <c r="P41" s="277"/>
      <c r="Q41" s="39">
        <f t="shared" si="86"/>
        <v>21000</v>
      </c>
      <c r="R41" s="40"/>
      <c r="S41" s="277">
        <v>656513</v>
      </c>
      <c r="T41" s="277"/>
      <c r="U41" s="39">
        <f t="shared" si="87"/>
        <v>180800</v>
      </c>
      <c r="V41" s="276">
        <v>246830</v>
      </c>
      <c r="W41" s="276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9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30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31"/>
      <c r="BM41" s="131"/>
      <c r="BN41" s="49">
        <f t="shared" si="2"/>
        <v>4576838</v>
      </c>
      <c r="BR41" s="49">
        <f t="shared" si="3"/>
        <v>656513</v>
      </c>
      <c r="BU41" s="106"/>
      <c r="BV41" s="49">
        <f t="shared" si="4"/>
        <v>246830</v>
      </c>
      <c r="BW41" s="107"/>
      <c r="BX41" s="108"/>
      <c r="BY41" s="106"/>
      <c r="BZ41" s="108"/>
      <c r="CA41" s="106"/>
      <c r="CB41" s="43"/>
      <c r="CC41" s="49">
        <f t="shared" si="5"/>
        <v>6897100</v>
      </c>
      <c r="CF41" s="131"/>
      <c r="CG41" s="131"/>
      <c r="CH41" s="131"/>
      <c r="CI41" s="49">
        <f t="shared" si="6"/>
        <v>17199536</v>
      </c>
      <c r="CL41" s="131"/>
      <c r="CM41" s="132"/>
      <c r="CN41" s="49">
        <f t="shared" si="7"/>
        <v>7234</v>
      </c>
      <c r="CP41" s="133"/>
      <c r="CQ41" s="110"/>
      <c r="CR41" s="49">
        <f>(BC42)</f>
        <v>3730600</v>
      </c>
      <c r="CU41" s="131"/>
      <c r="CV41" s="132"/>
      <c r="CW41" s="49">
        <f t="shared" si="9"/>
        <v>41571225</v>
      </c>
      <c r="CZ41" s="131"/>
      <c r="DD41" s="134"/>
      <c r="DE41" s="134"/>
      <c r="DF41" s="134"/>
      <c r="DG41" s="134"/>
      <c r="DH41" s="135"/>
      <c r="DI41" s="136"/>
      <c r="DJ41" s="136"/>
    </row>
    <row r="42" spans="2:114" s="130" customFormat="1" x14ac:dyDescent="0.25">
      <c r="B42" s="129">
        <v>44067</v>
      </c>
      <c r="C42" s="277">
        <v>39339250</v>
      </c>
      <c r="D42" s="277"/>
      <c r="E42" s="39">
        <f t="shared" ref="E42" si="100">SUM(C42-C41)*10</f>
        <v>1064050</v>
      </c>
      <c r="F42" s="277">
        <v>4588890</v>
      </c>
      <c r="G42" s="277"/>
      <c r="H42" s="39">
        <f t="shared" ref="H42" si="101">SUM(F42-F41)*10</f>
        <v>120520</v>
      </c>
      <c r="I42" s="277">
        <v>16447</v>
      </c>
      <c r="J42" s="277"/>
      <c r="K42" s="39">
        <f t="shared" si="42"/>
        <v>160</v>
      </c>
      <c r="L42" s="277">
        <v>286532</v>
      </c>
      <c r="M42" s="277"/>
      <c r="N42" s="39">
        <f t="shared" si="13"/>
        <v>646000</v>
      </c>
      <c r="O42" s="277">
        <v>1992</v>
      </c>
      <c r="P42" s="277"/>
      <c r="Q42" s="39">
        <f t="shared" si="86"/>
        <v>19200</v>
      </c>
      <c r="R42" s="40"/>
      <c r="S42" s="277">
        <v>658140</v>
      </c>
      <c r="T42" s="277"/>
      <c r="U42" s="39">
        <f t="shared" si="87"/>
        <v>162700</v>
      </c>
      <c r="V42" s="276">
        <v>249460</v>
      </c>
      <c r="W42" s="276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9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30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31"/>
      <c r="BM42" s="131"/>
      <c r="BN42" s="49">
        <f t="shared" si="2"/>
        <v>4588890</v>
      </c>
      <c r="BR42" s="49">
        <f t="shared" si="3"/>
        <v>658140</v>
      </c>
      <c r="BU42" s="106"/>
      <c r="BV42" s="49">
        <f t="shared" si="4"/>
        <v>249460</v>
      </c>
      <c r="BW42" s="107"/>
      <c r="BX42" s="108"/>
      <c r="BY42" s="106"/>
      <c r="BZ42" s="108"/>
      <c r="CA42" s="106"/>
      <c r="CB42" s="43"/>
      <c r="CC42" s="49">
        <f t="shared" si="5"/>
        <v>6900200</v>
      </c>
      <c r="CF42" s="131"/>
      <c r="CG42" s="131"/>
      <c r="CH42" s="131"/>
      <c r="CI42" s="49">
        <f t="shared" si="6"/>
        <v>17207931</v>
      </c>
      <c r="CL42" s="131"/>
      <c r="CM42" s="132"/>
      <c r="CN42" s="49">
        <f t="shared" si="7"/>
        <v>7311</v>
      </c>
      <c r="CP42" s="133"/>
      <c r="CQ42" s="110"/>
      <c r="CR42" s="49">
        <f>(BC43)</f>
        <v>3731100</v>
      </c>
      <c r="CU42" s="131"/>
      <c r="CV42" s="132"/>
      <c r="CW42" s="49">
        <f t="shared" si="9"/>
        <v>41690556</v>
      </c>
      <c r="CZ42" s="131"/>
      <c r="DD42" s="134"/>
      <c r="DE42" s="134"/>
      <c r="DF42" s="134"/>
      <c r="DG42" s="134"/>
      <c r="DH42" s="135"/>
      <c r="DI42" s="136"/>
      <c r="DJ42" s="136"/>
    </row>
    <row r="43" spans="2:114" s="130" customFormat="1" x14ac:dyDescent="0.25">
      <c r="B43" s="129">
        <v>44074</v>
      </c>
      <c r="C43" s="277">
        <v>39438714</v>
      </c>
      <c r="D43" s="277"/>
      <c r="E43" s="39">
        <f t="shared" ref="E43" si="102">SUM(C43-C42)*10</f>
        <v>994640</v>
      </c>
      <c r="F43" s="277">
        <v>4604967</v>
      </c>
      <c r="G43" s="277"/>
      <c r="H43" s="39">
        <f t="shared" ref="H43" si="103">SUM(F43-F42)*10</f>
        <v>160770</v>
      </c>
      <c r="I43" s="277">
        <v>16465</v>
      </c>
      <c r="J43" s="277"/>
      <c r="K43" s="39">
        <f t="shared" si="42"/>
        <v>180</v>
      </c>
      <c r="L43" s="277">
        <v>287197</v>
      </c>
      <c r="M43" s="277"/>
      <c r="N43" s="39">
        <f t="shared" si="13"/>
        <v>665000</v>
      </c>
      <c r="O43" s="277">
        <v>2200</v>
      </c>
      <c r="P43" s="277"/>
      <c r="Q43" s="39">
        <f t="shared" si="86"/>
        <v>20800</v>
      </c>
      <c r="R43" s="40"/>
      <c r="S43" s="277">
        <v>659781</v>
      </c>
      <c r="T43" s="277"/>
      <c r="U43" s="39">
        <f t="shared" si="87"/>
        <v>164100</v>
      </c>
      <c r="V43" s="276">
        <v>250650</v>
      </c>
      <c r="W43" s="276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9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30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31"/>
      <c r="BM43" s="131"/>
      <c r="BN43" s="49">
        <f t="shared" si="2"/>
        <v>4604967</v>
      </c>
      <c r="BR43" s="49">
        <f t="shared" si="3"/>
        <v>659781</v>
      </c>
      <c r="BU43" s="106"/>
      <c r="BV43" s="49">
        <f t="shared" si="4"/>
        <v>250650</v>
      </c>
      <c r="BW43" s="107"/>
      <c r="BX43" s="108"/>
      <c r="BY43" s="106"/>
      <c r="BZ43" s="108"/>
      <c r="CA43" s="106"/>
      <c r="CB43" s="43"/>
      <c r="CC43" s="49">
        <f t="shared" si="5"/>
        <v>6904100</v>
      </c>
      <c r="CF43" s="131"/>
      <c r="CG43" s="131"/>
      <c r="CH43" s="131"/>
      <c r="CI43" s="49">
        <f t="shared" si="6"/>
        <v>17216427</v>
      </c>
      <c r="CL43" s="131"/>
      <c r="CM43" s="132"/>
      <c r="CN43" s="49">
        <f t="shared" si="7"/>
        <v>7377</v>
      </c>
      <c r="CP43" s="133"/>
      <c r="CQ43" s="110"/>
      <c r="CR43" s="49">
        <f>(BC44)</f>
        <v>3731800</v>
      </c>
      <c r="CU43" s="131"/>
      <c r="CV43" s="132"/>
      <c r="CW43" s="49">
        <f t="shared" si="9"/>
        <v>41811012</v>
      </c>
      <c r="CZ43" s="131"/>
      <c r="DD43" s="134"/>
      <c r="DE43" s="134"/>
      <c r="DF43" s="134"/>
      <c r="DG43" s="134"/>
      <c r="DH43" s="135"/>
      <c r="DI43" s="136"/>
      <c r="DJ43" s="136"/>
    </row>
    <row r="44" spans="2:114" s="130" customFormat="1" x14ac:dyDescent="0.25">
      <c r="B44" s="129">
        <v>44080</v>
      </c>
      <c r="C44" s="277">
        <v>39535581</v>
      </c>
      <c r="D44" s="277"/>
      <c r="E44" s="39">
        <f t="shared" ref="E44:E55" si="104">SUM(C44-C43)*10</f>
        <v>968670</v>
      </c>
      <c r="F44" s="277">
        <v>4611345</v>
      </c>
      <c r="G44" s="277"/>
      <c r="H44" s="39">
        <f t="shared" ref="H44:H55" si="105">SUM(F44-F43)*10</f>
        <v>63780</v>
      </c>
      <c r="I44" s="277">
        <v>16481</v>
      </c>
      <c r="J44" s="277"/>
      <c r="K44" s="39">
        <f t="shared" si="42"/>
        <v>160</v>
      </c>
      <c r="L44" s="277">
        <v>287876</v>
      </c>
      <c r="M44" s="277"/>
      <c r="N44" s="39">
        <f t="shared" si="13"/>
        <v>679000</v>
      </c>
      <c r="O44" s="277">
        <v>2415</v>
      </c>
      <c r="P44" s="277"/>
      <c r="Q44" s="39">
        <f t="shared" si="86"/>
        <v>21500</v>
      </c>
      <c r="R44" s="40"/>
      <c r="S44" s="277">
        <v>661560</v>
      </c>
      <c r="T44" s="277"/>
      <c r="U44" s="39">
        <f t="shared" si="87"/>
        <v>177900</v>
      </c>
      <c r="V44" s="276">
        <v>252050</v>
      </c>
      <c r="W44" s="276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9"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30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31"/>
      <c r="BM44" s="131"/>
      <c r="BN44" s="49">
        <f t="shared" si="2"/>
        <v>4611345</v>
      </c>
      <c r="BR44" s="49">
        <f t="shared" si="3"/>
        <v>661560</v>
      </c>
      <c r="BU44" s="106"/>
      <c r="BV44" s="49">
        <f t="shared" si="4"/>
        <v>252050</v>
      </c>
      <c r="BW44" s="107"/>
      <c r="BX44" s="108"/>
      <c r="BY44" s="106"/>
      <c r="BZ44" s="108"/>
      <c r="CA44" s="106"/>
      <c r="CB44" s="43"/>
      <c r="CC44" s="49">
        <f t="shared" si="5"/>
        <v>6910900</v>
      </c>
      <c r="CF44" s="131"/>
      <c r="CG44" s="131"/>
      <c r="CH44" s="131"/>
      <c r="CI44" s="49">
        <f t="shared" si="6"/>
        <v>17262122</v>
      </c>
      <c r="CL44" s="131"/>
      <c r="CM44" s="132"/>
      <c r="CN44" s="49">
        <f t="shared" si="7"/>
        <v>7446</v>
      </c>
      <c r="CP44" s="133"/>
      <c r="CQ44" s="110"/>
      <c r="CR44" s="49">
        <f>(BC45)</f>
        <v>3732500</v>
      </c>
      <c r="CU44" s="131"/>
      <c r="CV44" s="132"/>
      <c r="CW44" s="49">
        <f t="shared" si="9"/>
        <v>41877284</v>
      </c>
      <c r="CZ44" s="131"/>
      <c r="DD44" s="134"/>
      <c r="DE44" s="134"/>
      <c r="DF44" s="134"/>
      <c r="DG44" s="134"/>
      <c r="DH44" s="135"/>
      <c r="DI44" s="136"/>
      <c r="DJ44" s="136"/>
    </row>
    <row r="45" spans="2:114" x14ac:dyDescent="0.25">
      <c r="B45" s="82">
        <f>B44+7</f>
        <v>44087</v>
      </c>
      <c r="C45" s="275">
        <v>39624160</v>
      </c>
      <c r="D45" s="274"/>
      <c r="E45" s="39">
        <f t="shared" si="104"/>
        <v>885790</v>
      </c>
      <c r="F45" s="273">
        <v>4612798</v>
      </c>
      <c r="G45" s="274"/>
      <c r="H45" s="39">
        <f t="shared" si="105"/>
        <v>14530</v>
      </c>
      <c r="I45" s="273">
        <v>16499</v>
      </c>
      <c r="J45" s="274"/>
      <c r="K45" s="39">
        <f t="shared" si="42"/>
        <v>180</v>
      </c>
      <c r="L45" s="273">
        <v>288532</v>
      </c>
      <c r="M45" s="274"/>
      <c r="N45" s="39">
        <f t="shared" si="13"/>
        <v>656000</v>
      </c>
      <c r="O45" s="273">
        <v>2595</v>
      </c>
      <c r="P45" s="274"/>
      <c r="Q45" s="39">
        <f t="shared" si="86"/>
        <v>18000</v>
      </c>
      <c r="R45" s="40"/>
      <c r="S45" s="273">
        <v>663226</v>
      </c>
      <c r="T45" s="274"/>
      <c r="U45" s="39">
        <f t="shared" si="87"/>
        <v>166600</v>
      </c>
      <c r="V45" s="273">
        <v>254700</v>
      </c>
      <c r="W45" s="274"/>
      <c r="X45" s="39">
        <f t="shared" ref="X45:X55" si="106">SUM(V45-V44)*100</f>
        <v>265000</v>
      </c>
      <c r="Y45" s="45">
        <f t="shared" ref="Y45:Y55" si="107">SUM(U45+X45)</f>
        <v>431600</v>
      </c>
      <c r="Z45" s="41"/>
      <c r="AA45" s="199">
        <v>11381</v>
      </c>
      <c r="AB45" s="39">
        <f t="shared" si="75"/>
        <v>2520000</v>
      </c>
      <c r="AC45" s="199">
        <v>321300930</v>
      </c>
      <c r="AD45" s="39">
        <f t="shared" si="76"/>
        <v>519684</v>
      </c>
      <c r="AE45" s="199">
        <v>102344</v>
      </c>
      <c r="AF45" s="39">
        <f t="shared" si="20"/>
        <v>440</v>
      </c>
      <c r="AG45" s="199">
        <v>3023830</v>
      </c>
      <c r="AH45" s="39">
        <f t="shared" si="21"/>
        <v>87060</v>
      </c>
      <c r="AI45" s="199">
        <v>3860859</v>
      </c>
      <c r="AJ45" s="39">
        <f t="shared" si="22"/>
        <v>8128</v>
      </c>
      <c r="AK45" s="199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199">
        <v>11261</v>
      </c>
      <c r="AP45" s="39">
        <f t="shared" si="25"/>
        <v>5100</v>
      </c>
      <c r="AQ45" s="43"/>
      <c r="AR45" s="82">
        <f>AR44+7</f>
        <v>44087</v>
      </c>
      <c r="AS45" s="214">
        <v>7521</v>
      </c>
      <c r="AT45" s="39">
        <f t="shared" si="59"/>
        <v>75</v>
      </c>
      <c r="AU45" s="43"/>
      <c r="AV45" s="199">
        <v>17323536</v>
      </c>
      <c r="AW45" s="39">
        <f t="shared" si="60"/>
        <v>61414</v>
      </c>
      <c r="AX45" s="199">
        <v>377124803</v>
      </c>
      <c r="AY45" s="47">
        <f t="shared" si="61"/>
        <v>52557.93</v>
      </c>
      <c r="AZ45" s="39">
        <f t="shared" si="62"/>
        <v>8856.07</v>
      </c>
      <c r="BA45" s="199">
        <v>6913000</v>
      </c>
      <c r="BB45" s="39">
        <f t="shared" si="30"/>
        <v>2100</v>
      </c>
      <c r="BC45" s="201">
        <v>3732500</v>
      </c>
      <c r="BD45" s="39">
        <f t="shared" si="31"/>
        <v>700</v>
      </c>
      <c r="BE45" s="199">
        <v>41885909</v>
      </c>
      <c r="BF45" s="39">
        <f t="shared" si="32"/>
        <v>8625</v>
      </c>
    </row>
    <row r="46" spans="2:114" x14ac:dyDescent="0.25">
      <c r="B46" s="82">
        <f t="shared" ref="B46:B47" si="108">B45+7</f>
        <v>44094</v>
      </c>
      <c r="C46" s="275">
        <v>39718286</v>
      </c>
      <c r="D46" s="274"/>
      <c r="E46" s="39">
        <f t="shared" si="104"/>
        <v>941260</v>
      </c>
      <c r="F46" s="273">
        <v>4620234</v>
      </c>
      <c r="G46" s="274"/>
      <c r="H46" s="39">
        <f t="shared" si="105"/>
        <v>74360</v>
      </c>
      <c r="I46" s="273">
        <v>16516</v>
      </c>
      <c r="J46" s="274"/>
      <c r="K46" s="39">
        <f t="shared" si="42"/>
        <v>170</v>
      </c>
      <c r="L46" s="273">
        <v>289159</v>
      </c>
      <c r="M46" s="274"/>
      <c r="N46" s="39">
        <f t="shared" si="13"/>
        <v>627000</v>
      </c>
      <c r="O46" s="273">
        <v>2800</v>
      </c>
      <c r="P46" s="274"/>
      <c r="Q46" s="39">
        <f t="shared" si="86"/>
        <v>20500</v>
      </c>
      <c r="R46" s="40"/>
      <c r="S46" s="273">
        <v>664916</v>
      </c>
      <c r="T46" s="274"/>
      <c r="U46" s="39">
        <f t="shared" si="87"/>
        <v>169000</v>
      </c>
      <c r="V46" s="273">
        <v>257060</v>
      </c>
      <c r="W46" s="274"/>
      <c r="X46" s="39">
        <f t="shared" si="106"/>
        <v>236000</v>
      </c>
      <c r="Y46" s="45">
        <f t="shared" si="107"/>
        <v>405000</v>
      </c>
      <c r="Z46" s="41"/>
      <c r="AA46" s="199">
        <v>11640</v>
      </c>
      <c r="AB46" s="39">
        <f t="shared" si="75"/>
        <v>2590000</v>
      </c>
      <c r="AC46" s="199">
        <v>327154600</v>
      </c>
      <c r="AD46" s="39">
        <f t="shared" si="76"/>
        <v>585367</v>
      </c>
      <c r="AE46" s="199">
        <v>102353</v>
      </c>
      <c r="AF46" s="39">
        <f t="shared" si="20"/>
        <v>90</v>
      </c>
      <c r="AG46" s="199">
        <v>3037623</v>
      </c>
      <c r="AH46" s="39">
        <f t="shared" si="21"/>
        <v>137930</v>
      </c>
      <c r="AI46" s="199">
        <v>3866584</v>
      </c>
      <c r="AJ46" s="39">
        <f t="shared" si="22"/>
        <v>5725</v>
      </c>
      <c r="AK46" s="199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199">
        <v>11326</v>
      </c>
      <c r="AP46" s="39">
        <f t="shared" si="25"/>
        <v>6500</v>
      </c>
      <c r="AQ46" s="43"/>
      <c r="AR46" s="82">
        <f t="shared" ref="AR46:AR47" si="109">AR45+7</f>
        <v>44094</v>
      </c>
      <c r="AS46" s="214">
        <v>7593</v>
      </c>
      <c r="AT46" s="39">
        <f t="shared" si="59"/>
        <v>72</v>
      </c>
      <c r="AU46" s="43"/>
      <c r="AV46" s="199">
        <v>17384785</v>
      </c>
      <c r="AW46" s="39">
        <f t="shared" si="60"/>
        <v>61249</v>
      </c>
      <c r="AX46" s="199">
        <v>382356368</v>
      </c>
      <c r="AY46" s="47">
        <f t="shared" si="61"/>
        <v>52315.65</v>
      </c>
      <c r="AZ46" s="39">
        <f t="shared" si="62"/>
        <v>8933.3499999999985</v>
      </c>
      <c r="BA46" s="199">
        <v>6914800</v>
      </c>
      <c r="BB46" s="39">
        <f t="shared" si="30"/>
        <v>1800</v>
      </c>
      <c r="BC46" s="201">
        <v>3733200</v>
      </c>
      <c r="BD46" s="39">
        <f t="shared" si="31"/>
        <v>700</v>
      </c>
      <c r="BE46" s="199">
        <v>41894505</v>
      </c>
      <c r="BF46" s="39">
        <f t="shared" si="32"/>
        <v>8596</v>
      </c>
    </row>
    <row r="47" spans="2:114" x14ac:dyDescent="0.25">
      <c r="B47" s="82">
        <f t="shared" si="108"/>
        <v>44101</v>
      </c>
      <c r="C47" s="275">
        <v>39817536</v>
      </c>
      <c r="D47" s="274"/>
      <c r="E47" s="39">
        <f t="shared" si="104"/>
        <v>992500</v>
      </c>
      <c r="F47" s="273">
        <v>4628491</v>
      </c>
      <c r="G47" s="274"/>
      <c r="H47" s="39">
        <f t="shared" si="105"/>
        <v>82570</v>
      </c>
      <c r="I47" s="273">
        <v>16585</v>
      </c>
      <c r="J47" s="274"/>
      <c r="K47" s="39">
        <f t="shared" si="42"/>
        <v>690</v>
      </c>
      <c r="L47" s="273">
        <v>289842</v>
      </c>
      <c r="M47" s="274"/>
      <c r="N47" s="39">
        <f t="shared" si="13"/>
        <v>683000</v>
      </c>
      <c r="O47" s="273">
        <v>3000</v>
      </c>
      <c r="P47" s="274"/>
      <c r="Q47" s="39">
        <f t="shared" si="86"/>
        <v>20000</v>
      </c>
      <c r="R47" s="40"/>
      <c r="S47" s="273">
        <v>666681</v>
      </c>
      <c r="T47" s="274"/>
      <c r="U47" s="39">
        <f t="shared" si="87"/>
        <v>176500</v>
      </c>
      <c r="V47" s="273">
        <v>261380</v>
      </c>
      <c r="W47" s="274"/>
      <c r="X47" s="39">
        <f t="shared" si="106"/>
        <v>432000</v>
      </c>
      <c r="Y47" s="45">
        <f t="shared" si="107"/>
        <v>608500</v>
      </c>
      <c r="Z47" s="41"/>
      <c r="AA47" s="199">
        <v>11892</v>
      </c>
      <c r="AB47" s="39">
        <f t="shared" si="75"/>
        <v>2520000</v>
      </c>
      <c r="AC47" s="199">
        <v>332703900</v>
      </c>
      <c r="AD47" s="39">
        <f t="shared" si="76"/>
        <v>554930</v>
      </c>
      <c r="AE47" s="199">
        <v>102497</v>
      </c>
      <c r="AF47" s="39">
        <f t="shared" si="20"/>
        <v>1440</v>
      </c>
      <c r="AG47" s="199">
        <v>3046243</v>
      </c>
      <c r="AH47" s="39">
        <f t="shared" si="21"/>
        <v>86200</v>
      </c>
      <c r="AI47" s="199">
        <v>3875430</v>
      </c>
      <c r="AJ47" s="39">
        <f t="shared" si="22"/>
        <v>8846</v>
      </c>
      <c r="AK47" s="199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199">
        <v>11421</v>
      </c>
      <c r="AP47" s="39">
        <f t="shared" si="25"/>
        <v>9500</v>
      </c>
      <c r="AQ47" s="43"/>
      <c r="AR47" s="82">
        <f t="shared" si="109"/>
        <v>44101</v>
      </c>
      <c r="AS47" s="214">
        <v>7656</v>
      </c>
      <c r="AT47" s="39">
        <f t="shared" si="59"/>
        <v>63</v>
      </c>
      <c r="AU47" s="43"/>
      <c r="AV47" s="199">
        <v>17445945</v>
      </c>
      <c r="AW47" s="39">
        <f t="shared" si="60"/>
        <v>61160</v>
      </c>
      <c r="AX47" s="199">
        <v>387599802</v>
      </c>
      <c r="AY47" s="47">
        <f t="shared" si="61"/>
        <v>52434.34</v>
      </c>
      <c r="AZ47" s="39">
        <f t="shared" si="62"/>
        <v>8725.6600000000035</v>
      </c>
      <c r="BA47" s="199">
        <v>6917800</v>
      </c>
      <c r="BB47" s="39">
        <f t="shared" si="30"/>
        <v>3000</v>
      </c>
      <c r="BC47" s="201">
        <v>3734000</v>
      </c>
      <c r="BD47" s="39">
        <f t="shared" si="31"/>
        <v>800</v>
      </c>
      <c r="BE47" s="199">
        <v>41902953</v>
      </c>
      <c r="BF47" s="39">
        <f t="shared" si="32"/>
        <v>8448</v>
      </c>
    </row>
    <row r="48" spans="2:114" x14ac:dyDescent="0.25">
      <c r="B48" s="82">
        <v>44105</v>
      </c>
      <c r="C48" s="275">
        <v>39817536</v>
      </c>
      <c r="D48" s="274"/>
      <c r="E48" s="39">
        <f t="shared" si="104"/>
        <v>0</v>
      </c>
      <c r="F48" s="273">
        <v>4628491</v>
      </c>
      <c r="G48" s="274"/>
      <c r="H48" s="39">
        <f t="shared" si="105"/>
        <v>0</v>
      </c>
      <c r="I48" s="273">
        <v>16585</v>
      </c>
      <c r="J48" s="274"/>
      <c r="K48" s="39">
        <f t="shared" si="42"/>
        <v>0</v>
      </c>
      <c r="L48" s="273">
        <v>289842</v>
      </c>
      <c r="M48" s="274"/>
      <c r="N48" s="39">
        <f t="shared" si="13"/>
        <v>0</v>
      </c>
      <c r="O48" s="273">
        <v>3000</v>
      </c>
      <c r="P48" s="274"/>
      <c r="Q48" s="39">
        <f t="shared" si="86"/>
        <v>0</v>
      </c>
      <c r="R48" s="40"/>
      <c r="S48" s="273">
        <v>666681</v>
      </c>
      <c r="T48" s="274"/>
      <c r="U48" s="39">
        <f t="shared" si="87"/>
        <v>0</v>
      </c>
      <c r="V48" s="273">
        <v>261380</v>
      </c>
      <c r="W48" s="274"/>
      <c r="X48" s="39">
        <f t="shared" si="106"/>
        <v>0</v>
      </c>
      <c r="Y48" s="45">
        <f t="shared" si="107"/>
        <v>0</v>
      </c>
      <c r="Z48" s="41"/>
      <c r="AA48" s="199">
        <v>11892</v>
      </c>
      <c r="AB48" s="39">
        <f t="shared" si="75"/>
        <v>0</v>
      </c>
      <c r="AC48" s="199">
        <v>332703900</v>
      </c>
      <c r="AD48" s="39">
        <f t="shared" si="76"/>
        <v>0</v>
      </c>
      <c r="AE48" s="199">
        <v>102497</v>
      </c>
      <c r="AF48" s="39">
        <f t="shared" si="20"/>
        <v>0</v>
      </c>
      <c r="AG48" s="199">
        <v>3046243</v>
      </c>
      <c r="AH48" s="39">
        <f t="shared" si="21"/>
        <v>0</v>
      </c>
      <c r="AI48" s="199">
        <v>3875430</v>
      </c>
      <c r="AJ48" s="39">
        <f t="shared" si="22"/>
        <v>0</v>
      </c>
      <c r="AK48" s="199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199">
        <v>11421</v>
      </c>
      <c r="AP48" s="39">
        <f t="shared" si="25"/>
        <v>0</v>
      </c>
      <c r="AQ48" s="43"/>
      <c r="AR48" s="82">
        <v>44105</v>
      </c>
      <c r="AS48" s="214">
        <v>7697</v>
      </c>
      <c r="AT48" s="39">
        <f t="shared" si="59"/>
        <v>41</v>
      </c>
      <c r="AU48" s="43"/>
      <c r="AV48" s="199">
        <v>17481905</v>
      </c>
      <c r="AW48" s="39">
        <f t="shared" si="60"/>
        <v>35960</v>
      </c>
      <c r="AX48" s="199">
        <v>390652684</v>
      </c>
      <c r="AY48" s="47">
        <f t="shared" si="61"/>
        <v>30528.82</v>
      </c>
      <c r="AZ48" s="39">
        <f t="shared" si="62"/>
        <v>5431.18</v>
      </c>
      <c r="BA48" s="199">
        <v>6922700</v>
      </c>
      <c r="BB48" s="39">
        <f t="shared" si="30"/>
        <v>4900</v>
      </c>
      <c r="BC48" s="201">
        <v>3734700</v>
      </c>
      <c r="BD48" s="39">
        <f t="shared" si="31"/>
        <v>700</v>
      </c>
      <c r="BE48" s="199">
        <v>41907664</v>
      </c>
      <c r="BF48" s="39">
        <f t="shared" si="32"/>
        <v>4711</v>
      </c>
    </row>
    <row r="49" spans="2:58" x14ac:dyDescent="0.25">
      <c r="B49" s="82">
        <v>44109</v>
      </c>
      <c r="C49" s="275">
        <v>39899002</v>
      </c>
      <c r="D49" s="274"/>
      <c r="E49" s="39">
        <f t="shared" si="104"/>
        <v>814660</v>
      </c>
      <c r="F49" s="273">
        <v>4634550</v>
      </c>
      <c r="G49" s="274"/>
      <c r="H49" s="39">
        <f t="shared" si="105"/>
        <v>60590</v>
      </c>
      <c r="I49" s="273">
        <v>16602</v>
      </c>
      <c r="J49" s="274"/>
      <c r="K49" s="39">
        <f t="shared" si="42"/>
        <v>170</v>
      </c>
      <c r="L49" s="273">
        <v>290425</v>
      </c>
      <c r="M49" s="274"/>
      <c r="N49" s="39">
        <f t="shared" si="13"/>
        <v>583000</v>
      </c>
      <c r="O49" s="273">
        <v>3215</v>
      </c>
      <c r="P49" s="274"/>
      <c r="Q49" s="39">
        <f t="shared" si="86"/>
        <v>21500</v>
      </c>
      <c r="R49" s="40"/>
      <c r="S49" s="273">
        <v>668449</v>
      </c>
      <c r="T49" s="274"/>
      <c r="U49" s="39">
        <f t="shared" si="87"/>
        <v>176800</v>
      </c>
      <c r="V49" s="273">
        <v>267580</v>
      </c>
      <c r="W49" s="274"/>
      <c r="X49" s="39">
        <f t="shared" si="106"/>
        <v>620000</v>
      </c>
      <c r="Y49" s="45">
        <f t="shared" si="107"/>
        <v>796800</v>
      </c>
      <c r="Z49" s="41"/>
      <c r="AA49" s="199">
        <v>12097</v>
      </c>
      <c r="AB49" s="39">
        <f t="shared" si="75"/>
        <v>2050000</v>
      </c>
      <c r="AC49" s="199">
        <v>337707600</v>
      </c>
      <c r="AD49" s="39">
        <f t="shared" si="76"/>
        <v>500370</v>
      </c>
      <c r="AE49" s="199">
        <v>102521</v>
      </c>
      <c r="AF49" s="39">
        <f t="shared" si="20"/>
        <v>240</v>
      </c>
      <c r="AG49" s="199">
        <v>3054440</v>
      </c>
      <c r="AH49" s="39">
        <f t="shared" si="21"/>
        <v>81970</v>
      </c>
      <c r="AI49" s="199">
        <v>3880423</v>
      </c>
      <c r="AJ49" s="39">
        <f t="shared" si="22"/>
        <v>4993</v>
      </c>
      <c r="AK49" s="199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199">
        <v>11460</v>
      </c>
      <c r="AP49" s="39">
        <f t="shared" si="25"/>
        <v>3900</v>
      </c>
      <c r="AQ49" s="43"/>
      <c r="AR49" s="82">
        <v>44109</v>
      </c>
      <c r="AS49" s="214">
        <v>7697</v>
      </c>
      <c r="AT49" s="39">
        <f t="shared" si="59"/>
        <v>0</v>
      </c>
      <c r="AU49" s="43"/>
      <c r="AV49" s="199">
        <v>17508301</v>
      </c>
      <c r="AW49" s="39">
        <f t="shared" si="60"/>
        <v>26396</v>
      </c>
      <c r="AX49" s="199">
        <v>392964251</v>
      </c>
      <c r="AY49" s="47">
        <f t="shared" si="61"/>
        <v>23115.67</v>
      </c>
      <c r="AZ49" s="39">
        <f t="shared" si="62"/>
        <v>3280.3300000000017</v>
      </c>
      <c r="BA49" s="199">
        <v>6923100</v>
      </c>
      <c r="BB49" s="39">
        <f t="shared" si="30"/>
        <v>400</v>
      </c>
      <c r="BC49" s="201">
        <v>3734900</v>
      </c>
      <c r="BD49" s="39">
        <f t="shared" si="31"/>
        <v>200</v>
      </c>
      <c r="BE49" s="199">
        <v>41911420</v>
      </c>
      <c r="BF49" s="39">
        <f t="shared" si="32"/>
        <v>3756</v>
      </c>
    </row>
    <row r="50" spans="2:58" x14ac:dyDescent="0.25">
      <c r="B50" s="82">
        <f>B49+7</f>
        <v>44116</v>
      </c>
      <c r="C50" s="275">
        <v>39997340</v>
      </c>
      <c r="D50" s="274"/>
      <c r="E50" s="39">
        <f t="shared" si="104"/>
        <v>983380</v>
      </c>
      <c r="F50" s="273">
        <v>4644090</v>
      </c>
      <c r="G50" s="274"/>
      <c r="H50" s="39">
        <f t="shared" si="105"/>
        <v>95400</v>
      </c>
      <c r="I50" s="273">
        <v>16618</v>
      </c>
      <c r="J50" s="274"/>
      <c r="K50" s="39">
        <f t="shared" si="42"/>
        <v>160</v>
      </c>
      <c r="L50" s="273">
        <v>291097</v>
      </c>
      <c r="M50" s="274"/>
      <c r="N50" s="39">
        <f t="shared" si="13"/>
        <v>672000</v>
      </c>
      <c r="O50" s="273">
        <v>3434</v>
      </c>
      <c r="P50" s="274"/>
      <c r="Q50" s="39">
        <f t="shared" si="86"/>
        <v>21900</v>
      </c>
      <c r="R50" s="40"/>
      <c r="S50" s="273">
        <v>670230</v>
      </c>
      <c r="T50" s="274"/>
      <c r="U50" s="39">
        <f t="shared" si="87"/>
        <v>178100</v>
      </c>
      <c r="V50" s="273">
        <v>269900</v>
      </c>
      <c r="W50" s="274"/>
      <c r="X50" s="39">
        <f t="shared" si="106"/>
        <v>232000</v>
      </c>
      <c r="Y50" s="45">
        <f t="shared" si="107"/>
        <v>410100</v>
      </c>
      <c r="Z50" s="41"/>
      <c r="AA50" s="199">
        <v>12347</v>
      </c>
      <c r="AB50" s="39">
        <f t="shared" si="75"/>
        <v>2500000</v>
      </c>
      <c r="AC50" s="199">
        <v>341350500</v>
      </c>
      <c r="AD50" s="39">
        <f t="shared" si="76"/>
        <v>364290</v>
      </c>
      <c r="AE50" s="199">
        <v>102544</v>
      </c>
      <c r="AF50" s="39">
        <f t="shared" si="20"/>
        <v>230</v>
      </c>
      <c r="AG50" s="199">
        <v>3064160</v>
      </c>
      <c r="AH50" s="39">
        <f t="shared" si="21"/>
        <v>97200</v>
      </c>
      <c r="AI50" s="199">
        <v>3888323</v>
      </c>
      <c r="AJ50" s="39">
        <f t="shared" si="22"/>
        <v>7900</v>
      </c>
      <c r="AK50" s="199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199">
        <v>11493</v>
      </c>
      <c r="AP50" s="39">
        <f t="shared" si="25"/>
        <v>3300</v>
      </c>
      <c r="AQ50" s="43"/>
      <c r="AR50" s="82">
        <f>AR49+7</f>
        <v>44116</v>
      </c>
      <c r="AS50" s="214">
        <v>7810</v>
      </c>
      <c r="AT50" s="39">
        <f t="shared" si="59"/>
        <v>113</v>
      </c>
      <c r="AU50" s="43"/>
      <c r="AV50" s="199">
        <v>17558839</v>
      </c>
      <c r="AW50" s="39">
        <f t="shared" si="60"/>
        <v>50538</v>
      </c>
      <c r="AX50" s="199">
        <v>397162551</v>
      </c>
      <c r="AY50" s="47">
        <f t="shared" si="61"/>
        <v>41983</v>
      </c>
      <c r="AZ50" s="39">
        <f t="shared" si="62"/>
        <v>8555</v>
      </c>
      <c r="BA50" s="199">
        <v>6927200</v>
      </c>
      <c r="BB50" s="39">
        <f t="shared" si="30"/>
        <v>4100</v>
      </c>
      <c r="BC50" s="201">
        <v>3735600</v>
      </c>
      <c r="BD50" s="39">
        <f t="shared" si="31"/>
        <v>700</v>
      </c>
      <c r="BE50" s="199">
        <v>41919688</v>
      </c>
      <c r="BF50" s="39">
        <f t="shared" si="32"/>
        <v>8268</v>
      </c>
    </row>
    <row r="51" spans="2:58" x14ac:dyDescent="0.25">
      <c r="B51" s="82">
        <f t="shared" ref="B51:B52" si="110">B50+7</f>
        <v>44123</v>
      </c>
      <c r="C51" s="275">
        <v>40103851</v>
      </c>
      <c r="D51" s="274"/>
      <c r="E51" s="39">
        <f t="shared" si="104"/>
        <v>1065110</v>
      </c>
      <c r="F51" s="273">
        <v>4656089</v>
      </c>
      <c r="G51" s="274"/>
      <c r="H51" s="39">
        <f t="shared" si="105"/>
        <v>119990</v>
      </c>
      <c r="I51" s="273">
        <v>16634</v>
      </c>
      <c r="J51" s="274"/>
      <c r="K51" s="39">
        <f t="shared" si="42"/>
        <v>160</v>
      </c>
      <c r="L51" s="273">
        <v>291825</v>
      </c>
      <c r="M51" s="274"/>
      <c r="N51" s="39">
        <f t="shared" si="13"/>
        <v>728000</v>
      </c>
      <c r="O51" s="273">
        <v>3656</v>
      </c>
      <c r="P51" s="274"/>
      <c r="Q51" s="39">
        <f t="shared" si="86"/>
        <v>22200</v>
      </c>
      <c r="R51" s="40"/>
      <c r="S51" s="273">
        <v>672042</v>
      </c>
      <c r="T51" s="274"/>
      <c r="U51" s="39">
        <f t="shared" si="87"/>
        <v>181200</v>
      </c>
      <c r="V51" s="273">
        <v>273150</v>
      </c>
      <c r="W51" s="274"/>
      <c r="X51" s="39">
        <f t="shared" si="106"/>
        <v>325000</v>
      </c>
      <c r="Y51" s="45">
        <f t="shared" si="107"/>
        <v>506200</v>
      </c>
      <c r="Z51" s="41"/>
      <c r="AA51" s="199">
        <v>12622</v>
      </c>
      <c r="AB51" s="39">
        <f t="shared" si="75"/>
        <v>2750000</v>
      </c>
      <c r="AC51" s="199">
        <v>350262984</v>
      </c>
      <c r="AD51" s="39">
        <f t="shared" si="76"/>
        <v>891248.4</v>
      </c>
      <c r="AE51" s="199">
        <v>102691</v>
      </c>
      <c r="AF51" s="39">
        <f t="shared" si="20"/>
        <v>1470</v>
      </c>
      <c r="AG51" s="199">
        <v>3074881</v>
      </c>
      <c r="AH51" s="39">
        <f t="shared" si="21"/>
        <v>107210</v>
      </c>
      <c r="AI51" s="199">
        <v>3896700</v>
      </c>
      <c r="AJ51" s="39">
        <f t="shared" si="22"/>
        <v>8377</v>
      </c>
      <c r="AK51" s="199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199">
        <v>11553</v>
      </c>
      <c r="AP51" s="39">
        <f t="shared" si="25"/>
        <v>6000</v>
      </c>
      <c r="AQ51" s="43"/>
      <c r="AR51" s="82">
        <f t="shared" ref="AR51" si="111">AR50+7</f>
        <v>44123</v>
      </c>
      <c r="AS51" s="214">
        <v>7894</v>
      </c>
      <c r="AT51" s="39">
        <f t="shared" si="59"/>
        <v>84</v>
      </c>
      <c r="AU51" s="43"/>
      <c r="AV51" s="199">
        <v>17611208</v>
      </c>
      <c r="AW51" s="39">
        <f t="shared" si="60"/>
        <v>52369</v>
      </c>
      <c r="AX51" s="199">
        <v>401157751</v>
      </c>
      <c r="AY51" s="47">
        <f t="shared" si="61"/>
        <v>39952</v>
      </c>
      <c r="AZ51" s="39">
        <f t="shared" si="62"/>
        <v>12417</v>
      </c>
      <c r="BA51" s="199">
        <v>6929500</v>
      </c>
      <c r="BB51" s="39">
        <f t="shared" si="30"/>
        <v>2300</v>
      </c>
      <c r="BC51" s="201">
        <v>3736300</v>
      </c>
      <c r="BD51" s="39">
        <f t="shared" si="31"/>
        <v>700</v>
      </c>
      <c r="BE51" s="199">
        <v>42081242</v>
      </c>
      <c r="BF51" s="39">
        <f t="shared" si="32"/>
        <v>161554</v>
      </c>
    </row>
    <row r="52" spans="2:58" x14ac:dyDescent="0.25">
      <c r="B52" s="82">
        <f t="shared" si="110"/>
        <v>44130</v>
      </c>
      <c r="C52" s="275">
        <v>40210862</v>
      </c>
      <c r="D52" s="274"/>
      <c r="E52" s="39">
        <f t="shared" si="104"/>
        <v>1070110</v>
      </c>
      <c r="F52" s="273">
        <v>4663590</v>
      </c>
      <c r="G52" s="274"/>
      <c r="H52" s="39">
        <f t="shared" si="105"/>
        <v>75010</v>
      </c>
      <c r="I52" s="273">
        <v>16650</v>
      </c>
      <c r="J52" s="274"/>
      <c r="K52" s="39">
        <f t="shared" si="42"/>
        <v>160</v>
      </c>
      <c r="L52" s="273">
        <v>292503</v>
      </c>
      <c r="M52" s="274"/>
      <c r="N52" s="39">
        <f t="shared" si="13"/>
        <v>678000</v>
      </c>
      <c r="O52" s="273">
        <v>3876</v>
      </c>
      <c r="P52" s="274"/>
      <c r="Q52" s="39">
        <f t="shared" si="86"/>
        <v>22000</v>
      </c>
      <c r="R52" s="209"/>
      <c r="S52" s="273">
        <v>673739</v>
      </c>
      <c r="T52" s="274"/>
      <c r="U52" s="39">
        <f t="shared" si="87"/>
        <v>169700</v>
      </c>
      <c r="V52" s="273">
        <v>278480</v>
      </c>
      <c r="W52" s="274"/>
      <c r="X52" s="39">
        <f t="shared" si="106"/>
        <v>533000</v>
      </c>
      <c r="Y52" s="45">
        <f t="shared" si="107"/>
        <v>702700</v>
      </c>
      <c r="Z52" s="210"/>
      <c r="AA52" s="199">
        <v>12879</v>
      </c>
      <c r="AB52" s="39">
        <f t="shared" si="75"/>
        <v>2570000</v>
      </c>
      <c r="AC52" s="199">
        <v>358393960</v>
      </c>
      <c r="AD52" s="39">
        <f t="shared" si="76"/>
        <v>813097.60000000009</v>
      </c>
      <c r="AE52" s="199">
        <v>102797</v>
      </c>
      <c r="AF52" s="39">
        <f t="shared" si="20"/>
        <v>1060</v>
      </c>
      <c r="AG52" s="199">
        <v>3093480</v>
      </c>
      <c r="AH52" s="39">
        <f t="shared" si="21"/>
        <v>185990</v>
      </c>
      <c r="AI52" s="199">
        <v>3907144</v>
      </c>
      <c r="AJ52" s="39">
        <f t="shared" si="22"/>
        <v>10444</v>
      </c>
      <c r="AK52" s="199">
        <v>16626</v>
      </c>
      <c r="AL52" s="39">
        <f t="shared" si="23"/>
        <v>140000</v>
      </c>
      <c r="AM52" s="199">
        <v>11</v>
      </c>
      <c r="AN52" s="46">
        <f t="shared" si="24"/>
        <v>1000</v>
      </c>
      <c r="AO52" s="199">
        <v>11589</v>
      </c>
      <c r="AP52" s="39">
        <f t="shared" si="25"/>
        <v>3600</v>
      </c>
      <c r="AQ52" s="211"/>
      <c r="AR52" s="212">
        <v>44130</v>
      </c>
      <c r="AS52" s="214">
        <v>8009</v>
      </c>
      <c r="AT52" s="39">
        <f t="shared" si="59"/>
        <v>115</v>
      </c>
      <c r="AU52" s="211"/>
      <c r="AV52" s="199">
        <v>17661851</v>
      </c>
      <c r="AW52" s="39">
        <f t="shared" si="60"/>
        <v>50643</v>
      </c>
      <c r="AX52" s="199">
        <v>405188214</v>
      </c>
      <c r="AY52" s="47">
        <f t="shared" si="61"/>
        <v>40304.629999999997</v>
      </c>
      <c r="AZ52" s="39">
        <f t="shared" si="62"/>
        <v>10338.370000000003</v>
      </c>
      <c r="BA52" s="199">
        <v>6935000</v>
      </c>
      <c r="BB52" s="39">
        <f t="shared" si="30"/>
        <v>5500</v>
      </c>
      <c r="BC52" s="201">
        <v>3737000</v>
      </c>
      <c r="BD52" s="39">
        <f t="shared" si="31"/>
        <v>700</v>
      </c>
      <c r="BE52" s="199">
        <v>42090303</v>
      </c>
      <c r="BF52" s="39">
        <f t="shared" si="32"/>
        <v>9061</v>
      </c>
    </row>
    <row r="53" spans="2:58" x14ac:dyDescent="0.25">
      <c r="B53" s="82">
        <v>44136</v>
      </c>
      <c r="C53" s="275">
        <v>40304105</v>
      </c>
      <c r="D53" s="274"/>
      <c r="E53" s="39">
        <f t="shared" si="104"/>
        <v>932430</v>
      </c>
      <c r="F53" s="273">
        <v>4673077</v>
      </c>
      <c r="G53" s="274"/>
      <c r="H53" s="39">
        <f t="shared" si="105"/>
        <v>94870</v>
      </c>
      <c r="I53" s="273">
        <v>16667</v>
      </c>
      <c r="J53" s="274"/>
      <c r="K53" s="39">
        <f t="shared" si="42"/>
        <v>170</v>
      </c>
      <c r="L53" s="273">
        <v>293109</v>
      </c>
      <c r="M53" s="274"/>
      <c r="N53" s="39">
        <f t="shared" si="13"/>
        <v>606000</v>
      </c>
      <c r="O53" s="273">
        <v>4055</v>
      </c>
      <c r="P53" s="274"/>
      <c r="Q53" s="39">
        <f t="shared" si="86"/>
        <v>17900</v>
      </c>
      <c r="R53" s="209"/>
      <c r="S53" s="273">
        <v>675292</v>
      </c>
      <c r="T53" s="274"/>
      <c r="U53" s="39">
        <f t="shared" si="87"/>
        <v>155300</v>
      </c>
      <c r="V53" s="273">
        <v>283820</v>
      </c>
      <c r="W53" s="274"/>
      <c r="X53" s="39">
        <f t="shared" si="106"/>
        <v>534000</v>
      </c>
      <c r="Y53" s="45">
        <f t="shared" si="107"/>
        <v>689300</v>
      </c>
      <c r="Z53" s="210"/>
      <c r="AA53" s="199">
        <v>13107</v>
      </c>
      <c r="AB53" s="39">
        <f t="shared" si="75"/>
        <v>2280000</v>
      </c>
      <c r="AC53" s="199">
        <v>364049451</v>
      </c>
      <c r="AD53" s="39">
        <f t="shared" si="76"/>
        <v>565549.1</v>
      </c>
      <c r="AE53" s="199">
        <v>103121</v>
      </c>
      <c r="AF53" s="39">
        <f t="shared" si="20"/>
        <v>3240</v>
      </c>
      <c r="AG53" s="199">
        <v>3103793</v>
      </c>
      <c r="AH53" s="39">
        <f t="shared" si="21"/>
        <v>103130</v>
      </c>
      <c r="AI53" s="199">
        <v>3918348</v>
      </c>
      <c r="AJ53" s="39">
        <f t="shared" si="22"/>
        <v>11204</v>
      </c>
      <c r="AK53" s="199">
        <v>16790</v>
      </c>
      <c r="AL53" s="39">
        <f t="shared" si="23"/>
        <v>164000</v>
      </c>
      <c r="AM53" s="199">
        <v>11</v>
      </c>
      <c r="AN53" s="46">
        <f t="shared" si="24"/>
        <v>0</v>
      </c>
      <c r="AO53" s="199">
        <v>11621</v>
      </c>
      <c r="AP53" s="39">
        <f t="shared" si="25"/>
        <v>3200</v>
      </c>
      <c r="AQ53" s="211"/>
      <c r="AR53" s="212">
        <v>44136</v>
      </c>
      <c r="AS53" s="214">
        <v>8068</v>
      </c>
      <c r="AT53" s="39">
        <f t="shared" si="59"/>
        <v>59</v>
      </c>
      <c r="AU53" s="211"/>
      <c r="AV53" s="199">
        <v>17705220</v>
      </c>
      <c r="AW53" s="39">
        <f t="shared" si="60"/>
        <v>43369</v>
      </c>
      <c r="AX53" s="199">
        <v>408811725</v>
      </c>
      <c r="AY53" s="47">
        <f t="shared" si="61"/>
        <v>36235.11</v>
      </c>
      <c r="AZ53" s="39">
        <f t="shared" si="62"/>
        <v>7133.8899999999994</v>
      </c>
      <c r="BA53" s="199">
        <v>6937300</v>
      </c>
      <c r="BB53" s="39">
        <f t="shared" si="30"/>
        <v>2300</v>
      </c>
      <c r="BC53" s="200">
        <v>3737700</v>
      </c>
      <c r="BD53" s="39">
        <f t="shared" si="31"/>
        <v>700</v>
      </c>
      <c r="BE53" s="199">
        <v>42187706</v>
      </c>
      <c r="BF53" s="39">
        <f t="shared" si="32"/>
        <v>97403</v>
      </c>
    </row>
    <row r="54" spans="2:58" x14ac:dyDescent="0.25">
      <c r="B54" s="82">
        <v>44137</v>
      </c>
      <c r="C54" s="275">
        <v>40304105</v>
      </c>
      <c r="D54" s="274"/>
      <c r="E54" s="39">
        <f t="shared" si="104"/>
        <v>0</v>
      </c>
      <c r="F54" s="273">
        <v>4673077</v>
      </c>
      <c r="G54" s="274"/>
      <c r="H54" s="39">
        <f t="shared" si="105"/>
        <v>0</v>
      </c>
      <c r="I54" s="273">
        <v>16667</v>
      </c>
      <c r="J54" s="274"/>
      <c r="K54" s="39">
        <f t="shared" si="42"/>
        <v>0</v>
      </c>
      <c r="L54" s="273">
        <v>293109</v>
      </c>
      <c r="M54" s="274"/>
      <c r="N54" s="39">
        <f t="shared" si="13"/>
        <v>0</v>
      </c>
      <c r="O54" s="273">
        <v>4055</v>
      </c>
      <c r="P54" s="274"/>
      <c r="Q54" s="39">
        <f t="shared" si="86"/>
        <v>0</v>
      </c>
      <c r="R54" s="209"/>
      <c r="S54" s="273">
        <v>675292</v>
      </c>
      <c r="T54" s="274"/>
      <c r="U54" s="39">
        <f t="shared" si="87"/>
        <v>0</v>
      </c>
      <c r="V54" s="273">
        <v>283820</v>
      </c>
      <c r="W54" s="274"/>
      <c r="X54" s="39">
        <f t="shared" si="106"/>
        <v>0</v>
      </c>
      <c r="Y54" s="45">
        <f t="shared" si="107"/>
        <v>0</v>
      </c>
      <c r="Z54" s="210"/>
      <c r="AA54" s="199">
        <v>13107</v>
      </c>
      <c r="AB54" s="39">
        <f t="shared" si="75"/>
        <v>0</v>
      </c>
      <c r="AC54" s="199">
        <v>364049451</v>
      </c>
      <c r="AD54" s="39">
        <f t="shared" si="76"/>
        <v>0</v>
      </c>
      <c r="AE54" s="199">
        <v>103121</v>
      </c>
      <c r="AF54" s="39">
        <f t="shared" si="20"/>
        <v>0</v>
      </c>
      <c r="AG54" s="199">
        <v>3103793</v>
      </c>
      <c r="AH54" s="39">
        <f t="shared" si="21"/>
        <v>0</v>
      </c>
      <c r="AI54" s="199">
        <v>3918348</v>
      </c>
      <c r="AJ54" s="39">
        <f t="shared" si="22"/>
        <v>0</v>
      </c>
      <c r="AK54" s="199">
        <v>16790</v>
      </c>
      <c r="AL54" s="39">
        <f t="shared" si="23"/>
        <v>0</v>
      </c>
      <c r="AM54" s="199">
        <v>11</v>
      </c>
      <c r="AN54" s="46">
        <f t="shared" si="24"/>
        <v>0</v>
      </c>
      <c r="AO54" s="199">
        <v>11621</v>
      </c>
      <c r="AP54" s="39">
        <f t="shared" si="25"/>
        <v>0</v>
      </c>
      <c r="AR54" s="82">
        <v>44137</v>
      </c>
      <c r="AS54" s="214">
        <v>8068</v>
      </c>
      <c r="AT54" s="39">
        <f t="shared" si="59"/>
        <v>0</v>
      </c>
      <c r="AU54" s="211"/>
      <c r="AV54" s="199">
        <v>17705220</v>
      </c>
      <c r="AW54" s="39">
        <f t="shared" si="60"/>
        <v>0</v>
      </c>
      <c r="AX54" s="199">
        <v>408811725</v>
      </c>
      <c r="AY54" s="47">
        <f t="shared" si="61"/>
        <v>0</v>
      </c>
      <c r="AZ54" s="39">
        <f t="shared" si="62"/>
        <v>0</v>
      </c>
      <c r="BA54" s="199">
        <v>6937300</v>
      </c>
      <c r="BB54" s="39">
        <f t="shared" si="30"/>
        <v>0</v>
      </c>
      <c r="BC54" s="200">
        <v>3737700</v>
      </c>
      <c r="BD54" s="39">
        <f t="shared" si="31"/>
        <v>0</v>
      </c>
      <c r="BE54" s="199">
        <v>42187706</v>
      </c>
      <c r="BF54" s="39">
        <f t="shared" si="32"/>
        <v>0</v>
      </c>
    </row>
    <row r="55" spans="2:58" x14ac:dyDescent="0.25">
      <c r="B55" s="82">
        <f>B54+7</f>
        <v>44144</v>
      </c>
      <c r="C55" s="273">
        <v>40390692</v>
      </c>
      <c r="D55" s="274"/>
      <c r="E55" s="39">
        <f t="shared" si="104"/>
        <v>865870</v>
      </c>
      <c r="F55" s="273">
        <v>4685964</v>
      </c>
      <c r="G55" s="274"/>
      <c r="H55" s="39">
        <f t="shared" si="105"/>
        <v>128870</v>
      </c>
      <c r="I55" s="273">
        <v>16684</v>
      </c>
      <c r="J55" s="274"/>
      <c r="K55" s="39">
        <f t="shared" si="42"/>
        <v>170</v>
      </c>
      <c r="L55" s="273">
        <v>293648</v>
      </c>
      <c r="M55" s="274"/>
      <c r="N55" s="39">
        <f t="shared" si="13"/>
        <v>539000</v>
      </c>
      <c r="O55" s="273">
        <v>4236</v>
      </c>
      <c r="P55" s="274"/>
      <c r="Q55" s="39">
        <f t="shared" si="86"/>
        <v>18100</v>
      </c>
      <c r="R55" s="209"/>
      <c r="S55" s="273">
        <v>677027</v>
      </c>
      <c r="T55" s="274"/>
      <c r="U55" s="39">
        <f t="shared" si="87"/>
        <v>173500</v>
      </c>
      <c r="V55" s="273">
        <v>296050</v>
      </c>
      <c r="W55" s="274"/>
      <c r="X55" s="39">
        <f t="shared" si="106"/>
        <v>1223000</v>
      </c>
      <c r="Y55" s="45">
        <f t="shared" si="107"/>
        <v>1396500</v>
      </c>
      <c r="Z55" s="210"/>
      <c r="AA55" s="199">
        <v>13264</v>
      </c>
      <c r="AB55" s="39">
        <f t="shared" si="75"/>
        <v>1570000</v>
      </c>
      <c r="AC55" s="199">
        <v>365840293</v>
      </c>
      <c r="AD55" s="39">
        <f t="shared" si="76"/>
        <v>179084.2</v>
      </c>
      <c r="AE55" s="199">
        <v>103250</v>
      </c>
      <c r="AF55" s="39">
        <f t="shared" si="20"/>
        <v>1290</v>
      </c>
      <c r="AG55" s="199">
        <v>3113994</v>
      </c>
      <c r="AH55" s="39">
        <f t="shared" si="21"/>
        <v>102010</v>
      </c>
      <c r="AI55" s="199">
        <v>3928149</v>
      </c>
      <c r="AJ55" s="39">
        <f t="shared" si="22"/>
        <v>9801</v>
      </c>
      <c r="AK55" s="199">
        <v>16966</v>
      </c>
      <c r="AL55" s="39">
        <f t="shared" si="23"/>
        <v>176000</v>
      </c>
      <c r="AM55" s="199">
        <v>11</v>
      </c>
      <c r="AN55" s="46">
        <f t="shared" si="24"/>
        <v>0</v>
      </c>
      <c r="AO55" s="199">
        <v>11630</v>
      </c>
      <c r="AP55" s="39">
        <f t="shared" si="25"/>
        <v>900</v>
      </c>
      <c r="AR55" s="82">
        <f>AR54+7</f>
        <v>44144</v>
      </c>
      <c r="AS55" s="199">
        <v>8141</v>
      </c>
      <c r="AT55" s="39">
        <f t="shared" si="59"/>
        <v>73</v>
      </c>
      <c r="AU55" s="211"/>
      <c r="AV55" s="199">
        <v>17758329</v>
      </c>
      <c r="AW55" s="39">
        <f t="shared" si="60"/>
        <v>53109</v>
      </c>
      <c r="AX55" s="199">
        <v>413399615</v>
      </c>
      <c r="AY55" s="47">
        <f t="shared" si="61"/>
        <v>45878.9</v>
      </c>
      <c r="AZ55" s="39">
        <f t="shared" si="62"/>
        <v>7230.0999999999985</v>
      </c>
      <c r="BA55" s="199">
        <v>6939000</v>
      </c>
      <c r="BB55" s="39">
        <f t="shared" si="30"/>
        <v>1700</v>
      </c>
      <c r="BC55" s="200">
        <v>3738600</v>
      </c>
      <c r="BD55" s="39">
        <f t="shared" si="31"/>
        <v>900</v>
      </c>
      <c r="BE55" s="199">
        <v>42771746</v>
      </c>
      <c r="BF55" s="39">
        <f t="shared" si="32"/>
        <v>584040</v>
      </c>
    </row>
    <row r="56" spans="2:58" x14ac:dyDescent="0.25">
      <c r="B56" s="82">
        <f t="shared" ref="B56:B58" si="112">B55+7</f>
        <v>44151</v>
      </c>
      <c r="C56" s="273">
        <v>40471618</v>
      </c>
      <c r="D56" s="274"/>
      <c r="E56" s="297">
        <v>809260</v>
      </c>
      <c r="F56" s="273">
        <v>4692227</v>
      </c>
      <c r="G56" s="274"/>
      <c r="H56" s="297">
        <v>62630</v>
      </c>
      <c r="I56" s="273">
        <v>16701</v>
      </c>
      <c r="J56" s="274"/>
      <c r="K56" s="297">
        <v>170</v>
      </c>
      <c r="L56" s="273">
        <v>294233</v>
      </c>
      <c r="M56" s="274"/>
      <c r="N56" s="297">
        <v>585000</v>
      </c>
      <c r="O56" s="273">
        <v>4422</v>
      </c>
      <c r="P56" s="274"/>
      <c r="Q56" s="297">
        <v>18600</v>
      </c>
      <c r="R56" s="209"/>
      <c r="S56" s="273">
        <v>678789</v>
      </c>
      <c r="T56" s="274"/>
      <c r="U56" s="297">
        <v>176200</v>
      </c>
      <c r="V56" s="273">
        <v>303060</v>
      </c>
      <c r="W56" s="274"/>
      <c r="X56" s="297">
        <v>701000</v>
      </c>
      <c r="Y56" s="299">
        <v>877200</v>
      </c>
      <c r="Z56" s="210"/>
      <c r="AA56" s="199">
        <v>13489</v>
      </c>
      <c r="AB56" s="297">
        <v>2250000</v>
      </c>
      <c r="AC56" s="199">
        <v>371018977</v>
      </c>
      <c r="AD56" s="297">
        <v>517868.4</v>
      </c>
      <c r="AE56" s="199">
        <v>103282</v>
      </c>
      <c r="AF56" s="297">
        <v>320</v>
      </c>
      <c r="AG56" s="199">
        <v>3124158</v>
      </c>
      <c r="AH56" s="297">
        <v>101640</v>
      </c>
      <c r="AI56" s="199">
        <v>3932042</v>
      </c>
      <c r="AJ56" s="297">
        <v>3893</v>
      </c>
      <c r="AK56" s="199">
        <v>17057</v>
      </c>
      <c r="AL56" s="297">
        <v>91000</v>
      </c>
      <c r="AM56" s="199">
        <v>170</v>
      </c>
      <c r="AN56" s="297">
        <v>159</v>
      </c>
      <c r="AO56" s="199">
        <v>11640</v>
      </c>
      <c r="AP56" s="297">
        <v>1000</v>
      </c>
      <c r="AR56" s="82">
        <f t="shared" ref="AR56:AR58" si="113">AR55+7</f>
        <v>44151</v>
      </c>
      <c r="AS56" s="199">
        <v>8239</v>
      </c>
      <c r="AT56" s="297">
        <v>98</v>
      </c>
      <c r="AU56" s="211"/>
      <c r="AV56" s="199">
        <v>17813856</v>
      </c>
      <c r="AW56" s="297">
        <v>55527</v>
      </c>
      <c r="AX56" s="199">
        <v>418020285</v>
      </c>
      <c r="AY56" s="297">
        <v>46207</v>
      </c>
      <c r="AZ56" s="297">
        <v>9320.2999999999993</v>
      </c>
      <c r="BA56" s="199">
        <v>6940800</v>
      </c>
      <c r="BB56" s="300">
        <v>1800</v>
      </c>
      <c r="BC56" s="200">
        <v>3739300</v>
      </c>
      <c r="BD56" s="298">
        <v>700</v>
      </c>
      <c r="BE56" s="199">
        <v>42781035</v>
      </c>
      <c r="BF56" s="297">
        <v>9289</v>
      </c>
    </row>
    <row r="57" spans="2:58" x14ac:dyDescent="0.25">
      <c r="B57" s="82">
        <f t="shared" si="112"/>
        <v>44158</v>
      </c>
      <c r="AR57" s="82">
        <f t="shared" si="113"/>
        <v>44158</v>
      </c>
    </row>
    <row r="58" spans="2:58" x14ac:dyDescent="0.25">
      <c r="B58" s="82">
        <f t="shared" si="112"/>
        <v>44165</v>
      </c>
      <c r="AR58" s="82">
        <f t="shared" si="113"/>
        <v>44165</v>
      </c>
    </row>
    <row r="59" spans="2:58" x14ac:dyDescent="0.25">
      <c r="B59" s="82">
        <v>44166</v>
      </c>
      <c r="AR59" s="82">
        <v>44166</v>
      </c>
    </row>
    <row r="60" spans="2:58" x14ac:dyDescent="0.25">
      <c r="B60" s="82">
        <v>44172</v>
      </c>
      <c r="AR60" s="82">
        <v>44172</v>
      </c>
    </row>
    <row r="61" spans="2:58" x14ac:dyDescent="0.25">
      <c r="B61" s="82">
        <f>B60+7</f>
        <v>44179</v>
      </c>
      <c r="AR61" s="82">
        <f>AR60+7</f>
        <v>44179</v>
      </c>
    </row>
    <row r="62" spans="2:58" x14ac:dyDescent="0.25">
      <c r="B62" s="82">
        <f t="shared" ref="B62:B63" si="114">B61+7</f>
        <v>44186</v>
      </c>
      <c r="AR62" s="82">
        <f t="shared" ref="AR62:AR63" si="115">AR61+7</f>
        <v>44186</v>
      </c>
    </row>
    <row r="63" spans="2:58" x14ac:dyDescent="0.25">
      <c r="B63" s="82">
        <f t="shared" si="114"/>
        <v>44193</v>
      </c>
      <c r="AR63" s="82">
        <f t="shared" si="115"/>
        <v>44193</v>
      </c>
    </row>
    <row r="64" spans="2:58" x14ac:dyDescent="0.25">
      <c r="B64" s="82">
        <v>44197</v>
      </c>
      <c r="AR64" s="82">
        <v>44197</v>
      </c>
    </row>
  </sheetData>
  <mergeCells count="431">
    <mergeCell ref="C56:D56"/>
    <mergeCell ref="F56:G56"/>
    <mergeCell ref="I56:J56"/>
    <mergeCell ref="L56:M56"/>
    <mergeCell ref="O56:P56"/>
    <mergeCell ref="S56:T56"/>
    <mergeCell ref="V56:W56"/>
    <mergeCell ref="V53:W53"/>
    <mergeCell ref="S48:T48"/>
    <mergeCell ref="S49:T49"/>
    <mergeCell ref="S50:T50"/>
    <mergeCell ref="S51:T51"/>
    <mergeCell ref="C53:D53"/>
    <mergeCell ref="F53:G53"/>
    <mergeCell ref="I53:J53"/>
    <mergeCell ref="L53:M53"/>
    <mergeCell ref="O53:P53"/>
    <mergeCell ref="S53:T53"/>
    <mergeCell ref="F48:G48"/>
    <mergeCell ref="F49:G49"/>
    <mergeCell ref="F50:G50"/>
    <mergeCell ref="F51:G51"/>
    <mergeCell ref="C52:D52"/>
    <mergeCell ref="F52:G52"/>
    <mergeCell ref="I52:J52"/>
    <mergeCell ref="L52:M52"/>
    <mergeCell ref="O52:P52"/>
    <mergeCell ref="S52:T52"/>
    <mergeCell ref="V52:W52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I48:J48"/>
    <mergeCell ref="I49:J49"/>
    <mergeCell ref="I50:J50"/>
    <mergeCell ref="I51:J51"/>
    <mergeCell ref="V1:X1"/>
    <mergeCell ref="AA1:AB1"/>
    <mergeCell ref="V4:W4"/>
    <mergeCell ref="V6:W6"/>
    <mergeCell ref="V8:W8"/>
    <mergeCell ref="V10:W10"/>
    <mergeCell ref="V12:W12"/>
    <mergeCell ref="V14:W14"/>
    <mergeCell ref="V16:W16"/>
    <mergeCell ref="V18:W18"/>
    <mergeCell ref="V20:W20"/>
    <mergeCell ref="V22:W22"/>
    <mergeCell ref="V24:W24"/>
    <mergeCell ref="V26:W26"/>
    <mergeCell ref="V28:W28"/>
    <mergeCell ref="V30:W30"/>
    <mergeCell ref="V32:W32"/>
    <mergeCell ref="L45:M45"/>
    <mergeCell ref="L46:M46"/>
    <mergeCell ref="L47:M47"/>
    <mergeCell ref="C1:E1"/>
    <mergeCell ref="F1:H1"/>
    <mergeCell ref="I1:K1"/>
    <mergeCell ref="L1:N1"/>
    <mergeCell ref="O1:Q1"/>
    <mergeCell ref="S1:U1"/>
    <mergeCell ref="I45:J45"/>
    <mergeCell ref="I46:J46"/>
    <mergeCell ref="I47:J47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C1:AD1"/>
    <mergeCell ref="AE1:AF1"/>
    <mergeCell ref="AG1:AH1"/>
    <mergeCell ref="AI1:AJ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C54:D54"/>
    <mergeCell ref="F54:G54"/>
    <mergeCell ref="I54:J54"/>
    <mergeCell ref="L54:M54"/>
    <mergeCell ref="O54:P54"/>
    <mergeCell ref="S54:T54"/>
    <mergeCell ref="V54:W54"/>
    <mergeCell ref="C55:D55"/>
    <mergeCell ref="F55:G55"/>
    <mergeCell ref="I55:J55"/>
    <mergeCell ref="L55:M55"/>
    <mergeCell ref="O55:P55"/>
    <mergeCell ref="S55:T55"/>
    <mergeCell ref="V55:W55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openxmlformats.org/package/2006/metadata/core-properties"/>
    <ds:schemaRef ds:uri="ed2f2222-2bff-489f-89bb-9539c67e7b9c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77842aba-bda6-4832-96cd-e75cb532429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2020-11-17T12:04:18Z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