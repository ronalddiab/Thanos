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10" l="1"/>
  <c r="I5" i="10"/>
  <c r="H4" i="10"/>
  <c r="H34" i="10" l="1"/>
  <c r="H33" i="10"/>
  <c r="H32" i="10"/>
  <c r="I33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G2" i="5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" i="5" s="1"/>
  <c r="H8" i="8" l="1"/>
  <c r="I6" i="5" s="1"/>
  <c r="I27" i="10"/>
  <c r="J9" i="9"/>
  <c r="H6" i="8"/>
  <c r="I4" i="5" s="1"/>
  <c r="I10" i="10"/>
  <c r="I7" i="10"/>
  <c r="I23" i="10"/>
  <c r="I34" i="10"/>
  <c r="J33" i="9"/>
  <c r="H32" i="8"/>
  <c r="I30" i="5" s="1"/>
  <c r="H30" i="8"/>
  <c r="I28" i="5" s="1"/>
  <c r="H26" i="8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<sst xmlns="http://schemas.openxmlformats.org/spreadsheetml/2006/main" count="72" uniqueCount="37">
  <si>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</si>
  <si>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</si>
  <si>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</si>
  <si>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</si>
  <si>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</si>
  <si>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</si>
  <si>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</si>
  <si>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</si>
  <si>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</si>
  <si>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</si>
  <si>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</si>
  <si>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</si>
  <si>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</si>
  <si>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</si>
  <si>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</si>
  <si>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</si>
  <si>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</si>
  <si>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</si>
  <si>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</si>
  <si>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</si>
  <si>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</si>
  <si>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</si>
  <si>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</si>
  <si>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</si>
  <si>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</si>
  <si>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</si>
  <si>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</si>
  <si>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</si>
  <si>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</si>
  <si>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</si>
  <si>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</si>
  <si>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</si>
  <si>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</si>
  <si>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</si>
  <si>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JUL.2022</t>
  </si>
  <si>
    <t>ELECTRICITY CONSUMPTION , JUL.2022</t>
  </si>
  <si>
    <t>WATER CONSUMPTION , JUL.2022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</si>
</sst>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03376"/>
        <c:axId val="368604160"/>
      </c:lineChart>
      <c:dateAx>
        <c:axId val="368603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4160"/>
        <c:crosses val="autoZero"/>
        <c:auto val="0"/>
        <c:lblOffset val="100"/>
        <c:baseTimeUnit val="days"/>
      </c:dateAx>
      <c:valAx>
        <c:axId val="36860416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3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4" sqref="A4:XFD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7</v>
      </c>
      <c r="D2" s="12">
        <v>2022</v>
      </c>
      <c r="E2" s="13">
        <f>Electricity!I4</f>
        <v>7735</v>
      </c>
      <c r="F2" s="3">
        <v>2.19</v>
      </c>
      <c r="G2" s="13">
        <f>Gas!J4</f>
        <v>308.60000000000002</v>
      </c>
      <c r="H2" s="3">
        <v>5.65</v>
      </c>
      <c r="I2" s="13">
        <f>Water!H4</f>
        <v>40</v>
      </c>
      <c r="J2" s="3">
        <v>22.4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7</v>
      </c>
      <c r="D3" s="12">
        <v>2022</v>
      </c>
      <c r="E3" s="13">
        <f>Electricity!I5</f>
        <v>8346.2400000002235</v>
      </c>
      <c r="F3" s="3">
        <v>2.19</v>
      </c>
      <c r="G3" s="13">
        <f>Gas!J5</f>
        <v>302.34366799984127</v>
      </c>
      <c r="H3" s="3">
        <v>5.65</v>
      </c>
      <c r="I3" s="13">
        <f>Water!H5</f>
        <v>48</v>
      </c>
      <c r="J3" s="3">
        <v>22.4</v>
      </c>
      <c r="K3" s="12">
        <v>0</v>
      </c>
    </row>
    <row r="4" spans="1:11" s="16" customFormat="1" x14ac:dyDescent="0.25">
      <c r="A4" s="25" t="s">
        <v>33</v>
      </c>
      <c r="B4" s="15">
        <f t="shared" ref="B4:B31" si="0">B3+1</f>
        <v>3</v>
      </c>
      <c r="C4" s="3">
        <v>7</v>
      </c>
      <c r="D4" s="12">
        <v>2022</v>
      </c>
      <c r="E4" s="13">
        <f>Electricity!I6</f>
        <v>6088.5600000005215</v>
      </c>
      <c r="F4" s="3">
        <v>2.19</v>
      </c>
      <c r="G4" s="13">
        <f>Gas!J6</f>
        <v>209.89147200016305</v>
      </c>
      <c r="H4" s="3">
        <v>5.65</v>
      </c>
      <c r="I4" s="13">
        <f>Water!H6</f>
        <v>37</v>
      </c>
      <c r="J4" s="3">
        <v>22.4</v>
      </c>
      <c r="K4" s="12">
        <v>0</v>
      </c>
    </row>
    <row r="5" spans="1:11" s="16" customFormat="1" x14ac:dyDescent="0.25">
      <c r="A5" s="25" t="s">
        <v>33</v>
      </c>
      <c r="B5" s="15">
        <f t="shared" si="0"/>
        <v>4</v>
      </c>
      <c r="C5" s="3">
        <v>7</v>
      </c>
      <c r="D5" s="12">
        <v>2022</v>
      </c>
      <c r="E5" s="13">
        <f>Electricity!I7</f>
        <v>-13632161.640000001</v>
      </c>
      <c r="F5" s="3">
        <v>2.19</v>
      </c>
      <c r="G5" s="13">
        <f>Gas!J7</f>
        <v>-1175499.6876440002</v>
      </c>
      <c r="H5" s="3">
        <v>5.65</v>
      </c>
      <c r="I5" s="13">
        <f>Water!H7</f>
        <v>-13521</v>
      </c>
      <c r="J5" s="3">
        <v>22.4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7</v>
      </c>
      <c r="D6" s="12">
        <v>2022</v>
      </c>
      <c r="E6" s="13">
        <f>Electricity!I8</f>
        <v>0</v>
      </c>
      <c r="F6" s="3">
        <v>2.19</v>
      </c>
      <c r="G6" s="13">
        <f>Gas!J8</f>
        <v>0</v>
      </c>
      <c r="H6" s="3">
        <v>5.65</v>
      </c>
      <c r="I6" s="13">
        <f>Water!H8</f>
        <v>0</v>
      </c>
      <c r="J6" s="3">
        <v>22.4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7</v>
      </c>
      <c r="D7" s="12">
        <v>2022</v>
      </c>
      <c r="E7" s="13">
        <f>Electricity!I9</f>
        <v>0</v>
      </c>
      <c r="F7" s="3">
        <v>2.19</v>
      </c>
      <c r="G7" s="13">
        <f>Gas!J9</f>
        <v>0</v>
      </c>
      <c r="H7" s="3">
        <v>5.65</v>
      </c>
      <c r="I7" s="13">
        <f>Water!H9</f>
        <v>0</v>
      </c>
      <c r="J7" s="3">
        <v>22.4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7</v>
      </c>
      <c r="D8" s="12">
        <v>2022</v>
      </c>
      <c r="E8" s="13">
        <f>Electricity!I10</f>
        <v>0</v>
      </c>
      <c r="F8" s="3">
        <v>2.19</v>
      </c>
      <c r="G8" s="13">
        <f>Gas!J10</f>
        <v>0</v>
      </c>
      <c r="H8" s="3">
        <v>5.65</v>
      </c>
      <c r="I8" s="13">
        <f>Water!H10</f>
        <v>0</v>
      </c>
      <c r="J8" s="3">
        <v>22.4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7</v>
      </c>
      <c r="D9" s="12">
        <v>2022</v>
      </c>
      <c r="E9" s="13">
        <f>Electricity!I11</f>
        <v>0</v>
      </c>
      <c r="F9" s="3">
        <v>2.19</v>
      </c>
      <c r="G9" s="13">
        <f>Gas!J11</f>
        <v>0</v>
      </c>
      <c r="H9" s="3">
        <v>5.65</v>
      </c>
      <c r="I9" s="13">
        <f>Water!H11</f>
        <v>0</v>
      </c>
      <c r="J9" s="3">
        <v>22.4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7</v>
      </c>
      <c r="D10" s="12">
        <v>2022</v>
      </c>
      <c r="E10" s="13">
        <f>Electricity!I12</f>
        <v>0</v>
      </c>
      <c r="F10" s="3">
        <v>2.19</v>
      </c>
      <c r="G10" s="13">
        <f>Gas!J12</f>
        <v>0</v>
      </c>
      <c r="H10" s="3">
        <v>5.65</v>
      </c>
      <c r="I10" s="13">
        <f>Water!H12</f>
        <v>0</v>
      </c>
      <c r="J10" s="3">
        <v>22.4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7</v>
      </c>
      <c r="D11" s="12">
        <v>2022</v>
      </c>
      <c r="E11" s="13">
        <f>Electricity!I13</f>
        <v>0</v>
      </c>
      <c r="F11" s="3">
        <v>2.19</v>
      </c>
      <c r="G11" s="13">
        <f>Gas!J13</f>
        <v>0</v>
      </c>
      <c r="H11" s="3">
        <v>5.65</v>
      </c>
      <c r="I11" s="13">
        <f>Water!H13</f>
        <v>0</v>
      </c>
      <c r="J11" s="3">
        <v>22.4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7</v>
      </c>
      <c r="D12" s="12">
        <v>2022</v>
      </c>
      <c r="E12" s="13">
        <f>Electricity!I14</f>
        <v>0</v>
      </c>
      <c r="F12" s="3">
        <v>2.19</v>
      </c>
      <c r="G12" s="13">
        <f>Gas!J14</f>
        <v>0</v>
      </c>
      <c r="H12" s="3">
        <v>5.65</v>
      </c>
      <c r="I12" s="13">
        <f>Water!H14</f>
        <v>0</v>
      </c>
      <c r="J12" s="3">
        <v>22.4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7</v>
      </c>
      <c r="D13" s="12">
        <v>2022</v>
      </c>
      <c r="E13" s="13">
        <f>Electricity!I15</f>
        <v>0</v>
      </c>
      <c r="F13" s="3">
        <v>2.19</v>
      </c>
      <c r="G13" s="13">
        <f>Gas!J15</f>
        <v>0</v>
      </c>
      <c r="H13" s="3">
        <v>5.65</v>
      </c>
      <c r="I13" s="13">
        <f>Water!H15</f>
        <v>0</v>
      </c>
      <c r="J13" s="3">
        <v>22.4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7</v>
      </c>
      <c r="D14" s="12">
        <v>2022</v>
      </c>
      <c r="E14" s="13">
        <f>Electricity!I16</f>
        <v>0</v>
      </c>
      <c r="F14" s="3">
        <v>2.19</v>
      </c>
      <c r="G14" s="13">
        <f>Gas!J16</f>
        <v>0</v>
      </c>
      <c r="H14" s="3">
        <v>5.65</v>
      </c>
      <c r="I14" s="13">
        <f>Water!H16</f>
        <v>0</v>
      </c>
      <c r="J14" s="3">
        <v>22.4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7</v>
      </c>
      <c r="D15" s="12">
        <v>2022</v>
      </c>
      <c r="E15" s="13">
        <f>Electricity!I17</f>
        <v>0</v>
      </c>
      <c r="F15" s="3">
        <v>2.19</v>
      </c>
      <c r="G15" s="13">
        <f>Gas!J17</f>
        <v>0</v>
      </c>
      <c r="H15" s="3">
        <v>5.65</v>
      </c>
      <c r="I15" s="13">
        <f>Water!H17</f>
        <v>0</v>
      </c>
      <c r="J15" s="3">
        <v>22.4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7</v>
      </c>
      <c r="D16" s="12">
        <v>2022</v>
      </c>
      <c r="E16" s="13">
        <f>Electricity!I18</f>
        <v>0</v>
      </c>
      <c r="F16" s="3">
        <v>2.19</v>
      </c>
      <c r="G16" s="13">
        <f>Gas!J18</f>
        <v>0</v>
      </c>
      <c r="H16" s="3">
        <v>5.65</v>
      </c>
      <c r="I16" s="13">
        <f>Water!H18</f>
        <v>0</v>
      </c>
      <c r="J16" s="3">
        <v>22.4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7</v>
      </c>
      <c r="D17" s="12">
        <v>2022</v>
      </c>
      <c r="E17" s="13">
        <f>Electricity!I19</f>
        <v>0</v>
      </c>
      <c r="F17" s="3">
        <v>2.19</v>
      </c>
      <c r="G17" s="13">
        <f>Gas!J19</f>
        <v>0</v>
      </c>
      <c r="H17" s="3">
        <v>5.65</v>
      </c>
      <c r="I17" s="13">
        <f>Water!H19</f>
        <v>0</v>
      </c>
      <c r="J17" s="3">
        <v>22.4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7</v>
      </c>
      <c r="D18" s="12">
        <v>2022</v>
      </c>
      <c r="E18" s="13">
        <f>Electricity!I20</f>
        <v>0</v>
      </c>
      <c r="F18" s="3">
        <v>2.19</v>
      </c>
      <c r="G18" s="13">
        <f>Gas!J20</f>
        <v>0</v>
      </c>
      <c r="H18" s="3">
        <v>5.65</v>
      </c>
      <c r="I18" s="13">
        <f>Water!H20</f>
        <v>0</v>
      </c>
      <c r="J18" s="3">
        <v>22.4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7</v>
      </c>
      <c r="D19" s="12">
        <v>2022</v>
      </c>
      <c r="E19" s="13">
        <f>Electricity!I21</f>
        <v>0</v>
      </c>
      <c r="F19" s="3">
        <v>2.19</v>
      </c>
      <c r="G19" s="13">
        <f>Gas!J21</f>
        <v>0</v>
      </c>
      <c r="H19" s="3">
        <v>5.65</v>
      </c>
      <c r="I19" s="13">
        <f>Water!H21</f>
        <v>0</v>
      </c>
      <c r="J19" s="3">
        <v>22.4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7</v>
      </c>
      <c r="D20" s="12">
        <v>2022</v>
      </c>
      <c r="E20" s="13">
        <f>Electricity!I22</f>
        <v>0</v>
      </c>
      <c r="F20" s="3">
        <v>2.19</v>
      </c>
      <c r="G20" s="13">
        <f>Gas!J22</f>
        <v>0</v>
      </c>
      <c r="H20" s="3">
        <v>5.65</v>
      </c>
      <c r="I20" s="13">
        <f>Water!H22</f>
        <v>0</v>
      </c>
      <c r="J20" s="3">
        <v>22.4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7</v>
      </c>
      <c r="D21" s="12">
        <v>2022</v>
      </c>
      <c r="E21" s="13">
        <f>Electricity!I23</f>
        <v>0</v>
      </c>
      <c r="F21" s="3">
        <v>2.19</v>
      </c>
      <c r="G21" s="13">
        <f>Gas!J23</f>
        <v>0</v>
      </c>
      <c r="H21" s="3">
        <v>5.65</v>
      </c>
      <c r="I21" s="13">
        <f>Water!H23</f>
        <v>0</v>
      </c>
      <c r="J21" s="3">
        <v>22.4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7</v>
      </c>
      <c r="D22" s="12">
        <v>2022</v>
      </c>
      <c r="E22" s="13">
        <f>Electricity!I24</f>
        <v>0</v>
      </c>
      <c r="F22" s="3">
        <v>2.19</v>
      </c>
      <c r="G22" s="13">
        <f>Gas!J24</f>
        <v>0</v>
      </c>
      <c r="H22" s="3">
        <v>5.65</v>
      </c>
      <c r="I22" s="13">
        <f>Water!H24</f>
        <v>0</v>
      </c>
      <c r="J22" s="3">
        <v>22.4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7</v>
      </c>
      <c r="D23" s="12">
        <v>2022</v>
      </c>
      <c r="E23" s="13">
        <f>Electricity!I25</f>
        <v>0</v>
      </c>
      <c r="F23" s="3">
        <v>2.19</v>
      </c>
      <c r="G23" s="13">
        <f>Gas!J25</f>
        <v>0</v>
      </c>
      <c r="H23" s="3">
        <v>5.65</v>
      </c>
      <c r="I23" s="13">
        <f>Water!H25</f>
        <v>0</v>
      </c>
      <c r="J23" s="3">
        <v>22.4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7</v>
      </c>
      <c r="D24" s="12">
        <v>2022</v>
      </c>
      <c r="E24" s="13">
        <f>Electricity!I26</f>
        <v>0</v>
      </c>
      <c r="F24" s="3">
        <v>2.19</v>
      </c>
      <c r="G24" s="13">
        <f>Gas!J26</f>
        <v>0</v>
      </c>
      <c r="H24" s="3">
        <v>5.65</v>
      </c>
      <c r="I24" s="13">
        <f>Water!H26</f>
        <v>0</v>
      </c>
      <c r="J24" s="3">
        <v>22.4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7</v>
      </c>
      <c r="D25" s="12">
        <v>2022</v>
      </c>
      <c r="E25" s="13">
        <f>Electricity!I27</f>
        <v>0</v>
      </c>
      <c r="F25" s="3">
        <v>2.19</v>
      </c>
      <c r="G25" s="13">
        <f>Gas!J27</f>
        <v>0</v>
      </c>
      <c r="H25" s="3">
        <v>5.65</v>
      </c>
      <c r="I25" s="13">
        <f>Water!H27</f>
        <v>0</v>
      </c>
      <c r="J25" s="3">
        <v>22.4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7</v>
      </c>
      <c r="D26" s="12">
        <v>2022</v>
      </c>
      <c r="E26" s="13">
        <f>Electricity!I28</f>
        <v>0</v>
      </c>
      <c r="F26" s="3">
        <v>2.19</v>
      </c>
      <c r="G26" s="13">
        <f>Gas!J28</f>
        <v>0</v>
      </c>
      <c r="H26" s="3">
        <v>5.65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7</v>
      </c>
      <c r="D27" s="12">
        <v>2022</v>
      </c>
      <c r="E27" s="13">
        <f>Electricity!I29</f>
        <v>0</v>
      </c>
      <c r="F27" s="3">
        <v>2.19</v>
      </c>
      <c r="G27" s="13">
        <f>Gas!J29</f>
        <v>0</v>
      </c>
      <c r="H27" s="3">
        <v>5.65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7</v>
      </c>
      <c r="D28" s="12">
        <v>2022</v>
      </c>
      <c r="E28" s="13">
        <f>Electricity!I30</f>
        <v>0</v>
      </c>
      <c r="F28" s="3">
        <v>2.19</v>
      </c>
      <c r="G28" s="13">
        <f>Gas!J30</f>
        <v>0</v>
      </c>
      <c r="H28" s="3">
        <v>5.65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7</v>
      </c>
      <c r="D29" s="12">
        <v>2022</v>
      </c>
      <c r="E29" s="13">
        <f>Electricity!I31</f>
        <v>0</v>
      </c>
      <c r="F29" s="3">
        <v>2.19</v>
      </c>
      <c r="G29" s="13">
        <f>Gas!J31</f>
        <v>0</v>
      </c>
      <c r="H29" s="3">
        <v>5.65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7</v>
      </c>
      <c r="D30" s="12">
        <v>2022</v>
      </c>
      <c r="E30" s="13">
        <f>Electricity!I32</f>
        <v>0</v>
      </c>
      <c r="F30" s="3">
        <v>2.19</v>
      </c>
      <c r="G30" s="13">
        <f>Gas!J32</f>
        <v>0</v>
      </c>
      <c r="H30" s="3">
        <v>5.65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7</v>
      </c>
      <c r="D31" s="12">
        <v>2022</v>
      </c>
      <c r="E31" s="13">
        <f>Electricity!I33</f>
        <v>0</v>
      </c>
      <c r="F31" s="3">
        <v>2.19</v>
      </c>
      <c r="G31" s="13">
        <f>Gas!J33</f>
        <v>0</v>
      </c>
      <c r="H31" s="3">
        <v>5.65</v>
      </c>
      <c r="I31" s="13">
        <f>Water!H33</f>
        <v>0</v>
      </c>
      <c r="J31" s="3">
        <v>22.4</v>
      </c>
      <c r="K31" s="12">
        <v>0</v>
      </c>
    </row>
    <row r="32" spans="1:11" x14ac:dyDescent="0.25">
      <c r="A32" s="25" t="s">
        <v>33</v>
      </c>
      <c r="B32" s="15">
        <f>B31+1</f>
        <v>31</v>
      </c>
      <c r="C32" s="3">
        <v>7</v>
      </c>
      <c r="D32" s="12">
        <v>2022</v>
      </c>
      <c r="E32" s="13">
        <f>Electricity!I34</f>
        <v>0</v>
      </c>
      <c r="F32" s="3">
        <v>2.19</v>
      </c>
      <c r="G32" s="13">
        <f>Gas!J34</f>
        <v>0</v>
      </c>
      <c r="H32" s="3">
        <v>5.65</v>
      </c>
      <c r="I32" s="13">
        <f>Water!H34</f>
        <v>0</v>
      </c>
      <c r="J32" s="3">
        <v>22.4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7" sqref="E7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36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44743</v>
      </c>
      <c r="E4" s="23">
        <v>13436</v>
      </c>
      <c r="F4" s="23">
        <v>1065</v>
      </c>
      <c r="G4" s="23">
        <f t="shared" ref="G4:G26" si="0">E4+F4</f>
        <v>14501</v>
      </c>
      <c r="H4" s="65">
        <v>40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44744</v>
      </c>
      <c r="E5" s="23">
        <v>13484</v>
      </c>
      <c r="F5" s="23">
        <v>1065</v>
      </c>
      <c r="G5" s="23">
        <f t="shared" si="0"/>
        <v>14549</v>
      </c>
      <c r="H5" s="65">
        <f t="shared" ref="H5:H28" si="1">G5-G4</f>
        <v>48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44745</v>
      </c>
      <c r="E6" s="23">
        <v>13521</v>
      </c>
      <c r="F6" s="23">
        <v>1065</v>
      </c>
      <c r="G6" s="23">
        <f t="shared" si="0"/>
        <v>14586</v>
      </c>
      <c r="H6" s="65">
        <f t="shared" si="1"/>
        <v>37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44746</v>
      </c>
      <c r="E7" s="23"/>
      <c r="F7" s="23">
        <v>1065</v>
      </c>
      <c r="G7" s="23">
        <f t="shared" si="0"/>
        <v>1065</v>
      </c>
      <c r="H7" s="65">
        <f t="shared" si="1"/>
        <v>-13521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44747</v>
      </c>
      <c r="E8" s="23"/>
      <c r="F8" s="23">
        <v>1065</v>
      </c>
      <c r="G8" s="23">
        <f t="shared" si="0"/>
        <v>1065</v>
      </c>
      <c r="H8" s="65">
        <f t="shared" si="1"/>
        <v>0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44748</v>
      </c>
      <c r="E9" s="23"/>
      <c r="F9" s="23">
        <v>1065</v>
      </c>
      <c r="G9" s="23">
        <f t="shared" si="0"/>
        <v>1065</v>
      </c>
      <c r="H9" s="65">
        <f t="shared" si="1"/>
        <v>0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44749</v>
      </c>
      <c r="E10" s="23"/>
      <c r="F10" s="23">
        <v>1065</v>
      </c>
      <c r="G10" s="23">
        <f t="shared" si="0"/>
        <v>1065</v>
      </c>
      <c r="H10" s="65">
        <f t="shared" si="1"/>
        <v>0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44750</v>
      </c>
      <c r="E11" s="23"/>
      <c r="F11" s="23">
        <v>1065</v>
      </c>
      <c r="G11" s="23">
        <f t="shared" si="0"/>
        <v>1065</v>
      </c>
      <c r="H11" s="65">
        <f t="shared" si="1"/>
        <v>0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44751</v>
      </c>
      <c r="E12" s="23"/>
      <c r="F12" s="23">
        <v>1065</v>
      </c>
      <c r="G12" s="23">
        <f t="shared" si="0"/>
        <v>1065</v>
      </c>
      <c r="H12" s="65">
        <f t="shared" si="1"/>
        <v>0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44752</v>
      </c>
      <c r="E13" s="23"/>
      <c r="F13" s="23">
        <v>1065</v>
      </c>
      <c r="G13" s="23">
        <f t="shared" si="0"/>
        <v>1065</v>
      </c>
      <c r="H13" s="65">
        <f t="shared" si="1"/>
        <v>0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44753</v>
      </c>
      <c r="E14" s="23"/>
      <c r="F14" s="23">
        <v>1065</v>
      </c>
      <c r="G14" s="23">
        <f t="shared" si="0"/>
        <v>1065</v>
      </c>
      <c r="H14" s="65">
        <f t="shared" si="1"/>
        <v>0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44754</v>
      </c>
      <c r="E15" s="23"/>
      <c r="F15" s="23">
        <v>1065</v>
      </c>
      <c r="G15" s="23">
        <f t="shared" si="0"/>
        <v>1065</v>
      </c>
      <c r="H15" s="65">
        <f t="shared" si="1"/>
        <v>0</v>
      </c>
      <c r="I15" s="65"/>
      <c r="J15" s="121"/>
      <c r="K15" s="82"/>
      <c r="L15" s="82"/>
      <c r="M15" s="82"/>
      <c r="N15" s="82"/>
      <c r="O15" s="34" t="s">
        <v>26</v>
      </c>
    </row>
    <row r="16" spans="2:15" s="31" customFormat="1" ht="11.25" x14ac:dyDescent="0.25">
      <c r="D16" s="33">
        <v>44755</v>
      </c>
      <c r="E16" s="23"/>
      <c r="F16" s="23">
        <v>1065</v>
      </c>
      <c r="G16" s="23">
        <f t="shared" si="0"/>
        <v>1065</v>
      </c>
      <c r="H16" s="65">
        <f t="shared" si="1"/>
        <v>0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44756</v>
      </c>
      <c r="E17" s="23"/>
      <c r="F17" s="23">
        <v>1065</v>
      </c>
      <c r="G17" s="23">
        <f t="shared" si="0"/>
        <v>1065</v>
      </c>
      <c r="H17" s="65">
        <f t="shared" si="1"/>
        <v>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44757</v>
      </c>
      <c r="E18" s="23"/>
      <c r="F18" s="23">
        <v>1065</v>
      </c>
      <c r="G18" s="23">
        <f t="shared" si="0"/>
        <v>1065</v>
      </c>
      <c r="H18" s="65">
        <f t="shared" si="1"/>
        <v>0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44758</v>
      </c>
      <c r="E19" s="23"/>
      <c r="F19" s="23">
        <v>1065</v>
      </c>
      <c r="G19" s="23">
        <f t="shared" si="0"/>
        <v>1065</v>
      </c>
      <c r="H19" s="65">
        <f t="shared" si="1"/>
        <v>0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44759</v>
      </c>
      <c r="E20" s="23"/>
      <c r="F20" s="23">
        <v>1065</v>
      </c>
      <c r="G20" s="23">
        <f t="shared" si="0"/>
        <v>1065</v>
      </c>
      <c r="H20" s="65">
        <f t="shared" si="1"/>
        <v>0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44760</v>
      </c>
      <c r="E21" s="23"/>
      <c r="F21" s="23">
        <v>1065</v>
      </c>
      <c r="G21" s="23">
        <f t="shared" si="0"/>
        <v>1065</v>
      </c>
      <c r="H21" s="65">
        <f t="shared" si="1"/>
        <v>0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44761</v>
      </c>
      <c r="E22" s="23"/>
      <c r="F22" s="23">
        <v>1065</v>
      </c>
      <c r="G22" s="23">
        <f t="shared" si="0"/>
        <v>1065</v>
      </c>
      <c r="H22" s="65">
        <f t="shared" si="1"/>
        <v>0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44762</v>
      </c>
      <c r="E23" s="23"/>
      <c r="F23" s="23">
        <v>1065</v>
      </c>
      <c r="G23" s="23">
        <f t="shared" si="0"/>
        <v>1065</v>
      </c>
      <c r="H23" s="65">
        <f t="shared" si="1"/>
        <v>0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44763</v>
      </c>
      <c r="E24" s="23"/>
      <c r="F24" s="23">
        <v>1065</v>
      </c>
      <c r="G24" s="23">
        <f t="shared" si="0"/>
        <v>1065</v>
      </c>
      <c r="H24" s="65">
        <f t="shared" si="1"/>
        <v>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44764</v>
      </c>
      <c r="E25" s="23"/>
      <c r="F25" s="23">
        <v>1065</v>
      </c>
      <c r="G25" s="23">
        <f t="shared" si="0"/>
        <v>1065</v>
      </c>
      <c r="H25" s="65">
        <f t="shared" si="1"/>
        <v>0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44765</v>
      </c>
      <c r="E26" s="23"/>
      <c r="F26" s="23">
        <v>1065</v>
      </c>
      <c r="G26" s="23">
        <f t="shared" si="0"/>
        <v>1065</v>
      </c>
      <c r="H26" s="65">
        <f t="shared" si="1"/>
        <v>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44766</v>
      </c>
      <c r="E27" s="27"/>
      <c r="F27" s="23">
        <v>1065</v>
      </c>
      <c r="G27" s="23">
        <f>E27+F27</f>
        <v>1065</v>
      </c>
      <c r="H27" s="65">
        <f t="shared" si="1"/>
        <v>0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44767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44768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44769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44770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44771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44772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44773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27</v>
      </c>
      <c r="E35" s="70"/>
      <c r="F35" s="70"/>
      <c r="G35" s="71"/>
      <c r="H35" s="72">
        <f>SUM(H4:H34)</f>
        <v>-13396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/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G6" sqref="G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34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28</v>
      </c>
      <c r="C3" s="31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44743</v>
      </c>
      <c r="E4" s="23">
        <v>767837</v>
      </c>
      <c r="F4" s="23">
        <v>172639</v>
      </c>
      <c r="G4" s="23">
        <f t="shared" ref="G4:G15" si="0">E4+F4</f>
        <v>940476</v>
      </c>
      <c r="H4" s="18">
        <v>1.2493540000000001</v>
      </c>
      <c r="I4" s="23">
        <f t="shared" ref="I4:I15" si="1">H4*G4</f>
        <v>1174987.4525040002</v>
      </c>
      <c r="J4" s="24">
        <v>308.60000000000002</v>
      </c>
      <c r="K4" s="22"/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44744</v>
      </c>
      <c r="E5" s="23">
        <v>768031</v>
      </c>
      <c r="F5" s="23">
        <v>172687</v>
      </c>
      <c r="G5" s="23">
        <f t="shared" si="0"/>
        <v>940718</v>
      </c>
      <c r="H5" s="18">
        <v>1.2493540000000001</v>
      </c>
      <c r="I5" s="23">
        <f t="shared" si="1"/>
        <v>1175289.796172</v>
      </c>
      <c r="J5" s="24">
        <f t="shared" ref="J5:J33" si="2">I5-I4</f>
        <v>302.34366799984127</v>
      </c>
      <c r="K5" s="22"/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44745</v>
      </c>
      <c r="E6" s="23">
        <v>768152</v>
      </c>
      <c r="F6" s="23">
        <v>172734</v>
      </c>
      <c r="G6" s="23">
        <f t="shared" si="0"/>
        <v>940886</v>
      </c>
      <c r="H6" s="18">
        <v>1.2493540000000001</v>
      </c>
      <c r="I6" s="23">
        <f t="shared" si="1"/>
        <v>1175499.6876440002</v>
      </c>
      <c r="J6" s="24">
        <f t="shared" si="2"/>
        <v>209.89147200016305</v>
      </c>
      <c r="K6" s="22"/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44746</v>
      </c>
      <c r="E7" s="23"/>
      <c r="F7" s="23"/>
      <c r="G7" s="23">
        <f t="shared" si="0"/>
        <v>0</v>
      </c>
      <c r="H7" s="18">
        <v>1.2493540000000001</v>
      </c>
      <c r="I7" s="23">
        <f t="shared" si="1"/>
        <v>0</v>
      </c>
      <c r="J7" s="24">
        <f t="shared" si="2"/>
        <v>-1175499.6876440002</v>
      </c>
      <c r="K7" s="22"/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44747</v>
      </c>
      <c r="E8" s="23"/>
      <c r="F8" s="23"/>
      <c r="G8" s="23">
        <f t="shared" si="0"/>
        <v>0</v>
      </c>
      <c r="H8" s="18">
        <v>1.2493540000000001</v>
      </c>
      <c r="I8" s="23">
        <f t="shared" si="1"/>
        <v>0</v>
      </c>
      <c r="J8" s="24">
        <f t="shared" si="2"/>
        <v>0</v>
      </c>
      <c r="K8" s="22"/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44748</v>
      </c>
      <c r="E9" s="23"/>
      <c r="F9" s="23"/>
      <c r="G9" s="23">
        <f t="shared" si="0"/>
        <v>0</v>
      </c>
      <c r="H9" s="18">
        <v>1.2493540000000001</v>
      </c>
      <c r="I9" s="23">
        <f t="shared" si="1"/>
        <v>0</v>
      </c>
      <c r="J9" s="24">
        <f t="shared" si="2"/>
        <v>0</v>
      </c>
      <c r="K9" s="22"/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44749</v>
      </c>
      <c r="E10" s="23"/>
      <c r="F10" s="23"/>
      <c r="G10" s="23">
        <f t="shared" si="0"/>
        <v>0</v>
      </c>
      <c r="H10" s="18">
        <v>1.2493540000000001</v>
      </c>
      <c r="I10" s="23">
        <f t="shared" si="1"/>
        <v>0</v>
      </c>
      <c r="J10" s="24">
        <f t="shared" si="2"/>
        <v>0</v>
      </c>
      <c r="K10" s="22"/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44750</v>
      </c>
      <c r="E11" s="23"/>
      <c r="F11" s="23"/>
      <c r="G11" s="23">
        <f t="shared" si="0"/>
        <v>0</v>
      </c>
      <c r="H11" s="18">
        <v>1.2493540000000001</v>
      </c>
      <c r="I11" s="23">
        <f t="shared" si="1"/>
        <v>0</v>
      </c>
      <c r="J11" s="24">
        <f t="shared" si="2"/>
        <v>0</v>
      </c>
      <c r="K11" s="22"/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44751</v>
      </c>
      <c r="E12" s="23"/>
      <c r="F12" s="23"/>
      <c r="G12" s="23">
        <f t="shared" si="0"/>
        <v>0</v>
      </c>
      <c r="H12" s="18">
        <v>1.2493540000000001</v>
      </c>
      <c r="I12" s="23">
        <f t="shared" si="1"/>
        <v>0</v>
      </c>
      <c r="J12" s="24">
        <f t="shared" si="2"/>
        <v>0</v>
      </c>
      <c r="K12" s="22"/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44752</v>
      </c>
      <c r="E13" s="23"/>
      <c r="F13" s="23"/>
      <c r="G13" s="23">
        <f t="shared" si="0"/>
        <v>0</v>
      </c>
      <c r="H13" s="18">
        <v>1.2493540000000001</v>
      </c>
      <c r="I13" s="23">
        <f t="shared" si="1"/>
        <v>0</v>
      </c>
      <c r="J13" s="24">
        <f t="shared" si="2"/>
        <v>0</v>
      </c>
      <c r="K13" s="22"/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44753</v>
      </c>
      <c r="E14" s="23"/>
      <c r="F14" s="23"/>
      <c r="G14" s="23">
        <f t="shared" si="0"/>
        <v>0</v>
      </c>
      <c r="H14" s="18">
        <v>1.2493540000000001</v>
      </c>
      <c r="I14" s="23">
        <f t="shared" si="1"/>
        <v>0</v>
      </c>
      <c r="J14" s="24">
        <f t="shared" si="2"/>
        <v>0</v>
      </c>
      <c r="K14" s="22"/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44754</v>
      </c>
      <c r="E15" s="23"/>
      <c r="F15" s="23"/>
      <c r="G15" s="23">
        <f t="shared" si="0"/>
        <v>0</v>
      </c>
      <c r="H15" s="18">
        <v>1.2493540000000001</v>
      </c>
      <c r="I15" s="23">
        <f t="shared" si="1"/>
        <v>0</v>
      </c>
      <c r="J15" s="24">
        <f t="shared" si="2"/>
        <v>0</v>
      </c>
      <c r="K15" s="22"/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44755</v>
      </c>
      <c r="E16" s="23"/>
      <c r="F16" s="23"/>
      <c r="G16" s="23">
        <f>E16+F16</f>
        <v>0</v>
      </c>
      <c r="H16" s="18">
        <v>1.2493540000000001</v>
      </c>
      <c r="I16" s="23">
        <f>H16*G16</f>
        <v>0</v>
      </c>
      <c r="J16" s="24">
        <f t="shared" si="2"/>
        <v>0</v>
      </c>
      <c r="K16" s="22"/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44756</v>
      </c>
      <c r="E17" s="23"/>
      <c r="F17" s="23"/>
      <c r="G17" s="23">
        <f>E17+F17</f>
        <v>0</v>
      </c>
      <c r="H17" s="18">
        <v>1.2493540000000001</v>
      </c>
      <c r="I17" s="23">
        <f>H17*G17</f>
        <v>0</v>
      </c>
      <c r="J17" s="24">
        <f t="shared" si="2"/>
        <v>0</v>
      </c>
      <c r="K17" s="22"/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44757</v>
      </c>
      <c r="E18" s="23"/>
      <c r="F18" s="23"/>
      <c r="G18" s="23">
        <f>E18+F18</f>
        <v>0</v>
      </c>
      <c r="H18" s="18">
        <v>1.2493540000000001</v>
      </c>
      <c r="I18" s="23">
        <f>H18*G18</f>
        <v>0</v>
      </c>
      <c r="J18" s="24">
        <f t="shared" si="2"/>
        <v>0</v>
      </c>
      <c r="K18" s="22"/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44758</v>
      </c>
      <c r="E19" s="23"/>
      <c r="F19" s="23"/>
      <c r="G19" s="23">
        <f>E19+F19</f>
        <v>0</v>
      </c>
      <c r="H19" s="18">
        <v>1.2493540000000001</v>
      </c>
      <c r="I19" s="23">
        <f>H19*G19</f>
        <v>0</v>
      </c>
      <c r="J19" s="24">
        <f t="shared" si="2"/>
        <v>0</v>
      </c>
      <c r="K19" s="22"/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44759</v>
      </c>
      <c r="E20" s="23"/>
      <c r="F20" s="23"/>
      <c r="G20" s="23">
        <f>E20+F20</f>
        <v>0</v>
      </c>
      <c r="H20" s="18">
        <v>1.2493540000000001</v>
      </c>
      <c r="I20" s="23">
        <f>H20*G20</f>
        <v>0</v>
      </c>
      <c r="J20" s="24">
        <f t="shared" si="2"/>
        <v>0</v>
      </c>
      <c r="K20" s="22"/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44760</v>
      </c>
      <c r="E21" s="23"/>
      <c r="F21" s="23"/>
      <c r="G21" s="23">
        <f t="shared" ref="G21:G34" si="3">E21+F21</f>
        <v>0</v>
      </c>
      <c r="H21" s="18">
        <v>1.2493540000000001</v>
      </c>
      <c r="I21" s="23">
        <f t="shared" ref="I21:I34" si="4">H21*G21</f>
        <v>0</v>
      </c>
      <c r="J21" s="24">
        <f t="shared" si="2"/>
        <v>0</v>
      </c>
      <c r="K21" s="22"/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44761</v>
      </c>
      <c r="E22" s="23"/>
      <c r="F22" s="23"/>
      <c r="G22" s="23">
        <f t="shared" si="3"/>
        <v>0</v>
      </c>
      <c r="H22" s="18">
        <v>1.2493540000000001</v>
      </c>
      <c r="I22" s="23">
        <f t="shared" si="4"/>
        <v>0</v>
      </c>
      <c r="J22" s="24">
        <f t="shared" si="2"/>
        <v>0</v>
      </c>
      <c r="K22" s="22"/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44762</v>
      </c>
      <c r="E23" s="23"/>
      <c r="F23" s="23"/>
      <c r="G23" s="23">
        <f t="shared" si="3"/>
        <v>0</v>
      </c>
      <c r="H23" s="18">
        <v>1.2493540000000001</v>
      </c>
      <c r="I23" s="23">
        <f t="shared" si="4"/>
        <v>0</v>
      </c>
      <c r="J23" s="24">
        <f t="shared" si="2"/>
        <v>0</v>
      </c>
      <c r="K23" s="22"/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44763</v>
      </c>
      <c r="E24" s="23"/>
      <c r="F24" s="23"/>
      <c r="G24" s="23">
        <f t="shared" si="3"/>
        <v>0</v>
      </c>
      <c r="H24" s="18">
        <v>1.2493540000000001</v>
      </c>
      <c r="I24" s="23">
        <f>H24*G24</f>
        <v>0</v>
      </c>
      <c r="J24" s="24">
        <f t="shared" si="2"/>
        <v>0</v>
      </c>
      <c r="K24" s="22"/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44764</v>
      </c>
      <c r="E25" s="23"/>
      <c r="F25" s="23"/>
      <c r="G25" s="23">
        <f t="shared" si="3"/>
        <v>0</v>
      </c>
      <c r="H25" s="18">
        <v>1.2493540000000001</v>
      </c>
      <c r="I25" s="23">
        <f t="shared" si="4"/>
        <v>0</v>
      </c>
      <c r="J25" s="22">
        <f t="shared" si="2"/>
        <v>0</v>
      </c>
      <c r="K25" s="22"/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44765</v>
      </c>
      <c r="E26" s="23"/>
      <c r="F26" s="23"/>
      <c r="G26" s="23">
        <f>E26+F26</f>
        <v>0</v>
      </c>
      <c r="H26" s="18">
        <v>1.2493540000000001</v>
      </c>
      <c r="I26" s="23">
        <f t="shared" si="4"/>
        <v>0</v>
      </c>
      <c r="J26" s="22">
        <f>I26-I25</f>
        <v>0</v>
      </c>
      <c r="K26" s="22"/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44766</v>
      </c>
      <c r="E27" s="23"/>
      <c r="F27" s="23"/>
      <c r="G27" s="23">
        <f>E27+F27</f>
        <v>0</v>
      </c>
      <c r="H27" s="18">
        <v>1.2493540000000001</v>
      </c>
      <c r="I27" s="23">
        <f>H27*G27</f>
        <v>0</v>
      </c>
      <c r="J27" s="22">
        <f>I27-I26</f>
        <v>0</v>
      </c>
      <c r="K27" s="22"/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44767</v>
      </c>
      <c r="E28" s="23"/>
      <c r="F28" s="23"/>
      <c r="G28" s="23">
        <f>E28+F28</f>
        <v>0</v>
      </c>
      <c r="H28" s="18">
        <v>1.2493540000000001</v>
      </c>
      <c r="I28" s="23">
        <f t="shared" si="4"/>
        <v>0</v>
      </c>
      <c r="J28" s="22">
        <f>I28-I27</f>
        <v>0</v>
      </c>
      <c r="K28" s="22"/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44768</v>
      </c>
      <c r="E29" s="23"/>
      <c r="F29" s="23"/>
      <c r="G29" s="23">
        <f t="shared" si="3"/>
        <v>0</v>
      </c>
      <c r="H29" s="18">
        <v>1.2493540000000001</v>
      </c>
      <c r="I29" s="23">
        <f t="shared" si="4"/>
        <v>0</v>
      </c>
      <c r="J29" s="22">
        <f t="shared" si="2"/>
        <v>0</v>
      </c>
      <c r="K29" s="22"/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44769</v>
      </c>
      <c r="E30" s="23"/>
      <c r="F30" s="23"/>
      <c r="G30" s="23">
        <f t="shared" si="3"/>
        <v>0</v>
      </c>
      <c r="H30" s="18">
        <v>1.2493540000000001</v>
      </c>
      <c r="I30" s="23">
        <f>H30*G30</f>
        <v>0</v>
      </c>
      <c r="J30" s="22">
        <f t="shared" si="2"/>
        <v>0</v>
      </c>
      <c r="K30" s="22"/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44770</v>
      </c>
      <c r="E31" s="23"/>
      <c r="F31" s="23"/>
      <c r="G31" s="23">
        <f t="shared" si="3"/>
        <v>0</v>
      </c>
      <c r="H31" s="18">
        <v>1.2493540000000001</v>
      </c>
      <c r="I31" s="23">
        <f t="shared" si="4"/>
        <v>0</v>
      </c>
      <c r="J31" s="22">
        <f t="shared" si="2"/>
        <v>0</v>
      </c>
      <c r="K31" s="22"/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44771</v>
      </c>
      <c r="E32" s="23"/>
      <c r="F32" s="23"/>
      <c r="G32" s="23">
        <f t="shared" si="3"/>
        <v>0</v>
      </c>
      <c r="H32" s="18">
        <v>1.2493540000000001</v>
      </c>
      <c r="I32" s="23">
        <f t="shared" si="4"/>
        <v>0</v>
      </c>
      <c r="J32" s="22">
        <f t="shared" si="2"/>
        <v>0</v>
      </c>
      <c r="K32" s="22"/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44772</v>
      </c>
      <c r="E33" s="23"/>
      <c r="F33" s="23"/>
      <c r="G33" s="23">
        <f t="shared" si="3"/>
        <v>0</v>
      </c>
      <c r="H33" s="18">
        <v>1.2493540000000001</v>
      </c>
      <c r="I33" s="23">
        <f t="shared" si="4"/>
        <v>0</v>
      </c>
      <c r="J33" s="24">
        <f t="shared" si="2"/>
        <v>0</v>
      </c>
      <c r="K33" s="22"/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44773</v>
      </c>
      <c r="E34" s="23"/>
      <c r="F34" s="23"/>
      <c r="G34" s="67">
        <f t="shared" si="3"/>
        <v>0</v>
      </c>
      <c r="H34" s="18">
        <v>1.2493540000000001</v>
      </c>
      <c r="I34" s="67">
        <f t="shared" si="4"/>
        <v>0</v>
      </c>
      <c r="J34" s="85">
        <f>I34-I33</f>
        <v>0</v>
      </c>
      <c r="K34" s="86"/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27</v>
      </c>
      <c r="E35" s="44"/>
      <c r="F35" s="44"/>
      <c r="G35" s="44"/>
      <c r="H35" s="44"/>
      <c r="I35" s="45"/>
      <c r="J35" s="37">
        <f>SUM(J4:J34)</f>
        <v>-1174678.8525040001</v>
      </c>
      <c r="K35" s="51"/>
      <c r="O35" s="92"/>
      <c r="P35" s="92"/>
      <c r="Q35" s="92"/>
      <c r="R35" s="92"/>
    </row>
    <row r="36" spans="4:18" ht="12.75" customHeight="1" x14ac:dyDescent="0.25">
      <c r="L36" s="38">
        <f>+AVERAGE(J4:J8)</f>
        <v>-234935.77050080002</v>
      </c>
      <c r="M36" s="17">
        <f>+(L36*31)</f>
        <v>-7283008.885524801</v>
      </c>
    </row>
    <row r="37" spans="4:18" ht="12.75" customHeight="1" x14ac:dyDescent="0.25">
      <c r="D37" s="39"/>
    </row>
    <row r="38" spans="4:18" ht="12.75" customHeight="1" x14ac:dyDescent="0.25">
      <c r="D38" s="39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workbookViewId="0">
      <selection activeCell="G6" sqref="G6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35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30</v>
      </c>
      <c r="D3" s="47" t="s">
        <v>31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44743</v>
      </c>
      <c r="F4" s="57">
        <v>4933.9589999999998</v>
      </c>
      <c r="G4" s="22">
        <v>2760</v>
      </c>
      <c r="H4" s="23">
        <f>G4*F4</f>
        <v>13617726.84</v>
      </c>
      <c r="I4" s="24">
        <v>7735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44744</v>
      </c>
      <c r="F5" s="57">
        <v>4936.9830000000002</v>
      </c>
      <c r="G5" s="22">
        <v>2760</v>
      </c>
      <c r="H5" s="23">
        <f>G5*F5</f>
        <v>13626073.08</v>
      </c>
      <c r="I5" s="24">
        <f>H5-H4</f>
        <v>8346.2400000002235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44745</v>
      </c>
      <c r="F6" s="57">
        <v>4939.1890000000003</v>
      </c>
      <c r="G6" s="22">
        <v>2760</v>
      </c>
      <c r="H6" s="23">
        <f t="shared" ref="H6:H33" si="0">G6*F6</f>
        <v>13632161.640000001</v>
      </c>
      <c r="I6" s="24">
        <f t="shared" ref="I6:I33" si="1">H6-H5</f>
        <v>6088.5600000005215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44746</v>
      </c>
      <c r="F7" s="57"/>
      <c r="G7" s="22">
        <v>2760</v>
      </c>
      <c r="H7" s="23">
        <f t="shared" si="0"/>
        <v>0</v>
      </c>
      <c r="I7" s="24">
        <f t="shared" si="1"/>
        <v>-13632161.640000001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44747</v>
      </c>
      <c r="F8" s="57"/>
      <c r="G8" s="22">
        <v>2760</v>
      </c>
      <c r="H8" s="23">
        <f t="shared" si="0"/>
        <v>0</v>
      </c>
      <c r="I8" s="24">
        <f t="shared" si="1"/>
        <v>0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44748</v>
      </c>
      <c r="F9" s="57"/>
      <c r="G9" s="22">
        <v>2760</v>
      </c>
      <c r="H9" s="23">
        <f t="shared" si="0"/>
        <v>0</v>
      </c>
      <c r="I9" s="24">
        <f t="shared" si="1"/>
        <v>0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44749</v>
      </c>
      <c r="F10" s="57"/>
      <c r="G10" s="22">
        <v>2760</v>
      </c>
      <c r="H10" s="23">
        <f t="shared" si="0"/>
        <v>0</v>
      </c>
      <c r="I10" s="24">
        <f t="shared" si="1"/>
        <v>0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44750</v>
      </c>
      <c r="F11" s="57"/>
      <c r="G11" s="22">
        <v>2760</v>
      </c>
      <c r="H11" s="23">
        <f t="shared" si="0"/>
        <v>0</v>
      </c>
      <c r="I11" s="24">
        <f t="shared" si="1"/>
        <v>0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44751</v>
      </c>
      <c r="F12" s="57"/>
      <c r="G12" s="22">
        <v>2760</v>
      </c>
      <c r="H12" s="23">
        <f t="shared" si="0"/>
        <v>0</v>
      </c>
      <c r="I12" s="24">
        <f t="shared" si="1"/>
        <v>0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44752</v>
      </c>
      <c r="F13" s="57"/>
      <c r="G13" s="22">
        <v>2760</v>
      </c>
      <c r="H13" s="23">
        <f t="shared" si="0"/>
        <v>0</v>
      </c>
      <c r="I13" s="24">
        <f t="shared" si="1"/>
        <v>0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44753</v>
      </c>
      <c r="F14" s="57"/>
      <c r="G14" s="22">
        <v>2760</v>
      </c>
      <c r="H14" s="23">
        <f t="shared" si="0"/>
        <v>0</v>
      </c>
      <c r="I14" s="24">
        <f t="shared" si="1"/>
        <v>0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44754</v>
      </c>
      <c r="F15" s="57"/>
      <c r="G15" s="22">
        <v>2760</v>
      </c>
      <c r="H15" s="23">
        <f t="shared" si="0"/>
        <v>0</v>
      </c>
      <c r="I15" s="24">
        <f t="shared" si="1"/>
        <v>0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44755</v>
      </c>
      <c r="F16" s="57"/>
      <c r="G16" s="22">
        <v>2760</v>
      </c>
      <c r="H16" s="23">
        <f t="shared" si="0"/>
        <v>0</v>
      </c>
      <c r="I16" s="24">
        <f t="shared" si="1"/>
        <v>0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44756</v>
      </c>
      <c r="F17" s="57"/>
      <c r="G17" s="22">
        <v>2760</v>
      </c>
      <c r="H17" s="23">
        <f t="shared" si="0"/>
        <v>0</v>
      </c>
      <c r="I17" s="24">
        <f t="shared" si="1"/>
        <v>0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44757</v>
      </c>
      <c r="F18" s="57"/>
      <c r="G18" s="22">
        <v>2760</v>
      </c>
      <c r="H18" s="23">
        <f t="shared" si="0"/>
        <v>0</v>
      </c>
      <c r="I18" s="24">
        <f t="shared" si="1"/>
        <v>0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44758</v>
      </c>
      <c r="F19" s="57"/>
      <c r="G19" s="22">
        <v>2760</v>
      </c>
      <c r="H19" s="23">
        <f t="shared" si="0"/>
        <v>0</v>
      </c>
      <c r="I19" s="24">
        <f t="shared" si="1"/>
        <v>0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44759</v>
      </c>
      <c r="F20" s="57"/>
      <c r="G20" s="22">
        <v>2760</v>
      </c>
      <c r="H20" s="23">
        <f t="shared" si="0"/>
        <v>0</v>
      </c>
      <c r="I20" s="24">
        <f t="shared" si="1"/>
        <v>0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44760</v>
      </c>
      <c r="F21" s="57"/>
      <c r="G21" s="22">
        <v>2760</v>
      </c>
      <c r="H21" s="23">
        <f t="shared" si="0"/>
        <v>0</v>
      </c>
      <c r="I21" s="24">
        <f t="shared" si="1"/>
        <v>0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44761</v>
      </c>
      <c r="F22" s="57"/>
      <c r="G22" s="22">
        <v>2760</v>
      </c>
      <c r="H22" s="23">
        <f t="shared" si="0"/>
        <v>0</v>
      </c>
      <c r="I22" s="24">
        <f t="shared" si="1"/>
        <v>0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44762</v>
      </c>
      <c r="F23" s="57"/>
      <c r="G23" s="22">
        <v>2760</v>
      </c>
      <c r="H23" s="23">
        <f t="shared" si="0"/>
        <v>0</v>
      </c>
      <c r="I23" s="24">
        <f t="shared" si="1"/>
        <v>0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44763</v>
      </c>
      <c r="F24" s="57"/>
      <c r="G24" s="22">
        <v>2760</v>
      </c>
      <c r="H24" s="23">
        <f t="shared" si="0"/>
        <v>0</v>
      </c>
      <c r="I24" s="24">
        <f t="shared" si="1"/>
        <v>0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44764</v>
      </c>
      <c r="F25" s="57"/>
      <c r="G25" s="22">
        <v>2760</v>
      </c>
      <c r="H25" s="23">
        <f t="shared" si="0"/>
        <v>0</v>
      </c>
      <c r="I25" s="24">
        <f t="shared" si="1"/>
        <v>0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44765</v>
      </c>
      <c r="F26" s="63"/>
      <c r="G26" s="26">
        <v>2760</v>
      </c>
      <c r="H26" s="27">
        <f t="shared" si="0"/>
        <v>0</v>
      </c>
      <c r="I26" s="24">
        <f t="shared" si="1"/>
        <v>0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44766</v>
      </c>
      <c r="F27" s="63"/>
      <c r="G27" s="26">
        <v>2760</v>
      </c>
      <c r="H27" s="27">
        <f t="shared" si="0"/>
        <v>0</v>
      </c>
      <c r="I27" s="24">
        <f t="shared" si="1"/>
        <v>0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44767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44768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44769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44770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44771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44772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44773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27</v>
      </c>
      <c r="F36" s="36"/>
      <c r="G36" s="36"/>
      <c r="H36" s="27"/>
      <c r="I36" s="54">
        <f>SUM(I5:I35)</f>
        <v>-13617726.84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32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/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2022-07-03T03:30:52Z</dcterms:modified>
</cp:coreProperties>
</file>