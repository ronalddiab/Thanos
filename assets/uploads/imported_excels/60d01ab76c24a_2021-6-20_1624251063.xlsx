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Desktop\"/>
    </mc:Choice>
  </mc:AlternateContent>
  <bookViews>
    <workbookView xWindow="-105" yWindow="-105" windowWidth="19425" windowHeight="10425" activeTab="1"/>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15" i="2" l="1"/>
  <c r="AG15" i="2"/>
  <c r="AF15" i="2"/>
  <c r="V15" i="2"/>
  <c r="Q15" i="2" l="1"/>
  <c r="P15" i="2"/>
  <c r="O15" i="2"/>
  <c r="N15" i="2"/>
  <c r="M15" i="2"/>
  <c r="J15" i="2" l="1"/>
  <c r="I15" i="2"/>
  <c r="H15" i="2"/>
  <c r="G15" i="2"/>
  <c r="F15" i="2"/>
  <c r="E15" i="2"/>
  <c r="D15" i="2"/>
  <c r="C15" i="2"/>
  <c r="B15" i="2"/>
  <c r="AH14" i="2" l="1"/>
  <c r="AG14" i="2"/>
  <c r="AF14" i="2"/>
  <c r="V14" i="2"/>
  <c r="Q14" i="2" l="1"/>
  <c r="P14" i="2"/>
  <c r="O14" i="2"/>
  <c r="N14" i="2"/>
  <c r="M14" i="2"/>
  <c r="J14" i="2" l="1"/>
  <c r="I14" i="2"/>
  <c r="H14" i="2"/>
  <c r="G14" i="2"/>
  <c r="F14" i="2"/>
  <c r="E14" i="2"/>
  <c r="D14" i="2"/>
  <c r="C14" i="2"/>
  <c r="B14" i="2"/>
  <c r="AH13" i="2" l="1"/>
  <c r="AG13" i="2"/>
  <c r="AF13" i="2"/>
  <c r="V13" i="2"/>
  <c r="Q13" i="2" l="1"/>
  <c r="P13" i="2"/>
  <c r="O13" i="2"/>
  <c r="N13" i="2"/>
  <c r="M13" i="2"/>
  <c r="J13" i="2" l="1"/>
  <c r="I13" i="2"/>
  <c r="H13" i="2"/>
  <c r="G13" i="2"/>
  <c r="F13" i="2"/>
  <c r="E13" i="2"/>
  <c r="D13" i="2"/>
  <c r="C13" i="2"/>
  <c r="B13" i="2"/>
  <c r="AH12" i="2" l="1"/>
  <c r="AG12" i="2"/>
  <c r="AF12" i="2"/>
  <c r="V12" i="2"/>
  <c r="Q12" i="2"/>
  <c r="P12" i="2"/>
  <c r="O12" i="2"/>
  <c r="N12" i="2"/>
  <c r="M12" i="2"/>
  <c r="J12" i="2" l="1"/>
  <c r="I12" i="2"/>
  <c r="H12" i="2"/>
  <c r="G12" i="2"/>
  <c r="F12" i="2"/>
  <c r="E12" i="2"/>
  <c r="D12" i="2"/>
  <c r="C12" i="2"/>
  <c r="B12" i="2"/>
  <c r="AH11" i="2" l="1"/>
  <c r="AG11" i="2"/>
  <c r="AF11" i="2"/>
  <c r="V11" i="2"/>
  <c r="Q11" i="2" l="1"/>
  <c r="P11" i="2"/>
  <c r="O11" i="2"/>
  <c r="N11" i="2"/>
  <c r="M11" i="2"/>
  <c r="J11" i="2" l="1"/>
  <c r="I11" i="2"/>
  <c r="H11" i="2"/>
  <c r="G11" i="2"/>
  <c r="F11" i="2"/>
  <c r="E11" i="2"/>
  <c r="D11" i="2"/>
  <c r="C11" i="2"/>
  <c r="B11" i="2"/>
  <c r="AH10" i="2" l="1"/>
  <c r="AG10" i="2"/>
  <c r="AF10" i="2"/>
  <c r="AH9" i="2"/>
  <c r="AG9" i="2"/>
  <c r="AF9" i="2"/>
  <c r="AH8" i="2"/>
  <c r="AG8" i="2"/>
  <c r="AF8" i="2"/>
  <c r="V10" i="2"/>
  <c r="V9" i="2"/>
  <c r="V8" i="2"/>
  <c r="Q10" i="2" l="1"/>
  <c r="P10" i="2"/>
  <c r="Q9" i="2"/>
  <c r="P9" i="2"/>
  <c r="Q8" i="2"/>
  <c r="P8" i="2"/>
  <c r="O10" i="2"/>
  <c r="N10" i="2"/>
  <c r="M10" i="2"/>
  <c r="O9" i="2"/>
  <c r="N9" i="2"/>
  <c r="M9" i="2"/>
  <c r="O8" i="2"/>
  <c r="N8" i="2"/>
  <c r="M8" i="2"/>
  <c r="J10" i="2" l="1"/>
  <c r="I10" i="2"/>
  <c r="H10" i="2"/>
  <c r="G10" i="2"/>
  <c r="F10" i="2"/>
  <c r="E10" i="2"/>
  <c r="D10" i="2"/>
  <c r="C10" i="2"/>
  <c r="B10" i="2"/>
  <c r="J9" i="2"/>
  <c r="I9" i="2"/>
  <c r="H9" i="2"/>
  <c r="G9" i="2"/>
  <c r="F9" i="2"/>
  <c r="E9" i="2"/>
  <c r="D9" i="2"/>
  <c r="C9" i="2"/>
  <c r="B9" i="2"/>
  <c r="J8" i="2"/>
  <c r="I8" i="2"/>
  <c r="H8" i="2"/>
  <c r="G8" i="2"/>
  <c r="F8" i="2"/>
  <c r="E8" i="2"/>
  <c r="D8" i="2"/>
  <c r="C8" i="2"/>
  <c r="B8" i="2"/>
  <c r="AH7" i="2" l="1"/>
  <c r="AG7" i="2"/>
  <c r="AF7" i="2"/>
  <c r="V7" i="2"/>
  <c r="Q7" i="2"/>
  <c r="P7" i="2"/>
  <c r="O7" i="2"/>
  <c r="N7" i="2"/>
  <c r="M7" i="2"/>
  <c r="J7" i="2" l="1"/>
  <c r="I7" i="2"/>
  <c r="H7" i="2"/>
  <c r="G7" i="2"/>
  <c r="F7" i="2"/>
  <c r="E7" i="2"/>
  <c r="D7" i="2"/>
  <c r="C7" i="2"/>
  <c r="B7" i="2"/>
  <c r="AH6" i="2" l="1"/>
  <c r="AG6" i="2"/>
  <c r="AF6" i="2"/>
  <c r="W8" i="2"/>
  <c r="W9" i="2"/>
  <c r="W10" i="2"/>
  <c r="W11" i="2"/>
  <c r="W12" i="2"/>
  <c r="W13" i="2"/>
  <c r="W14" i="2"/>
  <c r="W15" i="2"/>
  <c r="W25" i="2"/>
  <c r="W26" i="2"/>
  <c r="W27" i="2"/>
  <c r="W28" i="2"/>
  <c r="W29" i="2"/>
  <c r="W30" i="2"/>
  <c r="W31" i="2"/>
  <c r="W32" i="2"/>
  <c r="W33" i="2"/>
  <c r="W34" i="2"/>
  <c r="W35" i="2"/>
  <c r="W7" i="2"/>
  <c r="AM26" i="2"/>
  <c r="AM27" i="2"/>
  <c r="AM28" i="2"/>
  <c r="AM29" i="2"/>
  <c r="AM30" i="2"/>
  <c r="AM31" i="2"/>
  <c r="AM32" i="2"/>
  <c r="AM33" i="2"/>
  <c r="AM34" i="2"/>
  <c r="AM35" i="2"/>
  <c r="AE26" i="2"/>
  <c r="AE27" i="2"/>
  <c r="AE28" i="2"/>
  <c r="AE29" i="2"/>
  <c r="AE30" i="2"/>
  <c r="AE31" i="2"/>
  <c r="AE32" i="2"/>
  <c r="AE33" i="2"/>
  <c r="AE34" i="2"/>
  <c r="AE35" i="2"/>
  <c r="AE6" i="2"/>
  <c r="W6" i="2" l="1"/>
  <c r="V6" i="2"/>
  <c r="Q6" i="2"/>
  <c r="P6" i="2"/>
  <c r="O6" i="2"/>
  <c r="N6" i="2"/>
  <c r="M6" i="2"/>
  <c r="J6" i="2" l="1"/>
  <c r="I6" i="2"/>
  <c r="H6" i="2"/>
  <c r="G6" i="2"/>
  <c r="F6" i="2"/>
  <c r="E6" i="2"/>
  <c r="D6" i="2"/>
  <c r="C6" i="2"/>
  <c r="B6" i="2"/>
  <c r="AI8" i="2" l="1"/>
  <c r="AI9" i="2"/>
  <c r="AI10" i="2"/>
  <c r="AI11" i="2"/>
  <c r="AI12" i="2"/>
  <c r="AI13" i="2"/>
  <c r="AI14" i="2"/>
  <c r="AI15" i="2"/>
  <c r="AI25" i="2"/>
  <c r="AI26" i="2"/>
  <c r="AI27" i="2"/>
  <c r="AI28" i="2"/>
  <c r="AI29" i="2"/>
  <c r="AI30" i="2"/>
  <c r="AI31" i="2"/>
  <c r="AI32" i="2"/>
  <c r="AI33" i="2"/>
  <c r="AI34" i="2"/>
  <c r="AI35" i="2"/>
  <c r="AI7" i="2"/>
  <c r="AC8" i="2"/>
  <c r="AC9" i="2"/>
  <c r="AC10" i="2"/>
  <c r="AC11" i="2"/>
  <c r="AC12" i="2"/>
  <c r="AC13" i="2"/>
  <c r="AC14" i="2"/>
  <c r="AC15" i="2"/>
  <c r="AC25" i="2"/>
  <c r="AC26" i="2"/>
  <c r="AC27" i="2"/>
  <c r="AC28" i="2"/>
  <c r="AC29" i="2"/>
  <c r="AC30" i="2"/>
  <c r="AC31" i="2"/>
  <c r="AC32" i="2"/>
  <c r="AC33" i="2"/>
  <c r="AC34" i="2"/>
  <c r="AC35" i="2"/>
  <c r="AC7" i="2"/>
  <c r="AI6" i="2" l="1"/>
  <c r="AC6" i="2"/>
  <c r="AN36" i="2" l="1"/>
  <c r="AH36" i="2"/>
  <c r="AG36" i="2"/>
  <c r="AF36" i="2"/>
  <c r="J36" i="2"/>
  <c r="I36" i="2"/>
  <c r="H36" i="2"/>
  <c r="G36" i="2"/>
  <c r="D36" i="2"/>
  <c r="Z32" i="3"/>
  <c r="E31" i="3"/>
  <c r="F31" i="3"/>
  <c r="G31" i="3"/>
  <c r="H31" i="3"/>
  <c r="Z7" i="2"/>
  <c r="K6" i="2" l="1"/>
  <c r="L6" i="2" l="1"/>
  <c r="AK35" i="2"/>
  <c r="AL35" i="2" s="1"/>
  <c r="AD35" i="2"/>
  <c r="AO35" i="2" s="1"/>
  <c r="Z35" i="2"/>
  <c r="AA35" i="2" s="1"/>
  <c r="T35" i="2"/>
  <c r="U35" i="2"/>
  <c r="R35" i="2"/>
  <c r="S35" i="2"/>
  <c r="K35" i="2"/>
  <c r="L35" i="2" s="1"/>
  <c r="M4" i="1"/>
  <c r="M5" i="1"/>
  <c r="M6" i="1"/>
  <c r="M8" i="1"/>
  <c r="M9" i="1"/>
  <c r="M10" i="1"/>
  <c r="Y12" i="3"/>
  <c r="M12" i="1" s="1"/>
  <c r="Y13" i="3"/>
  <c r="M13" i="1" s="1"/>
  <c r="Y14" i="3"/>
  <c r="M14" i="1" s="1"/>
  <c r="Y15" i="3"/>
  <c r="M15" i="1" s="1"/>
  <c r="Y16" i="3"/>
  <c r="M16" i="1" s="1"/>
  <c r="Y17" i="3"/>
  <c r="M17" i="1" s="1"/>
  <c r="Y18" i="3"/>
  <c r="M18" i="1" s="1"/>
  <c r="Y19" i="3"/>
  <c r="M19" i="1" s="1"/>
  <c r="Y20" i="3"/>
  <c r="M20" i="1" s="1"/>
  <c r="Y21" i="3"/>
  <c r="M21" i="1" s="1"/>
  <c r="Y22" i="3"/>
  <c r="M22" i="1" s="1"/>
  <c r="Y23" i="3"/>
  <c r="Y24" i="3"/>
  <c r="M24" i="1" s="1"/>
  <c r="Y25" i="3"/>
  <c r="M25" i="1" s="1"/>
  <c r="Y26" i="3"/>
  <c r="M26" i="1" s="1"/>
  <c r="Y27" i="3"/>
  <c r="Y28" i="3"/>
  <c r="M28" i="1" s="1"/>
  <c r="Y29" i="3"/>
  <c r="M29" i="1" s="1"/>
  <c r="Y30" i="3"/>
  <c r="M30" i="1" s="1"/>
  <c r="Y31" i="3"/>
  <c r="M31" i="1" s="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23" i="1"/>
  <c r="M27" i="1"/>
  <c r="N32" i="1" l="1"/>
  <c r="Z9" i="2"/>
  <c r="P5" i="3" s="1"/>
  <c r="G5" i="1" s="1"/>
  <c r="Z10" i="2"/>
  <c r="AA10" i="2" s="1"/>
  <c r="Z11" i="2"/>
  <c r="AA11" i="2" s="1"/>
  <c r="Z12" i="2"/>
  <c r="Z13" i="2"/>
  <c r="AA13" i="2" s="1"/>
  <c r="Z14" i="2"/>
  <c r="AA14" i="2" s="1"/>
  <c r="Z15" i="2"/>
  <c r="AA15" i="2" s="1"/>
  <c r="W31" i="3"/>
  <c r="V31" i="3"/>
  <c r="U31" i="3"/>
  <c r="R31" i="3"/>
  <c r="Q31" i="3"/>
  <c r="M31" i="3"/>
  <c r="L31" i="3"/>
  <c r="K31" i="3"/>
  <c r="J31" i="3"/>
  <c r="I31" i="3"/>
  <c r="P31" i="3"/>
  <c r="R15" i="2"/>
  <c r="O11" i="3" s="1"/>
  <c r="O12" i="3"/>
  <c r="O13" i="3"/>
  <c r="O15" i="3"/>
  <c r="O16" i="3"/>
  <c r="O17" i="3"/>
  <c r="O20" i="3"/>
  <c r="R25" i="2"/>
  <c r="R26" i="2"/>
  <c r="R27" i="2"/>
  <c r="O23" i="3" s="1"/>
  <c r="R28" i="2"/>
  <c r="O24" i="3" s="1"/>
  <c r="R29" i="2"/>
  <c r="O25" i="3" s="1"/>
  <c r="R30" i="2"/>
  <c r="R31" i="2"/>
  <c r="O27" i="3" s="1"/>
  <c r="R32" i="2"/>
  <c r="O28" i="3" s="1"/>
  <c r="R33" i="2"/>
  <c r="R34" i="2"/>
  <c r="O31" i="3"/>
  <c r="R6" i="2"/>
  <c r="R7" i="2"/>
  <c r="O3" i="3" s="1"/>
  <c r="R8" i="2"/>
  <c r="O4" i="3" s="1"/>
  <c r="R9" i="2"/>
  <c r="O5" i="3" s="1"/>
  <c r="R10" i="2"/>
  <c r="O6" i="3" s="1"/>
  <c r="R11" i="2"/>
  <c r="O7" i="3" s="1"/>
  <c r="R12" i="2"/>
  <c r="O8" i="3" s="1"/>
  <c r="R13" i="2"/>
  <c r="R14" i="2"/>
  <c r="O10" i="3" s="1"/>
  <c r="T31" i="3"/>
  <c r="AK11" i="2"/>
  <c r="X7" i="3" s="1"/>
  <c r="AK12" i="2"/>
  <c r="X8" i="3" s="1"/>
  <c r="AK15" i="2"/>
  <c r="X20" i="3"/>
  <c r="AK28" i="2"/>
  <c r="AK31" i="2"/>
  <c r="AL31" i="2" s="1"/>
  <c r="AK32" i="2"/>
  <c r="AK34" i="2"/>
  <c r="AD10" i="2"/>
  <c r="AE10" i="2" s="1"/>
  <c r="AD13" i="2"/>
  <c r="AE13" i="2" s="1"/>
  <c r="AD14" i="2"/>
  <c r="AE14" i="2" s="1"/>
  <c r="AD26" i="2"/>
  <c r="AD27" i="2"/>
  <c r="AD28" i="2"/>
  <c r="AD29" i="2"/>
  <c r="AD31" i="2"/>
  <c r="AD33" i="2"/>
  <c r="AK7" i="2"/>
  <c r="AL7" i="2" s="1"/>
  <c r="AM7" i="2" s="1"/>
  <c r="AD8" i="2"/>
  <c r="AE8" i="2" s="1"/>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25" i="2"/>
  <c r="AD30" i="2"/>
  <c r="AD32" i="2"/>
  <c r="T28" i="3" s="1"/>
  <c r="AD34" i="2"/>
  <c r="AD41" i="2"/>
  <c r="D37" i="2"/>
  <c r="D38" i="2" s="1"/>
  <c r="K9" i="2"/>
  <c r="L9" i="2" s="1"/>
  <c r="K10" i="2"/>
  <c r="L10" i="2" s="1"/>
  <c r="K11" i="2"/>
  <c r="L11" i="2" s="1"/>
  <c r="K12" i="2"/>
  <c r="L12" i="2" s="1"/>
  <c r="K13" i="2"/>
  <c r="L13" i="2" s="1"/>
  <c r="K14" i="2"/>
  <c r="L14" i="2" s="1"/>
  <c r="K15" i="2"/>
  <c r="L15"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N12" i="3"/>
  <c r="N13" i="3"/>
  <c r="N15" i="3"/>
  <c r="T25" i="2"/>
  <c r="N21" i="3" s="1"/>
  <c r="T26" i="2"/>
  <c r="U26" i="2" s="1"/>
  <c r="T27" i="2"/>
  <c r="U27" i="2" s="1"/>
  <c r="T28" i="2"/>
  <c r="U28" i="2" s="1"/>
  <c r="T29" i="2"/>
  <c r="N25" i="3" s="1"/>
  <c r="T30" i="2"/>
  <c r="N26" i="3" s="1"/>
  <c r="T31" i="2"/>
  <c r="U31" i="2" s="1"/>
  <c r="T32" i="2"/>
  <c r="N28" i="3" s="1"/>
  <c r="T33" i="2"/>
  <c r="U33" i="2" s="1"/>
  <c r="T34" i="2"/>
  <c r="N30" i="3" s="1"/>
  <c r="T6"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G30" i="1" s="1"/>
  <c r="P3" i="3"/>
  <c r="Z8" i="2"/>
  <c r="AA8" i="2" s="1"/>
  <c r="P13" i="3"/>
  <c r="P14" i="3"/>
  <c r="G14" i="1"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X17" i="3"/>
  <c r="AK25" i="2"/>
  <c r="X21" i="3" s="1"/>
  <c r="AK26" i="2"/>
  <c r="X22" i="3" s="1"/>
  <c r="AK27" i="2"/>
  <c r="AL27" i="2" s="1"/>
  <c r="AK29" i="2"/>
  <c r="X25" i="3" s="1"/>
  <c r="AK30" i="2"/>
  <c r="AL30" i="2" s="1"/>
  <c r="AK33" i="2"/>
  <c r="X29" i="3" s="1"/>
  <c r="AK6" i="2"/>
  <c r="S6" i="2"/>
  <c r="S9" i="2"/>
  <c r="S10" i="2"/>
  <c r="S11" i="2"/>
  <c r="S12" i="2"/>
  <c r="O9" i="3"/>
  <c r="S13" i="2"/>
  <c r="S14" i="2"/>
  <c r="S15"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O22" i="3"/>
  <c r="S25" i="2"/>
  <c r="O21" i="3"/>
  <c r="O19" i="3"/>
  <c r="O18" i="3"/>
  <c r="O14" i="3"/>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X14" i="3"/>
  <c r="U32" i="2"/>
  <c r="P19" i="3"/>
  <c r="G19" i="1" s="1"/>
  <c r="U30" i="2"/>
  <c r="D39" i="2"/>
  <c r="G38" i="2"/>
  <c r="T27" i="3"/>
  <c r="P26" i="3"/>
  <c r="G26" i="1" s="1"/>
  <c r="T22" i="3"/>
  <c r="P24" i="3"/>
  <c r="G24" i="1" s="1"/>
  <c r="T30" i="3"/>
  <c r="N29" i="3"/>
  <c r="P27" i="3"/>
  <c r="S27" i="3" s="1"/>
  <c r="AL25" i="2"/>
  <c r="AM25" i="2" s="1"/>
  <c r="T12" i="3"/>
  <c r="N24" i="3"/>
  <c r="T23" i="3"/>
  <c r="T21" i="3" l="1"/>
  <c r="I21" i="1" s="1"/>
  <c r="AE25" i="2"/>
  <c r="N19" i="3"/>
  <c r="T17" i="3"/>
  <c r="P17" i="3"/>
  <c r="G17" i="1" s="1"/>
  <c r="P15" i="3"/>
  <c r="S15" i="3" s="1"/>
  <c r="T13" i="3"/>
  <c r="U15" i="2"/>
  <c r="P11" i="3"/>
  <c r="G11" i="1" s="1"/>
  <c r="N10" i="3"/>
  <c r="P9" i="3"/>
  <c r="G9" i="1" s="1"/>
  <c r="U11" i="2"/>
  <c r="N3" i="3"/>
  <c r="T3" i="3"/>
  <c r="K28" i="1"/>
  <c r="X18" i="3"/>
  <c r="X9" i="3"/>
  <c r="M32" i="3"/>
  <c r="V32" i="3"/>
  <c r="I32" i="3"/>
  <c r="T7" i="3"/>
  <c r="I7" i="1" s="1"/>
  <c r="U9" i="2"/>
  <c r="K32" i="3"/>
  <c r="J32" i="3"/>
  <c r="W32" i="3"/>
  <c r="U32" i="3"/>
  <c r="T5" i="3"/>
  <c r="I5" i="1" s="1"/>
  <c r="Q32" i="3"/>
  <c r="U8" i="2"/>
  <c r="T36" i="2"/>
  <c r="U36" i="2" s="1"/>
  <c r="L32" i="3"/>
  <c r="X27" i="3"/>
  <c r="AL11" i="2"/>
  <c r="AM11" i="2" s="1"/>
  <c r="X10" i="3"/>
  <c r="T20" i="3"/>
  <c r="I20" i="1" s="1"/>
  <c r="P4" i="3"/>
  <c r="G4" i="1" s="1"/>
  <c r="R32" i="3"/>
  <c r="L7" i="2"/>
  <c r="L36" i="2" s="1"/>
  <c r="K36" i="2"/>
  <c r="X2" i="3"/>
  <c r="AK36" i="2"/>
  <c r="AD36" i="2"/>
  <c r="AE36" i="2" s="1"/>
  <c r="AA6" i="2"/>
  <c r="Z36" i="2"/>
  <c r="O2" i="3"/>
  <c r="O32" i="3" s="1"/>
  <c r="R36" i="2"/>
  <c r="R38" i="2" s="1"/>
  <c r="S5" i="3"/>
  <c r="E30" i="1"/>
  <c r="E17" i="1"/>
  <c r="N2" i="3"/>
  <c r="U6" i="2"/>
  <c r="AL6" i="2"/>
  <c r="AM6" i="2" s="1"/>
  <c r="G3" i="1"/>
  <c r="S3" i="3"/>
  <c r="P2" i="3"/>
  <c r="AA7" i="2"/>
  <c r="U25" i="2"/>
  <c r="N18" i="3"/>
  <c r="K18" i="1" s="1"/>
  <c r="S23" i="3"/>
  <c r="K30" i="1"/>
  <c r="K24" i="1"/>
  <c r="E29" i="1"/>
  <c r="K7" i="1"/>
  <c r="S30" i="3"/>
  <c r="X31" i="3"/>
  <c r="X26" i="3"/>
  <c r="X13" i="3"/>
  <c r="I31" i="1"/>
  <c r="T25" i="3"/>
  <c r="I25" i="1" s="1"/>
  <c r="T11" i="3"/>
  <c r="T16" i="3"/>
  <c r="I17" i="1"/>
  <c r="S19" i="3"/>
  <c r="S26" i="3"/>
  <c r="K15" i="1"/>
  <c r="K11" i="1"/>
  <c r="K8" i="1"/>
  <c r="K4" i="1"/>
  <c r="N31" i="3"/>
  <c r="K31" i="1" s="1"/>
  <c r="K25" i="1"/>
  <c r="K29" i="1"/>
  <c r="E24" i="1"/>
  <c r="E13" i="1"/>
  <c r="E6" i="1"/>
  <c r="X30" i="3"/>
  <c r="I30" i="1" s="1"/>
  <c r="AL34" i="2"/>
  <c r="I27" i="1"/>
  <c r="AL9" i="2"/>
  <c r="AM9" i="2" s="1"/>
  <c r="X4" i="3"/>
  <c r="X19" i="3"/>
  <c r="T8" i="3"/>
  <c r="I8" i="1" s="1"/>
  <c r="T24" i="3"/>
  <c r="I22" i="1"/>
  <c r="G13" i="1"/>
  <c r="S13" i="3"/>
  <c r="AO33" i="2"/>
  <c r="S14" i="3"/>
  <c r="P29" i="3"/>
  <c r="AA9" i="2"/>
  <c r="P10" i="3"/>
  <c r="P25" i="3"/>
  <c r="G25" i="1" s="1"/>
  <c r="N9" i="3"/>
  <c r="K9" i="1" s="1"/>
  <c r="N16" i="3"/>
  <c r="K16" i="1" s="1"/>
  <c r="AO15" i="2"/>
  <c r="K3" i="1"/>
  <c r="N27" i="3"/>
  <c r="K27" i="1" s="1"/>
  <c r="K26" i="1"/>
  <c r="K10" i="1"/>
  <c r="K13" i="1"/>
  <c r="N23" i="3"/>
  <c r="K23" i="1" s="1"/>
  <c r="K19" i="1"/>
  <c r="AO28" i="2"/>
  <c r="K5" i="1"/>
  <c r="K12" i="1"/>
  <c r="N20" i="3"/>
  <c r="K20" i="1" s="1"/>
  <c r="AO31" i="2"/>
  <c r="K21" i="1"/>
  <c r="U12" i="2"/>
  <c r="K6" i="1"/>
  <c r="E12" i="1"/>
  <c r="E9" i="1"/>
  <c r="E7" i="1"/>
  <c r="E4" i="1"/>
  <c r="E3" i="1"/>
  <c r="AO32" i="2"/>
  <c r="E23" i="1"/>
  <c r="E18" i="1"/>
  <c r="E16" i="1"/>
  <c r="E15" i="1"/>
  <c r="E14" i="1"/>
  <c r="E25" i="1"/>
  <c r="AO11" i="2"/>
  <c r="E28" i="1"/>
  <c r="E27" i="1"/>
  <c r="E26" i="1"/>
  <c r="E22" i="1"/>
  <c r="E21" i="1"/>
  <c r="E20" i="1"/>
  <c r="E19" i="1"/>
  <c r="E11" i="1"/>
  <c r="E10" i="1"/>
  <c r="E8" i="1"/>
  <c r="E5" i="1"/>
  <c r="E2" i="1"/>
  <c r="AO30" i="2"/>
  <c r="T4" i="3"/>
  <c r="T15" i="3"/>
  <c r="AO13" i="2"/>
  <c r="T9" i="3"/>
  <c r="AL15" i="2"/>
  <c r="AM15" i="2" s="1"/>
  <c r="X11" i="3"/>
  <c r="T18" i="3"/>
  <c r="S22" i="3"/>
  <c r="S21" i="3"/>
  <c r="G21" i="1"/>
  <c r="T10" i="3"/>
  <c r="AO14" i="2"/>
  <c r="AL32" i="2"/>
  <c r="X28" i="3"/>
  <c r="I28" i="1" s="1"/>
  <c r="AL28" i="2"/>
  <c r="X24" i="3"/>
  <c r="I24" i="1" s="1"/>
  <c r="X16" i="3"/>
  <c r="T6" i="3"/>
  <c r="X3" i="3"/>
  <c r="I3" i="1" s="1"/>
  <c r="S24" i="3"/>
  <c r="X12" i="3"/>
  <c r="I12" i="1" s="1"/>
  <c r="AA26" i="2"/>
  <c r="AO26" i="2" s="1"/>
  <c r="N22" i="3"/>
  <c r="K22" i="1" s="1"/>
  <c r="N17" i="3"/>
  <c r="K17" i="1" s="1"/>
  <c r="T19" i="3"/>
  <c r="P18" i="3"/>
  <c r="P7" i="3"/>
  <c r="AA25" i="2"/>
  <c r="P12" i="3"/>
  <c r="S9" i="3"/>
  <c r="T26" i="3"/>
  <c r="AL26" i="2"/>
  <c r="S28" i="3"/>
  <c r="T29" i="3"/>
  <c r="I29" i="1" s="1"/>
  <c r="AL29" i="2"/>
  <c r="P20" i="3"/>
  <c r="S31" i="3"/>
  <c r="G31" i="1"/>
  <c r="AA34" i="2"/>
  <c r="AA12" i="2"/>
  <c r="P8" i="3"/>
  <c r="E31" i="1"/>
  <c r="AL33" i="2"/>
  <c r="AL12" i="2"/>
  <c r="AM12" i="2" s="1"/>
  <c r="T2" i="3"/>
  <c r="G27" i="1"/>
  <c r="N14" i="3"/>
  <c r="K14" i="1" s="1"/>
  <c r="X23" i="3"/>
  <c r="I23" i="1" s="1"/>
  <c r="T14" i="3"/>
  <c r="I14" i="1" s="1"/>
  <c r="U34" i="2"/>
  <c r="U29" i="2"/>
  <c r="AO29" i="2" s="1"/>
  <c r="X6" i="3"/>
  <c r="X15" i="3"/>
  <c r="U10" i="2"/>
  <c r="AO10" i="2" s="1"/>
  <c r="P6" i="3"/>
  <c r="P16" i="3"/>
  <c r="AA27" i="2"/>
  <c r="AO27" i="2" s="1"/>
  <c r="S17" i="3" l="1"/>
  <c r="I18" i="1"/>
  <c r="G15" i="1"/>
  <c r="I13" i="1"/>
  <c r="S11" i="3"/>
  <c r="S4" i="3"/>
  <c r="AO7" i="2"/>
  <c r="I9" i="1"/>
  <c r="I10" i="1"/>
  <c r="AO9" i="2"/>
  <c r="AO8" i="2"/>
  <c r="T32" i="3"/>
  <c r="AO25" i="2"/>
  <c r="AM36" i="2"/>
  <c r="AL36" i="2"/>
  <c r="AO6" i="2"/>
  <c r="AA36" i="2"/>
  <c r="G2" i="1"/>
  <c r="P32" i="3"/>
  <c r="K2" i="1"/>
  <c r="N32" i="3"/>
  <c r="S25" i="3"/>
  <c r="I16" i="1"/>
  <c r="S2" i="3"/>
  <c r="I4" i="1"/>
  <c r="I26" i="1"/>
  <c r="I19" i="1"/>
  <c r="I11" i="1"/>
  <c r="AO34" i="2"/>
  <c r="S29" i="3"/>
  <c r="G29" i="1"/>
  <c r="G10" i="1"/>
  <c r="S10" i="3"/>
  <c r="U37" i="2"/>
  <c r="X32" i="3" s="1"/>
  <c r="AO12" i="2"/>
  <c r="G20" i="1"/>
  <c r="S20" i="3"/>
  <c r="G18" i="1"/>
  <c r="S18" i="3"/>
  <c r="S12" i="3"/>
  <c r="G12" i="1"/>
  <c r="S16" i="3"/>
  <c r="G16" i="1"/>
  <c r="I2" i="1"/>
  <c r="S8" i="3"/>
  <c r="G8" i="1"/>
  <c r="I15" i="1"/>
  <c r="G6" i="1"/>
  <c r="S6" i="3"/>
  <c r="S7" i="3"/>
  <c r="G7" i="1"/>
  <c r="I6" i="1"/>
  <c r="S32" i="3" l="1"/>
  <c r="AO36" i="2"/>
  <c r="U38" i="2"/>
  <c r="M2" i="1" l="1"/>
  <c r="M32" i="1" s="1"/>
  <c r="Y32"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<sst xmlns="http://schemas.openxmlformats.org/spreadsheetml/2006/main" count="208" uniqueCount="104">
  <si>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</si>
  <si>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</si>
  <si>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</si>
  <si>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</si>
  <si>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</si>
  <si>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</si>
  <si>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</si>
  <si>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</si>
  <si>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</si>
  <si>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</si>
  <si>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</si>
  <si>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</si>
  <si>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</si>
  <si>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</si>
  <si>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</si>
  <si>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</si>
  <si>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</si>
  <si>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</si>
  <si>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</si>
  <si>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</si>
  <si>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</si>
  <si>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</si>
  <si>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</si>
  <si>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</si>
  <si>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</si>
  <si>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</si>
  <si>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</si>
  <si>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</si>
  <si>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</si>
  <si>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</si>
  <si>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</si>
  <si>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</si>
  <si>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</si>
  <si>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</si>
  <si>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</si>
  <si>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</si>
  <si>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</si>
  <si>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</si>
  <si>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</si>
  <si>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</si>
  <si>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</si>
  <si>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</si>
  <si>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</si>
  <si>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</si>
  <si>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</si>
  <si>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</si>
  <si>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</si>
  <si>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</si>
  <si>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</si>
  <si>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</si>
  <si>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</si>
  <si>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</si>
  <si>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</si>
  <si>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</si>
  <si>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</si>
  <si>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</si>
  <si>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</si>
  <si>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</si>
  <si>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</si>
  <si>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</si>
  <si>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</si>
  <si>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</si>
  <si>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</si>
  <si>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</si>
  <si>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</si>
  <si>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</si>
  <si>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</si>
  <si>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</si>
  <si>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</si>
  <si>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</si>
  <si>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</si>
  <si>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</si>
  <si>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</si>
  <si>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</si>
  <si>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</si>
  <si>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</si>
  <si>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</si>
  <si>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</si>
  <si>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</si>
  <si>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</si>
  <si>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</si>
  <si>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</si>
  <si>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</si>
  <si>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</si>
  <si>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</si>
  <si>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</si>
  <si>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</si>
  <si>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</si>
  <si>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</si>
  <si>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</si>
  <si>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</si>
  <si>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</si>
  <si>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</si>
  <si>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</si>
  <si>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</si>
  <si>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</si>
  <si>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</si>
  <si>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</si>
  <si>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</si>
  <si>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</si>
  <si>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</si>
  <si>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</si>
  <si>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0.332195/Ton</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</si>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</sst>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40">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F17" sqref="F17"/>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9" t="s">
        <v>0</v>
      </c>
      <c r="B1" s="120" t="s">
        <v>1</v>
      </c>
      <c r="C1" s="121" t="s">
        <v>2</v>
      </c>
      <c r="D1" s="120" t="s">
        <v>3</v>
      </c>
      <c r="E1" s="122" t="s">
        <v>4</v>
      </c>
      <c r="F1" s="123" t="s">
        <v>5</v>
      </c>
      <c r="G1" s="122" t="s">
        <v>10</v>
      </c>
      <c r="H1" s="123" t="s">
        <v>11</v>
      </c>
      <c r="I1" s="124" t="s">
        <v>82</v>
      </c>
      <c r="J1" s="125" t="s">
        <v>83</v>
      </c>
      <c r="K1" s="122" t="s">
        <v>6</v>
      </c>
      <c r="L1" s="126" t="s">
        <v>7</v>
      </c>
      <c r="M1" s="122" t="s">
        <v>8</v>
      </c>
      <c r="N1" s="127" t="s">
        <v>9</v>
      </c>
    </row>
    <row r="2" spans="1:15" x14ac:dyDescent="0.25">
      <c r="A2" s="110" t="s">
        <v>80</v>
      </c>
      <c r="B2" s="111">
        <v>1</v>
      </c>
      <c r="C2" s="112">
        <v>6</v>
      </c>
      <c r="D2" s="111">
        <v>2021</v>
      </c>
      <c r="E2" s="101">
        <f>Submetering!E2+Submetering!F2+Submetering!G2+Submetering!H2+Submetering!I2+Submetering!J2+Submetering!K2</f>
        <v>31727</v>
      </c>
      <c r="F2" s="113">
        <v>0.2</v>
      </c>
      <c r="G2" s="101">
        <f>Submetering!P2</f>
        <v>590</v>
      </c>
      <c r="H2" s="113">
        <v>6.47</v>
      </c>
      <c r="I2" s="101">
        <f>Submetering!T2-Submetering!T2*15%-Submetering!X2</f>
        <v>57100.271800002913</v>
      </c>
      <c r="J2" s="100">
        <v>0.21</v>
      </c>
      <c r="K2" s="101">
        <f>Submetering!N2-Submetering!O2</f>
        <v>65.979999999999563</v>
      </c>
      <c r="L2" s="113">
        <v>7.84</v>
      </c>
      <c r="M2" s="101">
        <f>Submetering!Y2</f>
        <v>127</v>
      </c>
      <c r="N2" s="102">
        <f>Submetering!Z2</f>
        <v>148</v>
      </c>
    </row>
    <row r="3" spans="1:15" x14ac:dyDescent="0.25">
      <c r="A3" s="114" t="s">
        <v>80</v>
      </c>
      <c r="B3" s="72">
        <f>B2+1</f>
        <v>2</v>
      </c>
      <c r="C3" s="73">
        <v>6</v>
      </c>
      <c r="D3" s="72">
        <v>2021</v>
      </c>
      <c r="E3" s="71">
        <f>Submetering!E3+Submetering!F3+Submetering!G3+Submetering!H3+Submetering!I3+Submetering!J3+Submetering!K3</f>
        <v>32072</v>
      </c>
      <c r="F3" s="74">
        <v>0.2</v>
      </c>
      <c r="G3" s="71">
        <f>Submetering!P3</f>
        <v>587</v>
      </c>
      <c r="H3" s="74">
        <v>6.47</v>
      </c>
      <c r="I3" s="71">
        <f>Submetering!T3-Submetering!T3*15%-Submetering!X3</f>
        <v>61415.378800001447</v>
      </c>
      <c r="J3" s="70">
        <v>0.21</v>
      </c>
      <c r="K3" s="71">
        <f>Submetering!N3-Submetering!O3</f>
        <v>64.548000000001593</v>
      </c>
      <c r="L3" s="74">
        <v>7.84</v>
      </c>
      <c r="M3" s="71">
        <f>Submetering!Y3</f>
        <v>114</v>
      </c>
      <c r="N3" s="104">
        <f>Submetering!Z3</f>
        <v>164</v>
      </c>
    </row>
    <row r="4" spans="1:15" x14ac:dyDescent="0.25">
      <c r="A4" s="114" t="s">
        <v>80</v>
      </c>
      <c r="B4" s="72">
        <f t="shared" ref="B4:B31" si="0">B3+1</f>
        <v>3</v>
      </c>
      <c r="C4" s="73">
        <v>6</v>
      </c>
      <c r="D4" s="72">
        <v>2021</v>
      </c>
      <c r="E4" s="71">
        <f>Submetering!E4+Submetering!F4+Submetering!G4+Submetering!H4+Submetering!I4+Submetering!J4+Submetering!K4</f>
        <v>31272</v>
      </c>
      <c r="F4" s="74">
        <v>0.2</v>
      </c>
      <c r="G4" s="71">
        <f>Submetering!P4</f>
        <v>590</v>
      </c>
      <c r="H4" s="74">
        <v>6.47</v>
      </c>
      <c r="I4" s="71">
        <f>Submetering!T4-Submetering!T4*15%-Submetering!X4</f>
        <v>62928.986600000004</v>
      </c>
      <c r="J4" s="70">
        <v>0.21</v>
      </c>
      <c r="K4" s="71">
        <f>Submetering!N4-Submetering!O4</f>
        <v>77.89499999999407</v>
      </c>
      <c r="L4" s="74">
        <v>7.84</v>
      </c>
      <c r="M4" s="71">
        <f>Submetering!Y4</f>
        <v>146</v>
      </c>
      <c r="N4" s="104">
        <f>Submetering!Z4</f>
        <v>242</v>
      </c>
    </row>
    <row r="5" spans="1:15" x14ac:dyDescent="0.25">
      <c r="A5" s="114" t="s">
        <v>80</v>
      </c>
      <c r="B5" s="72">
        <f t="shared" si="0"/>
        <v>4</v>
      </c>
      <c r="C5" s="73">
        <v>6</v>
      </c>
      <c r="D5" s="72">
        <v>2021</v>
      </c>
      <c r="E5" s="71">
        <f>Submetering!E5+Submetering!F5+Submetering!G5+Submetering!H5+Submetering!I5+Submetering!J5+Submetering!K5</f>
        <v>30514</v>
      </c>
      <c r="F5" s="74">
        <v>0.2</v>
      </c>
      <c r="G5" s="71">
        <f>Submetering!P5</f>
        <v>651</v>
      </c>
      <c r="H5" s="74">
        <v>6.47</v>
      </c>
      <c r="I5" s="71">
        <f>Submetering!T5-Submetering!T5*15%-Submetering!X5</f>
        <v>63668.163819994734</v>
      </c>
      <c r="J5" s="70">
        <v>0.21</v>
      </c>
      <c r="K5" s="81">
        <f>Submetering!N5-Submetering!O5</f>
        <v>74.662000000012995</v>
      </c>
      <c r="L5" s="74">
        <v>7.84</v>
      </c>
      <c r="M5" s="71">
        <f>Submetering!Y5</f>
        <v>138</v>
      </c>
      <c r="N5" s="104">
        <f>Submetering!Z5</f>
        <v>222</v>
      </c>
    </row>
    <row r="6" spans="1:15" x14ac:dyDescent="0.25">
      <c r="A6" s="114" t="s">
        <v>80</v>
      </c>
      <c r="B6" s="72">
        <f t="shared" si="0"/>
        <v>5</v>
      </c>
      <c r="C6" s="73">
        <v>6</v>
      </c>
      <c r="D6" s="72">
        <v>2021</v>
      </c>
      <c r="E6" s="71">
        <f>Submetering!E6+Submetering!F6+Submetering!G6+Submetering!H6+Submetering!I6+Submetering!J6+Submetering!K6</f>
        <v>31610</v>
      </c>
      <c r="F6" s="74">
        <v>0.2</v>
      </c>
      <c r="G6" s="71">
        <f>Submetering!P6</f>
        <v>598</v>
      </c>
      <c r="H6" s="74">
        <v>6.47</v>
      </c>
      <c r="I6" s="71">
        <f>Submetering!T6-Submetering!T6*15%-Submetering!X6</f>
        <v>65641.842480000894</v>
      </c>
      <c r="J6" s="70">
        <v>0.21</v>
      </c>
      <c r="K6" s="71">
        <f>Submetering!N6-Submetering!O6</f>
        <v>104.77500000000418</v>
      </c>
      <c r="L6" s="74">
        <v>7.84</v>
      </c>
      <c r="M6" s="71">
        <f>Submetering!Y6</f>
        <v>79</v>
      </c>
      <c r="N6" s="104">
        <f>Submetering!Z6</f>
        <v>118</v>
      </c>
    </row>
    <row r="7" spans="1:15" x14ac:dyDescent="0.25">
      <c r="A7" s="114" t="s">
        <v>80</v>
      </c>
      <c r="B7" s="72">
        <f t="shared" si="0"/>
        <v>6</v>
      </c>
      <c r="C7" s="73">
        <v>6</v>
      </c>
      <c r="D7" s="72">
        <v>2021</v>
      </c>
      <c r="E7" s="71">
        <f>Submetering!E7+Submetering!F7+Submetering!G7+Submetering!H7+Submetering!I7+Submetering!J7+Submetering!K7</f>
        <v>30886</v>
      </c>
      <c r="F7" s="74">
        <v>0.2</v>
      </c>
      <c r="G7" s="71">
        <f>Submetering!P7</f>
        <v>527</v>
      </c>
      <c r="H7" s="74">
        <v>6.47</v>
      </c>
      <c r="I7" s="71">
        <f>Submetering!T7-Submetering!T7*15%-Submetering!X7</f>
        <v>66021.401900001452</v>
      </c>
      <c r="J7" s="70">
        <v>0.21</v>
      </c>
      <c r="K7" s="71">
        <f>Submetering!N7-Submetering!O7</f>
        <v>75.220999999984087</v>
      </c>
      <c r="L7" s="74">
        <v>7.84</v>
      </c>
      <c r="M7" s="71">
        <f>Submetering!Y7</f>
        <v>91</v>
      </c>
      <c r="N7" s="104">
        <f>Submetering!Z7</f>
        <v>131</v>
      </c>
    </row>
    <row r="8" spans="1:15" x14ac:dyDescent="0.25">
      <c r="A8" s="114" t="s">
        <v>80</v>
      </c>
      <c r="B8" s="72">
        <f t="shared" si="0"/>
        <v>7</v>
      </c>
      <c r="C8" s="73">
        <v>6</v>
      </c>
      <c r="D8" s="72">
        <v>2021</v>
      </c>
      <c r="E8" s="71">
        <f>Submetering!E8+Submetering!F8+Submetering!G8+Submetering!H8+Submetering!I8+Submetering!J8+Submetering!K8</f>
        <v>30779</v>
      </c>
      <c r="F8" s="74">
        <v>0.2</v>
      </c>
      <c r="G8" s="71">
        <f>Submetering!P8</f>
        <v>578</v>
      </c>
      <c r="H8" s="74">
        <v>6.47</v>
      </c>
      <c r="I8" s="71">
        <f>Submetering!T8-Submetering!T8*15%-Submetering!X8</f>
        <v>66522.937199998545</v>
      </c>
      <c r="J8" s="70">
        <v>0.21</v>
      </c>
      <c r="K8" s="71">
        <f>Submetering!N8-Submetering!O8</f>
        <v>57.69500000001608</v>
      </c>
      <c r="L8" s="74">
        <v>7.84</v>
      </c>
      <c r="M8" s="71">
        <f>Submetering!Y8</f>
        <v>89</v>
      </c>
      <c r="N8" s="104">
        <f>Submetering!Z8</f>
        <v>121</v>
      </c>
    </row>
    <row r="9" spans="1:15" x14ac:dyDescent="0.25">
      <c r="A9" s="114" t="s">
        <v>80</v>
      </c>
      <c r="B9" s="72">
        <f t="shared" si="0"/>
        <v>8</v>
      </c>
      <c r="C9" s="73">
        <v>6</v>
      </c>
      <c r="D9" s="72">
        <v>2021</v>
      </c>
      <c r="E9" s="71">
        <f>Submetering!E9+Submetering!F9+Submetering!G9+Submetering!H9+Submetering!I9+Submetering!J9+Submetering!K9</f>
        <v>30250</v>
      </c>
      <c r="F9" s="74">
        <v>0.2</v>
      </c>
      <c r="G9" s="71">
        <f>Submetering!P9</f>
        <v>565</v>
      </c>
      <c r="H9" s="74">
        <v>6.47</v>
      </c>
      <c r="I9" s="71">
        <f>Submetering!T9-Submetering!T9*15%-Submetering!X9</f>
        <v>63874.329000004363</v>
      </c>
      <c r="J9" s="70">
        <v>0.21</v>
      </c>
      <c r="K9" s="71">
        <f>Submetering!N9-Submetering!O9</f>
        <v>80.506999999989603</v>
      </c>
      <c r="L9" s="74">
        <v>7.84</v>
      </c>
      <c r="M9" s="71">
        <f>Submetering!Y9</f>
        <v>116</v>
      </c>
      <c r="N9" s="104">
        <f>Submetering!Z9</f>
        <v>170</v>
      </c>
      <c r="O9" s="1" t="s">
        <v>12</v>
      </c>
    </row>
    <row r="10" spans="1:15" x14ac:dyDescent="0.25">
      <c r="A10" s="114" t="s">
        <v>80</v>
      </c>
      <c r="B10" s="72">
        <f t="shared" si="0"/>
        <v>9</v>
      </c>
      <c r="C10" s="73">
        <v>6</v>
      </c>
      <c r="D10" s="72">
        <v>2021</v>
      </c>
      <c r="E10" s="71">
        <f>Submetering!E10+Submetering!F10+Submetering!G10+Submetering!H10+Submetering!I10+Submetering!J10+Submetering!K10</f>
        <v>31544</v>
      </c>
      <c r="F10" s="74">
        <v>0.2</v>
      </c>
      <c r="G10" s="71">
        <f>Submetering!P10</f>
        <v>577</v>
      </c>
      <c r="H10" s="74">
        <v>6.47</v>
      </c>
      <c r="I10" s="71">
        <f>Submetering!T10-Submetering!T10*15%-Submetering!X10</f>
        <v>60341.526599997087</v>
      </c>
      <c r="J10" s="70">
        <v>0.21</v>
      </c>
      <c r="K10" s="71">
        <f>Submetering!N10-Submetering!O10</f>
        <v>87.464000000009946</v>
      </c>
      <c r="L10" s="74">
        <v>7.84</v>
      </c>
      <c r="M10" s="71">
        <f>Submetering!Y10</f>
        <v>127</v>
      </c>
      <c r="N10" s="104">
        <f>Submetering!Z10</f>
        <v>190</v>
      </c>
    </row>
    <row r="11" spans="1:15" x14ac:dyDescent="0.25">
      <c r="A11" s="114" t="s">
        <v>80</v>
      </c>
      <c r="B11" s="72">
        <f t="shared" si="0"/>
        <v>10</v>
      </c>
      <c r="C11" s="73">
        <v>6</v>
      </c>
      <c r="D11" s="72">
        <v>2021</v>
      </c>
      <c r="E11" s="71">
        <f>Submetering!E11+Submetering!F11+Submetering!G11+Submetering!H11+Submetering!I11+Submetering!J11+Submetering!K11</f>
        <v>31607</v>
      </c>
      <c r="F11" s="74">
        <v>0.2</v>
      </c>
      <c r="G11" s="71">
        <f>Submetering!P11</f>
        <v>610</v>
      </c>
      <c r="H11" s="74">
        <v>6.47</v>
      </c>
      <c r="I11" s="71">
        <f>Submetering!T11-Submetering!T11*15%-Submetering!X11</f>
        <v>60875.346000001446</v>
      </c>
      <c r="J11" s="70">
        <v>0.21</v>
      </c>
      <c r="K11" s="71">
        <f>Submetering!N11-Submetering!O11</f>
        <v>79.637000000006992</v>
      </c>
      <c r="L11" s="74">
        <v>7.84</v>
      </c>
      <c r="M11" s="71">
        <f>Submetering!Y11</f>
        <v>140</v>
      </c>
      <c r="N11" s="104">
        <f>Submetering!Z11</f>
        <v>234</v>
      </c>
    </row>
    <row r="12" spans="1:15" x14ac:dyDescent="0.25">
      <c r="A12" s="114" t="s">
        <v>80</v>
      </c>
      <c r="B12" s="72">
        <f t="shared" si="0"/>
        <v>11</v>
      </c>
      <c r="C12" s="73">
        <v>6</v>
      </c>
      <c r="D12" s="72">
        <v>2021</v>
      </c>
      <c r="E12" s="71">
        <f>Submetering!E12+Submetering!F12+Submetering!G12+Submetering!H12+Submetering!I12+Submetering!J12+Submetering!K12</f>
        <v>0</v>
      </c>
      <c r="F12" s="74">
        <v>0.2</v>
      </c>
      <c r="G12" s="71">
        <f>Submetering!P12</f>
        <v>0</v>
      </c>
      <c r="H12" s="74">
        <v>6.47</v>
      </c>
      <c r="I12" s="71">
        <f>Submetering!T12-Submetering!T12*15%-Submetering!X12</f>
        <v>0</v>
      </c>
      <c r="J12" s="70">
        <v>0.21</v>
      </c>
      <c r="K12" s="71">
        <f>Submetering!N12-Submetering!O12</f>
        <v>0</v>
      </c>
      <c r="L12" s="74">
        <v>7.84</v>
      </c>
      <c r="M12" s="71">
        <f>Submetering!Y12</f>
        <v>0</v>
      </c>
      <c r="N12" s="104">
        <f>Submetering!Z12</f>
        <v>0</v>
      </c>
    </row>
    <row r="13" spans="1:15" x14ac:dyDescent="0.25">
      <c r="A13" s="114" t="s">
        <v>80</v>
      </c>
      <c r="B13" s="72">
        <f t="shared" si="0"/>
        <v>12</v>
      </c>
      <c r="C13" s="73">
        <v>6</v>
      </c>
      <c r="D13" s="72">
        <v>2021</v>
      </c>
      <c r="E13" s="71">
        <f>Submetering!E13+Submetering!F13+Submetering!G13+Submetering!H13+Submetering!I13+Submetering!J13+Submetering!K13</f>
        <v>0</v>
      </c>
      <c r="F13" s="74">
        <v>0.2</v>
      </c>
      <c r="G13" s="71">
        <f>Submetering!P13</f>
        <v>0</v>
      </c>
      <c r="H13" s="74">
        <v>6.47</v>
      </c>
      <c r="I13" s="71">
        <f>Submetering!T13-Submetering!T13*15%-Submetering!X13</f>
        <v>0</v>
      </c>
      <c r="J13" s="70">
        <v>0.21</v>
      </c>
      <c r="K13" s="71">
        <f>Submetering!N13-Submetering!O13</f>
        <v>0</v>
      </c>
      <c r="L13" s="74">
        <v>7.84</v>
      </c>
      <c r="M13" s="71">
        <f>Submetering!Y13</f>
        <v>0</v>
      </c>
      <c r="N13" s="104">
        <f>Submetering!Z13</f>
        <v>0</v>
      </c>
    </row>
    <row r="14" spans="1:15" x14ac:dyDescent="0.25">
      <c r="A14" s="114" t="s">
        <v>80</v>
      </c>
      <c r="B14" s="72">
        <f t="shared" si="0"/>
        <v>13</v>
      </c>
      <c r="C14" s="73">
        <v>6</v>
      </c>
      <c r="D14" s="72">
        <v>2021</v>
      </c>
      <c r="E14" s="71">
        <f>Submetering!E14+Submetering!F14+Submetering!G14+Submetering!H14+Submetering!I14+Submetering!J14+Submetering!K14</f>
        <v>0</v>
      </c>
      <c r="F14" s="74">
        <v>0.2</v>
      </c>
      <c r="G14" s="71">
        <f>Submetering!P14</f>
        <v>0</v>
      </c>
      <c r="H14" s="74">
        <v>6.47</v>
      </c>
      <c r="I14" s="71">
        <f>Submetering!T14-Submetering!T14*15%-Submetering!X14</f>
        <v>0</v>
      </c>
      <c r="J14" s="70">
        <v>0.21</v>
      </c>
      <c r="K14" s="71">
        <f>Submetering!N14-Submetering!O14</f>
        <v>0</v>
      </c>
      <c r="L14" s="74">
        <v>7.84</v>
      </c>
      <c r="M14" s="71">
        <f>Submetering!Y14</f>
        <v>0</v>
      </c>
      <c r="N14" s="104">
        <f>Submetering!Z14</f>
        <v>0</v>
      </c>
    </row>
    <row r="15" spans="1:15" x14ac:dyDescent="0.25">
      <c r="A15" s="114" t="s">
        <v>80</v>
      </c>
      <c r="B15" s="72">
        <f t="shared" si="0"/>
        <v>14</v>
      </c>
      <c r="C15" s="73">
        <v>6</v>
      </c>
      <c r="D15" s="72">
        <v>2021</v>
      </c>
      <c r="E15" s="71">
        <f>Submetering!E15+Submetering!F15+Submetering!G15+Submetering!H15+Submetering!I15+Submetering!J15+Submetering!K15</f>
        <v>0</v>
      </c>
      <c r="F15" s="74">
        <v>0.2</v>
      </c>
      <c r="G15" s="71">
        <f>Submetering!P15</f>
        <v>0</v>
      </c>
      <c r="H15" s="74">
        <v>6.47</v>
      </c>
      <c r="I15" s="71">
        <f>Submetering!T15-Submetering!T15*15%-Submetering!X15</f>
        <v>0</v>
      </c>
      <c r="J15" s="70">
        <v>0.21</v>
      </c>
      <c r="K15" s="81">
        <f>Submetering!N15-Submetering!O15</f>
        <v>0</v>
      </c>
      <c r="L15" s="74">
        <v>7.84</v>
      </c>
      <c r="M15" s="71">
        <f>Submetering!Y15</f>
        <v>0</v>
      </c>
      <c r="N15" s="104">
        <f>Submetering!Z15</f>
        <v>0</v>
      </c>
    </row>
    <row r="16" spans="1:15" x14ac:dyDescent="0.25">
      <c r="A16" s="114" t="s">
        <v>80</v>
      </c>
      <c r="B16" s="72">
        <f t="shared" si="0"/>
        <v>15</v>
      </c>
      <c r="C16" s="73">
        <v>6</v>
      </c>
      <c r="D16" s="72">
        <v>2021</v>
      </c>
      <c r="E16" s="71">
        <f>Submetering!E16+Submetering!F16+Submetering!G16+Submetering!H16+Submetering!I16+Submetering!J16+Submetering!K16</f>
        <v>0</v>
      </c>
      <c r="F16" s="74">
        <v>0.2</v>
      </c>
      <c r="G16" s="71">
        <f>Submetering!P16</f>
        <v>0</v>
      </c>
      <c r="H16" s="74">
        <v>6.47</v>
      </c>
      <c r="I16" s="71">
        <f>Submetering!T16-Submetering!T16*15%-Submetering!X16</f>
        <v>0</v>
      </c>
      <c r="J16" s="70">
        <v>0.21</v>
      </c>
      <c r="K16" s="71">
        <f>Submetering!N16-Submetering!O16</f>
        <v>0</v>
      </c>
      <c r="L16" s="74">
        <v>7.84</v>
      </c>
      <c r="M16" s="71">
        <f>Submetering!Y16</f>
        <v>0</v>
      </c>
      <c r="N16" s="104">
        <f>Submetering!Z16</f>
        <v>0</v>
      </c>
    </row>
    <row r="17" spans="1:14" x14ac:dyDescent="0.25">
      <c r="A17" s="114" t="s">
        <v>80</v>
      </c>
      <c r="B17" s="72">
        <f t="shared" si="0"/>
        <v>16</v>
      </c>
      <c r="C17" s="73">
        <v>6</v>
      </c>
      <c r="D17" s="72">
        <v>2021</v>
      </c>
      <c r="E17" s="71">
        <f>Submetering!E17+Submetering!F17+Submetering!G17+Submetering!H17+Submetering!I17+Submetering!J17+Submetering!K17</f>
        <v>0</v>
      </c>
      <c r="F17" s="74">
        <v>0.2</v>
      </c>
      <c r="G17" s="71">
        <f>Submetering!P17</f>
        <v>0</v>
      </c>
      <c r="H17" s="74">
        <v>6.47</v>
      </c>
      <c r="I17" s="71">
        <f>Submetering!T17-Submetering!T17*15%-Submetering!X17</f>
        <v>0</v>
      </c>
      <c r="J17" s="70">
        <v>0.21</v>
      </c>
      <c r="K17" s="71">
        <f>Submetering!N17-Submetering!O17</f>
        <v>0</v>
      </c>
      <c r="L17" s="74">
        <v>7.84</v>
      </c>
      <c r="M17" s="71">
        <f>Submetering!Y17</f>
        <v>0</v>
      </c>
      <c r="N17" s="104">
        <f>Submetering!Z17</f>
        <v>0</v>
      </c>
    </row>
    <row r="18" spans="1:14" x14ac:dyDescent="0.25">
      <c r="A18" s="114" t="s">
        <v>80</v>
      </c>
      <c r="B18" s="72">
        <f t="shared" si="0"/>
        <v>17</v>
      </c>
      <c r="C18" s="73">
        <v>6</v>
      </c>
      <c r="D18" s="72">
        <v>2021</v>
      </c>
      <c r="E18" s="71">
        <f>Submetering!E18+Submetering!F18+Submetering!G18+Submetering!H18+Submetering!I18+Submetering!J18+Submetering!K18</f>
        <v>0</v>
      </c>
      <c r="F18" s="74">
        <v>0.2</v>
      </c>
      <c r="G18" s="71">
        <f>Submetering!P18</f>
        <v>0</v>
      </c>
      <c r="H18" s="74">
        <v>6.47</v>
      </c>
      <c r="I18" s="71">
        <f>Submetering!T18-Submetering!T18*15%-Submetering!X18</f>
        <v>0</v>
      </c>
      <c r="J18" s="70">
        <v>0.21</v>
      </c>
      <c r="K18" s="71">
        <f>Submetering!N18-Submetering!O18</f>
        <v>0</v>
      </c>
      <c r="L18" s="74">
        <v>7.84</v>
      </c>
      <c r="M18" s="71">
        <f>Submetering!Y18</f>
        <v>0</v>
      </c>
      <c r="N18" s="104">
        <f>Submetering!Z18</f>
        <v>0</v>
      </c>
    </row>
    <row r="19" spans="1:14" x14ac:dyDescent="0.25">
      <c r="A19" s="114" t="s">
        <v>80</v>
      </c>
      <c r="B19" s="72">
        <f t="shared" si="0"/>
        <v>18</v>
      </c>
      <c r="C19" s="73">
        <v>6</v>
      </c>
      <c r="D19" s="72">
        <v>2021</v>
      </c>
      <c r="E19" s="71">
        <f>Submetering!E19+Submetering!F19+Submetering!G19+Submetering!H19+Submetering!I19+Submetering!J19+Submetering!K19</f>
        <v>0</v>
      </c>
      <c r="F19" s="74">
        <v>0.2</v>
      </c>
      <c r="G19" s="71">
        <f>Submetering!P19</f>
        <v>0</v>
      </c>
      <c r="H19" s="74">
        <v>6.47</v>
      </c>
      <c r="I19" s="71">
        <f>Submetering!T19-Submetering!T19*15%-Submetering!X19</f>
        <v>0</v>
      </c>
      <c r="J19" s="70">
        <v>0.21</v>
      </c>
      <c r="K19" s="71">
        <f>Submetering!N19-Submetering!O19</f>
        <v>0</v>
      </c>
      <c r="L19" s="74">
        <v>7.84</v>
      </c>
      <c r="M19" s="71">
        <f>Submetering!Y19</f>
        <v>0</v>
      </c>
      <c r="N19" s="104">
        <f>Submetering!Z19</f>
        <v>0</v>
      </c>
    </row>
    <row r="20" spans="1:14" x14ac:dyDescent="0.25">
      <c r="A20" s="114" t="s">
        <v>80</v>
      </c>
      <c r="B20" s="72">
        <f t="shared" si="0"/>
        <v>19</v>
      </c>
      <c r="C20" s="73">
        <v>6</v>
      </c>
      <c r="D20" s="72">
        <v>2021</v>
      </c>
      <c r="E20" s="71">
        <f>Submetering!E20+Submetering!F20+Submetering!G20+Submetering!H20+Submetering!I20+Submetering!J20+Submetering!K20</f>
        <v>0</v>
      </c>
      <c r="F20" s="74">
        <v>0.2</v>
      </c>
      <c r="G20" s="71">
        <f>Submetering!P20</f>
        <v>0</v>
      </c>
      <c r="H20" s="74">
        <v>6.47</v>
      </c>
      <c r="I20" s="71">
        <f>Submetering!T20-Submetering!T20*15%-Submetering!X20</f>
        <v>0</v>
      </c>
      <c r="J20" s="70">
        <v>0.21</v>
      </c>
      <c r="K20" s="71">
        <f>Submetering!N20-Submetering!O20</f>
        <v>0</v>
      </c>
      <c r="L20" s="74">
        <v>7.84</v>
      </c>
      <c r="M20" s="71">
        <f>Submetering!Y20</f>
        <v>0</v>
      </c>
      <c r="N20" s="104">
        <f>Submetering!Z20</f>
        <v>0</v>
      </c>
    </row>
    <row r="21" spans="1:14" x14ac:dyDescent="0.25">
      <c r="A21" s="114" t="s">
        <v>80</v>
      </c>
      <c r="B21" s="72">
        <f t="shared" si="0"/>
        <v>20</v>
      </c>
      <c r="C21" s="73">
        <v>6</v>
      </c>
      <c r="D21" s="72">
        <v>2021</v>
      </c>
      <c r="E21" s="71">
        <f>Submetering!E21+Submetering!F21+Submetering!G21+Submetering!H21+Submetering!I21+Submetering!J21+Submetering!K21</f>
        <v>0</v>
      </c>
      <c r="F21" s="74">
        <v>0.2</v>
      </c>
      <c r="G21" s="71">
        <f>Submetering!P21</f>
        <v>0</v>
      </c>
      <c r="H21" s="74">
        <v>6.47</v>
      </c>
      <c r="I21" s="71">
        <f>Submetering!T21-Submetering!T21*15%-Submetering!X21</f>
        <v>0</v>
      </c>
      <c r="J21" s="70">
        <v>0.21</v>
      </c>
      <c r="K21" s="71">
        <f>Submetering!N21-Submetering!O21</f>
        <v>0</v>
      </c>
      <c r="L21" s="74">
        <v>7.84</v>
      </c>
      <c r="M21" s="71">
        <f>Submetering!Y21</f>
        <v>0</v>
      </c>
      <c r="N21" s="104">
        <f>Submetering!Z21</f>
        <v>0</v>
      </c>
    </row>
    <row r="22" spans="1:14" x14ac:dyDescent="0.25">
      <c r="A22" s="114" t="s">
        <v>80</v>
      </c>
      <c r="B22" s="72">
        <f t="shared" si="0"/>
        <v>21</v>
      </c>
      <c r="C22" s="73">
        <v>6</v>
      </c>
      <c r="D22" s="72">
        <v>2021</v>
      </c>
      <c r="E22" s="71">
        <f>Submetering!E22+Submetering!F22+Submetering!G22+Submetering!H22+Submetering!I22+Submetering!J22+Submetering!K22</f>
        <v>0</v>
      </c>
      <c r="F22" s="74">
        <v>0.2</v>
      </c>
      <c r="G22" s="71">
        <f>Submetering!P22</f>
        <v>0</v>
      </c>
      <c r="H22" s="74">
        <v>6.47</v>
      </c>
      <c r="I22" s="71">
        <f>Submetering!T22-Submetering!T22*15%-Submetering!X22</f>
        <v>0</v>
      </c>
      <c r="J22" s="70">
        <v>0.21</v>
      </c>
      <c r="K22" s="71">
        <f>Submetering!N22-Submetering!O22</f>
        <v>0</v>
      </c>
      <c r="L22" s="74">
        <v>7.84</v>
      </c>
      <c r="M22" s="71">
        <f>Submetering!Y22</f>
        <v>0</v>
      </c>
      <c r="N22" s="104">
        <f>Submetering!Z22</f>
        <v>0</v>
      </c>
    </row>
    <row r="23" spans="1:14" x14ac:dyDescent="0.25">
      <c r="A23" s="114" t="s">
        <v>80</v>
      </c>
      <c r="B23" s="72">
        <f t="shared" si="0"/>
        <v>22</v>
      </c>
      <c r="C23" s="73">
        <v>6</v>
      </c>
      <c r="D23" s="72">
        <v>2021</v>
      </c>
      <c r="E23" s="71">
        <f>Submetering!E23+Submetering!F23+Submetering!G23+Submetering!H23+Submetering!I23+Submetering!J23+Submetering!K23</f>
        <v>0</v>
      </c>
      <c r="F23" s="74">
        <v>0.2</v>
      </c>
      <c r="G23" s="71">
        <f>Submetering!P23</f>
        <v>0</v>
      </c>
      <c r="H23" s="74">
        <v>6.47</v>
      </c>
      <c r="I23" s="71">
        <f>Submetering!T23-Submetering!T23*15%-Submetering!X23</f>
        <v>0</v>
      </c>
      <c r="J23" s="70">
        <v>0.21</v>
      </c>
      <c r="K23" s="71">
        <f>Submetering!N23-Submetering!O23</f>
        <v>0</v>
      </c>
      <c r="L23" s="74">
        <v>7.84</v>
      </c>
      <c r="M23" s="71">
        <f>Submetering!Y23</f>
        <v>0</v>
      </c>
      <c r="N23" s="104">
        <f>Submetering!Z23</f>
        <v>0</v>
      </c>
    </row>
    <row r="24" spans="1:14" x14ac:dyDescent="0.25">
      <c r="A24" s="114" t="s">
        <v>80</v>
      </c>
      <c r="B24" s="72">
        <f t="shared" si="0"/>
        <v>23</v>
      </c>
      <c r="C24" s="73">
        <v>6</v>
      </c>
      <c r="D24" s="72">
        <v>2021</v>
      </c>
      <c r="E24" s="71">
        <f>Submetering!E24+Submetering!F24+Submetering!G24+Submetering!H24+Submetering!I24+Submetering!J24+Submetering!K24</f>
        <v>0</v>
      </c>
      <c r="F24" s="74">
        <v>0.2</v>
      </c>
      <c r="G24" s="71">
        <f>Submetering!P24</f>
        <v>0</v>
      </c>
      <c r="H24" s="74">
        <v>6.47</v>
      </c>
      <c r="I24" s="71">
        <f>Submetering!T24-Submetering!T24*15%-Submetering!X24</f>
        <v>0</v>
      </c>
      <c r="J24" s="70">
        <v>0.21</v>
      </c>
      <c r="K24" s="71">
        <f>Submetering!N24-Submetering!O24</f>
        <v>0</v>
      </c>
      <c r="L24" s="74">
        <v>7.84</v>
      </c>
      <c r="M24" s="71">
        <f>Submetering!Y24</f>
        <v>0</v>
      </c>
      <c r="N24" s="104">
        <f>Submetering!Z24</f>
        <v>0</v>
      </c>
    </row>
    <row r="25" spans="1:14" x14ac:dyDescent="0.25">
      <c r="A25" s="114" t="s">
        <v>80</v>
      </c>
      <c r="B25" s="72">
        <f t="shared" si="0"/>
        <v>24</v>
      </c>
      <c r="C25" s="73">
        <v>6</v>
      </c>
      <c r="D25" s="72">
        <v>2021</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71">
        <f>Submetering!Y25</f>
        <v>0</v>
      </c>
      <c r="N25" s="104">
        <f>Submetering!Z25</f>
        <v>0</v>
      </c>
    </row>
    <row r="26" spans="1:14" x14ac:dyDescent="0.25">
      <c r="A26" s="114" t="s">
        <v>80</v>
      </c>
      <c r="B26" s="72">
        <f>B25+1</f>
        <v>25</v>
      </c>
      <c r="C26" s="73">
        <v>6</v>
      </c>
      <c r="D26" s="72">
        <v>2021</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04">
        <f>Submetering!Z26</f>
        <v>0</v>
      </c>
    </row>
    <row r="27" spans="1:14" x14ac:dyDescent="0.25">
      <c r="A27" s="114" t="s">
        <v>80</v>
      </c>
      <c r="B27" s="72">
        <f t="shared" si="0"/>
        <v>26</v>
      </c>
      <c r="C27" s="73">
        <v>6</v>
      </c>
      <c r="D27" s="72">
        <v>2021</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04">
        <f>Submetering!Z27</f>
        <v>0</v>
      </c>
    </row>
    <row r="28" spans="1:14" x14ac:dyDescent="0.25">
      <c r="A28" s="114" t="s">
        <v>80</v>
      </c>
      <c r="B28" s="72">
        <f t="shared" si="0"/>
        <v>27</v>
      </c>
      <c r="C28" s="73">
        <v>6</v>
      </c>
      <c r="D28" s="72">
        <v>2021</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04">
        <f>Submetering!Z28</f>
        <v>0</v>
      </c>
    </row>
    <row r="29" spans="1:14" x14ac:dyDescent="0.25">
      <c r="A29" s="114" t="s">
        <v>80</v>
      </c>
      <c r="B29" s="72">
        <f t="shared" si="0"/>
        <v>28</v>
      </c>
      <c r="C29" s="73">
        <v>6</v>
      </c>
      <c r="D29" s="72">
        <v>2021</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04">
        <f>Submetering!Z29</f>
        <v>0</v>
      </c>
    </row>
    <row r="30" spans="1:14" x14ac:dyDescent="0.25">
      <c r="A30" s="114" t="s">
        <v>80</v>
      </c>
      <c r="B30" s="72">
        <f t="shared" si="0"/>
        <v>29</v>
      </c>
      <c r="C30" s="73">
        <v>6</v>
      </c>
      <c r="D30" s="72">
        <v>2021</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04">
        <f>Submetering!Z30</f>
        <v>0</v>
      </c>
    </row>
    <row r="31" spans="1:14" ht="15.75" thickBot="1" x14ac:dyDescent="0.3">
      <c r="A31" s="115" t="s">
        <v>80</v>
      </c>
      <c r="B31" s="116">
        <f t="shared" si="0"/>
        <v>30</v>
      </c>
      <c r="C31" s="117">
        <v>6</v>
      </c>
      <c r="D31" s="116">
        <v>2021</v>
      </c>
      <c r="E31" s="108">
        <f>Submetering!E31+Submetering!F31+Submetering!G31+Submetering!H31+Submetering!I31+Submetering!J31+Submetering!K31</f>
        <v>0</v>
      </c>
      <c r="F31" s="118">
        <v>0.2</v>
      </c>
      <c r="G31" s="108">
        <f>Submetering!P31</f>
        <v>0</v>
      </c>
      <c r="H31" s="118">
        <v>6.47</v>
      </c>
      <c r="I31" s="108">
        <f>Submetering!T31-Submetering!T31*15%-Submetering!X31</f>
        <v>0</v>
      </c>
      <c r="J31" s="107">
        <v>0.21</v>
      </c>
      <c r="K31" s="108">
        <f>Submetering!N31-Submetering!O31</f>
        <v>0</v>
      </c>
      <c r="L31" s="118">
        <v>7.84</v>
      </c>
      <c r="M31" s="108">
        <f>Submetering!Y31</f>
        <v>0</v>
      </c>
      <c r="N31" s="109">
        <f>Submetering!Z31</f>
        <v>0</v>
      </c>
    </row>
    <row r="32" spans="1:14" x14ac:dyDescent="0.25">
      <c r="M32" s="4">
        <f>SUM(M2:M31)</f>
        <v>1167</v>
      </c>
      <c r="N32" s="4">
        <f>SUM(N2:N31)</f>
        <v>1740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pane xSplit="2" ySplit="1" topLeftCell="H2" activePane="bottomRight" state="frozen"/>
      <selection pane="topRight" activeCell="C1" sqref="C1"/>
      <selection pane="bottomLeft" activeCell="A2" sqref="A2"/>
      <selection pane="bottomRight" activeCell="H11" sqref="H1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6</v>
      </c>
      <c r="D2" s="99">
        <v>2021</v>
      </c>
      <c r="E2" s="101">
        <f>'FS-AD Daily '!B6</f>
        <v>5624</v>
      </c>
      <c r="F2" s="101">
        <f>'FS-AD Daily '!C6</f>
        <v>3237</v>
      </c>
      <c r="G2" s="101">
        <f>'FS-AD Daily '!D6</f>
        <v>979</v>
      </c>
      <c r="H2" s="101">
        <f>'FS-AD Daily '!E6</f>
        <v>4936</v>
      </c>
      <c r="I2" s="101">
        <f>'FS-AD Daily '!F6</f>
        <v>5762</v>
      </c>
      <c r="J2" s="101">
        <f>'FS-AD Daily '!G6</f>
        <v>3471</v>
      </c>
      <c r="K2" s="101">
        <f>'FS-AD Daily '!H6</f>
        <v>7718</v>
      </c>
      <c r="L2" s="101">
        <f>'FS-AD Daily '!I6</f>
        <v>2489</v>
      </c>
      <c r="M2" s="101">
        <f>'FS-AD Daily '!J6</f>
        <v>7325</v>
      </c>
      <c r="N2" s="101">
        <f>'FS-AD Daily '!T6</f>
        <v>142.35999999999694</v>
      </c>
      <c r="O2" s="101">
        <f>'FS-AD Daily '!R6</f>
        <v>76.379999999997381</v>
      </c>
      <c r="P2" s="101">
        <f>'FS-AD Daily '!Z6</f>
        <v>590</v>
      </c>
      <c r="Q2" s="101">
        <f>'FS-AD Daily '!V6</f>
        <v>272.60000000003492</v>
      </c>
      <c r="R2" s="101">
        <f>'FS-AD Daily '!W6</f>
        <v>0</v>
      </c>
      <c r="S2" s="101">
        <f>P2-Q2-R2</f>
        <v>317.39999999996508</v>
      </c>
      <c r="T2" s="101">
        <f>'FS-AD Daily '!AD6*3.516</f>
        <v>104470.908</v>
      </c>
      <c r="U2" s="101">
        <f>('FS-AD Daily '!AF6)*1000</f>
        <v>49100.000000005821</v>
      </c>
      <c r="V2" s="101">
        <f>('FS-AD Daily '!AG6)*1000</f>
        <v>35400.000000001455</v>
      </c>
      <c r="W2" s="101">
        <f>'FS-AD Daily '!AH6*1000</f>
        <v>14900.000000001455</v>
      </c>
      <c r="X2" s="101">
        <f>('FS-AD Daily '!AK6)*1000</f>
        <v>31699.99999999709</v>
      </c>
      <c r="Y2" s="101">
        <v>127</v>
      </c>
      <c r="Z2" s="102">
        <v>148</v>
      </c>
    </row>
    <row r="3" spans="1:26" x14ac:dyDescent="0.25">
      <c r="A3" s="103" t="s">
        <v>80</v>
      </c>
      <c r="B3" s="69">
        <f>B2+1</f>
        <v>2</v>
      </c>
      <c r="C3" s="70">
        <v>6</v>
      </c>
      <c r="D3" s="69">
        <v>2021</v>
      </c>
      <c r="E3" s="71">
        <f>'FS-AD Daily '!B7</f>
        <v>5718</v>
      </c>
      <c r="F3" s="71">
        <f>'FS-AD Daily '!C7</f>
        <v>3010</v>
      </c>
      <c r="G3" s="71">
        <f>'FS-AD Daily '!D7</f>
        <v>878</v>
      </c>
      <c r="H3" s="71">
        <f>'FS-AD Daily '!E7</f>
        <v>4911</v>
      </c>
      <c r="I3" s="71">
        <f>'FS-AD Daily '!F7</f>
        <v>5896</v>
      </c>
      <c r="J3" s="71">
        <f>'FS-AD Daily '!G7</f>
        <v>3495</v>
      </c>
      <c r="K3" s="71">
        <f>'FS-AD Daily '!H7</f>
        <v>8164</v>
      </c>
      <c r="L3" s="71">
        <f>'FS-AD Daily '!I7</f>
        <v>2439</v>
      </c>
      <c r="M3" s="71">
        <f>'FS-AD Daily '!J7</f>
        <v>7412</v>
      </c>
      <c r="N3" s="71">
        <f>'FS-AD Daily '!T7</f>
        <v>147.5789999999979</v>
      </c>
      <c r="O3" s="71">
        <f>'FS-AD Daily '!R7</f>
        <v>83.030999999996311</v>
      </c>
      <c r="P3" s="71">
        <f>'FS-AD Daily '!Z7</f>
        <v>587</v>
      </c>
      <c r="Q3" s="71">
        <f>'FS-AD Daily '!V7</f>
        <v>276.69999999995343</v>
      </c>
      <c r="R3" s="71">
        <f>'FS-AD Daily '!W7</f>
        <v>0</v>
      </c>
      <c r="S3" s="71">
        <f t="shared" ref="S3:S31" si="0">P3-Q3-R3</f>
        <v>310.30000000004657</v>
      </c>
      <c r="T3" s="71">
        <f>'FS-AD Daily '!AD7*3.516</f>
        <v>110606.32799999999</v>
      </c>
      <c r="U3" s="71">
        <f>('FS-AD Daily '!AF7)*1000</f>
        <v>51500</v>
      </c>
      <c r="V3" s="71">
        <f>('FS-AD Daily '!AG7)*1000</f>
        <v>38800.00000000291</v>
      </c>
      <c r="W3" s="71">
        <f>'FS-AD Daily '!AH7*1000</f>
        <v>15299.999999999272</v>
      </c>
      <c r="X3" s="71">
        <f>('FS-AD Daily '!AK7)*1000</f>
        <v>32599.999999998545</v>
      </c>
      <c r="Y3" s="71">
        <v>114</v>
      </c>
      <c r="Z3" s="104">
        <v>164</v>
      </c>
    </row>
    <row r="4" spans="1:26" x14ac:dyDescent="0.25">
      <c r="A4" s="103" t="s">
        <v>80</v>
      </c>
      <c r="B4" s="69">
        <f t="shared" ref="B4:B31" si="1">B3+1</f>
        <v>3</v>
      </c>
      <c r="C4" s="70">
        <v>6</v>
      </c>
      <c r="D4" s="69">
        <v>2021</v>
      </c>
      <c r="E4" s="71">
        <f>'FS-AD Daily '!B8</f>
        <v>5178</v>
      </c>
      <c r="F4" s="71">
        <f>'FS-AD Daily '!C8</f>
        <v>3023</v>
      </c>
      <c r="G4" s="71">
        <f>'FS-AD Daily '!D8</f>
        <v>952</v>
      </c>
      <c r="H4" s="71">
        <f>'FS-AD Daily '!E8</f>
        <v>4930</v>
      </c>
      <c r="I4" s="71">
        <f>'FS-AD Daily '!F8</f>
        <v>5935</v>
      </c>
      <c r="J4" s="71">
        <f>'FS-AD Daily '!G8</f>
        <v>3744</v>
      </c>
      <c r="K4" s="71">
        <f>'FS-AD Daily '!H8</f>
        <v>7510</v>
      </c>
      <c r="L4" s="71">
        <f>'FS-AD Daily '!I8</f>
        <v>2427</v>
      </c>
      <c r="M4" s="71">
        <f>'FS-AD Daily '!J8</f>
        <v>7517</v>
      </c>
      <c r="N4" s="71">
        <f>'FS-AD Daily '!T8</f>
        <v>160.59700000000521</v>
      </c>
      <c r="O4" s="71">
        <f>'FS-AD Daily '!R8</f>
        <v>82.702000000011139</v>
      </c>
      <c r="P4" s="71">
        <f>'FS-AD Daily '!Z8</f>
        <v>590</v>
      </c>
      <c r="Q4" s="71">
        <f>'FS-AD Daily '!V8</f>
        <v>285.40000000002328</v>
      </c>
      <c r="R4" s="71">
        <f>'FS-AD Daily '!W8</f>
        <v>0</v>
      </c>
      <c r="S4" s="71">
        <f t="shared" si="0"/>
        <v>304.59999999997672</v>
      </c>
      <c r="T4" s="71">
        <f>'FS-AD Daily '!AD8*3.516</f>
        <v>112269.39599999999</v>
      </c>
      <c r="U4" s="71">
        <f>('FS-AD Daily '!AF8)*1000</f>
        <v>52199.99999999709</v>
      </c>
      <c r="V4" s="71">
        <f>('FS-AD Daily '!AG8)*1000</f>
        <v>38099.999999998545</v>
      </c>
      <c r="W4" s="71">
        <f>'FS-AD Daily '!AH8*1000</f>
        <v>15500</v>
      </c>
      <c r="X4" s="71">
        <f>('FS-AD Daily '!AK8)*1000</f>
        <v>32500</v>
      </c>
      <c r="Y4" s="71">
        <v>146</v>
      </c>
      <c r="Z4" s="104">
        <v>242</v>
      </c>
    </row>
    <row r="5" spans="1:26" x14ac:dyDescent="0.25">
      <c r="A5" s="103" t="s">
        <v>80</v>
      </c>
      <c r="B5" s="69">
        <f t="shared" si="1"/>
        <v>4</v>
      </c>
      <c r="C5" s="70">
        <v>6</v>
      </c>
      <c r="D5" s="69">
        <v>2021</v>
      </c>
      <c r="E5" s="71">
        <f>'FS-AD Daily '!B9</f>
        <v>4989</v>
      </c>
      <c r="F5" s="71">
        <f>'FS-AD Daily '!C9</f>
        <v>2879</v>
      </c>
      <c r="G5" s="71">
        <f>'FS-AD Daily '!D9</f>
        <v>919</v>
      </c>
      <c r="H5" s="71">
        <f>'FS-AD Daily '!E9</f>
        <v>4931</v>
      </c>
      <c r="I5" s="71">
        <f>'FS-AD Daily '!F9</f>
        <v>6008</v>
      </c>
      <c r="J5" s="71">
        <f>'FS-AD Daily '!G9</f>
        <v>3756</v>
      </c>
      <c r="K5" s="71">
        <f>'FS-AD Daily '!H9</f>
        <v>7032</v>
      </c>
      <c r="L5" s="71">
        <f>'FS-AD Daily '!I9</f>
        <v>2405</v>
      </c>
      <c r="M5" s="71">
        <f>'FS-AD Daily '!J9</f>
        <v>7682</v>
      </c>
      <c r="N5" s="71">
        <f>'FS-AD Daily '!T9</f>
        <v>164.15000000000509</v>
      </c>
      <c r="O5" s="71">
        <f>'FS-AD Daily '!R9</f>
        <v>89.487999999992098</v>
      </c>
      <c r="P5" s="71">
        <f>'FS-AD Daily '!Z9</f>
        <v>651</v>
      </c>
      <c r="Q5" s="71">
        <f>'FS-AD Daily '!V9</f>
        <v>293.79999999998836</v>
      </c>
      <c r="R5" s="71">
        <f>'FS-AD Daily '!W9</f>
        <v>0</v>
      </c>
      <c r="S5" s="71">
        <f t="shared" si="0"/>
        <v>357.20000000001164</v>
      </c>
      <c r="T5" s="71">
        <f>'FS-AD Daily '!AD9*3.516</f>
        <v>115021.36920000066</v>
      </c>
      <c r="U5" s="71">
        <f>('FS-AD Daily '!AF9)*1000</f>
        <v>53399.999999994179</v>
      </c>
      <c r="V5" s="71">
        <f>('FS-AD Daily '!AG9)*1000</f>
        <v>38199.99999999709</v>
      </c>
      <c r="W5" s="71">
        <f>'FS-AD Daily '!AH9*1000</f>
        <v>16000</v>
      </c>
      <c r="X5" s="71">
        <f>('FS-AD Daily '!AK9)*1000</f>
        <v>34100.000000005821</v>
      </c>
      <c r="Y5" s="71">
        <v>138</v>
      </c>
      <c r="Z5" s="104">
        <v>222</v>
      </c>
    </row>
    <row r="6" spans="1:26" x14ac:dyDescent="0.25">
      <c r="A6" s="103" t="s">
        <v>80</v>
      </c>
      <c r="B6" s="69">
        <f t="shared" si="1"/>
        <v>5</v>
      </c>
      <c r="C6" s="70">
        <v>6</v>
      </c>
      <c r="D6" s="69">
        <v>2021</v>
      </c>
      <c r="E6" s="71">
        <f>'FS-AD Daily '!B10</f>
        <v>4836</v>
      </c>
      <c r="F6" s="71">
        <f>'FS-AD Daily '!C10</f>
        <v>3260</v>
      </c>
      <c r="G6" s="71">
        <f>'FS-AD Daily '!D10</f>
        <v>950</v>
      </c>
      <c r="H6" s="71">
        <f>'FS-AD Daily '!E10</f>
        <v>4829</v>
      </c>
      <c r="I6" s="71">
        <f>'FS-AD Daily '!F10</f>
        <v>5863</v>
      </c>
      <c r="J6" s="71">
        <f>'FS-AD Daily '!G10</f>
        <v>3788</v>
      </c>
      <c r="K6" s="71">
        <f>'FS-AD Daily '!H10</f>
        <v>8084</v>
      </c>
      <c r="L6" s="71">
        <f>'FS-AD Daily '!I10</f>
        <v>2426</v>
      </c>
      <c r="M6" s="71">
        <f>'FS-AD Daily '!J10</f>
        <v>7475</v>
      </c>
      <c r="N6" s="71">
        <f>'FS-AD Daily '!T10</f>
        <v>180.91300000000047</v>
      </c>
      <c r="O6" s="71">
        <f>'FS-AD Daily '!R10</f>
        <v>76.137999999996282</v>
      </c>
      <c r="P6" s="71">
        <f>'FS-AD Daily '!Z10</f>
        <v>598</v>
      </c>
      <c r="Q6" s="71">
        <f>'FS-AD Daily '!V10</f>
        <v>288.5</v>
      </c>
      <c r="R6" s="71">
        <f>'FS-AD Daily '!W10</f>
        <v>0</v>
      </c>
      <c r="S6" s="71">
        <f t="shared" si="0"/>
        <v>309.5</v>
      </c>
      <c r="T6" s="71">
        <f>'FS-AD Daily '!AD10*3.516</f>
        <v>116755.10879999935</v>
      </c>
      <c r="U6" s="71">
        <f>('FS-AD Daily '!AF10)*1000</f>
        <v>53800.00000000291</v>
      </c>
      <c r="V6" s="71">
        <f>('FS-AD Daily '!AG10)*1000</f>
        <v>40900.000000001455</v>
      </c>
      <c r="W6" s="71">
        <f>'FS-AD Daily '!AH10*1000</f>
        <v>15799.999999999272</v>
      </c>
      <c r="X6" s="71">
        <f>('FS-AD Daily '!AK10)*1000</f>
        <v>33599.999999998545</v>
      </c>
      <c r="Y6" s="71">
        <v>79</v>
      </c>
      <c r="Z6" s="104">
        <v>118</v>
      </c>
    </row>
    <row r="7" spans="1:26" x14ac:dyDescent="0.25">
      <c r="A7" s="103" t="s">
        <v>80</v>
      </c>
      <c r="B7" s="69">
        <f t="shared" si="1"/>
        <v>6</v>
      </c>
      <c r="C7" s="70">
        <v>6</v>
      </c>
      <c r="D7" s="69">
        <v>2021</v>
      </c>
      <c r="E7" s="71">
        <f>'FS-AD Daily '!B11</f>
        <v>4702</v>
      </c>
      <c r="F7" s="71">
        <f>'FS-AD Daily '!C11</f>
        <v>3450</v>
      </c>
      <c r="G7" s="71">
        <f>'FS-AD Daily '!D11</f>
        <v>888</v>
      </c>
      <c r="H7" s="71">
        <f>'FS-AD Daily '!E11</f>
        <v>4680</v>
      </c>
      <c r="I7" s="71">
        <f>'FS-AD Daily '!F11</f>
        <v>5653</v>
      </c>
      <c r="J7" s="71">
        <f>'FS-AD Daily '!G11</f>
        <v>3531</v>
      </c>
      <c r="K7" s="71">
        <f>'FS-AD Daily '!H11</f>
        <v>7982</v>
      </c>
      <c r="L7" s="71">
        <f>'FS-AD Daily '!I11</f>
        <v>2459</v>
      </c>
      <c r="M7" s="71">
        <f>'FS-AD Daily '!J11</f>
        <v>7335</v>
      </c>
      <c r="N7" s="71">
        <f>'FS-AD Daily '!T11</f>
        <v>142.31899999999223</v>
      </c>
      <c r="O7" s="71">
        <f>'FS-AD Daily '!R11</f>
        <v>67.098000000008142</v>
      </c>
      <c r="P7" s="71">
        <f>'FS-AD Daily '!Z11</f>
        <v>527</v>
      </c>
      <c r="Q7" s="71">
        <f>'FS-AD Daily '!V11</f>
        <v>257.5</v>
      </c>
      <c r="R7" s="71">
        <f>'FS-AD Daily '!W11</f>
        <v>0</v>
      </c>
      <c r="S7" s="71">
        <f t="shared" si="0"/>
        <v>269.5</v>
      </c>
      <c r="T7" s="71">
        <f>'FS-AD Daily '!AD11*3.516</f>
        <v>116613.414</v>
      </c>
      <c r="U7" s="71">
        <f>('FS-AD Daily '!AF11)*1000</f>
        <v>54699.99999999709</v>
      </c>
      <c r="V7" s="71">
        <f>('FS-AD Daily '!AG11)*1000</f>
        <v>39400.000000001455</v>
      </c>
      <c r="W7" s="71">
        <f>'FS-AD Daily '!AH11*1000</f>
        <v>15799.999999999272</v>
      </c>
      <c r="X7" s="71">
        <f>('FS-AD Daily '!AK11)*1000</f>
        <v>33099.999999998545</v>
      </c>
      <c r="Y7" s="71">
        <v>91</v>
      </c>
      <c r="Z7" s="104">
        <v>131</v>
      </c>
    </row>
    <row r="8" spans="1:26" x14ac:dyDescent="0.25">
      <c r="A8" s="103" t="s">
        <v>80</v>
      </c>
      <c r="B8" s="69">
        <f t="shared" si="1"/>
        <v>7</v>
      </c>
      <c r="C8" s="70">
        <v>6</v>
      </c>
      <c r="D8" s="69">
        <v>2021</v>
      </c>
      <c r="E8" s="71">
        <f>'FS-AD Daily '!B12</f>
        <v>4718</v>
      </c>
      <c r="F8" s="71">
        <f>'FS-AD Daily '!C12</f>
        <v>4025</v>
      </c>
      <c r="G8" s="71">
        <f>'FS-AD Daily '!D12</f>
        <v>922</v>
      </c>
      <c r="H8" s="71">
        <f>'FS-AD Daily '!E12</f>
        <v>4479</v>
      </c>
      <c r="I8" s="71">
        <f>'FS-AD Daily '!F12</f>
        <v>5620</v>
      </c>
      <c r="J8" s="71">
        <f>'FS-AD Daily '!G12</f>
        <v>3522</v>
      </c>
      <c r="K8" s="71">
        <f>'FS-AD Daily '!H12</f>
        <v>7493</v>
      </c>
      <c r="L8" s="71">
        <f>'FS-AD Daily '!I12</f>
        <v>2379</v>
      </c>
      <c r="M8" s="71">
        <f>'FS-AD Daily '!J12</f>
        <v>7287</v>
      </c>
      <c r="N8" s="71">
        <f>'FS-AD Daily '!T12</f>
        <v>136.41600000001199</v>
      </c>
      <c r="O8" s="71">
        <f>'FS-AD Daily '!R12</f>
        <v>78.720999999995911</v>
      </c>
      <c r="P8" s="71">
        <f>'FS-AD Daily '!Z12</f>
        <v>578</v>
      </c>
      <c r="Q8" s="71">
        <f>'FS-AD Daily '!V12</f>
        <v>274.60000000003492</v>
      </c>
      <c r="R8" s="71">
        <f>'FS-AD Daily '!W12</f>
        <v>0</v>
      </c>
      <c r="S8" s="71">
        <f t="shared" si="0"/>
        <v>303.39999999996508</v>
      </c>
      <c r="T8" s="71">
        <f>'FS-AD Daily '!AD12*3.516</f>
        <v>118144.632</v>
      </c>
      <c r="U8" s="71">
        <f>('FS-AD Daily '!AF12)*1000</f>
        <v>55900.000000008731</v>
      </c>
      <c r="V8" s="71">
        <f>('FS-AD Daily '!AG12)*1000</f>
        <v>38500</v>
      </c>
      <c r="W8" s="71">
        <f>'FS-AD Daily '!AH12*1000</f>
        <v>16600.000000002183</v>
      </c>
      <c r="X8" s="71">
        <f>('FS-AD Daily '!AK12)*1000</f>
        <v>33900.000000001455</v>
      </c>
      <c r="Y8" s="71">
        <v>89</v>
      </c>
      <c r="Z8" s="104">
        <v>121</v>
      </c>
    </row>
    <row r="9" spans="1:26" x14ac:dyDescent="0.25">
      <c r="A9" s="103" t="s">
        <v>80</v>
      </c>
      <c r="B9" s="69">
        <f t="shared" si="1"/>
        <v>8</v>
      </c>
      <c r="C9" s="70">
        <v>6</v>
      </c>
      <c r="D9" s="69">
        <v>2021</v>
      </c>
      <c r="E9" s="71">
        <f>'FS-AD Daily '!B13</f>
        <v>4656</v>
      </c>
      <c r="F9" s="71">
        <f>'FS-AD Daily '!C13</f>
        <v>3584</v>
      </c>
      <c r="G9" s="71">
        <f>'FS-AD Daily '!D13</f>
        <v>979</v>
      </c>
      <c r="H9" s="71">
        <f>'FS-AD Daily '!E13</f>
        <v>4600</v>
      </c>
      <c r="I9" s="71">
        <f>'FS-AD Daily '!F13</f>
        <v>5764</v>
      </c>
      <c r="J9" s="71">
        <f>'FS-AD Daily '!G13</f>
        <v>3503</v>
      </c>
      <c r="K9" s="71">
        <f>'FS-AD Daily '!H13</f>
        <v>7164</v>
      </c>
      <c r="L9" s="71">
        <f>'FS-AD Daily '!I13</f>
        <v>2391</v>
      </c>
      <c r="M9" s="71">
        <f>'FS-AD Daily '!J13</f>
        <v>7445</v>
      </c>
      <c r="N9" s="71">
        <f>'FS-AD Daily '!T13</f>
        <v>151.96399999998903</v>
      </c>
      <c r="O9" s="71">
        <f>'FS-AD Daily '!R13</f>
        <v>71.456999999999425</v>
      </c>
      <c r="P9" s="71">
        <f>'FS-AD Daily '!Z13</f>
        <v>565</v>
      </c>
      <c r="Q9" s="71">
        <f>'FS-AD Daily '!V13</f>
        <v>266.09999999997672</v>
      </c>
      <c r="R9" s="71">
        <f>'FS-AD Daily '!W13</f>
        <v>0</v>
      </c>
      <c r="S9" s="71">
        <f t="shared" si="0"/>
        <v>298.90000000002328</v>
      </c>
      <c r="T9" s="71">
        <f>'FS-AD Daily '!AD13*3.516</f>
        <v>114322.74</v>
      </c>
      <c r="U9" s="71">
        <f>('FS-AD Daily '!AF13)*1000</f>
        <v>54099.999999991269</v>
      </c>
      <c r="V9" s="71">
        <f>('FS-AD Daily '!AG13)*1000</f>
        <v>37199.99999999709</v>
      </c>
      <c r="W9" s="71">
        <f>'FS-AD Daily '!AH13*1000</f>
        <v>16000</v>
      </c>
      <c r="X9" s="71">
        <f>('FS-AD Daily '!AK13)*1000</f>
        <v>33299.999999995634</v>
      </c>
      <c r="Y9" s="71">
        <v>116</v>
      </c>
      <c r="Z9" s="104">
        <v>170</v>
      </c>
    </row>
    <row r="10" spans="1:26" x14ac:dyDescent="0.25">
      <c r="A10" s="103" t="s">
        <v>80</v>
      </c>
      <c r="B10" s="69">
        <f t="shared" si="1"/>
        <v>9</v>
      </c>
      <c r="C10" s="70">
        <v>6</v>
      </c>
      <c r="D10" s="69">
        <v>2021</v>
      </c>
      <c r="E10" s="71">
        <f>'FS-AD Daily '!B14</f>
        <v>4904</v>
      </c>
      <c r="F10" s="71">
        <f>'FS-AD Daily '!C14</f>
        <v>4136</v>
      </c>
      <c r="G10" s="71">
        <f>'FS-AD Daily '!D14</f>
        <v>987</v>
      </c>
      <c r="H10" s="71">
        <f>'FS-AD Daily '!E14</f>
        <v>4622</v>
      </c>
      <c r="I10" s="71">
        <f>'FS-AD Daily '!F14</f>
        <v>5995</v>
      </c>
      <c r="J10" s="71">
        <f>'FS-AD Daily '!G14</f>
        <v>3706</v>
      </c>
      <c r="K10" s="71">
        <f>'FS-AD Daily '!H14</f>
        <v>7194</v>
      </c>
      <c r="L10" s="71">
        <f>'FS-AD Daily '!I14</f>
        <v>2349</v>
      </c>
      <c r="M10" s="71">
        <f>'FS-AD Daily '!J14</f>
        <v>7405</v>
      </c>
      <c r="N10" s="71">
        <f>'FS-AD Daily '!T14</f>
        <v>159.72500000000218</v>
      </c>
      <c r="O10" s="71">
        <f>'FS-AD Daily '!R14</f>
        <v>72.260999999992237</v>
      </c>
      <c r="P10" s="71">
        <f>'FS-AD Daily '!Z14</f>
        <v>577</v>
      </c>
      <c r="Q10" s="71">
        <f>'FS-AD Daily '!V14</f>
        <v>280.5</v>
      </c>
      <c r="R10" s="71">
        <f>'FS-AD Daily '!W14</f>
        <v>0</v>
      </c>
      <c r="S10" s="71">
        <f t="shared" si="0"/>
        <v>296.5</v>
      </c>
      <c r="T10" s="71">
        <f>'FS-AD Daily '!AD14*3.516</f>
        <v>108401.796</v>
      </c>
      <c r="U10" s="71">
        <f>('FS-AD Daily '!AF14)*1000</f>
        <v>51900.000000008731</v>
      </c>
      <c r="V10" s="71">
        <f>('FS-AD Daily '!AG14)*1000</f>
        <v>37000</v>
      </c>
      <c r="W10" s="71">
        <f>'FS-AD Daily '!AH14*1000</f>
        <v>15500</v>
      </c>
      <c r="X10" s="71">
        <f>('FS-AD Daily '!AK14)*1000</f>
        <v>31800.00000000291</v>
      </c>
      <c r="Y10" s="71">
        <v>127</v>
      </c>
      <c r="Z10" s="104">
        <v>190</v>
      </c>
    </row>
    <row r="11" spans="1:26" x14ac:dyDescent="0.25">
      <c r="A11" s="103" t="s">
        <v>80</v>
      </c>
      <c r="B11" s="69">
        <f t="shared" si="1"/>
        <v>10</v>
      </c>
      <c r="C11" s="70">
        <v>6</v>
      </c>
      <c r="D11" s="69">
        <v>2021</v>
      </c>
      <c r="E11" s="71">
        <f>'FS-AD Daily '!B15</f>
        <v>4855</v>
      </c>
      <c r="F11" s="71">
        <f>'FS-AD Daily '!C15</f>
        <v>3864</v>
      </c>
      <c r="G11" s="71">
        <f>'FS-AD Daily '!D15</f>
        <v>1000</v>
      </c>
      <c r="H11" s="71">
        <f>'FS-AD Daily '!E15</f>
        <v>4681</v>
      </c>
      <c r="I11" s="71">
        <f>'FS-AD Daily '!F15</f>
        <v>6107</v>
      </c>
      <c r="J11" s="71">
        <f>'FS-AD Daily '!G15</f>
        <v>3773</v>
      </c>
      <c r="K11" s="71">
        <f>'FS-AD Daily '!H15</f>
        <v>7327</v>
      </c>
      <c r="L11" s="71">
        <f>'FS-AD Daily '!I15</f>
        <v>2497</v>
      </c>
      <c r="M11" s="71">
        <f>'FS-AD Daily '!J15</f>
        <v>7634</v>
      </c>
      <c r="N11" s="71">
        <f>'FS-AD Daily '!T15</f>
        <v>159.49300000000949</v>
      </c>
      <c r="O11" s="71">
        <f>'FS-AD Daily '!R15</f>
        <v>79.856000000002496</v>
      </c>
      <c r="P11" s="71">
        <f>'FS-AD Daily '!Z15</f>
        <v>610</v>
      </c>
      <c r="Q11" s="71">
        <f>'FS-AD Daily '!V15</f>
        <v>286.90000000002328</v>
      </c>
      <c r="R11" s="71">
        <f>'FS-AD Daily '!W15</f>
        <v>0</v>
      </c>
      <c r="S11" s="71">
        <f t="shared" si="0"/>
        <v>323.09999999997672</v>
      </c>
      <c r="T11" s="71">
        <f>'FS-AD Daily '!AD15*3.516</f>
        <v>109382.76</v>
      </c>
      <c r="U11" s="71">
        <f>('FS-AD Daily '!AF15)*1000</f>
        <v>52000</v>
      </c>
      <c r="V11" s="71">
        <f>('FS-AD Daily '!AG15)*1000</f>
        <v>37500</v>
      </c>
      <c r="W11" s="71">
        <f>'FS-AD Daily '!AH15*1000</f>
        <v>15899.999999997817</v>
      </c>
      <c r="X11" s="71">
        <f>('FS-AD Daily '!AK15)*1000</f>
        <v>32099.999999998545</v>
      </c>
      <c r="Y11" s="71">
        <v>140</v>
      </c>
      <c r="Z11" s="104">
        <v>234</v>
      </c>
    </row>
    <row r="12" spans="1:26" x14ac:dyDescent="0.25">
      <c r="A12" s="103" t="s">
        <v>80</v>
      </c>
      <c r="B12" s="69">
        <f t="shared" si="1"/>
        <v>11</v>
      </c>
      <c r="C12" s="70">
        <v>6</v>
      </c>
      <c r="D12" s="69">
        <v>2021</v>
      </c>
      <c r="E12" s="71">
        <f>'FS-AD Daily '!B16</f>
        <v>0</v>
      </c>
      <c r="F12" s="71">
        <f>'FS-AD Daily '!C16</f>
        <v>0</v>
      </c>
      <c r="G12" s="71">
        <f>'FS-AD Daily '!D16</f>
        <v>0</v>
      </c>
      <c r="H12" s="71">
        <f>'FS-AD Daily '!E16</f>
        <v>0</v>
      </c>
      <c r="I12" s="71">
        <f>'FS-AD Daily '!F16</f>
        <v>0</v>
      </c>
      <c r="J12" s="71">
        <f>'FS-AD Daily '!G16</f>
        <v>0</v>
      </c>
      <c r="K12" s="71">
        <f>'FS-AD Daily '!H16</f>
        <v>0</v>
      </c>
      <c r="L12" s="71">
        <f>'FS-AD Daily '!I16</f>
        <v>0</v>
      </c>
      <c r="M12" s="71">
        <f>'FS-AD Daily '!J16</f>
        <v>0</v>
      </c>
      <c r="N12" s="71">
        <f>'FS-AD Daily '!T16</f>
        <v>0</v>
      </c>
      <c r="O12" s="71">
        <f>'FS-AD Daily '!R16</f>
        <v>0</v>
      </c>
      <c r="P12" s="71">
        <f>'FS-AD Daily '!Z16</f>
        <v>0</v>
      </c>
      <c r="Q12" s="71">
        <f>'FS-AD Daily '!V16</f>
        <v>0</v>
      </c>
      <c r="R12" s="71">
        <f>'FS-AD Daily '!W16</f>
        <v>0</v>
      </c>
      <c r="S12" s="71">
        <f t="shared" si="0"/>
        <v>0</v>
      </c>
      <c r="T12" s="71">
        <f>'FS-AD Daily '!AD16*3.516</f>
        <v>0</v>
      </c>
      <c r="U12" s="71">
        <f>('FS-AD Daily '!AF16)*1000</f>
        <v>0</v>
      </c>
      <c r="V12" s="71">
        <f>('FS-AD Daily '!AG16)*1000</f>
        <v>0</v>
      </c>
      <c r="W12" s="71">
        <f>'FS-AD Daily '!AH16*1000</f>
        <v>0</v>
      </c>
      <c r="X12" s="71">
        <f>('FS-AD Daily '!AK16)*1000</f>
        <v>0</v>
      </c>
      <c r="Y12" s="71">
        <f>'FS-AD Daily '!AN16</f>
        <v>0</v>
      </c>
      <c r="Z12" s="104"/>
    </row>
    <row r="13" spans="1:26" x14ac:dyDescent="0.25">
      <c r="A13" s="103" t="s">
        <v>80</v>
      </c>
      <c r="B13" s="69">
        <f t="shared" si="1"/>
        <v>12</v>
      </c>
      <c r="C13" s="70">
        <v>6</v>
      </c>
      <c r="D13" s="69">
        <v>2021</v>
      </c>
      <c r="E13" s="71">
        <f>'FS-AD Daily '!B17</f>
        <v>0</v>
      </c>
      <c r="F13" s="71">
        <f>'FS-AD Daily '!C17</f>
        <v>0</v>
      </c>
      <c r="G13" s="71">
        <f>'FS-AD Daily '!D17</f>
        <v>0</v>
      </c>
      <c r="H13" s="71">
        <f>'FS-AD Daily '!E17</f>
        <v>0</v>
      </c>
      <c r="I13" s="71">
        <f>'FS-AD Daily '!F17</f>
        <v>0</v>
      </c>
      <c r="J13" s="71">
        <f>'FS-AD Daily '!G17</f>
        <v>0</v>
      </c>
      <c r="K13" s="71">
        <f>'FS-AD Daily '!H17</f>
        <v>0</v>
      </c>
      <c r="L13" s="71">
        <f>'FS-AD Daily '!I17</f>
        <v>0</v>
      </c>
      <c r="M13" s="71">
        <f>'FS-AD Daily '!J17</f>
        <v>0</v>
      </c>
      <c r="N13" s="71">
        <f>'FS-AD Daily '!T17</f>
        <v>0</v>
      </c>
      <c r="O13" s="71">
        <f>'FS-AD Daily '!R17</f>
        <v>0</v>
      </c>
      <c r="P13" s="71">
        <f>'FS-AD Daily '!Z17</f>
        <v>0</v>
      </c>
      <c r="Q13" s="71">
        <f>'FS-AD Daily '!V17</f>
        <v>0</v>
      </c>
      <c r="R13" s="71">
        <f>'FS-AD Daily '!W17</f>
        <v>0</v>
      </c>
      <c r="S13" s="71">
        <f t="shared" si="0"/>
        <v>0</v>
      </c>
      <c r="T13" s="71">
        <f>'FS-AD Daily '!AD17*3.516</f>
        <v>0</v>
      </c>
      <c r="U13" s="71">
        <f>('FS-AD Daily '!AF17)*1000</f>
        <v>0</v>
      </c>
      <c r="V13" s="71">
        <f>('FS-AD Daily '!AG17)*1000</f>
        <v>0</v>
      </c>
      <c r="W13" s="71">
        <f>'FS-AD Daily '!AH17*1000</f>
        <v>0</v>
      </c>
      <c r="X13" s="71">
        <f>('FS-AD Daily '!AK17)*1000</f>
        <v>0</v>
      </c>
      <c r="Y13" s="71">
        <f>'FS-AD Daily '!AN17</f>
        <v>0</v>
      </c>
      <c r="Z13" s="104"/>
    </row>
    <row r="14" spans="1:26" x14ac:dyDescent="0.25">
      <c r="A14" s="103" t="s">
        <v>80</v>
      </c>
      <c r="B14" s="69">
        <f t="shared" si="1"/>
        <v>13</v>
      </c>
      <c r="C14" s="70">
        <v>6</v>
      </c>
      <c r="D14" s="69">
        <v>2021</v>
      </c>
      <c r="E14" s="71">
        <f>'FS-AD Daily '!B18</f>
        <v>0</v>
      </c>
      <c r="F14" s="71">
        <f>'FS-AD Daily '!C18</f>
        <v>0</v>
      </c>
      <c r="G14" s="71">
        <f>'FS-AD Daily '!D18</f>
        <v>0</v>
      </c>
      <c r="H14" s="71">
        <f>'FS-AD Daily '!E18</f>
        <v>0</v>
      </c>
      <c r="I14" s="71">
        <f>'FS-AD Daily '!F18</f>
        <v>0</v>
      </c>
      <c r="J14" s="71">
        <f>'FS-AD Daily '!G18</f>
        <v>0</v>
      </c>
      <c r="K14" s="71">
        <f>'FS-AD Daily '!H18</f>
        <v>0</v>
      </c>
      <c r="L14" s="71">
        <f>'FS-AD Daily '!I18</f>
        <v>0</v>
      </c>
      <c r="M14" s="71">
        <f>'FS-AD Daily '!J18</f>
        <v>0</v>
      </c>
      <c r="N14" s="71">
        <f>'FS-AD Daily '!T18</f>
        <v>0</v>
      </c>
      <c r="O14" s="71">
        <f>'FS-AD Daily '!R18</f>
        <v>0</v>
      </c>
      <c r="P14" s="71">
        <f>'FS-AD Daily '!Z18</f>
        <v>0</v>
      </c>
      <c r="Q14" s="71">
        <f>'FS-AD Daily '!V18</f>
        <v>0</v>
      </c>
      <c r="R14" s="71">
        <f>'FS-AD Daily '!W18</f>
        <v>0</v>
      </c>
      <c r="S14" s="71">
        <f t="shared" si="0"/>
        <v>0</v>
      </c>
      <c r="T14" s="71">
        <f>'FS-AD Daily '!AD18*3.516</f>
        <v>0</v>
      </c>
      <c r="U14" s="71">
        <f>('FS-AD Daily '!AF18)*1000</f>
        <v>0</v>
      </c>
      <c r="V14" s="71">
        <f>('FS-AD Daily '!AG18)*1000</f>
        <v>0</v>
      </c>
      <c r="W14" s="71">
        <f>'FS-AD Daily '!AH18*1000</f>
        <v>0</v>
      </c>
      <c r="X14" s="71">
        <f>('FS-AD Daily '!AK18)*1000</f>
        <v>0</v>
      </c>
      <c r="Y14" s="71">
        <f>'FS-AD Daily '!AN18</f>
        <v>0</v>
      </c>
      <c r="Z14" s="104"/>
    </row>
    <row r="15" spans="1:26" x14ac:dyDescent="0.25">
      <c r="A15" s="103" t="s">
        <v>80</v>
      </c>
      <c r="B15" s="69">
        <f t="shared" si="1"/>
        <v>14</v>
      </c>
      <c r="C15" s="70">
        <v>6</v>
      </c>
      <c r="D15" s="69">
        <v>2021</v>
      </c>
      <c r="E15" s="71">
        <f>'FS-AD Daily '!B19</f>
        <v>0</v>
      </c>
      <c r="F15" s="71">
        <f>'FS-AD Daily '!C19</f>
        <v>0</v>
      </c>
      <c r="G15" s="71">
        <f>'FS-AD Daily '!D19</f>
        <v>0</v>
      </c>
      <c r="H15" s="71">
        <f>'FS-AD Daily '!E19</f>
        <v>0</v>
      </c>
      <c r="I15" s="71">
        <f>'FS-AD Daily '!F19</f>
        <v>0</v>
      </c>
      <c r="J15" s="71">
        <f>'FS-AD Daily '!G19</f>
        <v>0</v>
      </c>
      <c r="K15" s="71">
        <f>'FS-AD Daily '!H19</f>
        <v>0</v>
      </c>
      <c r="L15" s="71">
        <f>'FS-AD Daily '!I19</f>
        <v>0</v>
      </c>
      <c r="M15" s="71">
        <f>'FS-AD Daily '!J19</f>
        <v>0</v>
      </c>
      <c r="N15" s="71">
        <f>'FS-AD Daily '!T19</f>
        <v>0</v>
      </c>
      <c r="O15" s="71">
        <f>'FS-AD Daily '!R19</f>
        <v>0</v>
      </c>
      <c r="P15" s="71">
        <f>'FS-AD Daily '!Z19</f>
        <v>0</v>
      </c>
      <c r="Q15" s="71">
        <f>'FS-AD Daily '!V19</f>
        <v>0</v>
      </c>
      <c r="R15" s="71">
        <f>'FS-AD Daily '!W19</f>
        <v>0</v>
      </c>
      <c r="S15" s="71">
        <f t="shared" si="0"/>
        <v>0</v>
      </c>
      <c r="T15" s="71">
        <f>'FS-AD Daily '!AD19*3.516</f>
        <v>0</v>
      </c>
      <c r="U15" s="71">
        <f>('FS-AD Daily '!AF19)*1000</f>
        <v>0</v>
      </c>
      <c r="V15" s="71">
        <f>('FS-AD Daily '!AG19)*1000</f>
        <v>0</v>
      </c>
      <c r="W15" s="71">
        <f>'FS-AD Daily '!AH19*1000</f>
        <v>0</v>
      </c>
      <c r="X15" s="71">
        <f>('FS-AD Daily '!AK19)*1000</f>
        <v>0</v>
      </c>
      <c r="Y15" s="71">
        <f>'FS-AD Daily '!AN19</f>
        <v>0</v>
      </c>
      <c r="Z15" s="104"/>
    </row>
    <row r="16" spans="1:26" x14ac:dyDescent="0.25">
      <c r="A16" s="103" t="s">
        <v>80</v>
      </c>
      <c r="B16" s="69">
        <f t="shared" si="1"/>
        <v>15</v>
      </c>
      <c r="C16" s="70">
        <v>6</v>
      </c>
      <c r="D16" s="69">
        <v>2021</v>
      </c>
      <c r="E16" s="71">
        <f>'FS-AD Daily '!B20</f>
        <v>0</v>
      </c>
      <c r="F16" s="71">
        <f>'FS-AD Daily '!C20</f>
        <v>0</v>
      </c>
      <c r="G16" s="71">
        <f>'FS-AD Daily '!D20</f>
        <v>0</v>
      </c>
      <c r="H16" s="71">
        <f>'FS-AD Daily '!E20</f>
        <v>0</v>
      </c>
      <c r="I16" s="71">
        <f>'FS-AD Daily '!F20</f>
        <v>0</v>
      </c>
      <c r="J16" s="71">
        <f>'FS-AD Daily '!G20</f>
        <v>0</v>
      </c>
      <c r="K16" s="71">
        <f>'FS-AD Daily '!H20</f>
        <v>0</v>
      </c>
      <c r="L16" s="71">
        <f>'FS-AD Daily '!I20</f>
        <v>0</v>
      </c>
      <c r="M16" s="71">
        <f>'FS-AD Daily '!J20</f>
        <v>0</v>
      </c>
      <c r="N16" s="71">
        <f>'FS-AD Daily '!T20</f>
        <v>0</v>
      </c>
      <c r="O16" s="71">
        <f>'FS-AD Daily '!R20</f>
        <v>0</v>
      </c>
      <c r="P16" s="71">
        <f>'FS-AD Daily '!Z20</f>
        <v>0</v>
      </c>
      <c r="Q16" s="71">
        <f>'FS-AD Daily '!V20</f>
        <v>0</v>
      </c>
      <c r="R16" s="71">
        <f>'FS-AD Daily '!W20</f>
        <v>0</v>
      </c>
      <c r="S16" s="71">
        <f t="shared" si="0"/>
        <v>0</v>
      </c>
      <c r="T16" s="71">
        <f>'FS-AD Daily '!AD20*3.516</f>
        <v>0</v>
      </c>
      <c r="U16" s="71">
        <f>('FS-AD Daily '!AF20)*1000</f>
        <v>0</v>
      </c>
      <c r="V16" s="71">
        <f>('FS-AD Daily '!AG20)*1000</f>
        <v>0</v>
      </c>
      <c r="W16" s="71">
        <f>'FS-AD Daily '!AH20*1000</f>
        <v>0</v>
      </c>
      <c r="X16" s="71">
        <f>('FS-AD Daily '!AK20)*1000</f>
        <v>0</v>
      </c>
      <c r="Y16" s="71">
        <f>'FS-AD Daily '!AN20</f>
        <v>0</v>
      </c>
      <c r="Z16" s="104"/>
    </row>
    <row r="17" spans="1:26" x14ac:dyDescent="0.25">
      <c r="A17" s="103" t="s">
        <v>80</v>
      </c>
      <c r="B17" s="69">
        <f t="shared" si="1"/>
        <v>16</v>
      </c>
      <c r="C17" s="70">
        <v>6</v>
      </c>
      <c r="D17" s="69">
        <v>2021</v>
      </c>
      <c r="E17" s="71">
        <f>'FS-AD Daily '!B21</f>
        <v>0</v>
      </c>
      <c r="F17" s="71">
        <f>'FS-AD Daily '!C21</f>
        <v>0</v>
      </c>
      <c r="G17" s="71">
        <f>'FS-AD Daily '!D21</f>
        <v>0</v>
      </c>
      <c r="H17" s="71">
        <f>'FS-AD Daily '!E21</f>
        <v>0</v>
      </c>
      <c r="I17" s="71">
        <f>'FS-AD Daily '!F21</f>
        <v>0</v>
      </c>
      <c r="J17" s="71">
        <f>'FS-AD Daily '!G21</f>
        <v>0</v>
      </c>
      <c r="K17" s="71">
        <f>'FS-AD Daily '!H21</f>
        <v>0</v>
      </c>
      <c r="L17" s="71">
        <f>'FS-AD Daily '!I21</f>
        <v>0</v>
      </c>
      <c r="M17" s="71">
        <f>'FS-AD Daily '!J21</f>
        <v>0</v>
      </c>
      <c r="N17" s="71">
        <f>'FS-AD Daily '!T21</f>
        <v>0</v>
      </c>
      <c r="O17" s="71">
        <f>'FS-AD Daily '!R21</f>
        <v>0</v>
      </c>
      <c r="P17" s="71">
        <f>'FS-AD Daily '!Z21</f>
        <v>0</v>
      </c>
      <c r="Q17" s="71">
        <f>'FS-AD Daily '!V21</f>
        <v>0</v>
      </c>
      <c r="R17" s="71">
        <f>'FS-AD Daily '!W21</f>
        <v>0</v>
      </c>
      <c r="S17" s="71">
        <f t="shared" si="0"/>
        <v>0</v>
      </c>
      <c r="T17" s="71">
        <f>'FS-AD Daily '!AD21*3.516</f>
        <v>0</v>
      </c>
      <c r="U17" s="71">
        <f>('FS-AD Daily '!AF21)*1000</f>
        <v>0</v>
      </c>
      <c r="V17" s="71">
        <f>('FS-AD Daily '!AG21)*1000</f>
        <v>0</v>
      </c>
      <c r="W17" s="71">
        <f>'FS-AD Daily '!AH21*1000</f>
        <v>0</v>
      </c>
      <c r="X17" s="71">
        <f>('FS-AD Daily '!AK21)*1000</f>
        <v>0</v>
      </c>
      <c r="Y17" s="71">
        <f>'FS-AD Daily '!AN21</f>
        <v>0</v>
      </c>
      <c r="Z17" s="104"/>
    </row>
    <row r="18" spans="1:26" x14ac:dyDescent="0.25">
      <c r="A18" s="103" t="s">
        <v>80</v>
      </c>
      <c r="B18" s="69">
        <f t="shared" si="1"/>
        <v>17</v>
      </c>
      <c r="C18" s="70">
        <v>6</v>
      </c>
      <c r="D18" s="69">
        <v>2021</v>
      </c>
      <c r="E18" s="71">
        <f>'FS-AD Daily '!B22</f>
        <v>0</v>
      </c>
      <c r="F18" s="71">
        <f>'FS-AD Daily '!C22</f>
        <v>0</v>
      </c>
      <c r="G18" s="71">
        <f>'FS-AD Daily '!D22</f>
        <v>0</v>
      </c>
      <c r="H18" s="71">
        <f>'FS-AD Daily '!E22</f>
        <v>0</v>
      </c>
      <c r="I18" s="71">
        <f>'FS-AD Daily '!F22</f>
        <v>0</v>
      </c>
      <c r="J18" s="71">
        <f>'FS-AD Daily '!G22</f>
        <v>0</v>
      </c>
      <c r="K18" s="71">
        <f>'FS-AD Daily '!H22</f>
        <v>0</v>
      </c>
      <c r="L18" s="71">
        <f>'FS-AD Daily '!I22</f>
        <v>0</v>
      </c>
      <c r="M18" s="71">
        <f>'FS-AD Daily '!J22</f>
        <v>0</v>
      </c>
      <c r="N18" s="71">
        <f>'FS-AD Daily '!T22</f>
        <v>0</v>
      </c>
      <c r="O18" s="71">
        <f>'FS-AD Daily '!R22</f>
        <v>0</v>
      </c>
      <c r="P18" s="71">
        <f>'FS-AD Daily '!Z22</f>
        <v>0</v>
      </c>
      <c r="Q18" s="71">
        <f>'FS-AD Daily '!V22</f>
        <v>0</v>
      </c>
      <c r="R18" s="71">
        <f>'FS-AD Daily '!W22</f>
        <v>0</v>
      </c>
      <c r="S18" s="71">
        <f t="shared" si="0"/>
        <v>0</v>
      </c>
      <c r="T18" s="71">
        <f>'FS-AD Daily '!AD22*3.516</f>
        <v>0</v>
      </c>
      <c r="U18" s="71">
        <f>('FS-AD Daily '!AF22)*1000</f>
        <v>0</v>
      </c>
      <c r="V18" s="71">
        <f>('FS-AD Daily '!AG22)*1000</f>
        <v>0</v>
      </c>
      <c r="W18" s="71">
        <f>'FS-AD Daily '!AH22*1000</f>
        <v>0</v>
      </c>
      <c r="X18" s="71">
        <f>('FS-AD Daily '!AK22)*1000</f>
        <v>0</v>
      </c>
      <c r="Y18" s="71">
        <f>'FS-AD Daily '!AN22</f>
        <v>0</v>
      </c>
      <c r="Z18" s="104"/>
    </row>
    <row r="19" spans="1:26" x14ac:dyDescent="0.25">
      <c r="A19" s="103" t="s">
        <v>80</v>
      </c>
      <c r="B19" s="69">
        <f t="shared" si="1"/>
        <v>18</v>
      </c>
      <c r="C19" s="70">
        <v>6</v>
      </c>
      <c r="D19" s="69">
        <v>2021</v>
      </c>
      <c r="E19" s="71">
        <f>'FS-AD Daily '!B23</f>
        <v>0</v>
      </c>
      <c r="F19" s="71">
        <f>'FS-AD Daily '!C23</f>
        <v>0</v>
      </c>
      <c r="G19" s="71">
        <f>'FS-AD Daily '!D23</f>
        <v>0</v>
      </c>
      <c r="H19" s="71">
        <f>'FS-AD Daily '!E23</f>
        <v>0</v>
      </c>
      <c r="I19" s="71">
        <f>'FS-AD Daily '!F23</f>
        <v>0</v>
      </c>
      <c r="J19" s="71">
        <f>'FS-AD Daily '!G23</f>
        <v>0</v>
      </c>
      <c r="K19" s="71">
        <f>'FS-AD Daily '!H23</f>
        <v>0</v>
      </c>
      <c r="L19" s="71">
        <f>'FS-AD Daily '!I23</f>
        <v>0</v>
      </c>
      <c r="M19" s="71">
        <f>'FS-AD Daily '!J23</f>
        <v>0</v>
      </c>
      <c r="N19" s="71">
        <f>'FS-AD Daily '!T23</f>
        <v>0</v>
      </c>
      <c r="O19" s="71">
        <f>'FS-AD Daily '!R23</f>
        <v>0</v>
      </c>
      <c r="P19" s="71">
        <f>'FS-AD Daily '!Z23</f>
        <v>0</v>
      </c>
      <c r="Q19" s="71">
        <f>'FS-AD Daily '!V23</f>
        <v>0</v>
      </c>
      <c r="R19" s="71">
        <f>'FS-AD Daily '!W23</f>
        <v>0</v>
      </c>
      <c r="S19" s="71">
        <f t="shared" si="0"/>
        <v>0</v>
      </c>
      <c r="T19" s="71">
        <f>'FS-AD Daily '!AD23*3.516</f>
        <v>0</v>
      </c>
      <c r="U19" s="71">
        <f>('FS-AD Daily '!AF23)*1000</f>
        <v>0</v>
      </c>
      <c r="V19" s="71">
        <f>('FS-AD Daily '!AG23)*1000</f>
        <v>0</v>
      </c>
      <c r="W19" s="71">
        <f>'FS-AD Daily '!AH23*1000</f>
        <v>0</v>
      </c>
      <c r="X19" s="71">
        <f>('FS-AD Daily '!AK23)*1000</f>
        <v>0</v>
      </c>
      <c r="Y19" s="71">
        <f>'FS-AD Daily '!AN23</f>
        <v>0</v>
      </c>
      <c r="Z19" s="104"/>
    </row>
    <row r="20" spans="1:26" x14ac:dyDescent="0.25">
      <c r="A20" s="103" t="s">
        <v>80</v>
      </c>
      <c r="B20" s="69">
        <f t="shared" si="1"/>
        <v>19</v>
      </c>
      <c r="C20" s="70">
        <v>6</v>
      </c>
      <c r="D20" s="69">
        <v>2021</v>
      </c>
      <c r="E20" s="71">
        <f>'FS-AD Daily '!B24</f>
        <v>0</v>
      </c>
      <c r="F20" s="71">
        <f>'FS-AD Daily '!C24</f>
        <v>0</v>
      </c>
      <c r="G20" s="71">
        <f>'FS-AD Daily '!D24</f>
        <v>0</v>
      </c>
      <c r="H20" s="71">
        <f>'FS-AD Daily '!E24</f>
        <v>0</v>
      </c>
      <c r="I20" s="71">
        <f>'FS-AD Daily '!F24</f>
        <v>0</v>
      </c>
      <c r="J20" s="71">
        <f>'FS-AD Daily '!G24</f>
        <v>0</v>
      </c>
      <c r="K20" s="71">
        <f>'FS-AD Daily '!H24</f>
        <v>0</v>
      </c>
      <c r="L20" s="71">
        <f>'FS-AD Daily '!I24</f>
        <v>0</v>
      </c>
      <c r="M20" s="71">
        <f>'FS-AD Daily '!J24</f>
        <v>0</v>
      </c>
      <c r="N20" s="71">
        <f>'FS-AD Daily '!T24</f>
        <v>0</v>
      </c>
      <c r="O20" s="71">
        <f>'FS-AD Daily '!R24</f>
        <v>0</v>
      </c>
      <c r="P20" s="71">
        <f>'FS-AD Daily '!Z24</f>
        <v>0</v>
      </c>
      <c r="Q20" s="71">
        <f>'FS-AD Daily '!V24</f>
        <v>0</v>
      </c>
      <c r="R20" s="71">
        <f>'FS-AD Daily '!W24</f>
        <v>0</v>
      </c>
      <c r="S20" s="71">
        <f t="shared" si="0"/>
        <v>0</v>
      </c>
      <c r="T20" s="71">
        <f>'FS-AD Daily '!AD24*3.516</f>
        <v>0</v>
      </c>
      <c r="U20" s="71">
        <f>('FS-AD Daily '!AF24)*1000</f>
        <v>0</v>
      </c>
      <c r="V20" s="71">
        <f>('FS-AD Daily '!AG24)*1000</f>
        <v>0</v>
      </c>
      <c r="W20" s="71">
        <f>'FS-AD Daily '!AH24*1000</f>
        <v>0</v>
      </c>
      <c r="X20" s="71">
        <f>('FS-AD Daily '!AK24)*1000</f>
        <v>0</v>
      </c>
      <c r="Y20" s="71">
        <f>'FS-AD Daily '!AN24</f>
        <v>0</v>
      </c>
      <c r="Z20" s="104"/>
    </row>
    <row r="21" spans="1:26" x14ac:dyDescent="0.25">
      <c r="A21" s="103" t="s">
        <v>80</v>
      </c>
      <c r="B21" s="69">
        <f t="shared" si="1"/>
        <v>20</v>
      </c>
      <c r="C21" s="70">
        <v>6</v>
      </c>
      <c r="D21" s="69">
        <v>2021</v>
      </c>
      <c r="E21" s="71">
        <f>'FS-AD Daily '!B25</f>
        <v>0</v>
      </c>
      <c r="F21" s="71">
        <f>'FS-AD Daily '!C25</f>
        <v>0</v>
      </c>
      <c r="G21" s="71">
        <f>'FS-AD Daily '!D25</f>
        <v>0</v>
      </c>
      <c r="H21" s="71">
        <f>'FS-AD Daily '!E25</f>
        <v>0</v>
      </c>
      <c r="I21" s="71">
        <f>'FS-AD Daily '!F25</f>
        <v>0</v>
      </c>
      <c r="J21" s="71">
        <f>'FS-AD Daily '!G25</f>
        <v>0</v>
      </c>
      <c r="K21" s="71">
        <f>'FS-AD Daily '!H25</f>
        <v>0</v>
      </c>
      <c r="L21" s="71">
        <f>'FS-AD Daily '!I25</f>
        <v>0</v>
      </c>
      <c r="M21" s="71">
        <f>'FS-AD Daily '!J25</f>
        <v>0</v>
      </c>
      <c r="N21" s="71">
        <f>'FS-AD Daily '!T25</f>
        <v>0</v>
      </c>
      <c r="O21" s="71">
        <f>'FS-AD Daily '!R25</f>
        <v>0</v>
      </c>
      <c r="P21" s="71">
        <f>'FS-AD Daily '!Z25</f>
        <v>0</v>
      </c>
      <c r="Q21" s="71">
        <f>'FS-AD Daily '!V25</f>
        <v>0</v>
      </c>
      <c r="R21" s="71">
        <f>'FS-AD Daily '!W25</f>
        <v>0</v>
      </c>
      <c r="S21" s="71">
        <f t="shared" si="0"/>
        <v>0</v>
      </c>
      <c r="T21" s="71">
        <f>'FS-AD Daily '!AD25*3.516</f>
        <v>0</v>
      </c>
      <c r="U21" s="71">
        <f>('FS-AD Daily '!AF25)*1000</f>
        <v>0</v>
      </c>
      <c r="V21" s="71">
        <f>('FS-AD Daily '!AG25)*1000</f>
        <v>0</v>
      </c>
      <c r="W21" s="71">
        <f>'FS-AD Daily '!AH25*1000</f>
        <v>0</v>
      </c>
      <c r="X21" s="71">
        <f>('FS-AD Daily '!AK25)*1000</f>
        <v>0</v>
      </c>
      <c r="Y21" s="71">
        <f>'FS-AD Daily '!AN25</f>
        <v>0</v>
      </c>
      <c r="Z21" s="104"/>
    </row>
    <row r="22" spans="1:26" x14ac:dyDescent="0.25">
      <c r="A22" s="103" t="s">
        <v>80</v>
      </c>
      <c r="B22" s="69">
        <f t="shared" si="1"/>
        <v>21</v>
      </c>
      <c r="C22" s="70">
        <v>6</v>
      </c>
      <c r="D22" s="69">
        <v>2021</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f>'FS-AD Daily '!AN26</f>
        <v>0</v>
      </c>
      <c r="Z22" s="104"/>
    </row>
    <row r="23" spans="1:26" x14ac:dyDescent="0.25">
      <c r="A23" s="103" t="s">
        <v>80</v>
      </c>
      <c r="B23" s="69">
        <f t="shared" si="1"/>
        <v>22</v>
      </c>
      <c r="C23" s="70">
        <v>6</v>
      </c>
      <c r="D23" s="69">
        <v>2021</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f>'FS-AD Daily '!AN27</f>
        <v>0</v>
      </c>
      <c r="Z23" s="104"/>
    </row>
    <row r="24" spans="1:26" x14ac:dyDescent="0.25">
      <c r="A24" s="103" t="s">
        <v>80</v>
      </c>
      <c r="B24" s="69">
        <f t="shared" si="1"/>
        <v>23</v>
      </c>
      <c r="C24" s="70">
        <v>6</v>
      </c>
      <c r="D24" s="69">
        <v>2021</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f>'FS-AD Daily '!AN28</f>
        <v>0</v>
      </c>
      <c r="Z24" s="104"/>
    </row>
    <row r="25" spans="1:26" x14ac:dyDescent="0.25">
      <c r="A25" s="103" t="s">
        <v>80</v>
      </c>
      <c r="B25" s="69">
        <f t="shared" si="1"/>
        <v>24</v>
      </c>
      <c r="C25" s="70">
        <v>6</v>
      </c>
      <c r="D25" s="69">
        <v>2021</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04"/>
    </row>
    <row r="26" spans="1:26" x14ac:dyDescent="0.25">
      <c r="A26" s="103" t="s">
        <v>80</v>
      </c>
      <c r="B26" s="69">
        <f>B25+1</f>
        <v>25</v>
      </c>
      <c r="C26" s="70">
        <v>6</v>
      </c>
      <c r="D26" s="69">
        <v>2021</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04"/>
    </row>
    <row r="27" spans="1:26" x14ac:dyDescent="0.25">
      <c r="A27" s="103" t="s">
        <v>80</v>
      </c>
      <c r="B27" s="69">
        <f t="shared" si="1"/>
        <v>26</v>
      </c>
      <c r="C27" s="70">
        <v>6</v>
      </c>
      <c r="D27" s="69">
        <v>2021</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04"/>
    </row>
    <row r="28" spans="1:26" x14ac:dyDescent="0.25">
      <c r="A28" s="103" t="s">
        <v>80</v>
      </c>
      <c r="B28" s="69">
        <f t="shared" si="1"/>
        <v>27</v>
      </c>
      <c r="C28" s="70">
        <v>6</v>
      </c>
      <c r="D28" s="69">
        <v>2021</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04"/>
    </row>
    <row r="29" spans="1:26" x14ac:dyDescent="0.25">
      <c r="A29" s="103" t="s">
        <v>80</v>
      </c>
      <c r="B29" s="69">
        <f t="shared" si="1"/>
        <v>28</v>
      </c>
      <c r="C29" s="70">
        <v>6</v>
      </c>
      <c r="D29" s="69">
        <v>2021</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04"/>
    </row>
    <row r="30" spans="1:26" x14ac:dyDescent="0.25">
      <c r="A30" s="103" t="s">
        <v>80</v>
      </c>
      <c r="B30" s="69">
        <f t="shared" si="1"/>
        <v>29</v>
      </c>
      <c r="C30" s="70">
        <v>6</v>
      </c>
      <c r="D30" s="69">
        <v>2021</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04"/>
    </row>
    <row r="31" spans="1:26" ht="15.75" thickBot="1" x14ac:dyDescent="0.3">
      <c r="A31" s="105" t="s">
        <v>80</v>
      </c>
      <c r="B31" s="106">
        <f t="shared" si="1"/>
        <v>30</v>
      </c>
      <c r="C31" s="107">
        <v>6</v>
      </c>
      <c r="D31" s="106">
        <v>2021</v>
      </c>
      <c r="E31" s="108">
        <f>'FS-AD Daily '!B35</f>
        <v>0</v>
      </c>
      <c r="F31" s="108">
        <f>'FS-AD Daily '!C35</f>
        <v>0</v>
      </c>
      <c r="G31" s="108">
        <f>'FS-AD Daily '!D35</f>
        <v>0</v>
      </c>
      <c r="H31" s="108">
        <f>'FS-AD Daily '!E35</f>
        <v>0</v>
      </c>
      <c r="I31" s="108">
        <f>'FS-AD Daily '!F35</f>
        <v>0</v>
      </c>
      <c r="J31" s="108">
        <f>'FS-AD Daily '!G35</f>
        <v>0</v>
      </c>
      <c r="K31" s="108">
        <f>'FS-AD Daily '!H35</f>
        <v>0</v>
      </c>
      <c r="L31" s="108">
        <f>'FS-AD Daily '!I35</f>
        <v>0</v>
      </c>
      <c r="M31" s="108">
        <f>'FS-AD Daily '!J35</f>
        <v>0</v>
      </c>
      <c r="N31" s="108">
        <f>'FS-AD Daily '!T35</f>
        <v>0</v>
      </c>
      <c r="O31" s="108">
        <f>'FS-AD Daily '!R35</f>
        <v>0</v>
      </c>
      <c r="P31" s="108">
        <f>'FS-AD Daily '!Z35</f>
        <v>0</v>
      </c>
      <c r="Q31" s="108">
        <f>'FS-AD Daily '!V35</f>
        <v>0</v>
      </c>
      <c r="R31" s="108">
        <f>'FS-AD Daily '!W35</f>
        <v>0</v>
      </c>
      <c r="S31" s="108">
        <f t="shared" si="0"/>
        <v>0</v>
      </c>
      <c r="T31" s="108">
        <f>'FS-AD Daily '!AD35*3.516</f>
        <v>0</v>
      </c>
      <c r="U31" s="108">
        <f>('FS-AD Daily '!AF35)*1000</f>
        <v>0</v>
      </c>
      <c r="V31" s="108">
        <f>('FS-AD Daily '!AG35)*1000</f>
        <v>0</v>
      </c>
      <c r="W31" s="108">
        <f>'FS-AD Daily '!AH35*1000</f>
        <v>0</v>
      </c>
      <c r="X31" s="108">
        <f>('FS-AD Daily '!AK35)*1000</f>
        <v>0</v>
      </c>
      <c r="Y31" s="108">
        <f>'FS-AD Daily '!AN35</f>
        <v>0</v>
      </c>
      <c r="Z31" s="109"/>
    </row>
    <row r="32" spans="1:26" x14ac:dyDescent="0.25">
      <c r="I32" s="4">
        <f t="shared" ref="I32:W32" si="2">SUM(I2:I31)</f>
        <v>58603</v>
      </c>
      <c r="J32" s="4">
        <f t="shared" si="2"/>
        <v>36289</v>
      </c>
      <c r="K32" s="4">
        <f t="shared" si="2"/>
        <v>75668</v>
      </c>
      <c r="L32" s="4">
        <f t="shared" si="2"/>
        <v>24261</v>
      </c>
      <c r="M32" s="4">
        <f t="shared" si="2"/>
        <v>74517</v>
      </c>
      <c r="N32" s="4">
        <f t="shared" si="2"/>
        <v>1545.5160000000105</v>
      </c>
      <c r="O32" s="4">
        <f t="shared" si="2"/>
        <v>777.13199999999142</v>
      </c>
      <c r="P32" s="4">
        <f t="shared" si="2"/>
        <v>5873</v>
      </c>
      <c r="Q32" s="4">
        <f t="shared" si="2"/>
        <v>2782.6000000000349</v>
      </c>
      <c r="R32" s="4">
        <f t="shared" si="2"/>
        <v>0</v>
      </c>
      <c r="S32" s="4">
        <f t="shared" si="2"/>
        <v>3090.3999999999651</v>
      </c>
      <c r="T32" s="4">
        <f t="shared" si="2"/>
        <v>1125988.4519999998</v>
      </c>
      <c r="U32" s="4">
        <f t="shared" si="2"/>
        <v>528600.00000000582</v>
      </c>
      <c r="V32" s="4">
        <f t="shared" si="2"/>
        <v>381000</v>
      </c>
      <c r="W32" s="4">
        <f t="shared" si="2"/>
        <v>157299.99999999927</v>
      </c>
      <c r="X32" s="4">
        <f>'FS-AD Daily '!U37</f>
        <v>6024.1305600001506</v>
      </c>
      <c r="Y32" s="4">
        <f>SUM(Y2:Y31)</f>
        <v>1167</v>
      </c>
      <c r="Z32" s="4">
        <f>SUM(Z2:Z31)</f>
        <v>1740</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zoomScaleNormal="100" workbookViewId="0">
      <pane xSplit="7" ySplit="4" topLeftCell="H5" activePane="bottomRight" state="frozen"/>
      <selection pane="topRight" activeCell="H1" sqref="H1"/>
      <selection pane="bottomLeft" activeCell="A5" sqref="A5"/>
      <selection pane="bottomRight" activeCell="AO24" sqref="A16:AO24"/>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5" t="s">
        <v>14</v>
      </c>
      <c r="C1" s="135"/>
      <c r="D1" s="135"/>
      <c r="E1" s="135"/>
      <c r="F1" s="135"/>
      <c r="G1" s="135"/>
      <c r="H1" s="135"/>
      <c r="I1" s="135"/>
      <c r="J1" s="135"/>
      <c r="K1" s="25" t="s">
        <v>15</v>
      </c>
      <c r="L1" s="26" t="s">
        <v>16</v>
      </c>
      <c r="M1" s="27" t="s">
        <v>17</v>
      </c>
      <c r="N1" s="28" t="s">
        <v>18</v>
      </c>
      <c r="O1" s="28" t="s">
        <v>19</v>
      </c>
      <c r="P1" s="65" t="s">
        <v>20</v>
      </c>
      <c r="Q1" s="30" t="s">
        <v>21</v>
      </c>
      <c r="R1" s="31" t="s">
        <v>22</v>
      </c>
      <c r="S1" s="29" t="s">
        <v>23</v>
      </c>
      <c r="T1" s="32" t="s">
        <v>24</v>
      </c>
      <c r="U1" s="33" t="s">
        <v>25</v>
      </c>
      <c r="V1" s="32" t="s">
        <v>26</v>
      </c>
      <c r="W1" s="32" t="s">
        <v>27</v>
      </c>
      <c r="X1" s="136" t="s">
        <v>28</v>
      </c>
      <c r="Y1" s="136"/>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31" t="s">
        <v>41</v>
      </c>
      <c r="L2" s="130" t="s">
        <v>42</v>
      </c>
      <c r="M2" s="10"/>
      <c r="N2" s="10"/>
      <c r="O2" s="10"/>
      <c r="P2" s="10"/>
      <c r="Q2" s="10"/>
      <c r="R2" s="10"/>
      <c r="S2" s="139"/>
      <c r="T2" s="47"/>
      <c r="U2" s="133"/>
      <c r="V2" s="45"/>
      <c r="W2" s="45"/>
      <c r="X2" s="22">
        <v>1</v>
      </c>
      <c r="Y2" s="22">
        <v>2</v>
      </c>
      <c r="Z2" s="23"/>
      <c r="AA2" s="130" t="s">
        <v>100</v>
      </c>
      <c r="AB2" s="43"/>
      <c r="AC2" s="131" t="s">
        <v>43</v>
      </c>
      <c r="AD2" s="132"/>
      <c r="AE2" s="133" t="s">
        <v>102</v>
      </c>
      <c r="AF2" s="45"/>
      <c r="AG2" s="45"/>
      <c r="AH2" s="45"/>
      <c r="AI2" s="44"/>
      <c r="AJ2" s="44"/>
      <c r="AK2" s="44"/>
      <c r="AL2" s="44"/>
      <c r="AM2" s="133" t="s">
        <v>103</v>
      </c>
      <c r="AN2" s="134"/>
      <c r="AO2" s="129"/>
    </row>
    <row r="3" spans="1:44" ht="15" customHeight="1" x14ac:dyDescent="0.25">
      <c r="A3" s="9"/>
      <c r="B3" s="11" t="s">
        <v>44</v>
      </c>
      <c r="C3" s="11" t="s">
        <v>45</v>
      </c>
      <c r="D3" s="11" t="s">
        <v>46</v>
      </c>
      <c r="E3" s="11" t="s">
        <v>47</v>
      </c>
      <c r="F3" s="11" t="s">
        <v>48</v>
      </c>
      <c r="G3" s="11" t="s">
        <v>49</v>
      </c>
      <c r="H3" s="11" t="s">
        <v>50</v>
      </c>
      <c r="I3" s="11" t="s">
        <v>51</v>
      </c>
      <c r="J3" s="11" t="s">
        <v>52</v>
      </c>
      <c r="K3" s="137"/>
      <c r="L3" s="138"/>
      <c r="M3" s="10"/>
      <c r="N3" s="10"/>
      <c r="O3" s="10"/>
      <c r="P3" s="10"/>
      <c r="Q3" s="10"/>
      <c r="R3" s="10"/>
      <c r="S3" s="139"/>
      <c r="T3" s="47"/>
      <c r="U3" s="133"/>
      <c r="V3" s="45"/>
      <c r="W3" s="45"/>
      <c r="X3" s="11"/>
      <c r="Y3" s="11"/>
      <c r="Z3" s="12"/>
      <c r="AA3" s="130"/>
      <c r="AB3" s="43"/>
      <c r="AC3" s="131"/>
      <c r="AD3" s="132"/>
      <c r="AE3" s="133"/>
      <c r="AF3" s="45"/>
      <c r="AG3" s="45"/>
      <c r="AH3" s="45"/>
      <c r="AI3" s="13"/>
      <c r="AJ3" s="44"/>
      <c r="AK3" s="44"/>
      <c r="AL3" s="44"/>
      <c r="AM3" s="133"/>
      <c r="AN3" s="134"/>
      <c r="AO3" s="129"/>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9"/>
      <c r="T4" s="47"/>
      <c r="U4" s="133"/>
      <c r="V4" s="45"/>
      <c r="W4" s="45"/>
      <c r="X4" s="52"/>
      <c r="Y4" s="87">
        <v>840739</v>
      </c>
      <c r="Z4" s="12"/>
      <c r="AA4" s="130"/>
      <c r="AB4" s="86">
        <v>4767003</v>
      </c>
      <c r="AC4" s="131"/>
      <c r="AD4" s="132"/>
      <c r="AE4" s="133"/>
      <c r="AF4" s="45"/>
      <c r="AG4" s="45"/>
      <c r="AH4" s="45"/>
      <c r="AI4" s="43">
        <v>43301.4</v>
      </c>
      <c r="AJ4" s="43"/>
      <c r="AK4" s="43"/>
      <c r="AL4" s="43"/>
      <c r="AM4" s="133"/>
      <c r="AN4" s="134"/>
      <c r="AO4" s="129"/>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44348</v>
      </c>
      <c r="B6" s="86">
        <f>11934455-11928831</f>
        <v>5624</v>
      </c>
      <c r="C6" s="86">
        <f>7584595-7581358</f>
        <v>3237</v>
      </c>
      <c r="D6" s="86">
        <f>1490236-1489257</f>
        <v>979</v>
      </c>
      <c r="E6" s="86">
        <f>11363086-11358150</f>
        <v>4936</v>
      </c>
      <c r="F6" s="86">
        <f>11246349-11240587</f>
        <v>5762</v>
      </c>
      <c r="G6" s="86">
        <f>8181903-8178432</f>
        <v>3471</v>
      </c>
      <c r="H6" s="86">
        <f>8303251-8295533</f>
        <v>7718</v>
      </c>
      <c r="I6" s="86">
        <f>5107735-5105246</f>
        <v>2489</v>
      </c>
      <c r="J6" s="86">
        <f>11274000-11266675</f>
        <v>7325</v>
      </c>
      <c r="K6" s="63">
        <f>SUM(B6:H6)</f>
        <v>31727</v>
      </c>
      <c r="L6" s="40">
        <f>K6*0.2</f>
        <v>6345.4000000000005</v>
      </c>
      <c r="M6" s="83">
        <f>74289.548-74162.34</f>
        <v>127.20799999999872</v>
      </c>
      <c r="N6" s="83">
        <f>4224.172-4222.961</f>
        <v>1.2109999999993306</v>
      </c>
      <c r="O6" s="83">
        <f>9424.316-9423.385</f>
        <v>0.93100000000049477</v>
      </c>
      <c r="P6" s="82">
        <f>88214.386-88140.148</f>
        <v>74.237999999997555</v>
      </c>
      <c r="Q6" s="83">
        <f>23641.564-23626.412</f>
        <v>15.151999999998225</v>
      </c>
      <c r="R6" s="84">
        <f t="shared" ref="R6:R34" si="0">N6+O6+P6</f>
        <v>76.379999999997381</v>
      </c>
      <c r="S6" s="84">
        <f t="shared" ref="S6:S34" si="1">(N6+O6+P6)*7.84</f>
        <v>598.81919999997945</v>
      </c>
      <c r="T6" s="64">
        <f t="shared" ref="T6:T34" si="2">M6+Q6</f>
        <v>142.35999999999694</v>
      </c>
      <c r="U6" s="84">
        <f>T6*7.84</f>
        <v>1116.1023999999761</v>
      </c>
      <c r="V6" s="84">
        <f>346732.9-346460.3</f>
        <v>272.60000000003492</v>
      </c>
      <c r="W6" s="84">
        <f>129959.4-129959.4</f>
        <v>0</v>
      </c>
      <c r="X6" s="85" t="s">
        <v>63</v>
      </c>
      <c r="Y6" s="85">
        <v>841329</v>
      </c>
      <c r="Z6" s="61">
        <f>IF((Y6-Y5&lt;0), "0",Y6-Y4)</f>
        <v>590</v>
      </c>
      <c r="AA6" s="90">
        <f>Z6*6.47</f>
        <v>3817.2999999999997</v>
      </c>
      <c r="AB6" s="75">
        <v>4796716</v>
      </c>
      <c r="AC6" s="75">
        <f>AB4</f>
        <v>4767003</v>
      </c>
      <c r="AD6" s="41">
        <f t="shared" ref="AD6:AD35" si="3">IF((AB6-AC6&lt;0), "0",AB6-AC6)</f>
        <v>29713</v>
      </c>
      <c r="AE6" s="84">
        <f>AD6*0.332195</f>
        <v>9870.5100350000012</v>
      </c>
      <c r="AF6" s="84">
        <f>85814.6-85765.5</f>
        <v>49.100000000005821</v>
      </c>
      <c r="AG6" s="84">
        <f>44919.1-44883.7</f>
        <v>35.400000000001455</v>
      </c>
      <c r="AH6" s="84">
        <f>27098.7-27083.8</f>
        <v>14.900000000001455</v>
      </c>
      <c r="AI6" s="75">
        <f>AI4</f>
        <v>43301.4</v>
      </c>
      <c r="AJ6" s="75">
        <v>43333.1</v>
      </c>
      <c r="AK6" s="59">
        <f>IF((AJ6-AI6)&lt;0, "0",AJ6-AI6)</f>
        <v>31.69999999999709</v>
      </c>
      <c r="AL6" s="128">
        <f t="shared" ref="AL6:AL34" si="4">AK6*(284.34513609)</f>
        <v>9013.7408140521711</v>
      </c>
      <c r="AM6" s="84">
        <f>AL6*0.332195</f>
        <v>2994.3196297240611</v>
      </c>
      <c r="AN6" s="101">
        <v>127</v>
      </c>
      <c r="AO6" s="77">
        <f t="shared" ref="AO6:AO34" si="5">L6+U6+AA6+AE6</f>
        <v>21149.312434999978</v>
      </c>
    </row>
    <row r="7" spans="1:44" x14ac:dyDescent="0.25">
      <c r="A7" s="79">
        <v>44349</v>
      </c>
      <c r="B7" s="86">
        <f>11940173-11934455</f>
        <v>5718</v>
      </c>
      <c r="C7" s="86">
        <f>7587605-7584595</f>
        <v>3010</v>
      </c>
      <c r="D7" s="86">
        <f>1491114-1490236</f>
        <v>878</v>
      </c>
      <c r="E7" s="86">
        <f>11367997-11363086</f>
        <v>4911</v>
      </c>
      <c r="F7" s="86">
        <f>11252245-11246349</f>
        <v>5896</v>
      </c>
      <c r="G7" s="86">
        <f>8185398-8181903</f>
        <v>3495</v>
      </c>
      <c r="H7" s="86">
        <f>8311415-8303251</f>
        <v>8164</v>
      </c>
      <c r="I7" s="86">
        <f>5110174-5107735</f>
        <v>2439</v>
      </c>
      <c r="J7" s="86">
        <f>11281412-11274000</f>
        <v>7412</v>
      </c>
      <c r="K7" s="86">
        <f>SUM(B7:H7)</f>
        <v>32072</v>
      </c>
      <c r="L7" s="14">
        <f>K7*0.2</f>
        <v>6414.4000000000005</v>
      </c>
      <c r="M7" s="83">
        <f>74423.699-74289.548</f>
        <v>134.15099999999802</v>
      </c>
      <c r="N7" s="83">
        <f>4225.864-4224.172</f>
        <v>1.6920000000000073</v>
      </c>
      <c r="O7" s="83">
        <f>9425.667-9424.316</f>
        <v>1.3509999999987485</v>
      </c>
      <c r="P7" s="82">
        <f>88294.374-88214.386</f>
        <v>79.987999999997555</v>
      </c>
      <c r="Q7" s="83">
        <f>23654.992-23641.564</f>
        <v>13.427999999999884</v>
      </c>
      <c r="R7" s="83">
        <f t="shared" si="0"/>
        <v>83.030999999996311</v>
      </c>
      <c r="S7" s="83">
        <f>(N7+O7+P7)*7.84</f>
        <v>650.9630399999711</v>
      </c>
      <c r="T7" s="83">
        <f>M7+Q7</f>
        <v>147.5789999999979</v>
      </c>
      <c r="U7" s="83">
        <f>T7*7.84</f>
        <v>1157.0193599999836</v>
      </c>
      <c r="V7" s="83">
        <f>347009.6-346732.9</f>
        <v>276.69999999995343</v>
      </c>
      <c r="W7" s="83">
        <f>129959.4-129959.4</f>
        <v>0</v>
      </c>
      <c r="X7" s="86" t="s">
        <v>63</v>
      </c>
      <c r="Y7" s="86">
        <v>841916</v>
      </c>
      <c r="Z7" s="5">
        <f>IF((Y7-Y6&lt;0), "0",Y7-Y6)</f>
        <v>587</v>
      </c>
      <c r="AA7" s="14">
        <f t="shared" ref="AA7:AA34" si="6">Z7*6.47</f>
        <v>3797.89</v>
      </c>
      <c r="AB7" s="87">
        <v>4828174</v>
      </c>
      <c r="AC7" s="87">
        <f>AB6</f>
        <v>4796716</v>
      </c>
      <c r="AD7" s="5">
        <f t="shared" si="3"/>
        <v>31458</v>
      </c>
      <c r="AE7" s="83">
        <f>AD7*0.332195</f>
        <v>10450.19031</v>
      </c>
      <c r="AF7" s="83">
        <f>85866.1-85814.6</f>
        <v>51.5</v>
      </c>
      <c r="AG7" s="83">
        <f>44957.9-44919.1</f>
        <v>38.80000000000291</v>
      </c>
      <c r="AH7" s="83">
        <f>27114-27098.7</f>
        <v>15.299999999999272</v>
      </c>
      <c r="AI7" s="87">
        <f>AJ6</f>
        <v>43333.1</v>
      </c>
      <c r="AJ7" s="86">
        <v>43365.7</v>
      </c>
      <c r="AK7" s="48">
        <f t="shared" ref="AK7:AK34" si="7">IF((AJ7-AI7)&lt;0, "0",AJ7-AI7)</f>
        <v>32.599999999998545</v>
      </c>
      <c r="AL7" s="89">
        <f t="shared" si="4"/>
        <v>9269.6514365335861</v>
      </c>
      <c r="AM7" s="83">
        <f>AL7*0.332195</f>
        <v>3079.331858959275</v>
      </c>
      <c r="AN7" s="71">
        <v>114</v>
      </c>
      <c r="AO7" s="78">
        <f t="shared" si="5"/>
        <v>21819.499669999983</v>
      </c>
    </row>
    <row r="8" spans="1:44" x14ac:dyDescent="0.25">
      <c r="A8" s="79">
        <v>44350</v>
      </c>
      <c r="B8" s="86">
        <f>11945351-11940173</f>
        <v>5178</v>
      </c>
      <c r="C8" s="86">
        <f>7590628-7587605</f>
        <v>3023</v>
      </c>
      <c r="D8" s="86">
        <f>1492066-1491114</f>
        <v>952</v>
      </c>
      <c r="E8" s="86">
        <f>11372927-11367997</f>
        <v>4930</v>
      </c>
      <c r="F8" s="86">
        <f>11258180-11252245</f>
        <v>5935</v>
      </c>
      <c r="G8" s="86">
        <f>8189142-8185398</f>
        <v>3744</v>
      </c>
      <c r="H8" s="86">
        <f>8318925-8311415</f>
        <v>7510</v>
      </c>
      <c r="I8" s="86">
        <f>5112601-5110174</f>
        <v>2427</v>
      </c>
      <c r="J8" s="86">
        <f>11288929-11281412</f>
        <v>7517</v>
      </c>
      <c r="K8" s="86">
        <f>SUM(B8:H8)</f>
        <v>31272</v>
      </c>
      <c r="L8" s="14">
        <f t="shared" ref="L8:L34" si="8">K8*0.2</f>
        <v>6254.4000000000005</v>
      </c>
      <c r="M8" s="83">
        <f>74569.787-74423.699</f>
        <v>146.08800000000338</v>
      </c>
      <c r="N8" s="83">
        <f>4226.828-4225.864</f>
        <v>0.96400000000085129</v>
      </c>
      <c r="O8" s="83">
        <f>9426.751-9425.667</f>
        <v>1.0840000000007421</v>
      </c>
      <c r="P8" s="82">
        <f>88375.028-88294.374</f>
        <v>80.654000000009546</v>
      </c>
      <c r="Q8" s="83">
        <f>23669.501-23654.992</f>
        <v>14.509000000001834</v>
      </c>
      <c r="R8" s="83">
        <f t="shared" si="0"/>
        <v>82.702000000011139</v>
      </c>
      <c r="S8" s="83">
        <f>(N8+O8+P8)*7.84</f>
        <v>648.38368000008734</v>
      </c>
      <c r="T8" s="83">
        <f>M8+Q8</f>
        <v>160.59700000000521</v>
      </c>
      <c r="U8" s="83">
        <f>T8*7.84</f>
        <v>1259.0804800000408</v>
      </c>
      <c r="V8" s="83">
        <f>347295-347009.6</f>
        <v>285.40000000002328</v>
      </c>
      <c r="W8" s="83">
        <f t="shared" ref="W8:W35" si="9">129959.4-129959.4</f>
        <v>0</v>
      </c>
      <c r="X8" s="86" t="s">
        <v>63</v>
      </c>
      <c r="Y8" s="86">
        <v>842506</v>
      </c>
      <c r="Z8" s="5">
        <f t="shared" ref="Z8:Z34" si="10">IF((Y8-Y7&lt;0), "0",Y8-Y7)</f>
        <v>590</v>
      </c>
      <c r="AA8" s="14">
        <f t="shared" si="6"/>
        <v>3817.2999999999997</v>
      </c>
      <c r="AB8" s="87">
        <v>4860105</v>
      </c>
      <c r="AC8" s="87">
        <f t="shared" ref="AC8:AC35" si="11">AB7</f>
        <v>4828174</v>
      </c>
      <c r="AD8" s="5">
        <f t="shared" si="3"/>
        <v>31931</v>
      </c>
      <c r="AE8" s="83">
        <f t="shared" ref="AE8:AE35" si="12">AD8*0.332195</f>
        <v>10607.318545</v>
      </c>
      <c r="AF8" s="83">
        <f>85918.3-85866.1</f>
        <v>52.19999999999709</v>
      </c>
      <c r="AG8" s="83">
        <f>44996-44957.9</f>
        <v>38.099999999998545</v>
      </c>
      <c r="AH8" s="83">
        <f>27129.5-27114</f>
        <v>15.5</v>
      </c>
      <c r="AI8" s="87">
        <f t="shared" ref="AI8:AI35" si="13">AJ7</f>
        <v>43365.7</v>
      </c>
      <c r="AJ8" s="86">
        <v>43398.2</v>
      </c>
      <c r="AK8" s="48">
        <f t="shared" si="7"/>
        <v>32.5</v>
      </c>
      <c r="AL8" s="89">
        <f t="shared" si="4"/>
        <v>9241.2169229249994</v>
      </c>
      <c r="AM8" s="83">
        <f t="shared" ref="AM8:AM35" si="14">AL8*0.332195</f>
        <v>3069.8860557110702</v>
      </c>
      <c r="AN8" s="71">
        <v>146</v>
      </c>
      <c r="AO8" s="78">
        <f t="shared" si="5"/>
        <v>21938.09902500004</v>
      </c>
    </row>
    <row r="9" spans="1:44" x14ac:dyDescent="0.25">
      <c r="A9" s="79">
        <v>44351</v>
      </c>
      <c r="B9" s="86">
        <f>11950340-11945351</f>
        <v>4989</v>
      </c>
      <c r="C9" s="86">
        <f>7593507-7590628</f>
        <v>2879</v>
      </c>
      <c r="D9" s="86">
        <f>1492985-1492066</f>
        <v>919</v>
      </c>
      <c r="E9" s="86">
        <f>11377858-11372927</f>
        <v>4931</v>
      </c>
      <c r="F9" s="86">
        <f>11264188-11258180</f>
        <v>6008</v>
      </c>
      <c r="G9" s="86">
        <f>8192898-8189142</f>
        <v>3756</v>
      </c>
      <c r="H9" s="86">
        <f>8325957-8318925</f>
        <v>7032</v>
      </c>
      <c r="I9" s="86">
        <f>5115006-5112601</f>
        <v>2405</v>
      </c>
      <c r="J9" s="86">
        <f>11296611-11288929</f>
        <v>7682</v>
      </c>
      <c r="K9" s="86">
        <f t="shared" ref="K9:K34" si="15">SUM(B9:H9)</f>
        <v>30514</v>
      </c>
      <c r="L9" s="14">
        <f t="shared" si="8"/>
        <v>6102.8</v>
      </c>
      <c r="M9" s="83">
        <f>74724.91-74569.787</f>
        <v>155.12300000000687</v>
      </c>
      <c r="N9" s="83">
        <f>4227.621-4226.828</f>
        <v>0.79299999999966531</v>
      </c>
      <c r="O9" s="83">
        <f>9427.603-9426.751</f>
        <v>0.85199999999895226</v>
      </c>
      <c r="P9" s="82">
        <f>88462.871-88375.028</f>
        <v>87.842999999993481</v>
      </c>
      <c r="Q9" s="83">
        <f>23678.528-23669.501</f>
        <v>9.0269999999982247</v>
      </c>
      <c r="R9" s="83">
        <f t="shared" si="0"/>
        <v>89.487999999992098</v>
      </c>
      <c r="S9" s="83">
        <f t="shared" si="1"/>
        <v>701.58591999993803</v>
      </c>
      <c r="T9" s="83">
        <f t="shared" si="2"/>
        <v>164.15000000000509</v>
      </c>
      <c r="U9" s="83">
        <f t="shared" ref="U9:U36" si="16">T9*7.84</f>
        <v>1286.9360000000399</v>
      </c>
      <c r="V9" s="83">
        <f>347588.8-347295</f>
        <v>293.79999999998836</v>
      </c>
      <c r="W9" s="83">
        <f t="shared" si="9"/>
        <v>0</v>
      </c>
      <c r="X9" s="86" t="s">
        <v>63</v>
      </c>
      <c r="Y9" s="86">
        <v>843157</v>
      </c>
      <c r="Z9" s="5">
        <f t="shared" si="10"/>
        <v>651</v>
      </c>
      <c r="AA9" s="14">
        <f t="shared" si="6"/>
        <v>4211.97</v>
      </c>
      <c r="AB9" s="87">
        <v>4892818.7</v>
      </c>
      <c r="AC9" s="87">
        <f t="shared" si="11"/>
        <v>4860105</v>
      </c>
      <c r="AD9" s="5">
        <f t="shared" si="3"/>
        <v>32713.700000000186</v>
      </c>
      <c r="AE9" s="83">
        <f t="shared" si="12"/>
        <v>10867.327571500062</v>
      </c>
      <c r="AF9" s="83">
        <f>85971.7-85918.3</f>
        <v>53.399999999994179</v>
      </c>
      <c r="AG9" s="83">
        <f>45034.2-44996</f>
        <v>38.19999999999709</v>
      </c>
      <c r="AH9" s="83">
        <f>27145.5-27129.5</f>
        <v>16</v>
      </c>
      <c r="AI9" s="87">
        <f t="shared" si="13"/>
        <v>43398.2</v>
      </c>
      <c r="AJ9" s="86">
        <v>43432.3</v>
      </c>
      <c r="AK9" s="48">
        <f t="shared" si="7"/>
        <v>34.100000000005821</v>
      </c>
      <c r="AL9" s="89">
        <f t="shared" si="4"/>
        <v>9696.1691406706541</v>
      </c>
      <c r="AM9" s="83">
        <f t="shared" si="14"/>
        <v>3221.0189076850879</v>
      </c>
      <c r="AN9" s="71">
        <v>138</v>
      </c>
      <c r="AO9" s="78">
        <f t="shared" si="5"/>
        <v>22469.033571500102</v>
      </c>
    </row>
    <row r="10" spans="1:44" x14ac:dyDescent="0.25">
      <c r="A10" s="79">
        <v>44352</v>
      </c>
      <c r="B10" s="86">
        <f>11955176-11950340</f>
        <v>4836</v>
      </c>
      <c r="C10" s="86">
        <f>7596767-7593507</f>
        <v>3260</v>
      </c>
      <c r="D10" s="86">
        <f>1493935-1492985</f>
        <v>950</v>
      </c>
      <c r="E10" s="86">
        <f>11382687-11377858</f>
        <v>4829</v>
      </c>
      <c r="F10" s="86">
        <f>11270051-11264188</f>
        <v>5863</v>
      </c>
      <c r="G10" s="86">
        <f>8196686-8192898</f>
        <v>3788</v>
      </c>
      <c r="H10" s="86">
        <f>8334041-8325957</f>
        <v>8084</v>
      </c>
      <c r="I10" s="86">
        <f>5117432-5115006</f>
        <v>2426</v>
      </c>
      <c r="J10" s="86">
        <f>11304086-11296611</f>
        <v>7475</v>
      </c>
      <c r="K10" s="86">
        <f t="shared" si="15"/>
        <v>31610</v>
      </c>
      <c r="L10" s="14">
        <f t="shared" si="8"/>
        <v>6322</v>
      </c>
      <c r="M10" s="83">
        <f>74888.671-74724.91</f>
        <v>163.7609999999986</v>
      </c>
      <c r="N10" s="83">
        <f>4228.918-4227.621</f>
        <v>1.2969999999995707</v>
      </c>
      <c r="O10" s="83">
        <f>9428.729-9427.603</f>
        <v>1.1260000000002037</v>
      </c>
      <c r="P10" s="82">
        <f>88536.586-88462.871</f>
        <v>73.714999999996508</v>
      </c>
      <c r="Q10" s="83">
        <f>23695.68-23678.528</f>
        <v>17.152000000001863</v>
      </c>
      <c r="R10" s="83">
        <f t="shared" si="0"/>
        <v>76.137999999996282</v>
      </c>
      <c r="S10" s="83">
        <f t="shared" si="1"/>
        <v>596.9219199999709</v>
      </c>
      <c r="T10" s="83">
        <f t="shared" si="2"/>
        <v>180.91300000000047</v>
      </c>
      <c r="U10" s="83">
        <f t="shared" si="16"/>
        <v>1418.3579200000036</v>
      </c>
      <c r="V10" s="83">
        <f>347877.3-347588.8</f>
        <v>288.5</v>
      </c>
      <c r="W10" s="83">
        <f t="shared" si="9"/>
        <v>0</v>
      </c>
      <c r="X10" s="86" t="s">
        <v>63</v>
      </c>
      <c r="Y10" s="86">
        <v>843755</v>
      </c>
      <c r="Z10" s="5">
        <f t="shared" si="10"/>
        <v>598</v>
      </c>
      <c r="AA10" s="14">
        <f t="shared" si="6"/>
        <v>3869.06</v>
      </c>
      <c r="AB10" s="87">
        <v>4926025.5</v>
      </c>
      <c r="AC10" s="87">
        <f t="shared" si="11"/>
        <v>4892818.7</v>
      </c>
      <c r="AD10" s="5">
        <f t="shared" si="3"/>
        <v>33206.799999999814</v>
      </c>
      <c r="AE10" s="83">
        <f t="shared" si="12"/>
        <v>11031.132925999938</v>
      </c>
      <c r="AF10" s="83">
        <f>86025.5-85971.7</f>
        <v>53.80000000000291</v>
      </c>
      <c r="AG10" s="83">
        <f>45075.1-45034.2</f>
        <v>40.900000000001455</v>
      </c>
      <c r="AH10" s="83">
        <f>27161.3-27145.5</f>
        <v>15.799999999999272</v>
      </c>
      <c r="AI10" s="87">
        <f t="shared" si="13"/>
        <v>43432.3</v>
      </c>
      <c r="AJ10" s="87">
        <v>43465.9</v>
      </c>
      <c r="AK10" s="48">
        <f t="shared" si="7"/>
        <v>33.599999999998545</v>
      </c>
      <c r="AL10" s="89">
        <f t="shared" si="4"/>
        <v>9553.996572623586</v>
      </c>
      <c r="AM10" s="83">
        <f t="shared" si="14"/>
        <v>3173.7898914426924</v>
      </c>
      <c r="AN10" s="71">
        <v>79</v>
      </c>
      <c r="AO10" s="78">
        <f t="shared" si="5"/>
        <v>22640.55084599994</v>
      </c>
    </row>
    <row r="11" spans="1:44" x14ac:dyDescent="0.25">
      <c r="A11" s="79">
        <v>44353</v>
      </c>
      <c r="B11" s="86">
        <f>11959878-11955176</f>
        <v>4702</v>
      </c>
      <c r="C11" s="86">
        <f>7600217-7596767</f>
        <v>3450</v>
      </c>
      <c r="D11" s="86">
        <f>1494823-1493935</f>
        <v>888</v>
      </c>
      <c r="E11" s="86">
        <f>11387367-11382687</f>
        <v>4680</v>
      </c>
      <c r="F11" s="86">
        <f>11275704-11270051</f>
        <v>5653</v>
      </c>
      <c r="G11" s="86">
        <f>8200217-8196686</f>
        <v>3531</v>
      </c>
      <c r="H11" s="86">
        <f>8342023-8334041</f>
        <v>7982</v>
      </c>
      <c r="I11" s="86">
        <f>5119891-5117432</f>
        <v>2459</v>
      </c>
      <c r="J11" s="86">
        <f>11311421-11304086</f>
        <v>7335</v>
      </c>
      <c r="K11" s="86">
        <f t="shared" si="15"/>
        <v>30886</v>
      </c>
      <c r="L11" s="14">
        <f t="shared" si="8"/>
        <v>6177.2000000000007</v>
      </c>
      <c r="M11" s="83">
        <f>75018.04-74888.671</f>
        <v>129.3689999999915</v>
      </c>
      <c r="N11" s="83">
        <f>4230.003-4228.918</f>
        <v>1.0850000000000364</v>
      </c>
      <c r="O11" s="83">
        <f>9429.634-9428.729</f>
        <v>0.90500000000065484</v>
      </c>
      <c r="P11" s="82">
        <f>88601.694-88536.586</f>
        <v>65.108000000007451</v>
      </c>
      <c r="Q11" s="83">
        <f>23708.63-23695.68</f>
        <v>12.950000000000728</v>
      </c>
      <c r="R11" s="83">
        <f t="shared" si="0"/>
        <v>67.098000000008142</v>
      </c>
      <c r="S11" s="83">
        <f t="shared" si="1"/>
        <v>526.04832000006377</v>
      </c>
      <c r="T11" s="83">
        <f t="shared" si="2"/>
        <v>142.31899999999223</v>
      </c>
      <c r="U11" s="83">
        <f t="shared" si="16"/>
        <v>1115.7809599999391</v>
      </c>
      <c r="V11" s="83">
        <f>348134.8-347877.3</f>
        <v>257.5</v>
      </c>
      <c r="W11" s="83">
        <f t="shared" si="9"/>
        <v>0</v>
      </c>
      <c r="X11" s="86" t="s">
        <v>63</v>
      </c>
      <c r="Y11" s="87">
        <v>844282</v>
      </c>
      <c r="Z11" s="5">
        <f t="shared" si="10"/>
        <v>527</v>
      </c>
      <c r="AA11" s="14">
        <f t="shared" si="6"/>
        <v>3409.69</v>
      </c>
      <c r="AB11" s="87">
        <v>4959192</v>
      </c>
      <c r="AC11" s="87">
        <f t="shared" si="11"/>
        <v>4926025.5</v>
      </c>
      <c r="AD11" s="5">
        <f t="shared" si="3"/>
        <v>33166.5</v>
      </c>
      <c r="AE11" s="83">
        <f t="shared" si="12"/>
        <v>11017.745467500001</v>
      </c>
      <c r="AF11" s="83">
        <f>86080.2-86025.5</f>
        <v>54.69999999999709</v>
      </c>
      <c r="AG11" s="83">
        <f>45114.5-45075.1</f>
        <v>39.400000000001455</v>
      </c>
      <c r="AH11" s="83">
        <f>27177.1-27161.3</f>
        <v>15.799999999999272</v>
      </c>
      <c r="AI11" s="87">
        <f t="shared" si="13"/>
        <v>43465.9</v>
      </c>
      <c r="AJ11" s="87">
        <v>43499</v>
      </c>
      <c r="AK11" s="48">
        <f t="shared" si="7"/>
        <v>33.099999999998545</v>
      </c>
      <c r="AL11" s="89">
        <f t="shared" si="4"/>
        <v>9411.824004578586</v>
      </c>
      <c r="AM11" s="83">
        <f t="shared" si="14"/>
        <v>3126.5608752009834</v>
      </c>
      <c r="AN11" s="71">
        <v>91</v>
      </c>
      <c r="AO11" s="78">
        <f t="shared" si="5"/>
        <v>21720.416427499942</v>
      </c>
    </row>
    <row r="12" spans="1:44" x14ac:dyDescent="0.25">
      <c r="A12" s="79">
        <v>44354</v>
      </c>
      <c r="B12" s="86">
        <f>11964596-11959878</f>
        <v>4718</v>
      </c>
      <c r="C12" s="86">
        <f>7604242-7600217</f>
        <v>4025</v>
      </c>
      <c r="D12" s="86">
        <f>1495745-1494823</f>
        <v>922</v>
      </c>
      <c r="E12" s="86">
        <f>11391846-11387367</f>
        <v>4479</v>
      </c>
      <c r="F12" s="86">
        <f>11281324-11275704</f>
        <v>5620</v>
      </c>
      <c r="G12" s="86">
        <f>8203739-8200217</f>
        <v>3522</v>
      </c>
      <c r="H12" s="86">
        <f>8349516-8342023</f>
        <v>7493</v>
      </c>
      <c r="I12" s="86">
        <f>5122270-5119891</f>
        <v>2379</v>
      </c>
      <c r="J12" s="86">
        <f>11318708-11311421</f>
        <v>7287</v>
      </c>
      <c r="K12" s="86">
        <f t="shared" si="15"/>
        <v>30779</v>
      </c>
      <c r="L12" s="14">
        <f t="shared" si="8"/>
        <v>6155.8</v>
      </c>
      <c r="M12" s="83">
        <f>75136.918-75018.04</f>
        <v>118.87800000001153</v>
      </c>
      <c r="N12" s="83">
        <f>4231.469-4230.003</f>
        <v>1.4660000000003492</v>
      </c>
      <c r="O12" s="83">
        <f>9431.068-9429.634</f>
        <v>1.433999999999287</v>
      </c>
      <c r="P12" s="82">
        <f>88677.515-88601.694</f>
        <v>75.820999999996275</v>
      </c>
      <c r="Q12" s="83">
        <f>23726.168-23708.63</f>
        <v>17.538000000000466</v>
      </c>
      <c r="R12" s="83">
        <f t="shared" si="0"/>
        <v>78.720999999995911</v>
      </c>
      <c r="S12" s="83">
        <f t="shared" si="1"/>
        <v>617.17263999996794</v>
      </c>
      <c r="T12" s="83">
        <f t="shared" si="2"/>
        <v>136.41600000001199</v>
      </c>
      <c r="U12" s="83">
        <f t="shared" si="16"/>
        <v>1069.5014400000939</v>
      </c>
      <c r="V12" s="83">
        <f>348409.4-348134.8</f>
        <v>274.60000000003492</v>
      </c>
      <c r="W12" s="83">
        <f t="shared" si="9"/>
        <v>0</v>
      </c>
      <c r="X12" s="86" t="s">
        <v>63</v>
      </c>
      <c r="Y12" s="87">
        <v>844860</v>
      </c>
      <c r="Z12" s="5">
        <f t="shared" si="10"/>
        <v>578</v>
      </c>
      <c r="AA12" s="14">
        <f t="shared" si="6"/>
        <v>3739.66</v>
      </c>
      <c r="AB12" s="87">
        <v>4992794</v>
      </c>
      <c r="AC12" s="87">
        <f t="shared" si="11"/>
        <v>4959192</v>
      </c>
      <c r="AD12" s="5">
        <f t="shared" si="3"/>
        <v>33602</v>
      </c>
      <c r="AE12" s="83">
        <f t="shared" si="12"/>
        <v>11162.41639</v>
      </c>
      <c r="AF12" s="83">
        <f>86136.1-86080.2</f>
        <v>55.900000000008731</v>
      </c>
      <c r="AG12" s="83">
        <f>45153-45114.5</f>
        <v>38.5</v>
      </c>
      <c r="AH12" s="83">
        <f>27193.7-27177.1</f>
        <v>16.600000000002183</v>
      </c>
      <c r="AI12" s="87">
        <f t="shared" si="13"/>
        <v>43499</v>
      </c>
      <c r="AJ12" s="87">
        <v>43532.9</v>
      </c>
      <c r="AK12" s="48">
        <f t="shared" si="7"/>
        <v>33.900000000001455</v>
      </c>
      <c r="AL12" s="89">
        <f t="shared" si="4"/>
        <v>9639.3001134514125</v>
      </c>
      <c r="AM12" s="83">
        <f t="shared" si="14"/>
        <v>3202.1273011879921</v>
      </c>
      <c r="AN12" s="71">
        <v>89</v>
      </c>
      <c r="AO12" s="78">
        <f t="shared" si="5"/>
        <v>22127.377830000092</v>
      </c>
    </row>
    <row r="13" spans="1:44" x14ac:dyDescent="0.25">
      <c r="A13" s="79">
        <v>44355</v>
      </c>
      <c r="B13" s="86">
        <f>11969252-11964596</f>
        <v>4656</v>
      </c>
      <c r="C13" s="86">
        <f>7607826-7604242</f>
        <v>3584</v>
      </c>
      <c r="D13" s="86">
        <f>1496724-1495745</f>
        <v>979</v>
      </c>
      <c r="E13" s="86">
        <f>11396446-11391846</f>
        <v>4600</v>
      </c>
      <c r="F13" s="86">
        <f>11287088-11281324</f>
        <v>5764</v>
      </c>
      <c r="G13" s="86">
        <f>8207242-8203739</f>
        <v>3503</v>
      </c>
      <c r="H13" s="86">
        <f>8356680-8349516</f>
        <v>7164</v>
      </c>
      <c r="I13" s="86">
        <f>5124661-5122270</f>
        <v>2391</v>
      </c>
      <c r="J13" s="86">
        <f>11326153-11318708</f>
        <v>7445</v>
      </c>
      <c r="K13" s="86">
        <f t="shared" si="15"/>
        <v>30250</v>
      </c>
      <c r="L13" s="14">
        <f t="shared" si="8"/>
        <v>6050</v>
      </c>
      <c r="M13" s="83">
        <f>75272.862-75136.918</f>
        <v>135.94399999998859</v>
      </c>
      <c r="N13" s="83">
        <f>4233.082-4231.469</f>
        <v>1.6130000000002838</v>
      </c>
      <c r="O13" s="83">
        <f>9432.655-9431.068</f>
        <v>1.5870000000013533</v>
      </c>
      <c r="P13" s="82">
        <f>88745.777-88677.52</f>
        <v>68.256999999997788</v>
      </c>
      <c r="Q13" s="83">
        <f>23742.19-23726.17</f>
        <v>16.020000000000437</v>
      </c>
      <c r="R13" s="83">
        <f t="shared" si="0"/>
        <v>71.456999999999425</v>
      </c>
      <c r="S13" s="83">
        <f t="shared" si="1"/>
        <v>560.22287999999548</v>
      </c>
      <c r="T13" s="83">
        <f t="shared" si="2"/>
        <v>151.96399999998903</v>
      </c>
      <c r="U13" s="83">
        <f t="shared" si="16"/>
        <v>1191.3977599999139</v>
      </c>
      <c r="V13" s="83">
        <f>348675.5-348409.4</f>
        <v>266.09999999997672</v>
      </c>
      <c r="W13" s="83">
        <f t="shared" si="9"/>
        <v>0</v>
      </c>
      <c r="X13" s="86" t="s">
        <v>63</v>
      </c>
      <c r="Y13" s="87">
        <v>845425</v>
      </c>
      <c r="Z13" s="5">
        <f t="shared" si="10"/>
        <v>565</v>
      </c>
      <c r="AA13" s="14">
        <f t="shared" si="6"/>
        <v>3655.5499999999997</v>
      </c>
      <c r="AB13" s="87">
        <v>5025309</v>
      </c>
      <c r="AC13" s="87">
        <f t="shared" si="11"/>
        <v>4992794</v>
      </c>
      <c r="AD13" s="5">
        <f t="shared" si="3"/>
        <v>32515</v>
      </c>
      <c r="AE13" s="83">
        <f t="shared" si="12"/>
        <v>10801.320425</v>
      </c>
      <c r="AF13" s="83">
        <f>86190.2-86136.1</f>
        <v>54.099999999991269</v>
      </c>
      <c r="AG13" s="83">
        <f>45190.2-45153</f>
        <v>37.19999999999709</v>
      </c>
      <c r="AH13" s="83">
        <f>27209.7-27193.7</f>
        <v>16</v>
      </c>
      <c r="AI13" s="87">
        <f t="shared" si="13"/>
        <v>43532.9</v>
      </c>
      <c r="AJ13" s="87">
        <v>43566.2</v>
      </c>
      <c r="AK13" s="48">
        <f t="shared" si="7"/>
        <v>33.299999999995634</v>
      </c>
      <c r="AL13" s="89">
        <f t="shared" si="4"/>
        <v>9468.6930317957576</v>
      </c>
      <c r="AM13" s="83">
        <f t="shared" si="14"/>
        <v>3145.4524816973917</v>
      </c>
      <c r="AN13" s="71">
        <v>116</v>
      </c>
      <c r="AO13" s="78">
        <f t="shared" si="5"/>
        <v>21698.268184999914</v>
      </c>
    </row>
    <row r="14" spans="1:44" x14ac:dyDescent="0.25">
      <c r="A14" s="79">
        <v>44356</v>
      </c>
      <c r="B14" s="86">
        <f>11974156-11969252</f>
        <v>4904</v>
      </c>
      <c r="C14" s="86">
        <f>7611962-7607826</f>
        <v>4136</v>
      </c>
      <c r="D14" s="86">
        <f>1497711-1496724</f>
        <v>987</v>
      </c>
      <c r="E14" s="86">
        <f>11401068-11396446</f>
        <v>4622</v>
      </c>
      <c r="F14" s="86">
        <f>11293083-11287088</f>
        <v>5995</v>
      </c>
      <c r="G14" s="86">
        <f>8210948-8207242</f>
        <v>3706</v>
      </c>
      <c r="H14" s="86">
        <f>8363874-8356680</f>
        <v>7194</v>
      </c>
      <c r="I14" s="86">
        <f>5127010-5124661</f>
        <v>2349</v>
      </c>
      <c r="J14" s="86">
        <f>11333558-11326153</f>
        <v>7405</v>
      </c>
      <c r="K14" s="86">
        <f t="shared" si="15"/>
        <v>31544</v>
      </c>
      <c r="L14" s="14">
        <f t="shared" si="8"/>
        <v>6308.8</v>
      </c>
      <c r="M14" s="83">
        <f>75420.874-75272.862</f>
        <v>148.01200000000244</v>
      </c>
      <c r="N14" s="83">
        <f>4234.31-4233.082</f>
        <v>1.2280000000000655</v>
      </c>
      <c r="O14" s="83">
        <f>9433.633-9432.655</f>
        <v>0.97799999999915599</v>
      </c>
      <c r="P14" s="82">
        <f>88815.832-88745.777</f>
        <v>70.054999999993015</v>
      </c>
      <c r="Q14" s="83">
        <f>23753.903-23742.19</f>
        <v>11.712999999999738</v>
      </c>
      <c r="R14" s="83">
        <f>N14+O14+P14</f>
        <v>72.260999999992237</v>
      </c>
      <c r="S14" s="83">
        <f t="shared" si="1"/>
        <v>566.52623999993909</v>
      </c>
      <c r="T14" s="83">
        <f t="shared" si="2"/>
        <v>159.72500000000218</v>
      </c>
      <c r="U14" s="83">
        <f t="shared" si="16"/>
        <v>1252.2440000000172</v>
      </c>
      <c r="V14" s="83">
        <f>348956-348675.5</f>
        <v>280.5</v>
      </c>
      <c r="W14" s="83">
        <f t="shared" si="9"/>
        <v>0</v>
      </c>
      <c r="X14" s="86" t="s">
        <v>63</v>
      </c>
      <c r="Y14" s="87">
        <v>846002</v>
      </c>
      <c r="Z14" s="5">
        <f>IF((Y14-Y13&lt;0), "0",Y14-Y13)</f>
        <v>577</v>
      </c>
      <c r="AA14" s="14">
        <f t="shared" si="6"/>
        <v>3733.19</v>
      </c>
      <c r="AB14" s="87">
        <v>5056140</v>
      </c>
      <c r="AC14" s="87">
        <f t="shared" si="11"/>
        <v>5025309</v>
      </c>
      <c r="AD14" s="5">
        <f t="shared" si="3"/>
        <v>30831</v>
      </c>
      <c r="AE14" s="83">
        <f t="shared" si="12"/>
        <v>10241.904045000001</v>
      </c>
      <c r="AF14" s="83">
        <f>86242.1-86190.2</f>
        <v>51.900000000008731</v>
      </c>
      <c r="AG14" s="83">
        <f>45227.2-45190.2</f>
        <v>37</v>
      </c>
      <c r="AH14" s="83">
        <f>27225.2-27209.7</f>
        <v>15.5</v>
      </c>
      <c r="AI14" s="87">
        <f t="shared" si="13"/>
        <v>43566.2</v>
      </c>
      <c r="AJ14" s="87">
        <v>43598</v>
      </c>
      <c r="AK14" s="48">
        <f t="shared" si="7"/>
        <v>31.80000000000291</v>
      </c>
      <c r="AL14" s="89">
        <f t="shared" si="4"/>
        <v>9042.1753276628278</v>
      </c>
      <c r="AM14" s="83">
        <f t="shared" si="14"/>
        <v>3003.7654329729535</v>
      </c>
      <c r="AN14" s="71">
        <v>127</v>
      </c>
      <c r="AO14" s="78">
        <f t="shared" si="5"/>
        <v>21536.138045000018</v>
      </c>
    </row>
    <row r="15" spans="1:44" x14ac:dyDescent="0.25">
      <c r="A15" s="79">
        <v>44357</v>
      </c>
      <c r="B15" s="86">
        <f>11979011-11974156</f>
        <v>4855</v>
      </c>
      <c r="C15" s="86">
        <f>7615826-7611962</f>
        <v>3864</v>
      </c>
      <c r="D15" s="86">
        <f>1498711-1497711</f>
        <v>1000</v>
      </c>
      <c r="E15" s="86">
        <f>11405749-11401068</f>
        <v>4681</v>
      </c>
      <c r="F15" s="86">
        <f>11299190-11293083</f>
        <v>6107</v>
      </c>
      <c r="G15" s="86">
        <f>8214721-8210948</f>
        <v>3773</v>
      </c>
      <c r="H15" s="86">
        <f>8371201-8363874</f>
        <v>7327</v>
      </c>
      <c r="I15" s="86">
        <f>5129507-5127010</f>
        <v>2497</v>
      </c>
      <c r="J15" s="86">
        <f>11341192-11333558</f>
        <v>7634</v>
      </c>
      <c r="K15" s="86">
        <f t="shared" si="15"/>
        <v>31607</v>
      </c>
      <c r="L15" s="14">
        <f t="shared" si="8"/>
        <v>6321.4000000000005</v>
      </c>
      <c r="M15" s="83">
        <f>75565.141-75420.874</f>
        <v>144.2670000000071</v>
      </c>
      <c r="N15" s="83">
        <f>4236.855-4234.31</f>
        <v>2.5449999999991633</v>
      </c>
      <c r="O15" s="83">
        <f>9436.053-9433.633</f>
        <v>2.4200000000000728</v>
      </c>
      <c r="P15" s="82">
        <f>88890.723-88815.832</f>
        <v>74.89100000000326</v>
      </c>
      <c r="Q15" s="83">
        <f>23769.129-23753.903</f>
        <v>15.226000000002387</v>
      </c>
      <c r="R15" s="83">
        <f t="shared" si="0"/>
        <v>79.856000000002496</v>
      </c>
      <c r="S15" s="83">
        <f t="shared" si="1"/>
        <v>626.07104000001959</v>
      </c>
      <c r="T15" s="83">
        <f t="shared" si="2"/>
        <v>159.49300000000949</v>
      </c>
      <c r="U15" s="83">
        <f t="shared" si="16"/>
        <v>1250.4251200000745</v>
      </c>
      <c r="V15" s="83">
        <f>349242.9-348956</f>
        <v>286.90000000002328</v>
      </c>
      <c r="W15" s="83">
        <f t="shared" si="9"/>
        <v>0</v>
      </c>
      <c r="X15" s="86" t="s">
        <v>63</v>
      </c>
      <c r="Y15" s="87">
        <v>846612</v>
      </c>
      <c r="Z15" s="5">
        <f t="shared" si="10"/>
        <v>610</v>
      </c>
      <c r="AA15" s="14">
        <f t="shared" si="6"/>
        <v>3946.7</v>
      </c>
      <c r="AB15" s="87">
        <v>5087250</v>
      </c>
      <c r="AC15" s="87">
        <f t="shared" si="11"/>
        <v>5056140</v>
      </c>
      <c r="AD15" s="5">
        <f t="shared" si="3"/>
        <v>31110</v>
      </c>
      <c r="AE15" s="83">
        <f t="shared" si="12"/>
        <v>10334.586450000001</v>
      </c>
      <c r="AF15" s="83">
        <f>86294.1-86242.1</f>
        <v>52</v>
      </c>
      <c r="AG15" s="83">
        <f>45264.7-45227.2</f>
        <v>37.5</v>
      </c>
      <c r="AH15" s="83">
        <f>27241.1-27225.2</f>
        <v>15.899999999997817</v>
      </c>
      <c r="AI15" s="87">
        <f t="shared" si="13"/>
        <v>43598</v>
      </c>
      <c r="AJ15" s="87">
        <v>43630.1</v>
      </c>
      <c r="AK15" s="48">
        <f t="shared" si="7"/>
        <v>32.099999999998545</v>
      </c>
      <c r="AL15" s="89">
        <f t="shared" si="4"/>
        <v>9127.4788684885862</v>
      </c>
      <c r="AM15" s="83">
        <f t="shared" si="14"/>
        <v>3032.1028427175661</v>
      </c>
      <c r="AN15" s="71">
        <v>140</v>
      </c>
      <c r="AO15" s="88">
        <f t="shared" si="5"/>
        <v>21853.111570000074</v>
      </c>
    </row>
    <row r="16" spans="1:44" x14ac:dyDescent="0.25">
      <c r="A16" s="79"/>
      <c r="B16" s="86"/>
      <c r="C16" s="86"/>
      <c r="D16" s="86"/>
      <c r="E16" s="86"/>
      <c r="F16" s="86"/>
      <c r="G16" s="86"/>
      <c r="H16" s="86"/>
      <c r="I16" s="86"/>
      <c r="J16" s="86"/>
      <c r="K16" s="86"/>
      <c r="L16" s="14"/>
      <c r="M16" s="83"/>
      <c r="N16" s="83"/>
      <c r="O16" s="83"/>
      <c r="P16" s="82"/>
      <c r="Q16" s="83"/>
      <c r="R16" s="83"/>
      <c r="S16" s="83"/>
      <c r="T16" s="83"/>
      <c r="U16" s="83"/>
      <c r="V16" s="83"/>
      <c r="W16" s="83"/>
      <c r="X16" s="86"/>
      <c r="Y16" s="87"/>
      <c r="Z16" s="5"/>
      <c r="AA16" s="14"/>
      <c r="AB16" s="87"/>
      <c r="AC16" s="87"/>
      <c r="AD16" s="5"/>
      <c r="AE16" s="83"/>
      <c r="AF16" s="83"/>
      <c r="AG16" s="83"/>
      <c r="AH16" s="83"/>
      <c r="AI16" s="87"/>
      <c r="AJ16" s="87"/>
      <c r="AK16" s="48"/>
      <c r="AL16" s="89"/>
      <c r="AM16" s="83"/>
      <c r="AN16" s="5"/>
      <c r="AO16" s="78"/>
    </row>
    <row r="17" spans="1:41" x14ac:dyDescent="0.25">
      <c r="A17" s="79"/>
      <c r="B17" s="86"/>
      <c r="C17" s="86"/>
      <c r="D17" s="86"/>
      <c r="E17" s="86"/>
      <c r="F17" s="86"/>
      <c r="G17" s="86"/>
      <c r="H17" s="86"/>
      <c r="I17" s="86"/>
      <c r="J17" s="86"/>
      <c r="K17" s="86"/>
      <c r="L17" s="14"/>
      <c r="M17" s="83"/>
      <c r="N17" s="83"/>
      <c r="O17" s="83"/>
      <c r="P17" s="82"/>
      <c r="Q17" s="83"/>
      <c r="R17" s="83"/>
      <c r="S17" s="83"/>
      <c r="T17" s="83"/>
      <c r="U17" s="83"/>
      <c r="V17" s="83"/>
      <c r="W17" s="83"/>
      <c r="X17" s="86"/>
      <c r="Y17" s="87"/>
      <c r="Z17" s="5"/>
      <c r="AA17" s="14"/>
      <c r="AB17" s="87"/>
      <c r="AC17" s="87"/>
      <c r="AD17" s="5"/>
      <c r="AE17" s="83"/>
      <c r="AF17" s="83"/>
      <c r="AG17" s="83"/>
      <c r="AH17" s="83"/>
      <c r="AI17" s="87"/>
      <c r="AJ17" s="87"/>
      <c r="AK17" s="48"/>
      <c r="AL17" s="89"/>
      <c r="AM17" s="83"/>
      <c r="AN17" s="5"/>
      <c r="AO17" s="78"/>
    </row>
    <row r="18" spans="1:41" x14ac:dyDescent="0.25">
      <c r="A18" s="79"/>
      <c r="B18" s="86"/>
      <c r="C18" s="86"/>
      <c r="D18" s="86"/>
      <c r="E18" s="86"/>
      <c r="F18" s="86"/>
      <c r="G18" s="86"/>
      <c r="H18" s="86"/>
      <c r="I18" s="86"/>
      <c r="J18" s="86"/>
      <c r="K18" s="86"/>
      <c r="L18" s="14"/>
      <c r="M18" s="83"/>
      <c r="N18" s="83"/>
      <c r="O18" s="83"/>
      <c r="P18" s="82"/>
      <c r="Q18" s="83"/>
      <c r="R18" s="83"/>
      <c r="S18" s="83"/>
      <c r="T18" s="83"/>
      <c r="U18" s="83"/>
      <c r="V18" s="83"/>
      <c r="W18" s="83"/>
      <c r="X18" s="86"/>
      <c r="Y18" s="87"/>
      <c r="Z18" s="5"/>
      <c r="AA18" s="14"/>
      <c r="AB18" s="87"/>
      <c r="AC18" s="87"/>
      <c r="AD18" s="5"/>
      <c r="AE18" s="83"/>
      <c r="AF18" s="82"/>
      <c r="AG18" s="82"/>
      <c r="AH18" s="82"/>
      <c r="AI18" s="87"/>
      <c r="AJ18" s="87"/>
      <c r="AK18" s="48"/>
      <c r="AL18" s="89"/>
      <c r="AM18" s="83"/>
      <c r="AN18" s="5"/>
      <c r="AO18" s="78"/>
    </row>
    <row r="19" spans="1:41" x14ac:dyDescent="0.25">
      <c r="A19" s="79"/>
      <c r="B19" s="86"/>
      <c r="C19" s="86"/>
      <c r="D19" s="86"/>
      <c r="E19" s="86"/>
      <c r="F19" s="86"/>
      <c r="G19" s="86"/>
      <c r="H19" s="86"/>
      <c r="I19" s="86"/>
      <c r="J19" s="86"/>
      <c r="K19" s="86"/>
      <c r="L19" s="14"/>
      <c r="M19" s="83"/>
      <c r="N19" s="83"/>
      <c r="O19" s="83"/>
      <c r="P19" s="82"/>
      <c r="Q19" s="83"/>
      <c r="R19" s="83"/>
      <c r="S19" s="83"/>
      <c r="T19" s="83"/>
      <c r="U19" s="83"/>
      <c r="V19" s="83"/>
      <c r="W19" s="83"/>
      <c r="X19" s="86"/>
      <c r="Y19" s="87"/>
      <c r="Z19" s="5"/>
      <c r="AA19" s="14"/>
      <c r="AB19" s="87"/>
      <c r="AC19" s="87"/>
      <c r="AD19" s="5"/>
      <c r="AE19" s="83"/>
      <c r="AF19" s="83"/>
      <c r="AG19" s="83"/>
      <c r="AH19" s="83"/>
      <c r="AI19" s="87"/>
      <c r="AJ19" s="87"/>
      <c r="AK19" s="48"/>
      <c r="AL19" s="89"/>
      <c r="AM19" s="83"/>
      <c r="AN19" s="5"/>
      <c r="AO19" s="78"/>
    </row>
    <row r="20" spans="1:41" x14ac:dyDescent="0.25">
      <c r="A20" s="79"/>
      <c r="B20" s="86"/>
      <c r="C20" s="86"/>
      <c r="D20" s="86"/>
      <c r="E20" s="86"/>
      <c r="F20" s="86"/>
      <c r="G20" s="86"/>
      <c r="H20" s="86"/>
      <c r="I20" s="86"/>
      <c r="J20" s="86"/>
      <c r="K20" s="86"/>
      <c r="L20" s="14"/>
      <c r="M20" s="83"/>
      <c r="N20" s="83"/>
      <c r="O20" s="83"/>
      <c r="P20" s="82"/>
      <c r="Q20" s="83"/>
      <c r="R20" s="83"/>
      <c r="S20" s="83"/>
      <c r="T20" s="83"/>
      <c r="U20" s="83"/>
      <c r="V20" s="83"/>
      <c r="W20" s="83"/>
      <c r="X20" s="86"/>
      <c r="Y20" s="87"/>
      <c r="Z20" s="5"/>
      <c r="AA20" s="14"/>
      <c r="AB20" s="87"/>
      <c r="AC20" s="87"/>
      <c r="AD20" s="5"/>
      <c r="AE20" s="83"/>
      <c r="AF20" s="83"/>
      <c r="AG20" s="83"/>
      <c r="AH20" s="83"/>
      <c r="AI20" s="87"/>
      <c r="AJ20" s="87"/>
      <c r="AK20" s="48"/>
      <c r="AL20" s="89"/>
      <c r="AM20" s="83"/>
      <c r="AN20" s="5"/>
      <c r="AO20" s="78"/>
    </row>
    <row r="21" spans="1:41" x14ac:dyDescent="0.25">
      <c r="A21" s="79"/>
      <c r="B21" s="86"/>
      <c r="C21" s="86"/>
      <c r="D21" s="86"/>
      <c r="E21" s="86"/>
      <c r="F21" s="86"/>
      <c r="G21" s="86"/>
      <c r="H21" s="86"/>
      <c r="I21" s="86"/>
      <c r="J21" s="86"/>
      <c r="K21" s="86"/>
      <c r="L21" s="14"/>
      <c r="M21" s="83"/>
      <c r="N21" s="83"/>
      <c r="O21" s="83"/>
      <c r="P21" s="82"/>
      <c r="Q21" s="83"/>
      <c r="R21" s="83"/>
      <c r="S21" s="83"/>
      <c r="T21" s="83"/>
      <c r="U21" s="83"/>
      <c r="V21" s="83"/>
      <c r="W21" s="83"/>
      <c r="X21" s="86"/>
      <c r="Y21" s="87"/>
      <c r="Z21" s="5"/>
      <c r="AA21" s="14"/>
      <c r="AB21" s="87"/>
      <c r="AC21" s="87"/>
      <c r="AD21" s="5"/>
      <c r="AE21" s="83"/>
      <c r="AF21" s="83"/>
      <c r="AG21" s="83"/>
      <c r="AH21" s="83"/>
      <c r="AI21" s="87"/>
      <c r="AJ21" s="87"/>
      <c r="AK21" s="48"/>
      <c r="AL21" s="89"/>
      <c r="AM21" s="83"/>
      <c r="AN21" s="5"/>
      <c r="AO21" s="78"/>
    </row>
    <row r="22" spans="1:41" x14ac:dyDescent="0.25">
      <c r="A22" s="79"/>
      <c r="B22" s="86"/>
      <c r="C22" s="86"/>
      <c r="D22" s="86"/>
      <c r="E22" s="86"/>
      <c r="F22" s="86"/>
      <c r="G22" s="86"/>
      <c r="H22" s="86"/>
      <c r="I22" s="86"/>
      <c r="J22" s="86"/>
      <c r="K22" s="86"/>
      <c r="L22" s="14"/>
      <c r="M22" s="83"/>
      <c r="N22" s="83"/>
      <c r="O22" s="83"/>
      <c r="P22" s="82"/>
      <c r="Q22" s="83"/>
      <c r="R22" s="83"/>
      <c r="S22" s="83"/>
      <c r="T22" s="83"/>
      <c r="U22" s="83"/>
      <c r="V22" s="83"/>
      <c r="W22" s="83"/>
      <c r="X22" s="86"/>
      <c r="Y22" s="87"/>
      <c r="Z22" s="5"/>
      <c r="AA22" s="14"/>
      <c r="AB22" s="87"/>
      <c r="AC22" s="87"/>
      <c r="AD22" s="5"/>
      <c r="AE22" s="83"/>
      <c r="AF22" s="83"/>
      <c r="AG22" s="83"/>
      <c r="AH22" s="83"/>
      <c r="AI22" s="87"/>
      <c r="AJ22" s="87"/>
      <c r="AK22" s="48"/>
      <c r="AL22" s="89"/>
      <c r="AM22" s="83"/>
      <c r="AN22" s="5"/>
      <c r="AO22" s="78"/>
    </row>
    <row r="23" spans="1:41" x14ac:dyDescent="0.25">
      <c r="A23" s="79"/>
      <c r="B23" s="86"/>
      <c r="C23" s="86"/>
      <c r="D23" s="86"/>
      <c r="E23" s="86"/>
      <c r="F23" s="86"/>
      <c r="G23" s="86"/>
      <c r="H23" s="86"/>
      <c r="I23" s="86"/>
      <c r="J23" s="86"/>
      <c r="K23" s="86"/>
      <c r="L23" s="14"/>
      <c r="M23" s="83"/>
      <c r="N23" s="83"/>
      <c r="O23" s="83"/>
      <c r="P23" s="82"/>
      <c r="Q23" s="83"/>
      <c r="R23" s="83"/>
      <c r="S23" s="83"/>
      <c r="T23" s="83"/>
      <c r="U23" s="83"/>
      <c r="V23" s="83"/>
      <c r="W23" s="83"/>
      <c r="X23" s="86"/>
      <c r="Y23" s="87"/>
      <c r="Z23" s="5"/>
      <c r="AA23" s="14"/>
      <c r="AB23" s="87"/>
      <c r="AC23" s="87"/>
      <c r="AD23" s="5"/>
      <c r="AE23" s="83"/>
      <c r="AF23" s="83"/>
      <c r="AG23" s="83"/>
      <c r="AH23" s="83"/>
      <c r="AI23" s="87"/>
      <c r="AJ23" s="87"/>
      <c r="AK23" s="48"/>
      <c r="AL23" s="89"/>
      <c r="AM23" s="83"/>
      <c r="AN23" s="5"/>
      <c r="AO23" s="78"/>
    </row>
    <row r="24" spans="1:41" x14ac:dyDescent="0.25">
      <c r="A24" s="79"/>
      <c r="B24" s="86"/>
      <c r="C24" s="86"/>
      <c r="D24" s="86"/>
      <c r="E24" s="86"/>
      <c r="F24" s="86"/>
      <c r="G24" s="86"/>
      <c r="H24" s="86"/>
      <c r="I24" s="86"/>
      <c r="J24" s="86"/>
      <c r="K24" s="86"/>
      <c r="L24" s="14"/>
      <c r="M24" s="83"/>
      <c r="N24" s="83"/>
      <c r="O24" s="83"/>
      <c r="P24" s="82"/>
      <c r="Q24" s="83"/>
      <c r="R24" s="83"/>
      <c r="S24" s="83"/>
      <c r="T24" s="83"/>
      <c r="U24" s="83"/>
      <c r="V24" s="83"/>
      <c r="W24" s="83"/>
      <c r="X24" s="86"/>
      <c r="Y24" s="87"/>
      <c r="Z24" s="5"/>
      <c r="AA24" s="14"/>
      <c r="AB24" s="87"/>
      <c r="AC24" s="87"/>
      <c r="AD24" s="5"/>
      <c r="AE24" s="83"/>
      <c r="AF24" s="83"/>
      <c r="AG24" s="83"/>
      <c r="AH24" s="83"/>
      <c r="AI24" s="87"/>
      <c r="AJ24" s="87"/>
      <c r="AK24" s="48"/>
      <c r="AL24" s="89"/>
      <c r="AM24" s="83"/>
      <c r="AN24" s="5"/>
      <c r="AO24" s="78"/>
    </row>
    <row r="25" spans="1:41" x14ac:dyDescent="0.25">
      <c r="A25" s="79">
        <v>44367</v>
      </c>
      <c r="B25" s="86"/>
      <c r="C25" s="86"/>
      <c r="D25" s="86"/>
      <c r="E25" s="86"/>
      <c r="F25" s="86"/>
      <c r="G25" s="86"/>
      <c r="H25" s="86"/>
      <c r="I25" s="86"/>
      <c r="J25" s="86"/>
      <c r="K25" s="86">
        <f t="shared" si="15"/>
        <v>0</v>
      </c>
      <c r="L25" s="14">
        <f t="shared" si="8"/>
        <v>0</v>
      </c>
      <c r="M25" s="83"/>
      <c r="N25" s="83"/>
      <c r="O25" s="83"/>
      <c r="P25" s="82"/>
      <c r="Q25" s="83"/>
      <c r="R25" s="83">
        <f t="shared" si="0"/>
        <v>0</v>
      </c>
      <c r="S25" s="83">
        <f t="shared" si="1"/>
        <v>0</v>
      </c>
      <c r="T25" s="83">
        <f t="shared" si="2"/>
        <v>0</v>
      </c>
      <c r="U25" s="83">
        <f t="shared" si="16"/>
        <v>0</v>
      </c>
      <c r="V25" s="83"/>
      <c r="W25" s="83">
        <f t="shared" si="9"/>
        <v>0</v>
      </c>
      <c r="X25" s="86" t="s">
        <v>63</v>
      </c>
      <c r="Y25" s="87"/>
      <c r="Z25" s="5">
        <f t="shared" si="10"/>
        <v>0</v>
      </c>
      <c r="AA25" s="14">
        <f t="shared" si="6"/>
        <v>0</v>
      </c>
      <c r="AB25" s="87"/>
      <c r="AC25" s="87">
        <f t="shared" si="11"/>
        <v>0</v>
      </c>
      <c r="AD25" s="5">
        <f t="shared" si="3"/>
        <v>0</v>
      </c>
      <c r="AE25" s="83">
        <f t="shared" si="12"/>
        <v>0</v>
      </c>
      <c r="AF25" s="83"/>
      <c r="AG25" s="83"/>
      <c r="AH25" s="83"/>
      <c r="AI25" s="87">
        <f t="shared" si="13"/>
        <v>0</v>
      </c>
      <c r="AJ25" s="87"/>
      <c r="AK25" s="48">
        <f t="shared" si="7"/>
        <v>0</v>
      </c>
      <c r="AL25" s="89">
        <f t="shared" si="4"/>
        <v>0</v>
      </c>
      <c r="AM25" s="83">
        <f t="shared" si="14"/>
        <v>0</v>
      </c>
      <c r="AN25" s="5"/>
      <c r="AO25" s="78">
        <f t="shared" si="5"/>
        <v>0</v>
      </c>
    </row>
    <row r="26" spans="1:41" x14ac:dyDescent="0.25">
      <c r="A26" s="79">
        <v>44368</v>
      </c>
      <c r="B26" s="86"/>
      <c r="C26" s="86"/>
      <c r="D26" s="86"/>
      <c r="E26" s="86"/>
      <c r="F26" s="86"/>
      <c r="G26" s="86"/>
      <c r="H26" s="86"/>
      <c r="I26" s="86"/>
      <c r="J26" s="86"/>
      <c r="K26" s="86">
        <f t="shared" si="15"/>
        <v>0</v>
      </c>
      <c r="L26" s="14">
        <f t="shared" si="8"/>
        <v>0</v>
      </c>
      <c r="M26" s="83"/>
      <c r="N26" s="83"/>
      <c r="O26" s="83"/>
      <c r="P26" s="82"/>
      <c r="Q26" s="83"/>
      <c r="R26" s="83">
        <f t="shared" si="0"/>
        <v>0</v>
      </c>
      <c r="S26" s="83">
        <f t="shared" si="1"/>
        <v>0</v>
      </c>
      <c r="T26" s="83">
        <f t="shared" si="2"/>
        <v>0</v>
      </c>
      <c r="U26" s="83">
        <f t="shared" si="16"/>
        <v>0</v>
      </c>
      <c r="V26" s="83"/>
      <c r="W26" s="83">
        <f t="shared" si="9"/>
        <v>0</v>
      </c>
      <c r="X26" s="86" t="s">
        <v>63</v>
      </c>
      <c r="Y26" s="87"/>
      <c r="Z26" s="5">
        <f t="shared" si="10"/>
        <v>0</v>
      </c>
      <c r="AA26" s="14">
        <f t="shared" si="6"/>
        <v>0</v>
      </c>
      <c r="AB26" s="87"/>
      <c r="AC26" s="87">
        <f t="shared" si="11"/>
        <v>0</v>
      </c>
      <c r="AD26" s="5">
        <f t="shared" si="3"/>
        <v>0</v>
      </c>
      <c r="AE26" s="83">
        <f t="shared" si="12"/>
        <v>0</v>
      </c>
      <c r="AF26" s="83"/>
      <c r="AG26" s="83"/>
      <c r="AH26" s="83"/>
      <c r="AI26" s="87">
        <f t="shared" si="13"/>
        <v>0</v>
      </c>
      <c r="AJ26" s="87"/>
      <c r="AK26" s="48">
        <f t="shared" si="7"/>
        <v>0</v>
      </c>
      <c r="AL26" s="89">
        <f t="shared" si="4"/>
        <v>0</v>
      </c>
      <c r="AM26" s="83">
        <f t="shared" si="14"/>
        <v>0</v>
      </c>
      <c r="AN26" s="5"/>
      <c r="AO26" s="78">
        <f t="shared" si="5"/>
        <v>0</v>
      </c>
    </row>
    <row r="27" spans="1:41" x14ac:dyDescent="0.25">
      <c r="A27" s="79">
        <v>44369</v>
      </c>
      <c r="B27" s="86"/>
      <c r="C27" s="86"/>
      <c r="D27" s="86"/>
      <c r="E27" s="86"/>
      <c r="F27" s="86"/>
      <c r="G27" s="86"/>
      <c r="H27" s="86"/>
      <c r="I27" s="86"/>
      <c r="J27" s="86"/>
      <c r="K27" s="86">
        <f t="shared" si="15"/>
        <v>0</v>
      </c>
      <c r="L27" s="14">
        <f t="shared" si="8"/>
        <v>0</v>
      </c>
      <c r="M27" s="83"/>
      <c r="N27" s="83"/>
      <c r="O27" s="83"/>
      <c r="P27" s="82"/>
      <c r="Q27" s="83"/>
      <c r="R27" s="83">
        <f t="shared" si="0"/>
        <v>0</v>
      </c>
      <c r="S27" s="83">
        <f t="shared" si="1"/>
        <v>0</v>
      </c>
      <c r="T27" s="83">
        <f t="shared" si="2"/>
        <v>0</v>
      </c>
      <c r="U27" s="83">
        <f t="shared" si="16"/>
        <v>0</v>
      </c>
      <c r="V27" s="83"/>
      <c r="W27" s="83">
        <f t="shared" si="9"/>
        <v>0</v>
      </c>
      <c r="X27" s="86" t="s">
        <v>63</v>
      </c>
      <c r="Y27" s="87"/>
      <c r="Z27" s="5">
        <f t="shared" si="10"/>
        <v>0</v>
      </c>
      <c r="AA27" s="14">
        <f t="shared" si="6"/>
        <v>0</v>
      </c>
      <c r="AB27" s="87"/>
      <c r="AC27" s="87">
        <f t="shared" si="11"/>
        <v>0</v>
      </c>
      <c r="AD27" s="5">
        <f t="shared" si="3"/>
        <v>0</v>
      </c>
      <c r="AE27" s="83">
        <f t="shared" si="12"/>
        <v>0</v>
      </c>
      <c r="AF27" s="83"/>
      <c r="AG27" s="83"/>
      <c r="AH27" s="83"/>
      <c r="AI27" s="87">
        <f t="shared" si="13"/>
        <v>0</v>
      </c>
      <c r="AJ27" s="87"/>
      <c r="AK27" s="48">
        <f t="shared" si="7"/>
        <v>0</v>
      </c>
      <c r="AL27" s="89">
        <f t="shared" si="4"/>
        <v>0</v>
      </c>
      <c r="AM27" s="83">
        <f t="shared" si="14"/>
        <v>0</v>
      </c>
      <c r="AN27" s="5"/>
      <c r="AO27" s="78">
        <f t="shared" si="5"/>
        <v>0</v>
      </c>
    </row>
    <row r="28" spans="1:41" x14ac:dyDescent="0.25">
      <c r="A28" s="79">
        <v>44370</v>
      </c>
      <c r="B28" s="86"/>
      <c r="C28" s="86"/>
      <c r="D28" s="86"/>
      <c r="E28" s="86"/>
      <c r="F28" s="86"/>
      <c r="G28" s="86"/>
      <c r="H28" s="86"/>
      <c r="I28" s="86"/>
      <c r="J28" s="86"/>
      <c r="K28" s="86">
        <f t="shared" si="15"/>
        <v>0</v>
      </c>
      <c r="L28" s="14">
        <f t="shared" si="8"/>
        <v>0</v>
      </c>
      <c r="M28" s="83"/>
      <c r="N28" s="83"/>
      <c r="O28" s="83"/>
      <c r="P28" s="82"/>
      <c r="Q28" s="83"/>
      <c r="R28" s="83">
        <f t="shared" si="0"/>
        <v>0</v>
      </c>
      <c r="S28" s="83">
        <f t="shared" si="1"/>
        <v>0</v>
      </c>
      <c r="T28" s="83">
        <f t="shared" si="2"/>
        <v>0</v>
      </c>
      <c r="U28" s="83">
        <f t="shared" si="16"/>
        <v>0</v>
      </c>
      <c r="V28" s="83"/>
      <c r="W28" s="83">
        <f t="shared" si="9"/>
        <v>0</v>
      </c>
      <c r="X28" s="86" t="s">
        <v>63</v>
      </c>
      <c r="Y28" s="87"/>
      <c r="Z28" s="5">
        <f t="shared" si="10"/>
        <v>0</v>
      </c>
      <c r="AA28" s="14">
        <f t="shared" si="6"/>
        <v>0</v>
      </c>
      <c r="AB28" s="87"/>
      <c r="AC28" s="87">
        <f t="shared" si="11"/>
        <v>0</v>
      </c>
      <c r="AD28" s="5">
        <f t="shared" si="3"/>
        <v>0</v>
      </c>
      <c r="AE28" s="83">
        <f t="shared" si="12"/>
        <v>0</v>
      </c>
      <c r="AF28" s="83"/>
      <c r="AG28" s="83"/>
      <c r="AH28" s="83"/>
      <c r="AI28" s="87">
        <f t="shared" si="13"/>
        <v>0</v>
      </c>
      <c r="AJ28" s="87"/>
      <c r="AK28" s="48">
        <f t="shared" si="7"/>
        <v>0</v>
      </c>
      <c r="AL28" s="89">
        <f t="shared" si="4"/>
        <v>0</v>
      </c>
      <c r="AM28" s="83">
        <f t="shared" si="14"/>
        <v>0</v>
      </c>
      <c r="AN28" s="5"/>
      <c r="AO28" s="78">
        <f t="shared" si="5"/>
        <v>0</v>
      </c>
    </row>
    <row r="29" spans="1:41" x14ac:dyDescent="0.25">
      <c r="A29" s="79">
        <v>44371</v>
      </c>
      <c r="B29" s="86"/>
      <c r="C29" s="86"/>
      <c r="D29" s="86"/>
      <c r="E29" s="86"/>
      <c r="F29" s="86"/>
      <c r="G29" s="86"/>
      <c r="H29" s="86"/>
      <c r="I29" s="86"/>
      <c r="J29" s="86"/>
      <c r="K29" s="86">
        <f t="shared" si="15"/>
        <v>0</v>
      </c>
      <c r="L29" s="14">
        <f t="shared" si="8"/>
        <v>0</v>
      </c>
      <c r="M29" s="83"/>
      <c r="N29" s="83"/>
      <c r="O29" s="83"/>
      <c r="P29" s="82"/>
      <c r="Q29" s="83"/>
      <c r="R29" s="83">
        <f t="shared" si="0"/>
        <v>0</v>
      </c>
      <c r="S29" s="83">
        <f t="shared" si="1"/>
        <v>0</v>
      </c>
      <c r="T29" s="83">
        <f t="shared" si="2"/>
        <v>0</v>
      </c>
      <c r="U29" s="83">
        <f t="shared" si="16"/>
        <v>0</v>
      </c>
      <c r="V29" s="83"/>
      <c r="W29" s="83">
        <f t="shared" si="9"/>
        <v>0</v>
      </c>
      <c r="X29" s="86" t="s">
        <v>63</v>
      </c>
      <c r="Y29" s="87"/>
      <c r="Z29" s="5">
        <f t="shared" si="10"/>
        <v>0</v>
      </c>
      <c r="AA29" s="14">
        <f t="shared" si="6"/>
        <v>0</v>
      </c>
      <c r="AB29" s="87"/>
      <c r="AC29" s="87">
        <f t="shared" si="11"/>
        <v>0</v>
      </c>
      <c r="AD29" s="5">
        <f t="shared" si="3"/>
        <v>0</v>
      </c>
      <c r="AE29" s="83">
        <f t="shared" si="12"/>
        <v>0</v>
      </c>
      <c r="AF29" s="83"/>
      <c r="AG29" s="83"/>
      <c r="AH29" s="83"/>
      <c r="AI29" s="87">
        <f t="shared" si="13"/>
        <v>0</v>
      </c>
      <c r="AJ29" s="87"/>
      <c r="AK29" s="48">
        <f t="shared" si="7"/>
        <v>0</v>
      </c>
      <c r="AL29" s="89">
        <f t="shared" si="4"/>
        <v>0</v>
      </c>
      <c r="AM29" s="83">
        <f t="shared" si="14"/>
        <v>0</v>
      </c>
      <c r="AN29" s="5"/>
      <c r="AO29" s="78">
        <f t="shared" si="5"/>
        <v>0</v>
      </c>
    </row>
    <row r="30" spans="1:41" x14ac:dyDescent="0.25">
      <c r="A30" s="79">
        <v>44372</v>
      </c>
      <c r="B30" s="86"/>
      <c r="C30" s="86"/>
      <c r="D30" s="86"/>
      <c r="E30" s="86"/>
      <c r="F30" s="86"/>
      <c r="G30" s="86"/>
      <c r="H30" s="86"/>
      <c r="I30" s="86"/>
      <c r="J30" s="86"/>
      <c r="K30" s="86">
        <f t="shared" si="15"/>
        <v>0</v>
      </c>
      <c r="L30" s="14">
        <f t="shared" si="8"/>
        <v>0</v>
      </c>
      <c r="M30" s="83"/>
      <c r="N30" s="83"/>
      <c r="O30" s="83"/>
      <c r="P30" s="82"/>
      <c r="Q30" s="83"/>
      <c r="R30" s="83">
        <f t="shared" si="0"/>
        <v>0</v>
      </c>
      <c r="S30" s="83">
        <f t="shared" si="1"/>
        <v>0</v>
      </c>
      <c r="T30" s="83">
        <f t="shared" si="2"/>
        <v>0</v>
      </c>
      <c r="U30" s="83">
        <f t="shared" si="16"/>
        <v>0</v>
      </c>
      <c r="V30" s="83"/>
      <c r="W30" s="83">
        <f t="shared" si="9"/>
        <v>0</v>
      </c>
      <c r="X30" s="86" t="s">
        <v>63</v>
      </c>
      <c r="Y30" s="87"/>
      <c r="Z30" s="5">
        <f t="shared" si="10"/>
        <v>0</v>
      </c>
      <c r="AA30" s="14">
        <f t="shared" si="6"/>
        <v>0</v>
      </c>
      <c r="AB30" s="87"/>
      <c r="AC30" s="87">
        <f t="shared" si="11"/>
        <v>0</v>
      </c>
      <c r="AD30" s="5">
        <f t="shared" si="3"/>
        <v>0</v>
      </c>
      <c r="AE30" s="83">
        <f t="shared" si="12"/>
        <v>0</v>
      </c>
      <c r="AF30" s="83"/>
      <c r="AG30" s="83"/>
      <c r="AH30" s="83"/>
      <c r="AI30" s="87">
        <f t="shared" si="13"/>
        <v>0</v>
      </c>
      <c r="AJ30" s="87"/>
      <c r="AK30" s="48">
        <f t="shared" si="7"/>
        <v>0</v>
      </c>
      <c r="AL30" s="89">
        <f t="shared" si="4"/>
        <v>0</v>
      </c>
      <c r="AM30" s="83">
        <f t="shared" si="14"/>
        <v>0</v>
      </c>
      <c r="AN30" s="5"/>
      <c r="AO30" s="78">
        <f t="shared" si="5"/>
        <v>0</v>
      </c>
    </row>
    <row r="31" spans="1:41" x14ac:dyDescent="0.25">
      <c r="A31" s="79">
        <v>44373</v>
      </c>
      <c r="B31" s="86"/>
      <c r="C31" s="86"/>
      <c r="D31" s="86"/>
      <c r="E31" s="86"/>
      <c r="F31" s="86"/>
      <c r="G31" s="86"/>
      <c r="H31" s="86"/>
      <c r="I31" s="86"/>
      <c r="J31" s="86"/>
      <c r="K31" s="86">
        <f t="shared" si="15"/>
        <v>0</v>
      </c>
      <c r="L31" s="14">
        <f t="shared" si="8"/>
        <v>0</v>
      </c>
      <c r="M31" s="83"/>
      <c r="N31" s="83"/>
      <c r="O31" s="83"/>
      <c r="P31" s="82"/>
      <c r="Q31" s="83"/>
      <c r="R31" s="83">
        <f t="shared" si="0"/>
        <v>0</v>
      </c>
      <c r="S31" s="83">
        <f t="shared" si="1"/>
        <v>0</v>
      </c>
      <c r="T31" s="83">
        <f t="shared" si="2"/>
        <v>0</v>
      </c>
      <c r="U31" s="83">
        <f t="shared" si="16"/>
        <v>0</v>
      </c>
      <c r="V31" s="83"/>
      <c r="W31" s="83">
        <f t="shared" si="9"/>
        <v>0</v>
      </c>
      <c r="X31" s="86" t="s">
        <v>63</v>
      </c>
      <c r="Y31" s="87"/>
      <c r="Z31" s="5">
        <f t="shared" si="10"/>
        <v>0</v>
      </c>
      <c r="AA31" s="14">
        <f t="shared" si="6"/>
        <v>0</v>
      </c>
      <c r="AB31" s="87"/>
      <c r="AC31" s="87">
        <f t="shared" si="11"/>
        <v>0</v>
      </c>
      <c r="AD31" s="5">
        <f t="shared" si="3"/>
        <v>0</v>
      </c>
      <c r="AE31" s="83">
        <f t="shared" si="12"/>
        <v>0</v>
      </c>
      <c r="AF31" s="83"/>
      <c r="AG31" s="83"/>
      <c r="AH31" s="83"/>
      <c r="AI31" s="87">
        <f t="shared" si="13"/>
        <v>0</v>
      </c>
      <c r="AJ31" s="87"/>
      <c r="AK31" s="48">
        <f t="shared" si="7"/>
        <v>0</v>
      </c>
      <c r="AL31" s="89">
        <f t="shared" si="4"/>
        <v>0</v>
      </c>
      <c r="AM31" s="83">
        <f t="shared" si="14"/>
        <v>0</v>
      </c>
      <c r="AN31" s="5"/>
      <c r="AO31" s="78">
        <f t="shared" si="5"/>
        <v>0</v>
      </c>
    </row>
    <row r="32" spans="1:41" x14ac:dyDescent="0.25">
      <c r="A32" s="79">
        <v>44374</v>
      </c>
      <c r="B32" s="86"/>
      <c r="C32" s="86"/>
      <c r="D32" s="86"/>
      <c r="E32" s="86"/>
      <c r="F32" s="86"/>
      <c r="G32" s="86"/>
      <c r="H32" s="86"/>
      <c r="I32" s="86"/>
      <c r="J32" s="86"/>
      <c r="K32" s="86">
        <f t="shared" si="15"/>
        <v>0</v>
      </c>
      <c r="L32" s="14">
        <f t="shared" si="8"/>
        <v>0</v>
      </c>
      <c r="M32" s="83"/>
      <c r="N32" s="83"/>
      <c r="O32" s="83"/>
      <c r="P32" s="82"/>
      <c r="Q32" s="83"/>
      <c r="R32" s="83">
        <f t="shared" si="0"/>
        <v>0</v>
      </c>
      <c r="S32" s="83">
        <f t="shared" si="1"/>
        <v>0</v>
      </c>
      <c r="T32" s="83">
        <f t="shared" si="2"/>
        <v>0</v>
      </c>
      <c r="U32" s="83">
        <f t="shared" si="16"/>
        <v>0</v>
      </c>
      <c r="V32" s="83"/>
      <c r="W32" s="83">
        <f t="shared" si="9"/>
        <v>0</v>
      </c>
      <c r="X32" s="86" t="s">
        <v>63</v>
      </c>
      <c r="Y32" s="87"/>
      <c r="Z32" s="5">
        <f t="shared" si="10"/>
        <v>0</v>
      </c>
      <c r="AA32" s="14">
        <f t="shared" si="6"/>
        <v>0</v>
      </c>
      <c r="AB32" s="87"/>
      <c r="AC32" s="87">
        <f t="shared" si="11"/>
        <v>0</v>
      </c>
      <c r="AD32" s="5">
        <f t="shared" si="3"/>
        <v>0</v>
      </c>
      <c r="AE32" s="83">
        <f t="shared" si="12"/>
        <v>0</v>
      </c>
      <c r="AF32" s="83"/>
      <c r="AG32" s="83"/>
      <c r="AH32" s="83"/>
      <c r="AI32" s="87">
        <f t="shared" si="13"/>
        <v>0</v>
      </c>
      <c r="AJ32" s="86"/>
      <c r="AK32" s="48">
        <f t="shared" si="7"/>
        <v>0</v>
      </c>
      <c r="AL32" s="89">
        <f t="shared" si="4"/>
        <v>0</v>
      </c>
      <c r="AM32" s="83">
        <f t="shared" si="14"/>
        <v>0</v>
      </c>
      <c r="AN32" s="5"/>
      <c r="AO32" s="78">
        <f t="shared" si="5"/>
        <v>0</v>
      </c>
    </row>
    <row r="33" spans="1:41" x14ac:dyDescent="0.25">
      <c r="A33" s="79">
        <v>44375</v>
      </c>
      <c r="B33" s="86"/>
      <c r="C33" s="86"/>
      <c r="D33" s="86"/>
      <c r="E33" s="86"/>
      <c r="F33" s="86"/>
      <c r="G33" s="86"/>
      <c r="H33" s="86"/>
      <c r="I33" s="86"/>
      <c r="J33" s="86"/>
      <c r="K33" s="86">
        <f t="shared" si="15"/>
        <v>0</v>
      </c>
      <c r="L33" s="14">
        <f t="shared" si="8"/>
        <v>0</v>
      </c>
      <c r="M33" s="83"/>
      <c r="N33" s="83"/>
      <c r="O33" s="83"/>
      <c r="P33" s="82"/>
      <c r="Q33" s="83"/>
      <c r="R33" s="83">
        <f t="shared" si="0"/>
        <v>0</v>
      </c>
      <c r="S33" s="83">
        <f t="shared" si="1"/>
        <v>0</v>
      </c>
      <c r="T33" s="83">
        <f t="shared" si="2"/>
        <v>0</v>
      </c>
      <c r="U33" s="83">
        <f t="shared" si="16"/>
        <v>0</v>
      </c>
      <c r="V33" s="83"/>
      <c r="W33" s="83">
        <f t="shared" si="9"/>
        <v>0</v>
      </c>
      <c r="X33" s="86" t="s">
        <v>63</v>
      </c>
      <c r="Y33" s="87"/>
      <c r="Z33" s="5">
        <f t="shared" si="10"/>
        <v>0</v>
      </c>
      <c r="AA33" s="14">
        <f t="shared" si="6"/>
        <v>0</v>
      </c>
      <c r="AB33" s="87"/>
      <c r="AC33" s="87">
        <f t="shared" si="11"/>
        <v>0</v>
      </c>
      <c r="AD33" s="5">
        <f t="shared" si="3"/>
        <v>0</v>
      </c>
      <c r="AE33" s="83">
        <f t="shared" si="12"/>
        <v>0</v>
      </c>
      <c r="AF33" s="83"/>
      <c r="AG33" s="83"/>
      <c r="AH33" s="83"/>
      <c r="AI33" s="87">
        <f t="shared" si="13"/>
        <v>0</v>
      </c>
      <c r="AJ33" s="86"/>
      <c r="AK33" s="48">
        <f t="shared" si="7"/>
        <v>0</v>
      </c>
      <c r="AL33" s="89">
        <f t="shared" si="4"/>
        <v>0</v>
      </c>
      <c r="AM33" s="83">
        <f t="shared" si="14"/>
        <v>0</v>
      </c>
      <c r="AN33" s="5"/>
      <c r="AO33" s="78">
        <f t="shared" si="5"/>
        <v>0</v>
      </c>
    </row>
    <row r="34" spans="1:41" x14ac:dyDescent="0.25">
      <c r="A34" s="79">
        <v>44376</v>
      </c>
      <c r="B34" s="86"/>
      <c r="C34" s="86"/>
      <c r="D34" s="86"/>
      <c r="E34" s="86"/>
      <c r="F34" s="86"/>
      <c r="G34" s="86"/>
      <c r="H34" s="86"/>
      <c r="I34" s="86"/>
      <c r="J34" s="86"/>
      <c r="K34" s="86">
        <f t="shared" si="15"/>
        <v>0</v>
      </c>
      <c r="L34" s="14">
        <f t="shared" si="8"/>
        <v>0</v>
      </c>
      <c r="M34" s="83"/>
      <c r="N34" s="83"/>
      <c r="O34" s="83"/>
      <c r="P34" s="82"/>
      <c r="Q34" s="83"/>
      <c r="R34" s="83">
        <f t="shared" si="0"/>
        <v>0</v>
      </c>
      <c r="S34" s="83">
        <f t="shared" si="1"/>
        <v>0</v>
      </c>
      <c r="T34" s="83">
        <f t="shared" si="2"/>
        <v>0</v>
      </c>
      <c r="U34" s="83">
        <f t="shared" si="16"/>
        <v>0</v>
      </c>
      <c r="V34" s="83"/>
      <c r="W34" s="83">
        <f t="shared" si="9"/>
        <v>0</v>
      </c>
      <c r="X34" s="86" t="s">
        <v>63</v>
      </c>
      <c r="Y34" s="87"/>
      <c r="Z34" s="5">
        <f t="shared" si="10"/>
        <v>0</v>
      </c>
      <c r="AA34" s="14">
        <f t="shared" si="6"/>
        <v>0</v>
      </c>
      <c r="AB34" s="87"/>
      <c r="AC34" s="87">
        <f t="shared" si="11"/>
        <v>0</v>
      </c>
      <c r="AD34" s="5">
        <f t="shared" si="3"/>
        <v>0</v>
      </c>
      <c r="AE34" s="83">
        <f t="shared" si="12"/>
        <v>0</v>
      </c>
      <c r="AF34" s="83"/>
      <c r="AG34" s="83"/>
      <c r="AH34" s="83"/>
      <c r="AI34" s="87">
        <f t="shared" si="13"/>
        <v>0</v>
      </c>
      <c r="AJ34" s="87"/>
      <c r="AK34" s="48">
        <f t="shared" si="7"/>
        <v>0</v>
      </c>
      <c r="AL34" s="89">
        <f t="shared" si="4"/>
        <v>0</v>
      </c>
      <c r="AM34" s="83">
        <f t="shared" si="14"/>
        <v>0</v>
      </c>
      <c r="AN34" s="5"/>
      <c r="AO34" s="78">
        <f t="shared" si="5"/>
        <v>0</v>
      </c>
    </row>
    <row r="35" spans="1:41" x14ac:dyDescent="0.25">
      <c r="A35" s="79">
        <v>44377</v>
      </c>
      <c r="B35" s="86"/>
      <c r="C35" s="86"/>
      <c r="D35" s="86"/>
      <c r="E35" s="86"/>
      <c r="F35" s="86"/>
      <c r="G35" s="86"/>
      <c r="H35" s="86"/>
      <c r="I35" s="86"/>
      <c r="J35" s="86"/>
      <c r="K35" s="86">
        <f t="shared" ref="K35" si="17">SUM(B35:H35)</f>
        <v>0</v>
      </c>
      <c r="L35" s="14">
        <f t="shared" ref="L35" si="18">K35*0.2</f>
        <v>0</v>
      </c>
      <c r="M35" s="83"/>
      <c r="N35" s="83"/>
      <c r="O35" s="83"/>
      <c r="P35" s="82"/>
      <c r="Q35" s="83"/>
      <c r="R35" s="83">
        <f t="shared" ref="R35" si="19">N35+O35+P35</f>
        <v>0</v>
      </c>
      <c r="S35" s="83">
        <f t="shared" ref="S35" si="20">(N35+O35+P35)*7.84</f>
        <v>0</v>
      </c>
      <c r="T35" s="83">
        <f t="shared" ref="T35" si="21">M35+Q35</f>
        <v>0</v>
      </c>
      <c r="U35" s="83">
        <f t="shared" ref="U35" si="22">T35*7.84</f>
        <v>0</v>
      </c>
      <c r="V35" s="83"/>
      <c r="W35" s="83">
        <f t="shared" si="9"/>
        <v>0</v>
      </c>
      <c r="X35" s="86" t="s">
        <v>63</v>
      </c>
      <c r="Y35" s="87"/>
      <c r="Z35" s="5">
        <f t="shared" ref="Z35" si="23">IF((Y35-Y34&lt;0), "0",Y35-Y34)</f>
        <v>0</v>
      </c>
      <c r="AA35" s="14">
        <f t="shared" ref="AA35" si="24">Z35*6.47</f>
        <v>0</v>
      </c>
      <c r="AB35" s="87"/>
      <c r="AC35" s="87">
        <f t="shared" si="11"/>
        <v>0</v>
      </c>
      <c r="AD35" s="5">
        <f t="shared" si="3"/>
        <v>0</v>
      </c>
      <c r="AE35" s="83">
        <f t="shared" si="12"/>
        <v>0</v>
      </c>
      <c r="AF35" s="83"/>
      <c r="AG35" s="83"/>
      <c r="AH35" s="83"/>
      <c r="AI35" s="87">
        <f t="shared" si="13"/>
        <v>0</v>
      </c>
      <c r="AJ35" s="87"/>
      <c r="AK35" s="48">
        <f t="shared" ref="AK35" si="25">IF((AJ35-AI35)&lt;0, "0",AJ35-AI35)</f>
        <v>0</v>
      </c>
      <c r="AL35" s="89">
        <f t="shared" ref="AL35" si="26">AK35*(284.34513609)</f>
        <v>0</v>
      </c>
      <c r="AM35" s="83">
        <f t="shared" si="14"/>
        <v>0</v>
      </c>
      <c r="AN35" s="5"/>
      <c r="AO35" s="78">
        <f t="shared" ref="AO35" si="27">L35+U35+AA35+AE35</f>
        <v>0</v>
      </c>
    </row>
    <row r="36" spans="1:41" x14ac:dyDescent="0.25">
      <c r="A36" s="76"/>
      <c r="D36" s="6">
        <f>SUM(D6:D35)</f>
        <v>9454</v>
      </c>
      <c r="E36" s="6" t="s">
        <v>93</v>
      </c>
      <c r="G36" s="6">
        <f t="shared" ref="G36:L36" si="28">SUM(G6:G35)</f>
        <v>36289</v>
      </c>
      <c r="H36" s="6">
        <f t="shared" si="28"/>
        <v>75668</v>
      </c>
      <c r="I36" s="6">
        <f t="shared" si="28"/>
        <v>24261</v>
      </c>
      <c r="J36" s="6">
        <f t="shared" si="28"/>
        <v>74517</v>
      </c>
      <c r="K36" s="6">
        <f t="shared" si="28"/>
        <v>312261</v>
      </c>
      <c r="L36" s="15">
        <f t="shared" si="28"/>
        <v>62452.200000000004</v>
      </c>
      <c r="R36" s="16">
        <f>SUM(R6:R35)</f>
        <v>777.13199999999142</v>
      </c>
      <c r="T36" s="16">
        <f>SUM(T6:T35)</f>
        <v>1545.5160000000105</v>
      </c>
      <c r="U36" s="16">
        <f t="shared" si="16"/>
        <v>12116.845440000083</v>
      </c>
      <c r="Z36" s="17">
        <f>SUM(Z6:Z35)</f>
        <v>5873</v>
      </c>
      <c r="AA36" s="17">
        <f>SUM(AA6:AA35)</f>
        <v>37998.31</v>
      </c>
      <c r="AD36" s="17">
        <f>SUM(AD6:AD35)</f>
        <v>320247</v>
      </c>
      <c r="AE36" s="16">
        <f>AD36*0.334569</f>
        <v>107144.718543</v>
      </c>
      <c r="AF36" s="16">
        <f>SUM(AF6:AF35)</f>
        <v>528.60000000000582</v>
      </c>
      <c r="AG36" s="16">
        <f>SUM(AG6:AG35)</f>
        <v>381</v>
      </c>
      <c r="AH36" s="16">
        <f>SUM(AH6:AH35)</f>
        <v>157.29999999999927</v>
      </c>
      <c r="AK36" s="42">
        <f>SUM(AK6:AK35)</f>
        <v>328.69999999999709</v>
      </c>
      <c r="AL36" s="42">
        <f>SUM(AL6:AL35)</f>
        <v>93464.24623278217</v>
      </c>
      <c r="AM36" s="42">
        <f>SUM(AM6:AM35)</f>
        <v>31048.355277299073</v>
      </c>
      <c r="AN36" s="42">
        <f>SUM(AN6:AN35)</f>
        <v>1167</v>
      </c>
      <c r="AO36" s="42">
        <f>SUM(AO6:AO35)</f>
        <v>218951.8076050001</v>
      </c>
    </row>
    <row r="37" spans="1:41" x14ac:dyDescent="0.25">
      <c r="D37" s="6" t="e">
        <f>#REF!*24</f>
        <v>#REF!</v>
      </c>
      <c r="E37" s="6" t="s">
        <v>1</v>
      </c>
      <c r="R37" s="16">
        <v>7.84</v>
      </c>
      <c r="T37" s="16" t="s">
        <v>99</v>
      </c>
      <c r="U37" s="16">
        <f>U36-R38</f>
        <v>6024.1305600001506</v>
      </c>
    </row>
    <row r="38" spans="1:41" x14ac:dyDescent="0.25">
      <c r="D38" s="6" t="e">
        <f>D37*31</f>
        <v>#REF!</v>
      </c>
      <c r="E38" s="6" t="s">
        <v>2</v>
      </c>
      <c r="F38" s="6" t="s">
        <v>94</v>
      </c>
      <c r="G38" s="6" t="e">
        <f>D38*0.2</f>
        <v>#REF!</v>
      </c>
      <c r="R38" s="16">
        <f>R36*R37</f>
        <v>6092.7148799999322</v>
      </c>
      <c r="U38" s="16">
        <f>U37/R37</f>
        <v>768.38400000001923</v>
      </c>
    </row>
    <row r="39" spans="1:41" x14ac:dyDescent="0.25">
      <c r="D39" s="15" t="e">
        <f>D38*0.2</f>
        <v>#REF!</v>
      </c>
    </row>
    <row r="40" spans="1:41" x14ac:dyDescent="0.25">
      <c r="E40" s="68" t="s">
        <v>98</v>
      </c>
    </row>
    <row r="41" spans="1:41" x14ac:dyDescent="0.25">
      <c r="AD41" s="6">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2021-06-21T04:50:42Z</dcterms:modified>
</cp:coreProperties>
</file>