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L19" i="3"/>
  <c r="K19" i="3"/>
  <c r="I19" i="3"/>
  <c r="G19" i="3"/>
  <c r="E19" i="3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32" i="2" l="1"/>
  <c r="I32" i="2"/>
  <c r="H32" i="2"/>
  <c r="F32" i="2"/>
  <c r="E32" i="2"/>
  <c r="B32" i="2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9" i="5"/>
  <c r="H39" i="5"/>
  <c r="G39" i="5"/>
  <c r="F39" i="5"/>
  <c r="E39" i="5"/>
  <c r="D39" i="5"/>
  <c r="C39" i="5"/>
  <c r="B39" i="5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<sst xmlns="http://schemas.openxmlformats.org/spreadsheetml/2006/main" count="107" uniqueCount="38">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</sst>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3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/>
    </xf>
    <xf numFmtId="43" fontId="4" fillId="0" borderId="15" xfId="2" applyFont="1" applyBorder="1" applyAlignment="1">
      <alignment horizontal="center" vertical="center"/>
    </xf>
    <xf numFmtId="43" fontId="4" fillId="2" borderId="15" xfId="2" applyFont="1" applyFill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43" fontId="6" fillId="0" borderId="15" xfId="2" applyFont="1" applyFill="1" applyBorder="1" applyAlignment="1">
      <alignment horizontal="center" vertical="center"/>
    </xf>
    <xf numFmtId="43" fontId="4" fillId="0" borderId="15" xfId="2" applyFont="1" applyFill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wrapText="1"/>
    </xf>
    <xf numFmtId="164" fontId="5" fillId="0" borderId="17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9" fontId="4" fillId="0" borderId="4" xfId="0" applyNumberFormat="1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3" fontId="4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S14" sqref="S1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9517.6999999999534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9519.4000000000233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9471.0999999999767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'05 - 2022'!B20-'05 - 2022'!B19+'05 - 2022'!C20-'05 - 2022'!C19</f>
        <v>9315.5</v>
      </c>
      <c r="F14" s="14">
        <v>0.11799999999999999</v>
      </c>
      <c r="G14" s="16">
        <f>'05 - 2022'!D20-'05 - 2022'!D19+'05 - 2022'!E20-'05 - 2022'!E19</f>
        <v>27.129999999999882</v>
      </c>
      <c r="H14" s="14">
        <v>0.99</v>
      </c>
      <c r="I14" s="16">
        <f>'05 - 2022'!J20-'05 - 2022'!J19</f>
        <v>24822</v>
      </c>
      <c r="J14" s="14">
        <v>8.1000000000000003E-2</v>
      </c>
      <c r="K14" s="23">
        <f>'05 - 2022'!H20-'05 - 2022'!H19</f>
        <v>0</v>
      </c>
      <c r="L14" s="16">
        <f>'05 - 2022'!I20-'05 - 2022'!I19</f>
        <v>97</v>
      </c>
      <c r="M14" s="15">
        <v>4.393629424766913</v>
      </c>
      <c r="N14" s="16">
        <v>97</v>
      </c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'05 - 2022'!B21-'05 - 2022'!B20+'05 - 2022'!C21-'05 - 2022'!C20</f>
        <v>9321.4000000000233</v>
      </c>
      <c r="F15" s="14">
        <v>0.11799999999999999</v>
      </c>
      <c r="G15" s="16">
        <f>'05 - 2022'!D21-'05 - 2022'!D20+'05 - 2022'!E21-'05 - 2022'!E20</f>
        <v>24.420000000000073</v>
      </c>
      <c r="H15" s="14">
        <v>0.99</v>
      </c>
      <c r="I15" s="16">
        <f>'05 - 2022'!J21-'05 - 2022'!J20</f>
        <v>24498</v>
      </c>
      <c r="J15" s="14">
        <v>8.1000000000000003E-2</v>
      </c>
      <c r="K15" s="23">
        <f>'05 - 2022'!H21-'05 - 2022'!H20</f>
        <v>0</v>
      </c>
      <c r="L15" s="16">
        <f>'05 - 2022'!I21-'05 - 2022'!I20</f>
        <v>126</v>
      </c>
      <c r="M15" s="15">
        <v>4.393629424766913</v>
      </c>
      <c r="N15" s="16">
        <v>78</v>
      </c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'05 - 2022'!B22-'05 - 2022'!B21+'05 - 2022'!C22-'05 - 2022'!C21</f>
        <v>9090.5</v>
      </c>
      <c r="F16" s="14">
        <v>0.11799999999999999</v>
      </c>
      <c r="G16" s="16">
        <f>'05 - 2022'!D22-'05 - 2022'!D21+'05 - 2022'!E22-'05 - 2022'!E21</f>
        <v>25.550000000000182</v>
      </c>
      <c r="H16" s="14">
        <v>0.99</v>
      </c>
      <c r="I16" s="16">
        <f>'05 - 2022'!J22-'05 - 2022'!J21</f>
        <v>23221</v>
      </c>
      <c r="J16" s="14">
        <v>8.1000000000000003E-2</v>
      </c>
      <c r="K16" s="23">
        <f>'05 - 2022'!H22-'05 - 2022'!H21</f>
        <v>0</v>
      </c>
      <c r="L16" s="16">
        <f>'05 - 2022'!I22-'05 - 2022'!I21</f>
        <v>120</v>
      </c>
      <c r="M16" s="15">
        <v>4.393629424766913</v>
      </c>
      <c r="N16" s="16">
        <v>56</v>
      </c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9066.6999999999534</v>
      </c>
      <c r="F17" s="14">
        <v>0.11799999999999999</v>
      </c>
      <c r="G17" s="16">
        <f>'05 - 2022'!D23-'05 - 2022'!D22+'05 - 2022'!E23-'05 - 2022'!E22</f>
        <v>22.900000000000091</v>
      </c>
      <c r="H17" s="14">
        <v>0.99</v>
      </c>
      <c r="I17" s="16">
        <f>'05 - 2022'!J23-'05 - 2022'!J22</f>
        <v>23017</v>
      </c>
      <c r="J17" s="14">
        <v>8.1000000000000003E-2</v>
      </c>
      <c r="K17" s="23">
        <f>'05 - 2022'!H23-'05 - 2022'!H22</f>
        <v>0</v>
      </c>
      <c r="L17" s="16">
        <f>'05 - 2022'!I23-'05 - 2022'!I22</f>
        <v>92</v>
      </c>
      <c r="M17" s="15">
        <v>4.393629424766913</v>
      </c>
      <c r="N17" s="16">
        <v>50</v>
      </c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'05 - 2022'!B24-'05 - 2022'!B23+'05 - 2022'!C24-'05 - 2022'!C23</f>
        <v>9382.5999999999767</v>
      </c>
      <c r="F18" s="14">
        <v>0.11799999999999999</v>
      </c>
      <c r="G18" s="16">
        <f>'05 - 2022'!D24-'05 - 2022'!D23+'05 - 2022'!E24-'05 - 2022'!E23</f>
        <v>25.369999999999891</v>
      </c>
      <c r="H18" s="14">
        <v>0.99</v>
      </c>
      <c r="I18" s="16">
        <f>'05 - 2022'!J24-'05 - 2022'!J23</f>
        <v>25809</v>
      </c>
      <c r="J18" s="14">
        <v>8.1000000000000003E-2</v>
      </c>
      <c r="K18" s="23">
        <f>'05 - 2022'!H24-'05 - 2022'!H23</f>
        <v>0</v>
      </c>
      <c r="L18" s="16">
        <f>'05 - 2022'!I24-'05 - 2022'!I23</f>
        <v>97</v>
      </c>
      <c r="M18" s="15">
        <v>4.393629424766913</v>
      </c>
      <c r="N18" s="16">
        <v>59</v>
      </c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'05 - 2022'!B25-'05 - 2022'!B24+'05 - 2022'!C25-'05 - 2022'!C24</f>
        <v>9594.0999999999767</v>
      </c>
      <c r="F19" s="14">
        <v>0.11799999999999999</v>
      </c>
      <c r="G19" s="16">
        <f>'05 - 2022'!D25-'05 - 2022'!D24+'05 - 2022'!E25-'05 - 2022'!E24</f>
        <v>26.210000000000264</v>
      </c>
      <c r="H19" s="14">
        <v>0.99</v>
      </c>
      <c r="I19" s="16">
        <f>'05 - 2022'!J25-'05 - 2022'!J24</f>
        <v>26282</v>
      </c>
      <c r="J19" s="14">
        <v>8.1000000000000003E-2</v>
      </c>
      <c r="K19" s="23">
        <f>'05 - 2022'!H25-'05 - 2022'!H24</f>
        <v>0</v>
      </c>
      <c r="L19" s="16">
        <f>'05 - 2022'!I25-'05 - 2022'!I24</f>
        <v>106</v>
      </c>
      <c r="M19" s="15">
        <v>4.393629424766913</v>
      </c>
      <c r="N19" s="16">
        <v>82</v>
      </c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'05 - 2022'!B26-'05 - 2022'!B25+'05 - 2022'!C26-'05 - 2022'!C25</f>
        <v>9422.8000000000466</v>
      </c>
      <c r="F20" s="14">
        <v>0.11799999999999999</v>
      </c>
      <c r="G20" s="16">
        <f>'05 - 2022'!D26-'05 - 2022'!D25+'05 - 2022'!E26-'05 - 2022'!E25</f>
        <v>24.119999999999891</v>
      </c>
      <c r="H20" s="14">
        <v>0.99</v>
      </c>
      <c r="I20" s="16">
        <f>'05 - 2022'!J26-'05 - 2022'!J25</f>
        <v>26350</v>
      </c>
      <c r="J20" s="14">
        <v>8.1000000000000003E-2</v>
      </c>
      <c r="K20" s="23">
        <f>'05 - 2022'!H26-'05 - 2022'!H25</f>
        <v>0</v>
      </c>
      <c r="L20" s="16">
        <f>'05 - 2022'!I26-'05 - 2022'!I25</f>
        <v>109</v>
      </c>
      <c r="M20" s="15">
        <v>4.393629424766913</v>
      </c>
      <c r="N20" s="16">
        <v>96</v>
      </c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v>0</v>
      </c>
      <c r="F21" s="14">
        <v>0.11799999999999999</v>
      </c>
      <c r="G21" s="16">
        <v>0</v>
      </c>
      <c r="H21" s="14">
        <v>0.99</v>
      </c>
      <c r="I21" s="16">
        <v>0</v>
      </c>
      <c r="J21" s="14">
        <v>8.1000000000000003E-2</v>
      </c>
      <c r="K21" s="23">
        <v>0</v>
      </c>
      <c r="L21" s="16"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'05 - 2022'!B28-'05 - 2022'!B27+'05 - 2022'!C28-'05 - 2022'!C27</f>
        <v>0</v>
      </c>
      <c r="F22" s="14">
        <v>0.11799999999999999</v>
      </c>
      <c r="G22" s="16">
        <f>'05 - 2022'!D28-'05 - 2022'!D27+'05 - 2022'!E28-'05 - 2022'!E27</f>
        <v>0</v>
      </c>
      <c r="H22" s="14">
        <v>0.99</v>
      </c>
      <c r="I22" s="16">
        <f>'05 - 2022'!J28-'05 - 2022'!J27</f>
        <v>0</v>
      </c>
      <c r="J22" s="14">
        <v>8.1000000000000003E-2</v>
      </c>
      <c r="K22" s="23">
        <f>'05 - 2022'!H28-'05 - 2022'!H27</f>
        <v>0</v>
      </c>
      <c r="L22" s="16">
        <f>'05 - 2022'!I28-'05 - 2022'!I27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0</v>
      </c>
      <c r="F23" s="14">
        <v>0.11799999999999999</v>
      </c>
      <c r="G23" s="16">
        <f>'05 - 2022'!D29-'05 - 2022'!D28+'05 - 2022'!E29-'05 - 2022'!E28</f>
        <v>0</v>
      </c>
      <c r="H23" s="14">
        <v>0.99</v>
      </c>
      <c r="I23" s="16">
        <f>'05 - 2022'!J29-'05 - 2022'!J28</f>
        <v>0</v>
      </c>
      <c r="J23" s="14">
        <v>8.1000000000000003E-2</v>
      </c>
      <c r="K23" s="23">
        <f>'05 - 2022'!H29-'05 - 2022'!H28</f>
        <v>0</v>
      </c>
      <c r="L23" s="16">
        <f>'05 - 2022'!I29-'05 - 2022'!I28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0</v>
      </c>
      <c r="F24" s="14">
        <v>0.11799999999999999</v>
      </c>
      <c r="G24" s="16">
        <f>'05 - 2022'!D30-'05 - 2022'!D29+'05 - 2022'!E30-'05 - 2022'!E29</f>
        <v>0</v>
      </c>
      <c r="H24" s="14">
        <v>0.99</v>
      </c>
      <c r="I24" s="16">
        <f>'05 - 2022'!J30-'05 - 2022'!J29</f>
        <v>0</v>
      </c>
      <c r="J24" s="14">
        <v>8.1000000000000003E-2</v>
      </c>
      <c r="K24" s="23">
        <f>'05 - 2022'!H30-'05 - 2022'!H29</f>
        <v>0</v>
      </c>
      <c r="L24" s="16">
        <f>'05 - 2022'!I30-'05 - 2022'!I29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0</v>
      </c>
      <c r="F25" s="14">
        <v>0.11799999999999999</v>
      </c>
      <c r="G25" s="16">
        <f>'05 - 2022'!D31-'05 - 2022'!D30+'05 - 2022'!E31-'05 - 2022'!E30</f>
        <v>0</v>
      </c>
      <c r="H25" s="14">
        <v>0.99</v>
      </c>
      <c r="I25" s="16">
        <f>'05 - 2022'!J31-'05 - 2022'!J30</f>
        <v>0</v>
      </c>
      <c r="J25" s="14">
        <v>8.1000000000000003E-2</v>
      </c>
      <c r="K25" s="23">
        <f>'05 - 2022'!H31-'05 - 2022'!H30</f>
        <v>0</v>
      </c>
      <c r="L25" s="16">
        <f>'05 - 2022'!I31-'05 - 2022'!I30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'05 - 2022'!B32-'05 - 2022'!B31+'05 - 2022'!C32-'05 - 2022'!C31</f>
        <v>0</v>
      </c>
      <c r="F26" s="14">
        <v>0.11799999999999999</v>
      </c>
      <c r="G26" s="16">
        <f>'05 - 2022'!D32-'05 - 2022'!D31+'05 - 2022'!E32-'05 - 2022'!E31</f>
        <v>0</v>
      </c>
      <c r="H26" s="14">
        <v>0.99</v>
      </c>
      <c r="I26" s="16">
        <f>'05 - 2022'!J32-'05 - 2022'!J31</f>
        <v>0</v>
      </c>
      <c r="J26" s="14">
        <v>8.1000000000000003E-2</v>
      </c>
      <c r="K26" s="23">
        <f>'05 - 2022'!H32-'05 - 2022'!H31</f>
        <v>0</v>
      </c>
      <c r="L26" s="16">
        <f>'05 - 2022'!I32-'05 - 2022'!I31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0</v>
      </c>
      <c r="F27" s="14">
        <v>0.11799999999999999</v>
      </c>
      <c r="G27" s="16">
        <f>'05 - 2022'!D33-'05 - 2022'!D32+'05 - 2022'!E33-'05 - 2022'!E32</f>
        <v>0</v>
      </c>
      <c r="H27" s="14">
        <v>0.99</v>
      </c>
      <c r="I27" s="16">
        <f>'05 - 2022'!J33-'05 - 2022'!J32</f>
        <v>0</v>
      </c>
      <c r="J27" s="14">
        <v>8.1000000000000003E-2</v>
      </c>
      <c r="K27" s="23">
        <f>'05 - 2022'!H33-'05 - 2022'!H32</f>
        <v>0</v>
      </c>
      <c r="L27" s="16">
        <f>'05 - 2022'!I33-'05 - 2022'!I32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'05 - 2022'!B34-'05 - 2022'!B33+'05 - 2022'!C34-'05 - 2022'!C33</f>
        <v>0</v>
      </c>
      <c r="F28" s="14">
        <v>0.11799999999999999</v>
      </c>
      <c r="G28" s="16">
        <f>'05 - 2022'!D34-'05 - 2022'!D33+'05 - 2022'!E34-'05 - 2022'!E33</f>
        <v>0</v>
      </c>
      <c r="H28" s="14">
        <v>0.99</v>
      </c>
      <c r="I28" s="16">
        <f>'05 - 2022'!J34-'05 - 2022'!J33</f>
        <v>0</v>
      </c>
      <c r="J28" s="14">
        <v>8.1000000000000003E-2</v>
      </c>
      <c r="K28" s="23">
        <f>'05 - 2022'!H34-'05 - 2022'!H33</f>
        <v>0</v>
      </c>
      <c r="L28" s="16">
        <f>'05 - 2022'!I34-'05 - 2022'!I33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0</v>
      </c>
      <c r="F29" s="14">
        <v>0.11799999999999999</v>
      </c>
      <c r="G29" s="16">
        <f>'05 - 2022'!D35-'05 - 2022'!D34+'05 - 2022'!E35-'05 - 2022'!E34</f>
        <v>0</v>
      </c>
      <c r="H29" s="14">
        <v>0.99</v>
      </c>
      <c r="I29" s="16">
        <f>'05 - 2022'!J35-'05 - 2022'!J34</f>
        <v>0</v>
      </c>
      <c r="J29" s="14">
        <v>8.1000000000000003E-2</v>
      </c>
      <c r="K29" s="23">
        <f>'05 - 2022'!H35-'05 - 2022'!H34</f>
        <v>0</v>
      </c>
      <c r="L29" s="16">
        <f>'05 - 2022'!I35-'05 - 2022'!I34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0</v>
      </c>
      <c r="F30" s="14">
        <v>0.11799999999999999</v>
      </c>
      <c r="G30" s="16">
        <f>'05 - 2022'!D36-'05 - 2022'!D35+'05 - 2022'!E36-'05 - 2022'!E35</f>
        <v>0</v>
      </c>
      <c r="H30" s="14">
        <v>0.99</v>
      </c>
      <c r="I30" s="16">
        <f>'05 - 2022'!J36-'05 - 2022'!J35</f>
        <v>0</v>
      </c>
      <c r="J30" s="14">
        <v>8.1000000000000003E-2</v>
      </c>
      <c r="K30" s="23">
        <f>'05 - 2022'!H36-'05 - 2022'!H35</f>
        <v>0</v>
      </c>
      <c r="L30" s="16">
        <f>'05 - 2022'!I36-'05 - 2022'!I35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0</v>
      </c>
      <c r="F31" s="14">
        <v>0.11799999999999999</v>
      </c>
      <c r="G31" s="16">
        <f>'05 - 2022'!D37-'05 - 2022'!D36+'05 - 2022'!E37-'05 - 2022'!E36</f>
        <v>0</v>
      </c>
      <c r="H31" s="14">
        <v>0.99</v>
      </c>
      <c r="I31" s="16">
        <f>'05 - 2022'!J37-'05 - 2022'!J36</f>
        <v>0</v>
      </c>
      <c r="J31" s="14">
        <v>8.1000000000000003E-2</v>
      </c>
      <c r="K31" s="23">
        <f>'05 - 2022'!H37-'05 - 2022'!H36</f>
        <v>0</v>
      </c>
      <c r="L31" s="16">
        <f>'05 - 2022'!I37-'05 - 2022'!I36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1" sqref="K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5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</f>
        <v>3667.54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</f>
        <v>3963.59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</f>
        <v>3768.09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</f>
        <v>3829.6999999999989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</f>
        <v>3894.4000000000015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</f>
        <v>3895.0999999999985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</f>
        <v>3825.2000000000007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</f>
        <v>3900.3000000000029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</f>
        <v>3805.5</v>
      </c>
      <c r="F14" s="16">
        <f>'05 - 2022'!C20-'05 - 2022'!C19</f>
        <v>5510</v>
      </c>
      <c r="G14" s="14">
        <v>0.11799999999999999</v>
      </c>
      <c r="H14" s="16">
        <f>'05 - 2022'!E20-'05 - 2022'!E19</f>
        <v>26.579999999999927</v>
      </c>
      <c r="I14" s="16">
        <f>'05 - 2022'!F20-'05 - 2022'!F19</f>
        <v>7.1199999999998909</v>
      </c>
      <c r="J14" s="16">
        <f>'05 - 2022'!G20-'05 - 2022'!G19</f>
        <v>37.570000000006985</v>
      </c>
      <c r="K14" s="14">
        <v>0.74</v>
      </c>
      <c r="L14" s="16">
        <v>97</v>
      </c>
      <c r="M14" s="11"/>
    </row>
    <row r="15" spans="1:13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</f>
        <v>3752.3999999999942</v>
      </c>
      <c r="F15" s="16">
        <f>'05 - 2022'!C21-'05 - 2022'!C20</f>
        <v>5569</v>
      </c>
      <c r="G15" s="14">
        <v>0.11799999999999999</v>
      </c>
      <c r="H15" s="16">
        <f>'05 - 2022'!E21-'05 - 2022'!E20</f>
        <v>24.490000000000009</v>
      </c>
      <c r="I15" s="16">
        <f>'05 - 2022'!F21-'05 - 2022'!F20</f>
        <v>7.7000000000002728</v>
      </c>
      <c r="J15" s="16">
        <f>'05 - 2022'!G21-'05 - 2022'!G20</f>
        <v>34.849999999998545</v>
      </c>
      <c r="K15" s="14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</f>
        <v>3659.5</v>
      </c>
      <c r="F16" s="16">
        <f>'05 - 2022'!C22-'05 - 2022'!C21</f>
        <v>5431</v>
      </c>
      <c r="G16" s="14">
        <v>0.11799999999999999</v>
      </c>
      <c r="H16" s="16">
        <f>'05 - 2022'!E22-'05 - 2022'!E21</f>
        <v>25.620000000000118</v>
      </c>
      <c r="I16" s="16">
        <f>'05 - 2022'!F22-'05 - 2022'!F21</f>
        <v>7.0599999999999454</v>
      </c>
      <c r="J16" s="16">
        <f>'05 - 2022'!G22-'05 - 2022'!G21</f>
        <v>34.209999999999127</v>
      </c>
      <c r="K16" s="14">
        <v>0.74</v>
      </c>
      <c r="L16" s="16">
        <v>56</v>
      </c>
      <c r="M16" s="11"/>
    </row>
    <row r="17" spans="1:13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</f>
        <v>3693.7000000000044</v>
      </c>
      <c r="F17" s="16">
        <f>'05 - 2022'!C23-'05 - 2022'!C22</f>
        <v>5373</v>
      </c>
      <c r="G17" s="14">
        <v>0.11799999999999999</v>
      </c>
      <c r="H17" s="16">
        <f>'05 - 2022'!E23-'05 - 2022'!E22</f>
        <v>23.009999999999991</v>
      </c>
      <c r="I17" s="16">
        <f>'05 - 2022'!F23-'05 - 2022'!F22</f>
        <v>6.1300000000001091</v>
      </c>
      <c r="J17" s="16">
        <f>'05 - 2022'!G23-'05 - 2022'!G22</f>
        <v>34.779999999998836</v>
      </c>
      <c r="K17" s="14">
        <v>0.74</v>
      </c>
      <c r="L17" s="16">
        <v>50</v>
      </c>
      <c r="M17" s="11"/>
    </row>
    <row r="18" spans="1:13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</f>
        <v>3744.5999999999985</v>
      </c>
      <c r="F18" s="16">
        <f>'05 - 2022'!C24-'05 - 2022'!C23</f>
        <v>5638</v>
      </c>
      <c r="G18" s="14">
        <v>0.11799999999999999</v>
      </c>
      <c r="H18" s="16">
        <f>'05 - 2022'!E24-'05 - 2022'!E23</f>
        <v>25.439999999999827</v>
      </c>
      <c r="I18" s="16">
        <f>'05 - 2022'!F24-'05 - 2022'!F23</f>
        <v>6.2199999999997999</v>
      </c>
      <c r="J18" s="16">
        <f>'05 - 2022'!G24-'05 - 2022'!G23</f>
        <v>35.900000000001455</v>
      </c>
      <c r="K18" s="14">
        <v>0.74</v>
      </c>
      <c r="L18" s="16">
        <v>59</v>
      </c>
      <c r="M18" s="11"/>
    </row>
    <row r="19" spans="1:13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</f>
        <v>3821.0999999999985</v>
      </c>
      <c r="F19" s="16">
        <f>'05 - 2022'!C25-'05 - 2022'!C24</f>
        <v>5773</v>
      </c>
      <c r="G19" s="14">
        <v>0.11799999999999999</v>
      </c>
      <c r="H19" s="16">
        <f>'05 - 2022'!E25-'05 - 2022'!E24</f>
        <v>26.290000000000191</v>
      </c>
      <c r="I19" s="16">
        <f>'05 - 2022'!F25-'05 - 2022'!F24</f>
        <v>8.8800000000001091</v>
      </c>
      <c r="J19" s="16">
        <f>'05 - 2022'!G25-'05 - 2022'!G24</f>
        <v>36.089999999996508</v>
      </c>
      <c r="K19" s="14">
        <v>0.74</v>
      </c>
      <c r="L19" s="16">
        <v>82</v>
      </c>
      <c r="M19" s="11"/>
    </row>
    <row r="20" spans="1:13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</f>
        <v>3751.7999999999956</v>
      </c>
      <c r="F20" s="16">
        <f>'05 - 2022'!C26-'05 - 2022'!C25</f>
        <v>5671</v>
      </c>
      <c r="G20" s="14">
        <v>0.11799999999999999</v>
      </c>
      <c r="H20" s="16">
        <f>'05 - 2022'!E26-'05 - 2022'!E25</f>
        <v>24.179999999999836</v>
      </c>
      <c r="I20" s="16">
        <f>'05 - 2022'!F26-'05 - 2022'!F25</f>
        <v>6.1999999999998181</v>
      </c>
      <c r="J20" s="16">
        <f>'05 - 2022'!G26-'05 - 2022'!G25</f>
        <v>37.709999999999127</v>
      </c>
      <c r="K20" s="14">
        <v>0.74</v>
      </c>
      <c r="L20" s="4">
        <v>96</v>
      </c>
      <c r="M20" s="11"/>
    </row>
    <row r="21" spans="1:13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v>0</v>
      </c>
      <c r="F21" s="16">
        <v>0</v>
      </c>
      <c r="G21" s="14">
        <v>0.11799999999999999</v>
      </c>
      <c r="H21" s="16">
        <v>0</v>
      </c>
      <c r="I21" s="16">
        <v>0</v>
      </c>
      <c r="J21" s="16"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</f>
        <v>0</v>
      </c>
      <c r="F22" s="16">
        <f>'05 - 2022'!C28-'05 - 2022'!C27</f>
        <v>0</v>
      </c>
      <c r="G22" s="14">
        <v>0.11799999999999999</v>
      </c>
      <c r="H22" s="16">
        <f>'05 - 2022'!E28-'05 - 2022'!E27</f>
        <v>0</v>
      </c>
      <c r="I22" s="16">
        <f>'05 - 2022'!F28-'05 - 2022'!F27</f>
        <v>0</v>
      </c>
      <c r="J22" s="16">
        <f>'05 - 2022'!G28-'05 - 2022'!G27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</f>
        <v>0</v>
      </c>
      <c r="F23" s="16">
        <f>'05 - 2022'!C29-'05 - 2022'!C28</f>
        <v>0</v>
      </c>
      <c r="G23" s="14">
        <v>0.11799999999999999</v>
      </c>
      <c r="H23" s="16">
        <f>'05 - 2022'!E29-'05 - 2022'!E28</f>
        <v>0</v>
      </c>
      <c r="I23" s="16">
        <f>'05 - 2022'!F29-'05 - 2022'!F28</f>
        <v>0</v>
      </c>
      <c r="J23" s="16">
        <f>'05 - 2022'!G29-'05 - 2022'!G28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</f>
        <v>0</v>
      </c>
      <c r="F24" s="16">
        <f>'05 - 2022'!C30-'05 - 2022'!C29</f>
        <v>0</v>
      </c>
      <c r="G24" s="14">
        <v>0.11799999999999999</v>
      </c>
      <c r="H24" s="16">
        <f>'05 - 2022'!E30-'05 - 2022'!E29</f>
        <v>0</v>
      </c>
      <c r="I24" s="16">
        <f>'05 - 2022'!F30-'05 - 2022'!F29</f>
        <v>0</v>
      </c>
      <c r="J24" s="16">
        <f>'05 - 2022'!G30-'05 - 2022'!G29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</f>
        <v>0</v>
      </c>
      <c r="F25" s="16">
        <f>'05 - 2022'!C31-'05 - 2022'!C30</f>
        <v>0</v>
      </c>
      <c r="G25" s="14">
        <v>0.11799999999999999</v>
      </c>
      <c r="H25" s="16">
        <f>'05 - 2022'!E31-'05 - 2022'!E30</f>
        <v>0</v>
      </c>
      <c r="I25" s="16">
        <f>'05 - 2022'!F31-'05 - 2022'!F30</f>
        <v>0</v>
      </c>
      <c r="J25" s="16">
        <f>'05 - 2022'!G31-'05 - 2022'!G30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</f>
        <v>0</v>
      </c>
      <c r="F26" s="16">
        <f>'05 - 2022'!C32-'05 - 2022'!C31</f>
        <v>0</v>
      </c>
      <c r="G26" s="14">
        <v>0.11799999999999999</v>
      </c>
      <c r="H26" s="16">
        <f>'05 - 2022'!E32-'05 - 2022'!E31</f>
        <v>0</v>
      </c>
      <c r="I26" s="16">
        <f>'05 - 2022'!F32-'05 - 2022'!F31</f>
        <v>0</v>
      </c>
      <c r="J26" s="16">
        <f>'05 - 2022'!G32-'05 - 2022'!G31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</f>
        <v>0</v>
      </c>
      <c r="F27" s="16">
        <f>'05 - 2022'!C33-'05 - 2022'!C32</f>
        <v>0</v>
      </c>
      <c r="G27" s="14">
        <v>0.11799999999999999</v>
      </c>
      <c r="H27" s="16">
        <f>'05 - 2022'!E33-'05 - 2022'!E32</f>
        <v>0</v>
      </c>
      <c r="I27" s="16">
        <f>'05 - 2022'!F33-'05 - 2022'!F32</f>
        <v>0</v>
      </c>
      <c r="J27" s="16">
        <f>'05 - 2022'!G33-'05 - 2022'!G32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</f>
        <v>0</v>
      </c>
      <c r="F28" s="16">
        <f>'05 - 2022'!C34-'05 - 2022'!C33</f>
        <v>0</v>
      </c>
      <c r="G28" s="14">
        <v>0.11799999999999999</v>
      </c>
      <c r="H28" s="16">
        <f>'05 - 2022'!E34-'05 - 2022'!E33</f>
        <v>0</v>
      </c>
      <c r="I28" s="16">
        <f>'05 - 2022'!F34-'05 - 2022'!F33</f>
        <v>0</v>
      </c>
      <c r="J28" s="16">
        <f>'05 - 2022'!G34-'05 - 2022'!G33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</f>
        <v>0</v>
      </c>
      <c r="F29" s="16">
        <f>'05 - 2022'!C35-'05 - 2022'!C34</f>
        <v>0</v>
      </c>
      <c r="G29" s="14">
        <v>0.11799999999999999</v>
      </c>
      <c r="H29" s="16">
        <f>'05 - 2022'!E35-'05 - 2022'!E34</f>
        <v>0</v>
      </c>
      <c r="I29" s="16">
        <f>'05 - 2022'!F35-'05 - 2022'!F34</f>
        <v>0</v>
      </c>
      <c r="J29" s="16">
        <f>'05 - 2022'!G35-'05 - 2022'!G34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</f>
        <v>0</v>
      </c>
      <c r="F30" s="16">
        <f>'05 - 2022'!C36-'05 - 2022'!C35</f>
        <v>0</v>
      </c>
      <c r="G30" s="14">
        <v>0.11799999999999999</v>
      </c>
      <c r="H30" s="16">
        <f>'05 - 2022'!E36-'05 - 2022'!E35</f>
        <v>0</v>
      </c>
      <c r="I30" s="16">
        <f>'05 - 2022'!F36-'05 - 2022'!F35</f>
        <v>0</v>
      </c>
      <c r="J30" s="16">
        <f>'05 - 2022'!G36-'05 - 2022'!G35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</f>
        <v>0</v>
      </c>
      <c r="F31" s="16">
        <f>'05 - 2022'!C37-'05 - 2022'!C36</f>
        <v>0</v>
      </c>
      <c r="G31" s="14">
        <v>0.11799999999999999</v>
      </c>
      <c r="H31" s="16">
        <f>'05 - 2022'!E37-'05 - 2022'!E36</f>
        <v>0</v>
      </c>
      <c r="I31" s="16">
        <f>'05 - 2022'!F37-'05 - 2022'!F36</f>
        <v>0</v>
      </c>
      <c r="J31" s="16">
        <f>'05 - 2022'!G37-'05 - 2022'!G36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</f>
        <v>0</v>
      </c>
      <c r="F32" s="16">
        <f>'05 - 2022'!C38-'05 - 2022'!C37</f>
        <v>0</v>
      </c>
      <c r="G32" s="14">
        <v>0.11799999999999999</v>
      </c>
      <c r="H32" s="16">
        <f>'05 - 2022'!E38-'05 - 2022'!E37</f>
        <v>0</v>
      </c>
      <c r="I32" s="16">
        <f>'05 - 2022'!F38-'05 - 2022'!F37</f>
        <v>0</v>
      </c>
      <c r="J32" s="16">
        <f>'05 - 2022'!G38-'05 - 2022'!G37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zoomScaleNormal="100" workbookViewId="0">
      <selection activeCell="P24" sqref="P24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3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57" t="s">
        <v>2</v>
      </c>
      <c r="K5" s="38"/>
    </row>
    <row r="6" spans="1:17" ht="12" customHeight="1" x14ac:dyDescent="0.25">
      <c r="A6" s="59" t="s">
        <v>3</v>
      </c>
      <c r="B6" s="60" t="s">
        <v>33</v>
      </c>
      <c r="C6" s="61" t="s">
        <v>34</v>
      </c>
      <c r="D6" s="61" t="s">
        <v>4</v>
      </c>
      <c r="E6" s="61" t="s">
        <v>5</v>
      </c>
      <c r="F6" s="61" t="s">
        <v>6</v>
      </c>
      <c r="G6" s="62" t="s">
        <v>7</v>
      </c>
      <c r="H6" s="61" t="s">
        <v>28</v>
      </c>
      <c r="I6" s="61" t="s">
        <v>29</v>
      </c>
      <c r="J6" s="61" t="s">
        <v>8</v>
      </c>
      <c r="K6" s="87" t="s">
        <v>31</v>
      </c>
      <c r="L6" s="63" t="s">
        <v>32</v>
      </c>
    </row>
    <row r="7" spans="1:17" s="12" customFormat="1" ht="12.95" customHeight="1" thickBot="1" x14ac:dyDescent="0.3">
      <c r="A7" s="64">
        <v>44681</v>
      </c>
      <c r="B7" s="65">
        <v>995016</v>
      </c>
      <c r="C7" s="66">
        <v>737597</v>
      </c>
      <c r="D7" s="67">
        <v>0.7</v>
      </c>
      <c r="E7" s="68">
        <v>1078.1500000000001</v>
      </c>
      <c r="F7" s="69">
        <v>2085.69</v>
      </c>
      <c r="G7" s="69">
        <v>41297.53</v>
      </c>
      <c r="H7" s="65">
        <v>14528</v>
      </c>
      <c r="I7" s="65">
        <v>155519</v>
      </c>
      <c r="J7" s="65">
        <v>55039783</v>
      </c>
      <c r="K7" s="88"/>
      <c r="L7" s="70"/>
      <c r="M7" s="17"/>
    </row>
    <row r="8" spans="1:17" s="28" customFormat="1" ht="12.95" customHeight="1" thickTop="1" x14ac:dyDescent="0.25">
      <c r="A8" s="71">
        <f>A7+1</f>
        <v>44682</v>
      </c>
      <c r="B8" s="72">
        <v>998711</v>
      </c>
      <c r="C8" s="72">
        <v>742836</v>
      </c>
      <c r="D8" s="73">
        <v>0.62</v>
      </c>
      <c r="E8" s="74">
        <v>1106.54</v>
      </c>
      <c r="F8" s="51">
        <v>2091</v>
      </c>
      <c r="G8" s="72">
        <v>41337.74</v>
      </c>
      <c r="H8" s="72">
        <v>14528</v>
      </c>
      <c r="I8" s="72">
        <v>155633</v>
      </c>
      <c r="J8" s="72">
        <v>55063630</v>
      </c>
      <c r="K8" s="89"/>
      <c r="L8" s="75"/>
      <c r="M8" s="76"/>
    </row>
    <row r="9" spans="1:17" s="28" customFormat="1" ht="12.95" customHeight="1" x14ac:dyDescent="0.25">
      <c r="A9" s="71">
        <f t="shared" ref="A9:A38" si="0">A8+1</f>
        <v>44683</v>
      </c>
      <c r="B9" s="36">
        <v>2290.88</v>
      </c>
      <c r="C9" s="36">
        <v>748236</v>
      </c>
      <c r="D9" s="52">
        <v>0.55000000000000004</v>
      </c>
      <c r="E9" s="49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3">
        <v>55086599</v>
      </c>
      <c r="K9" s="86"/>
      <c r="L9" s="77"/>
      <c r="M9" s="76"/>
    </row>
    <row r="10" spans="1:17" s="28" customFormat="1" ht="12.95" customHeight="1" x14ac:dyDescent="0.25">
      <c r="A10" s="71">
        <f t="shared" si="0"/>
        <v>44684</v>
      </c>
      <c r="B10" s="36">
        <v>5958.42</v>
      </c>
      <c r="C10" s="36">
        <v>753624</v>
      </c>
      <c r="D10" s="52">
        <v>0.48</v>
      </c>
      <c r="E10" s="49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3">
        <v>55108320</v>
      </c>
      <c r="K10" s="86"/>
      <c r="L10" s="77"/>
      <c r="M10" s="76"/>
    </row>
    <row r="11" spans="1:17" s="28" customFormat="1" ht="12.95" customHeight="1" x14ac:dyDescent="0.25">
      <c r="A11" s="71">
        <f t="shared" si="0"/>
        <v>44685</v>
      </c>
      <c r="B11" s="36">
        <v>9922.01</v>
      </c>
      <c r="C11" s="36">
        <v>759271</v>
      </c>
      <c r="D11" s="52">
        <v>0.4</v>
      </c>
      <c r="E11" s="49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86"/>
      <c r="L11" s="77"/>
      <c r="M11" s="76"/>
    </row>
    <row r="12" spans="1:17" s="28" customFormat="1" ht="12.95" customHeight="1" x14ac:dyDescent="0.25">
      <c r="A12" s="71">
        <f t="shared" si="0"/>
        <v>44686</v>
      </c>
      <c r="B12" s="34">
        <v>13690.1</v>
      </c>
      <c r="C12" s="34">
        <v>764609</v>
      </c>
      <c r="D12" s="52">
        <v>0.3</v>
      </c>
      <c r="E12" s="78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86">
        <v>3700</v>
      </c>
      <c r="L12" s="77"/>
      <c r="M12" s="76"/>
      <c r="N12" s="27"/>
    </row>
    <row r="13" spans="1:17" s="28" customFormat="1" ht="12.95" customHeight="1" x14ac:dyDescent="0.25">
      <c r="A13" s="71">
        <f t="shared" si="0"/>
        <v>44687</v>
      </c>
      <c r="B13" s="41">
        <v>17519.8</v>
      </c>
      <c r="C13" s="35">
        <v>770297</v>
      </c>
      <c r="D13" s="52">
        <v>0.79</v>
      </c>
      <c r="E13" s="49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86"/>
      <c r="L13" s="77"/>
      <c r="M13" s="76"/>
      <c r="N13" s="29"/>
      <c r="O13" s="29"/>
      <c r="P13" s="29"/>
      <c r="Q13" s="29"/>
    </row>
    <row r="14" spans="1:17" s="28" customFormat="1" ht="12.95" customHeight="1" x14ac:dyDescent="0.25">
      <c r="A14" s="71">
        <f t="shared" si="0"/>
        <v>44688</v>
      </c>
      <c r="B14" s="41">
        <v>21402.799999999999</v>
      </c>
      <c r="C14" s="35">
        <v>775911</v>
      </c>
      <c r="D14" s="52">
        <v>0.72</v>
      </c>
      <c r="E14" s="49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86"/>
      <c r="L14" s="77"/>
      <c r="M14" s="76"/>
      <c r="N14" s="29"/>
      <c r="O14" s="29"/>
      <c r="P14" s="29"/>
      <c r="Q14" s="29"/>
    </row>
    <row r="15" spans="1:17" s="28" customFormat="1" ht="12.95" customHeight="1" x14ac:dyDescent="0.25">
      <c r="A15" s="71">
        <f t="shared" si="0"/>
        <v>44689</v>
      </c>
      <c r="B15" s="36">
        <v>25297.200000000001</v>
      </c>
      <c r="C15" s="36">
        <v>781536</v>
      </c>
      <c r="D15" s="52">
        <v>0.62</v>
      </c>
      <c r="E15" s="49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86"/>
      <c r="L15" s="77"/>
      <c r="M15" s="76"/>
      <c r="N15" s="29"/>
      <c r="O15" s="29"/>
      <c r="P15" s="29"/>
      <c r="Q15" s="29"/>
    </row>
    <row r="16" spans="1:17" s="28" customFormat="1" ht="12.95" customHeight="1" x14ac:dyDescent="0.25">
      <c r="A16" s="71">
        <f t="shared" si="0"/>
        <v>44690</v>
      </c>
      <c r="B16" s="79">
        <v>29192.3</v>
      </c>
      <c r="C16" s="36">
        <v>787112</v>
      </c>
      <c r="D16" s="52">
        <v>0.53</v>
      </c>
      <c r="E16" s="49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86"/>
      <c r="L16" s="77"/>
      <c r="M16" s="76"/>
      <c r="N16" s="29"/>
      <c r="O16" s="29"/>
      <c r="P16" s="29"/>
      <c r="Q16" s="29"/>
    </row>
    <row r="17" spans="1:19" s="28" customFormat="1" ht="12.95" customHeight="1" x14ac:dyDescent="0.25">
      <c r="A17" s="71">
        <f t="shared" si="0"/>
        <v>44691</v>
      </c>
      <c r="B17" s="35">
        <v>33017.5</v>
      </c>
      <c r="C17" s="35">
        <v>792667</v>
      </c>
      <c r="D17" s="54">
        <v>0.45</v>
      </c>
      <c r="E17" s="49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86"/>
      <c r="L17" s="77"/>
      <c r="M17" s="76"/>
      <c r="N17" s="29"/>
      <c r="O17" s="29"/>
      <c r="P17" s="29"/>
      <c r="Q17" s="29"/>
    </row>
    <row r="18" spans="1:19" s="28" customFormat="1" ht="12.95" customHeight="1" x14ac:dyDescent="0.25">
      <c r="A18" s="71">
        <f t="shared" si="0"/>
        <v>44692</v>
      </c>
      <c r="B18" s="36">
        <v>36868.5</v>
      </c>
      <c r="C18" s="36">
        <v>798442</v>
      </c>
      <c r="D18" s="52">
        <v>0.38</v>
      </c>
      <c r="E18" s="49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86"/>
      <c r="L18" s="77"/>
      <c r="M18" s="76"/>
      <c r="N18" s="29"/>
      <c r="O18" s="30"/>
      <c r="P18" s="29"/>
      <c r="Q18" s="29"/>
    </row>
    <row r="19" spans="1:19" s="28" customFormat="1" ht="12.95" customHeight="1" x14ac:dyDescent="0.25">
      <c r="A19" s="71">
        <f t="shared" si="0"/>
        <v>44693</v>
      </c>
      <c r="B19" s="42">
        <v>40768.800000000003</v>
      </c>
      <c r="C19" s="42">
        <v>803953</v>
      </c>
      <c r="D19" s="52">
        <v>0.3</v>
      </c>
      <c r="E19" s="55">
        <v>1376.7</v>
      </c>
      <c r="F19" s="26">
        <v>2170.81</v>
      </c>
      <c r="G19" s="43">
        <v>41742.839999999997</v>
      </c>
      <c r="H19" s="36">
        <v>14528</v>
      </c>
      <c r="I19" s="42">
        <v>156798</v>
      </c>
      <c r="J19" s="42">
        <v>55331919</v>
      </c>
      <c r="K19" s="86"/>
      <c r="L19" s="77"/>
      <c r="M19" s="76"/>
      <c r="N19" s="29"/>
      <c r="O19" s="30"/>
      <c r="P19" s="29"/>
      <c r="Q19" s="29"/>
    </row>
    <row r="20" spans="1:19" s="28" customFormat="1" ht="12.95" customHeight="1" x14ac:dyDescent="0.25">
      <c r="A20" s="71">
        <f t="shared" si="0"/>
        <v>44694</v>
      </c>
      <c r="B20" s="42">
        <v>44574.3</v>
      </c>
      <c r="C20" s="42">
        <v>809463</v>
      </c>
      <c r="D20" s="52">
        <v>0.85</v>
      </c>
      <c r="E20" s="55">
        <v>1403.28</v>
      </c>
      <c r="F20" s="26">
        <v>2177.9299999999998</v>
      </c>
      <c r="G20" s="43">
        <v>41780.410000000003</v>
      </c>
      <c r="H20" s="34">
        <v>14528</v>
      </c>
      <c r="I20" s="42">
        <v>156895</v>
      </c>
      <c r="J20" s="42">
        <v>55356741</v>
      </c>
      <c r="K20" s="86">
        <v>4300</v>
      </c>
      <c r="L20" s="77"/>
      <c r="M20" s="76"/>
      <c r="N20" s="31"/>
      <c r="O20" s="29"/>
      <c r="P20" s="29"/>
      <c r="Q20" s="29"/>
    </row>
    <row r="21" spans="1:19" s="28" customFormat="1" ht="12.95" customHeight="1" x14ac:dyDescent="0.25">
      <c r="A21" s="71">
        <f t="shared" si="0"/>
        <v>44695</v>
      </c>
      <c r="B21" s="42">
        <v>48326.7</v>
      </c>
      <c r="C21" s="42">
        <v>815032</v>
      </c>
      <c r="D21" s="52">
        <v>0.78</v>
      </c>
      <c r="E21" s="55">
        <v>1427.77</v>
      </c>
      <c r="F21" s="26">
        <v>2185.63</v>
      </c>
      <c r="G21" s="43">
        <v>41815.26</v>
      </c>
      <c r="H21" s="34">
        <v>14528</v>
      </c>
      <c r="I21" s="42">
        <v>157021</v>
      </c>
      <c r="J21" s="42">
        <v>55381239</v>
      </c>
      <c r="K21" s="86"/>
      <c r="L21" s="77"/>
      <c r="M21" s="76"/>
      <c r="N21" s="31"/>
      <c r="O21" s="31"/>
      <c r="P21" s="32"/>
      <c r="Q21" s="32"/>
      <c r="S21" s="27"/>
    </row>
    <row r="22" spans="1:19" s="28" customFormat="1" ht="12.95" customHeight="1" x14ac:dyDescent="0.25">
      <c r="A22" s="71">
        <f t="shared" si="0"/>
        <v>44696</v>
      </c>
      <c r="B22" s="92">
        <v>51986.2</v>
      </c>
      <c r="C22" s="92">
        <v>820463</v>
      </c>
      <c r="D22" s="52">
        <v>0.71</v>
      </c>
      <c r="E22" s="55">
        <v>1453.39</v>
      </c>
      <c r="F22" s="26">
        <v>2192.69</v>
      </c>
      <c r="G22" s="43">
        <v>41849.47</v>
      </c>
      <c r="H22" s="34">
        <v>14528</v>
      </c>
      <c r="I22" s="43">
        <v>157141</v>
      </c>
      <c r="J22" s="42">
        <v>55404460</v>
      </c>
      <c r="K22" s="86"/>
      <c r="L22" s="77"/>
      <c r="M22" s="76"/>
      <c r="N22" s="31"/>
      <c r="O22" s="31"/>
      <c r="P22" s="29"/>
      <c r="Q22" s="29"/>
    </row>
    <row r="23" spans="1:19" s="28" customFormat="1" ht="12.95" customHeight="1" x14ac:dyDescent="0.25">
      <c r="A23" s="71">
        <f t="shared" si="0"/>
        <v>44697</v>
      </c>
      <c r="B23" s="42">
        <v>55679.9</v>
      </c>
      <c r="C23" s="42">
        <v>825836</v>
      </c>
      <c r="D23" s="52">
        <v>0.6</v>
      </c>
      <c r="E23" s="55">
        <v>1476.4</v>
      </c>
      <c r="F23" s="26">
        <v>2198.8200000000002</v>
      </c>
      <c r="G23" s="43">
        <v>41884.25</v>
      </c>
      <c r="H23" s="34">
        <v>14528</v>
      </c>
      <c r="I23" s="42">
        <v>157233</v>
      </c>
      <c r="J23" s="42">
        <v>55427477</v>
      </c>
      <c r="K23" s="86"/>
      <c r="L23" s="77"/>
      <c r="M23" s="76"/>
      <c r="N23" s="31"/>
      <c r="O23" s="29"/>
      <c r="P23" s="29"/>
      <c r="Q23" s="29"/>
    </row>
    <row r="24" spans="1:19" s="28" customFormat="1" ht="12.95" customHeight="1" x14ac:dyDescent="0.25">
      <c r="A24" s="71">
        <f t="shared" si="0"/>
        <v>44698</v>
      </c>
      <c r="B24" s="42">
        <v>59424.5</v>
      </c>
      <c r="C24" s="42">
        <v>831474</v>
      </c>
      <c r="D24" s="52">
        <v>0.53</v>
      </c>
      <c r="E24" s="49">
        <v>1501.84</v>
      </c>
      <c r="F24" s="26">
        <v>2205.04</v>
      </c>
      <c r="G24" s="43">
        <v>41920.15</v>
      </c>
      <c r="H24" s="34">
        <v>14528</v>
      </c>
      <c r="I24" s="42">
        <v>157330</v>
      </c>
      <c r="J24" s="42">
        <v>55453286</v>
      </c>
      <c r="K24" s="86"/>
      <c r="L24" s="80"/>
      <c r="M24" s="76"/>
      <c r="N24" s="31"/>
      <c r="O24" s="31"/>
      <c r="P24" s="29"/>
      <c r="Q24" s="29"/>
    </row>
    <row r="25" spans="1:19" s="28" customFormat="1" ht="12.95" customHeight="1" x14ac:dyDescent="0.25">
      <c r="A25" s="71">
        <f t="shared" si="0"/>
        <v>44699</v>
      </c>
      <c r="B25" s="43">
        <v>63245.599999999999</v>
      </c>
      <c r="C25" s="43">
        <v>837247</v>
      </c>
      <c r="D25" s="54">
        <v>0.45</v>
      </c>
      <c r="E25" s="55">
        <v>1528.13</v>
      </c>
      <c r="F25" s="26">
        <v>2213.92</v>
      </c>
      <c r="G25" s="43">
        <v>41956.24</v>
      </c>
      <c r="H25" s="36">
        <v>14528</v>
      </c>
      <c r="I25" s="42">
        <v>157436</v>
      </c>
      <c r="J25" s="42">
        <v>55479568</v>
      </c>
      <c r="K25" s="90"/>
      <c r="L25" s="80"/>
      <c r="M25" s="76"/>
      <c r="N25" s="31"/>
      <c r="O25" s="31"/>
      <c r="P25" s="29"/>
      <c r="Q25" s="29"/>
    </row>
    <row r="26" spans="1:19" s="28" customFormat="1" ht="12.95" customHeight="1" x14ac:dyDescent="0.25">
      <c r="A26" s="71">
        <f t="shared" si="0"/>
        <v>44700</v>
      </c>
      <c r="B26" s="43">
        <v>66997.399999999994</v>
      </c>
      <c r="C26" s="43">
        <v>842918</v>
      </c>
      <c r="D26" s="54">
        <v>0.39</v>
      </c>
      <c r="E26" s="49">
        <v>1552.31</v>
      </c>
      <c r="F26" s="26">
        <v>2220.12</v>
      </c>
      <c r="G26" s="43">
        <v>41993.95</v>
      </c>
      <c r="H26" s="34">
        <v>14528</v>
      </c>
      <c r="I26" s="42">
        <v>157545</v>
      </c>
      <c r="J26" s="42">
        <v>55505918</v>
      </c>
      <c r="K26" s="86"/>
      <c r="L26" s="80"/>
      <c r="M26" s="76"/>
      <c r="N26" s="31"/>
      <c r="O26" s="31"/>
      <c r="P26" s="29"/>
      <c r="Q26" s="29"/>
    </row>
    <row r="27" spans="1:19" s="28" customFormat="1" ht="12.95" customHeight="1" x14ac:dyDescent="0.25">
      <c r="A27" s="71">
        <f t="shared" si="0"/>
        <v>44701</v>
      </c>
      <c r="B27" s="42"/>
      <c r="C27" s="42"/>
      <c r="D27" s="52"/>
      <c r="E27" s="49"/>
      <c r="F27" s="26"/>
      <c r="G27" s="43"/>
      <c r="H27" s="36"/>
      <c r="I27" s="42"/>
      <c r="J27" s="42"/>
      <c r="K27" s="86"/>
      <c r="L27" s="77"/>
      <c r="M27" s="76"/>
    </row>
    <row r="28" spans="1:19" s="28" customFormat="1" ht="12.95" customHeight="1" x14ac:dyDescent="0.25">
      <c r="A28" s="71">
        <f t="shared" si="0"/>
        <v>44702</v>
      </c>
      <c r="B28" s="44"/>
      <c r="C28" s="42"/>
      <c r="D28" s="52"/>
      <c r="E28" s="55"/>
      <c r="F28" s="26"/>
      <c r="G28" s="43"/>
      <c r="H28" s="36"/>
      <c r="I28" s="42"/>
      <c r="J28" s="42"/>
      <c r="K28" s="86"/>
      <c r="L28" s="77"/>
      <c r="M28" s="76"/>
    </row>
    <row r="29" spans="1:19" s="28" customFormat="1" ht="12.95" customHeight="1" x14ac:dyDescent="0.25">
      <c r="A29" s="71">
        <f t="shared" si="0"/>
        <v>44703</v>
      </c>
      <c r="B29" s="42"/>
      <c r="C29" s="42"/>
      <c r="D29" s="52"/>
      <c r="E29" s="55"/>
      <c r="F29" s="26"/>
      <c r="G29" s="43"/>
      <c r="H29" s="36"/>
      <c r="I29" s="42"/>
      <c r="J29" s="42"/>
      <c r="K29" s="86"/>
      <c r="L29" s="77"/>
      <c r="M29" s="76"/>
      <c r="N29" s="27"/>
    </row>
    <row r="30" spans="1:19" s="28" customFormat="1" ht="12.95" customHeight="1" x14ac:dyDescent="0.25">
      <c r="A30" s="71">
        <f t="shared" si="0"/>
        <v>44704</v>
      </c>
      <c r="B30" s="42"/>
      <c r="C30" s="42"/>
      <c r="D30" s="52"/>
      <c r="E30" s="55"/>
      <c r="F30" s="26"/>
      <c r="G30" s="43"/>
      <c r="H30" s="36"/>
      <c r="I30" s="42"/>
      <c r="J30" s="42"/>
      <c r="K30" s="86"/>
      <c r="L30" s="77"/>
      <c r="M30" s="76"/>
    </row>
    <row r="31" spans="1:19" s="28" customFormat="1" ht="12.95" customHeight="1" x14ac:dyDescent="0.25">
      <c r="A31" s="71">
        <f t="shared" si="0"/>
        <v>44705</v>
      </c>
      <c r="B31" s="42"/>
      <c r="C31" s="42"/>
      <c r="D31" s="52"/>
      <c r="E31" s="55"/>
      <c r="F31" s="26"/>
      <c r="G31" s="43"/>
      <c r="H31" s="36"/>
      <c r="I31" s="42"/>
      <c r="J31" s="42"/>
      <c r="K31" s="86"/>
      <c r="L31" s="81"/>
      <c r="M31" s="76"/>
      <c r="N31" s="27"/>
      <c r="O31" s="27"/>
    </row>
    <row r="32" spans="1:19" s="28" customFormat="1" ht="12.95" customHeight="1" x14ac:dyDescent="0.25">
      <c r="A32" s="71">
        <f t="shared" si="0"/>
        <v>44706</v>
      </c>
      <c r="B32" s="42"/>
      <c r="C32" s="42"/>
      <c r="D32" s="52"/>
      <c r="E32" s="55"/>
      <c r="F32" s="26"/>
      <c r="G32" s="43"/>
      <c r="H32" s="36"/>
      <c r="I32" s="42"/>
      <c r="J32" s="42"/>
      <c r="K32" s="86"/>
      <c r="L32" s="81"/>
      <c r="M32" s="76"/>
      <c r="N32" s="27"/>
      <c r="O32" s="27"/>
    </row>
    <row r="33" spans="1:16" s="28" customFormat="1" ht="12.95" customHeight="1" x14ac:dyDescent="0.25">
      <c r="A33" s="71">
        <f t="shared" si="0"/>
        <v>44707</v>
      </c>
      <c r="B33" s="42"/>
      <c r="C33" s="42"/>
      <c r="D33" s="52"/>
      <c r="E33" s="55"/>
      <c r="F33" s="26"/>
      <c r="G33" s="43"/>
      <c r="H33" s="36"/>
      <c r="I33" s="42"/>
      <c r="J33" s="42"/>
      <c r="K33" s="86"/>
      <c r="L33" s="77"/>
      <c r="M33" s="82"/>
      <c r="N33" s="27"/>
      <c r="O33" s="27"/>
    </row>
    <row r="34" spans="1:16" s="28" customFormat="1" ht="12.95" customHeight="1" x14ac:dyDescent="0.25">
      <c r="A34" s="71">
        <f t="shared" si="0"/>
        <v>44708</v>
      </c>
      <c r="B34" s="43"/>
      <c r="C34" s="45"/>
      <c r="D34" s="54"/>
      <c r="E34" s="55"/>
      <c r="F34" s="26"/>
      <c r="G34" s="43"/>
      <c r="H34" s="36"/>
      <c r="I34" s="43"/>
      <c r="J34" s="43"/>
      <c r="K34" s="86"/>
      <c r="L34" s="77"/>
      <c r="M34" s="82"/>
      <c r="N34" s="27"/>
      <c r="P34" s="27"/>
    </row>
    <row r="35" spans="1:16" s="28" customFormat="1" ht="12.95" customHeight="1" x14ac:dyDescent="0.25">
      <c r="A35" s="71">
        <f>A34+1</f>
        <v>44709</v>
      </c>
      <c r="B35" s="36"/>
      <c r="C35" s="50"/>
      <c r="D35" s="52"/>
      <c r="E35" s="49"/>
      <c r="F35" s="35"/>
      <c r="G35" s="35"/>
      <c r="H35" s="36"/>
      <c r="I35" s="36"/>
      <c r="J35" s="36"/>
      <c r="K35" s="86"/>
      <c r="L35" s="77"/>
      <c r="M35" s="76"/>
      <c r="N35" s="27"/>
      <c r="O35" s="27"/>
    </row>
    <row r="36" spans="1:16" s="28" customFormat="1" ht="12.95" customHeight="1" x14ac:dyDescent="0.25">
      <c r="A36" s="84">
        <f t="shared" si="0"/>
        <v>44710</v>
      </c>
      <c r="B36" s="36"/>
      <c r="C36" s="50"/>
      <c r="D36" s="52"/>
      <c r="E36" s="49"/>
      <c r="F36" s="35"/>
      <c r="G36" s="35"/>
      <c r="H36" s="36"/>
      <c r="I36" s="36"/>
      <c r="J36" s="36"/>
      <c r="K36" s="86"/>
      <c r="L36" s="77"/>
      <c r="M36" s="76"/>
      <c r="N36" s="27"/>
      <c r="O36" s="27"/>
    </row>
    <row r="37" spans="1:16" s="28" customFormat="1" ht="12.95" customHeight="1" x14ac:dyDescent="0.25">
      <c r="A37" s="84">
        <f t="shared" si="0"/>
        <v>44711</v>
      </c>
      <c r="B37" s="36"/>
      <c r="C37" s="50"/>
      <c r="D37" s="52"/>
      <c r="E37" s="49"/>
      <c r="F37" s="35"/>
      <c r="G37" s="35"/>
      <c r="H37" s="36"/>
      <c r="I37" s="36"/>
      <c r="J37" s="36"/>
      <c r="K37" s="86"/>
      <c r="L37" s="77"/>
      <c r="M37" s="76"/>
      <c r="N37" s="27"/>
      <c r="O37" s="27"/>
    </row>
    <row r="38" spans="1:16" s="28" customFormat="1" ht="12.95" customHeight="1" thickBot="1" x14ac:dyDescent="0.3">
      <c r="A38" s="85">
        <f t="shared" si="0"/>
        <v>44712</v>
      </c>
      <c r="B38" s="46"/>
      <c r="C38" s="47"/>
      <c r="D38" s="58"/>
      <c r="E38" s="56"/>
      <c r="F38" s="48"/>
      <c r="G38" s="48"/>
      <c r="H38" s="46"/>
      <c r="I38" s="46"/>
      <c r="J38" s="46"/>
      <c r="K38" s="91"/>
      <c r="L38" s="83"/>
      <c r="M38" s="76"/>
      <c r="N38" s="27"/>
      <c r="O38" s="27"/>
    </row>
    <row r="39" spans="1:16" s="28" customFormat="1" ht="12.95" customHeight="1" x14ac:dyDescent="0.25">
      <c r="A39" s="39" t="s">
        <v>35</v>
      </c>
      <c r="B39" s="40">
        <f>B38-B7</f>
        <v>-995016</v>
      </c>
      <c r="C39" s="40">
        <f t="shared" ref="C39:J39" si="1">C38-C7</f>
        <v>-737597</v>
      </c>
      <c r="D39" s="40">
        <f t="shared" si="1"/>
        <v>-0.7</v>
      </c>
      <c r="E39" s="40">
        <f t="shared" si="1"/>
        <v>-1078.1500000000001</v>
      </c>
      <c r="F39" s="40">
        <f t="shared" si="1"/>
        <v>-2085.69</v>
      </c>
      <c r="G39" s="40">
        <f t="shared" si="1"/>
        <v>-41297.53</v>
      </c>
      <c r="H39" s="40">
        <f t="shared" si="1"/>
        <v>-14528</v>
      </c>
      <c r="I39" s="40">
        <f t="shared" si="1"/>
        <v>-155519</v>
      </c>
      <c r="J39" s="40">
        <f t="shared" si="1"/>
        <v>-55039783</v>
      </c>
      <c r="K39" s="40">
        <f>SUM(K7:K37)</f>
        <v>8000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0"/>
      <c r="D40" s="14"/>
      <c r="E40" s="16"/>
      <c r="F40" s="16"/>
      <c r="G40" s="16"/>
      <c r="H40" s="13">
        <f>H39*219.969</f>
        <v>-3195709.6319999998</v>
      </c>
      <c r="I40" s="40">
        <f>I39*219.969</f>
        <v>-34209358.910999998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0"/>
      <c r="D41" s="14"/>
      <c r="E41" s="16"/>
      <c r="F41" s="16"/>
      <c r="G41" s="16"/>
      <c r="H41" s="13">
        <f>H40*219.969</f>
        <v>-702957052.04140794</v>
      </c>
      <c r="I41" s="40">
        <f>I40*219.969</f>
        <v>-7524998470.2937584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2022-05-19T05:00:10Z</dcterms:modified>
</cp:coreProperties>
</file>