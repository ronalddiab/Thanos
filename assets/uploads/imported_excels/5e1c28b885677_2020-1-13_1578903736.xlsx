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0" sheetId="1" r:id="rId3"/>
  </sheets>
  <externalReferences>
    <externalReference r:id="rId4"/>
  </externalReference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14" i="3" l="1"/>
  <c r="I14" i="3"/>
  <c r="G14" i="3"/>
  <c r="E14" i="3"/>
  <c r="K14" i="3"/>
  <c r="J14" i="2"/>
  <c r="I14" i="2"/>
  <c r="H14" i="2"/>
  <c r="F14" i="2"/>
  <c r="E14" i="2"/>
  <c r="L13" i="3" l="1"/>
  <c r="I13" i="3"/>
  <c r="G13" i="3"/>
  <c r="E13" i="3"/>
  <c r="K13" i="3"/>
  <c r="J13" i="2"/>
  <c r="H13" i="2"/>
  <c r="F13" i="2"/>
  <c r="E13" i="2"/>
  <c r="L12" i="3"/>
  <c r="I12" i="3"/>
  <c r="G12" i="3"/>
  <c r="E12" i="3"/>
  <c r="K12" i="3"/>
  <c r="I13" i="2"/>
  <c r="J12" i="2"/>
  <c r="I12" i="2"/>
  <c r="H12" i="2"/>
  <c r="F12" i="2"/>
  <c r="E12" i="2"/>
  <c r="K11" i="3" l="1"/>
  <c r="L11" i="3"/>
  <c r="I11" i="3"/>
  <c r="G11" i="3"/>
  <c r="E11" i="3"/>
  <c r="J11" i="2"/>
  <c r="I11" i="2"/>
  <c r="H11" i="2"/>
  <c r="F11" i="2"/>
  <c r="E11" i="2"/>
  <c r="L10" i="3" l="1"/>
  <c r="I10" i="3"/>
  <c r="G10" i="3"/>
  <c r="E10" i="3"/>
  <c r="K10" i="3"/>
  <c r="J10" i="2"/>
  <c r="I10" i="2"/>
  <c r="H10" i="2"/>
  <c r="F10" i="2"/>
  <c r="E10" i="2"/>
  <c r="L9" i="3" l="1"/>
  <c r="I9" i="3"/>
  <c r="G9" i="3"/>
  <c r="E9" i="3"/>
  <c r="K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I6" i="3"/>
  <c r="G6" i="3"/>
  <c r="E6" i="3"/>
  <c r="K6" i="3"/>
  <c r="J6" i="2"/>
  <c r="I6" i="2"/>
  <c r="H6" i="2"/>
  <c r="F6" i="2"/>
  <c r="E6" i="2"/>
  <c r="L5" i="3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I3" i="2"/>
  <c r="J4" i="2"/>
  <c r="I4" i="2"/>
  <c r="H4" i="2"/>
  <c r="F4" i="2"/>
  <c r="E4" i="2"/>
  <c r="L3" i="3" l="1"/>
  <c r="I3" i="3"/>
  <c r="G3" i="3"/>
  <c r="E3" i="3"/>
  <c r="K3" i="3"/>
  <c r="J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K38" i="1" l="1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<sst xmlns="http://schemas.openxmlformats.org/spreadsheetml/2006/main" count="106" uniqueCount="37">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</sst>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December%202019%20DI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Daily "/>
      <sheetName val="Submetering Daily "/>
      <sheetName val="12 - 2019"/>
    </sheetNames>
    <sheetDataSet>
      <sheetData sheetId="0"/>
      <sheetData sheetId="1"/>
      <sheetData sheetId="2">
        <row r="6">
          <cell r="B6">
            <v>253727</v>
          </cell>
          <cell r="C6">
            <v>74657.899999999994</v>
          </cell>
          <cell r="E6">
            <v>7954</v>
          </cell>
          <cell r="F6">
            <v>1477.18</v>
          </cell>
          <cell r="G6">
            <v>13927.81</v>
          </cell>
          <cell r="H6">
            <v>14528</v>
          </cell>
          <cell r="I6">
            <v>80180</v>
          </cell>
          <cell r="J6">
            <v>36766524</v>
          </cell>
        </row>
        <row r="7">
          <cell r="B7">
            <v>256978</v>
          </cell>
          <cell r="C7">
            <v>79818.600000000006</v>
          </cell>
          <cell r="E7">
            <v>7977.7</v>
          </cell>
          <cell r="F7">
            <v>1482.12</v>
          </cell>
          <cell r="G7">
            <v>13958.73</v>
          </cell>
          <cell r="H7">
            <v>14528</v>
          </cell>
          <cell r="I7">
            <v>80271</v>
          </cell>
          <cell r="J7">
            <v>36782939</v>
          </cell>
        </row>
        <row r="8">
          <cell r="B8">
            <v>260286</v>
          </cell>
          <cell r="C8">
            <v>85147</v>
          </cell>
          <cell r="E8">
            <v>7999</v>
          </cell>
          <cell r="F8">
            <v>1487</v>
          </cell>
          <cell r="G8">
            <v>13989</v>
          </cell>
          <cell r="H8">
            <v>14528</v>
          </cell>
          <cell r="I8">
            <v>80344</v>
          </cell>
          <cell r="J8">
            <v>36795051</v>
          </cell>
        </row>
        <row r="9">
          <cell r="B9">
            <v>263947</v>
          </cell>
          <cell r="C9">
            <v>91038</v>
          </cell>
          <cell r="E9">
            <v>8026</v>
          </cell>
          <cell r="F9">
            <v>1491</v>
          </cell>
          <cell r="G9">
            <v>14023</v>
          </cell>
          <cell r="H9">
            <v>14528</v>
          </cell>
          <cell r="I9">
            <v>80434</v>
          </cell>
          <cell r="J9">
            <v>36809493</v>
          </cell>
        </row>
        <row r="10">
          <cell r="B10">
            <v>267656</v>
          </cell>
          <cell r="C10">
            <v>97011</v>
          </cell>
          <cell r="E10">
            <v>8054</v>
          </cell>
          <cell r="F10">
            <v>1497</v>
          </cell>
          <cell r="G10">
            <v>14060</v>
          </cell>
          <cell r="H10">
            <v>14528</v>
          </cell>
          <cell r="I10">
            <v>80547</v>
          </cell>
          <cell r="J10">
            <v>36824187</v>
          </cell>
        </row>
        <row r="11">
          <cell r="B11">
            <v>271449</v>
          </cell>
          <cell r="C11">
            <v>103303</v>
          </cell>
          <cell r="E11">
            <v>8080.63</v>
          </cell>
          <cell r="F11">
            <v>1501</v>
          </cell>
          <cell r="G11">
            <v>14096</v>
          </cell>
          <cell r="H11">
            <v>14528</v>
          </cell>
          <cell r="I11">
            <v>80653</v>
          </cell>
          <cell r="J11">
            <v>36840675</v>
          </cell>
        </row>
        <row r="12">
          <cell r="B12">
            <v>275293</v>
          </cell>
          <cell r="C12">
            <v>109425</v>
          </cell>
          <cell r="E12">
            <v>8107.79</v>
          </cell>
          <cell r="F12">
            <v>1507.09</v>
          </cell>
          <cell r="G12">
            <v>14140</v>
          </cell>
          <cell r="H12">
            <v>14528</v>
          </cell>
          <cell r="I12">
            <v>80767</v>
          </cell>
          <cell r="J12">
            <v>36857012</v>
          </cell>
        </row>
        <row r="13">
          <cell r="B13">
            <v>279006</v>
          </cell>
          <cell r="C13">
            <v>116022</v>
          </cell>
          <cell r="E13">
            <v>8133.66</v>
          </cell>
          <cell r="F13">
            <v>1512.46</v>
          </cell>
          <cell r="G13">
            <v>14181</v>
          </cell>
          <cell r="H13">
            <v>14528</v>
          </cell>
          <cell r="I13">
            <v>80872</v>
          </cell>
          <cell r="J13">
            <v>36873363</v>
          </cell>
        </row>
        <row r="14">
          <cell r="B14">
            <v>282727</v>
          </cell>
          <cell r="C14">
            <v>121690</v>
          </cell>
          <cell r="E14">
            <v>8159.74</v>
          </cell>
          <cell r="F14">
            <v>1516.79</v>
          </cell>
          <cell r="G14">
            <v>14218</v>
          </cell>
          <cell r="H14">
            <v>14528</v>
          </cell>
          <cell r="I14">
            <v>80979</v>
          </cell>
          <cell r="J14">
            <v>36888880</v>
          </cell>
        </row>
        <row r="15">
          <cell r="B15">
            <v>286385</v>
          </cell>
          <cell r="C15">
            <v>127765</v>
          </cell>
          <cell r="E15">
            <v>8191.06</v>
          </cell>
          <cell r="F15">
            <v>1523.61</v>
          </cell>
          <cell r="G15">
            <v>14258.54</v>
          </cell>
          <cell r="H15">
            <v>14528</v>
          </cell>
          <cell r="I15">
            <v>81102</v>
          </cell>
          <cell r="J15">
            <v>36904364</v>
          </cell>
        </row>
        <row r="16">
          <cell r="B16">
            <v>290039</v>
          </cell>
          <cell r="C16">
            <v>133767</v>
          </cell>
          <cell r="E16">
            <v>8213.32</v>
          </cell>
          <cell r="F16">
            <v>1529.07</v>
          </cell>
          <cell r="G16">
            <v>14298</v>
          </cell>
          <cell r="H16">
            <v>14528</v>
          </cell>
          <cell r="I16">
            <v>81230</v>
          </cell>
          <cell r="J16">
            <v>36920415</v>
          </cell>
        </row>
        <row r="17">
          <cell r="B17">
            <v>294055</v>
          </cell>
          <cell r="C17">
            <v>140504</v>
          </cell>
          <cell r="E17">
            <v>8242</v>
          </cell>
          <cell r="F17">
            <v>1535.48</v>
          </cell>
          <cell r="G17">
            <v>14341</v>
          </cell>
          <cell r="H17">
            <v>14528</v>
          </cell>
          <cell r="I17">
            <v>81339</v>
          </cell>
          <cell r="J17">
            <v>36937855</v>
          </cell>
        </row>
        <row r="18">
          <cell r="B18">
            <v>298068</v>
          </cell>
          <cell r="C18">
            <v>147099</v>
          </cell>
          <cell r="E18">
            <v>8269.1</v>
          </cell>
          <cell r="F18">
            <v>1541.26</v>
          </cell>
          <cell r="G18">
            <v>14385</v>
          </cell>
          <cell r="H18">
            <v>14528</v>
          </cell>
          <cell r="I18">
            <v>81451</v>
          </cell>
          <cell r="J18">
            <v>36955626</v>
          </cell>
        </row>
        <row r="19">
          <cell r="B19">
            <v>302086</v>
          </cell>
          <cell r="C19">
            <v>153499</v>
          </cell>
          <cell r="E19">
            <v>8298.18</v>
          </cell>
          <cell r="F19">
            <v>1547.52</v>
          </cell>
          <cell r="G19">
            <v>14427.61</v>
          </cell>
          <cell r="H19">
            <v>14528</v>
          </cell>
          <cell r="I19">
            <v>81560</v>
          </cell>
          <cell r="J19">
            <v>36971052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R19" sqref="R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'[1]12 - 2019'!B7-'[1]12 - 2019'!B6+'[1]12 - 2019'!C7-'[1]12 - 2019'!C6</f>
        <v>8411.7000000000116</v>
      </c>
      <c r="F2" s="25">
        <v>0.11799999999999999</v>
      </c>
      <c r="G2" s="27">
        <f>(('[1]12 - 2019'!E7-'[1]12 - 2019'!E6)+('[1]12 - 2019'!F7-'[1]12 - 2019'!F6)+('[1]12 - 2019'!G7-'[1]12 - 2019'!G6))*1.81</f>
        <v>107.80359999999949</v>
      </c>
      <c r="H2" s="25">
        <v>0.99</v>
      </c>
      <c r="I2" s="27">
        <f>'[1]12 - 2019'!J7-'[1]12 - 2019'!J6</f>
        <v>16415</v>
      </c>
      <c r="J2" s="25">
        <v>8.1000000000000003E-2</v>
      </c>
      <c r="K2" s="27">
        <f>'[1]12 - 2019'!H7-'[1]12 - 2019'!H6</f>
        <v>0</v>
      </c>
      <c r="L2" s="27">
        <f>'[1]12 - 2019'!I7-'[1]12 - 2019'!I6</f>
        <v>91</v>
      </c>
      <c r="M2" s="26">
        <v>4.3936294247669103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'[1]12 - 2019'!B8-'[1]12 - 2019'!B7+'[1]12 - 2019'!C8-'[1]12 - 2019'!C7</f>
        <v>8636.3999999999942</v>
      </c>
      <c r="F3" s="25">
        <v>0.11799999999999999</v>
      </c>
      <c r="G3" s="27">
        <f>(('[1]12 - 2019'!E8-'[1]12 - 2019'!E7)+('[1]12 - 2019'!F8-'[1]12 - 2019'!F7)+('[1]12 - 2019'!G8-'[1]12 - 2019'!G7))*1.81</f>
        <v>102.17450000000132</v>
      </c>
      <c r="H3" s="25">
        <v>0.99</v>
      </c>
      <c r="I3" s="27">
        <f>'[1]12 - 2019'!J8-'[1]12 - 2019'!J7</f>
        <v>12112</v>
      </c>
      <c r="J3" s="25">
        <v>8.1000000000000003E-2</v>
      </c>
      <c r="K3" s="27">
        <f>'[1]12 - 2019'!H8-'[1]12 - 2019'!H7</f>
        <v>0</v>
      </c>
      <c r="L3" s="27">
        <f>'[1]12 - 2019'!I8-'[1]12 - 2019'!I7</f>
        <v>73</v>
      </c>
      <c r="M3" s="26">
        <v>4.3936294247669103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'[1]12 - 2019'!B9-'[1]12 - 2019'!B8+'[1]12 - 2019'!C9-'[1]12 - 2019'!C8</f>
        <v>9552</v>
      </c>
      <c r="F4" s="25">
        <v>0.11799999999999999</v>
      </c>
      <c r="G4" s="27">
        <f>(('[1]12 - 2019'!E9-'[1]12 - 2019'!E8)+('[1]12 - 2019'!F9-'[1]12 - 2019'!F8)+('[1]12 - 2019'!G9-'[1]12 - 2019'!G8))*1.81</f>
        <v>117.65</v>
      </c>
      <c r="H4" s="25">
        <v>0.99</v>
      </c>
      <c r="I4" s="27">
        <f>'[1]12 - 2019'!J9-'[1]12 - 2019'!J8</f>
        <v>14442</v>
      </c>
      <c r="J4" s="25">
        <v>8.1000000000000003E-2</v>
      </c>
      <c r="K4" s="27">
        <f>'[1]12 - 2019'!H9-'[1]12 - 2019'!H8</f>
        <v>0</v>
      </c>
      <c r="L4" s="27">
        <f>'[1]12 - 2019'!I9-'[1]12 - 2019'!I8</f>
        <v>90</v>
      </c>
      <c r="M4" s="26">
        <v>4.3936294247669103</v>
      </c>
      <c r="N4" s="6">
        <v>98</v>
      </c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'[1]12 - 2019'!B10-'[1]12 - 2019'!B9+'[1]12 - 2019'!C10-'[1]12 - 2019'!C9</f>
        <v>9682</v>
      </c>
      <c r="F5" s="25">
        <v>0.11799999999999999</v>
      </c>
      <c r="G5" s="27">
        <f>(('[1]12 - 2019'!E10-'[1]12 - 2019'!E9)+('[1]12 - 2019'!F10-'[1]12 - 2019'!F9)+('[1]12 - 2019'!G10-'[1]12 - 2019'!G9))*1.81</f>
        <v>128.51</v>
      </c>
      <c r="H5" s="25">
        <v>0.99</v>
      </c>
      <c r="I5" s="27">
        <f>'[1]12 - 2019'!J10-'[1]12 - 2019'!J9</f>
        <v>14694</v>
      </c>
      <c r="J5" s="25">
        <v>8.1000000000000003E-2</v>
      </c>
      <c r="K5" s="27">
        <f>'[1]12 - 2019'!H10-'[1]12 - 2019'!H9</f>
        <v>0</v>
      </c>
      <c r="L5" s="27">
        <f>'[1]12 - 2019'!I10-'[1]12 - 2019'!I9</f>
        <v>113</v>
      </c>
      <c r="M5" s="26">
        <v>4.3936294247669103</v>
      </c>
      <c r="N5" s="6">
        <v>98</v>
      </c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'[1]12 - 2019'!B11-'[1]12 - 2019'!B10+'[1]12 - 2019'!C11-'[1]12 - 2019'!C10</f>
        <v>10085</v>
      </c>
      <c r="F6" s="25">
        <v>0.11799999999999999</v>
      </c>
      <c r="G6" s="27">
        <f>(('[1]12 - 2019'!E11-'[1]12 - 2019'!E10)+('[1]12 - 2019'!F11-'[1]12 - 2019'!F10)+('[1]12 - 2019'!G11-'[1]12 - 2019'!G10))*1.81</f>
        <v>120.6003000000002</v>
      </c>
      <c r="H6" s="25">
        <v>0.99</v>
      </c>
      <c r="I6" s="27">
        <f>'[1]12 - 2019'!J11-'[1]12 - 2019'!J10</f>
        <v>16488</v>
      </c>
      <c r="J6" s="25">
        <v>8.1000000000000003E-2</v>
      </c>
      <c r="K6" s="27">
        <f>'[1]12 - 2019'!H11-'[1]12 - 2019'!H10</f>
        <v>0</v>
      </c>
      <c r="L6" s="27">
        <f>'[1]12 - 2019'!I11-'[1]12 - 2019'!I10</f>
        <v>106</v>
      </c>
      <c r="M6" s="26">
        <v>4.3936294247669103</v>
      </c>
      <c r="N6" s="15">
        <v>93</v>
      </c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'[1]12 - 2019'!B12-'[1]12 - 2019'!B11+'[1]12 - 2019'!C12-'[1]12 - 2019'!C11</f>
        <v>9966</v>
      </c>
      <c r="F7" s="25">
        <v>0.11799999999999999</v>
      </c>
      <c r="G7" s="27">
        <f>(('[1]12 - 2019'!E12-'[1]12 - 2019'!E11)+('[1]12 - 2019'!F12-'[1]12 - 2019'!F11)+('[1]12 - 2019'!G12-'[1]12 - 2019'!G11))*1.81</f>
        <v>139.82249999999959</v>
      </c>
      <c r="H7" s="25">
        <v>0.99</v>
      </c>
      <c r="I7" s="27">
        <f>'[1]12 - 2019'!J12-'[1]12 - 2019'!J11</f>
        <v>16337</v>
      </c>
      <c r="J7" s="25">
        <v>8.1000000000000003E-2</v>
      </c>
      <c r="K7" s="27">
        <f>'[1]12 - 2019'!H12-'[1]12 - 2019'!H11</f>
        <v>0</v>
      </c>
      <c r="L7" s="27">
        <f>'[1]12 - 2019'!I12-'[1]12 - 2019'!I11</f>
        <v>114</v>
      </c>
      <c r="M7" s="26">
        <v>4.3936294247669103</v>
      </c>
      <c r="N7" s="6">
        <v>92</v>
      </c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'[1]12 - 2019'!B13-'[1]12 - 2019'!B12+'[1]12 - 2019'!C13-'[1]12 - 2019'!C12</f>
        <v>10310</v>
      </c>
      <c r="F8" s="25">
        <v>0.11799999999999999</v>
      </c>
      <c r="G8" s="27">
        <f>(('[1]12 - 2019'!E13-'[1]12 - 2019'!E12)+('[1]12 - 2019'!F13-'[1]12 - 2019'!F12)+('[1]12 - 2019'!G13-'[1]12 - 2019'!G12))*1.81</f>
        <v>130.75440000000003</v>
      </c>
      <c r="H8" s="25">
        <v>0.99</v>
      </c>
      <c r="I8" s="27">
        <f>'[1]12 - 2019'!J13-'[1]12 - 2019'!J12</f>
        <v>16351</v>
      </c>
      <c r="J8" s="25">
        <v>8.1000000000000003E-2</v>
      </c>
      <c r="K8" s="27">
        <f>'[1]12 - 2019'!H13-'[1]12 - 2019'!H12</f>
        <v>0</v>
      </c>
      <c r="L8" s="27">
        <f>'[1]12 - 2019'!I13-'[1]12 - 2019'!I12</f>
        <v>105</v>
      </c>
      <c r="M8" s="26">
        <v>4.3936294247669103</v>
      </c>
      <c r="N8" s="6">
        <v>82</v>
      </c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'[1]12 - 2019'!B14-'[1]12 - 2019'!B13+'[1]12 - 2019'!C14-'[1]12 - 2019'!C13</f>
        <v>9389</v>
      </c>
      <c r="F9" s="25">
        <v>0.11799999999999999</v>
      </c>
      <c r="G9" s="27">
        <f>(('[1]12 - 2019'!E14-'[1]12 - 2019'!E13)+('[1]12 - 2019'!F14-'[1]12 - 2019'!F13)+('[1]12 - 2019'!G14-'[1]12 - 2019'!G13))*1.81</f>
        <v>122.01209999999973</v>
      </c>
      <c r="H9" s="25">
        <v>0.99</v>
      </c>
      <c r="I9" s="27">
        <f>'[1]12 - 2019'!J14-'[1]12 - 2019'!J13</f>
        <v>15517</v>
      </c>
      <c r="J9" s="25">
        <v>8.1000000000000003E-2</v>
      </c>
      <c r="K9" s="27">
        <f>'[1]12 - 2019'!H14-'[1]12 - 2019'!H13</f>
        <v>0</v>
      </c>
      <c r="L9" s="27">
        <f>'[1]12 - 2019'!I14-'[1]12 - 2019'!I13</f>
        <v>107</v>
      </c>
      <c r="M9" s="26">
        <v>4.3936294247669103</v>
      </c>
      <c r="N9" s="6">
        <v>90</v>
      </c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'[1]12 - 2019'!B15-'[1]12 - 2019'!B14+'[1]12 - 2019'!C15-'[1]12 - 2019'!C14</f>
        <v>9733</v>
      </c>
      <c r="F10" s="25">
        <v>0.11799999999999999</v>
      </c>
      <c r="G10" s="27">
        <f>(('[1]12 - 2019'!E15-'[1]12 - 2019'!E14)+('[1]12 - 2019'!F15-'[1]12 - 2019'!F14)+('[1]12 - 2019'!G15-'[1]12 - 2019'!G14))*1.81</f>
        <v>142.41080000000258</v>
      </c>
      <c r="H10" s="25">
        <v>0.99</v>
      </c>
      <c r="I10" s="27">
        <f>'[1]12 - 2019'!J15-'[1]12 - 2019'!J14</f>
        <v>15484</v>
      </c>
      <c r="J10" s="25">
        <v>8.1000000000000003E-2</v>
      </c>
      <c r="K10" s="27">
        <f>'[1]12 - 2019'!H15-'[1]12 - 2019'!H14</f>
        <v>0</v>
      </c>
      <c r="L10" s="27">
        <f>'[1]12 - 2019'!I15-'[1]12 - 2019'!I14</f>
        <v>123</v>
      </c>
      <c r="M10" s="26">
        <v>4.3936294247669103</v>
      </c>
      <c r="N10" s="6">
        <v>97</v>
      </c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'[1]12 - 2019'!B16-'[1]12 - 2019'!B15+'[1]12 - 2019'!C16-'[1]12 - 2019'!C15</f>
        <v>9656</v>
      </c>
      <c r="F11" s="25">
        <v>0.11799999999999999</v>
      </c>
      <c r="G11" s="27">
        <f>(('[1]12 - 2019'!E16-'[1]12 - 2019'!E15)+('[1]12 - 2019'!F16-'[1]12 - 2019'!F15)+('[1]12 - 2019'!G16-'[1]12 - 2019'!G15))*1.81</f>
        <v>121.59579999999724</v>
      </c>
      <c r="H11" s="25">
        <v>0.99</v>
      </c>
      <c r="I11" s="27">
        <f>'[1]12 - 2019'!J16-'[1]12 - 2019'!J15</f>
        <v>16051</v>
      </c>
      <c r="J11" s="25">
        <v>8.1000000000000003E-2</v>
      </c>
      <c r="K11" s="27">
        <f>'[1]12 - 2019'!H16-'[1]12 - 2019'!H15</f>
        <v>0</v>
      </c>
      <c r="L11" s="27">
        <f>'[1]12 - 2019'!I16-'[1]12 - 2019'!I15</f>
        <v>128</v>
      </c>
      <c r="M11" s="26">
        <v>4.3936294247669103</v>
      </c>
      <c r="N11" s="6">
        <v>103</v>
      </c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'[1]12 - 2019'!B17-'[1]12 - 2019'!B16+'[1]12 - 2019'!C17-'[1]12 - 2019'!C16</f>
        <v>10753</v>
      </c>
      <c r="F12" s="25">
        <v>0.11799999999999999</v>
      </c>
      <c r="G12" s="27">
        <f>(('[1]12 - 2019'!E17-'[1]12 - 2019'!E16)+('[1]12 - 2019'!F17-'[1]12 - 2019'!F16)+('[1]12 - 2019'!G17-'[1]12 - 2019'!G16))*1.81</f>
        <v>141.34290000000067</v>
      </c>
      <c r="H12" s="25">
        <v>0.99</v>
      </c>
      <c r="I12" s="27">
        <f>'[1]12 - 2019'!J17-'[1]12 - 2019'!J16</f>
        <v>17440</v>
      </c>
      <c r="J12" s="25">
        <v>8.1000000000000003E-2</v>
      </c>
      <c r="K12" s="27">
        <f>'[1]12 - 2019'!H17-'[1]12 - 2019'!H16</f>
        <v>0</v>
      </c>
      <c r="L12" s="27">
        <f>'[1]12 - 2019'!I17-'[1]12 - 2019'!I16</f>
        <v>109</v>
      </c>
      <c r="M12" s="26">
        <v>4.3936294247669103</v>
      </c>
      <c r="N12" s="6">
        <v>92</v>
      </c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'[1]12 - 2019'!B18-'[1]12 - 2019'!B17+'[1]12 - 2019'!C18-'[1]12 - 2019'!C17</f>
        <v>10608</v>
      </c>
      <c r="F13" s="25">
        <v>0.11799999999999999</v>
      </c>
      <c r="G13" s="27">
        <f>(('[1]12 - 2019'!E18-'[1]12 - 2019'!E17)+('[1]12 - 2019'!F18-'[1]12 - 2019'!F17)+('[1]12 - 2019'!G18-'[1]12 - 2019'!G17))*1.81</f>
        <v>139.15280000000061</v>
      </c>
      <c r="H13" s="25">
        <v>0.99</v>
      </c>
      <c r="I13" s="27">
        <f>'[1]12 - 2019'!J18-'[1]12 - 2019'!J17</f>
        <v>17771</v>
      </c>
      <c r="J13" s="25">
        <v>8.1000000000000003E-2</v>
      </c>
      <c r="K13" s="27">
        <f>'[1]12 - 2019'!H18-'[1]12 - 2019'!H17</f>
        <v>0</v>
      </c>
      <c r="L13" s="27">
        <f>'[1]12 - 2019'!I18-'[1]12 - 2019'!I17</f>
        <v>112</v>
      </c>
      <c r="M13" s="26">
        <v>4.3936294247669103</v>
      </c>
      <c r="N13" s="6">
        <v>93</v>
      </c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'[1]12 - 2019'!B19-'[1]12 - 2019'!B18+'[1]12 - 2019'!C19-'[1]12 - 2019'!C18</f>
        <v>10418</v>
      </c>
      <c r="F14" s="25">
        <v>0.11799999999999999</v>
      </c>
      <c r="G14" s="27">
        <f>(('[1]12 - 2019'!E19-'[1]12 - 2019'!E18)+('[1]12 - 2019'!F19-'[1]12 - 2019'!F18)+('[1]12 - 2019'!G19-'[1]12 - 2019'!G18))*1.81</f>
        <v>141.0895000000009</v>
      </c>
      <c r="H14" s="25">
        <v>0.99</v>
      </c>
      <c r="I14" s="27">
        <f>'[1]12 - 2019'!J19-'[1]12 - 2019'!J18</f>
        <v>15426</v>
      </c>
      <c r="J14" s="25">
        <v>8.1000000000000003E-2</v>
      </c>
      <c r="K14" s="27">
        <f>'[1]12 - 2019'!H19-'[1]12 - 2019'!H18</f>
        <v>0</v>
      </c>
      <c r="L14" s="27">
        <f>'[1]12 - 2019'!I19-'[1]12 - 2019'!I18</f>
        <v>109</v>
      </c>
      <c r="M14" s="26">
        <v>4.3936294247669103</v>
      </c>
      <c r="N14" s="6">
        <v>87</v>
      </c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v>0</v>
      </c>
      <c r="F15" s="25">
        <v>0.11799999999999999</v>
      </c>
      <c r="G15" s="27">
        <v>0</v>
      </c>
      <c r="H15" s="25">
        <v>0.99</v>
      </c>
      <c r="I15" s="27">
        <v>0</v>
      </c>
      <c r="J15" s="25">
        <v>8.1000000000000003E-2</v>
      </c>
      <c r="K15" s="27">
        <v>0</v>
      </c>
      <c r="L15" s="27"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0</v>
      </c>
      <c r="F16" s="25">
        <v>0.11799999999999999</v>
      </c>
      <c r="G16" s="27">
        <f>(('01 - 2020'!E21-'01 - 2020'!E20)+('01 - 2020'!F21-'01 - 2020'!F20)+('01 - 2020'!G21-'01 - 2020'!G20))*1.81</f>
        <v>0</v>
      </c>
      <c r="H16" s="25">
        <v>0.99</v>
      </c>
      <c r="I16" s="27">
        <f>'01 - 2020'!J21-'01 - 2020'!J20</f>
        <v>0</v>
      </c>
      <c r="J16" s="25">
        <v>8.1000000000000003E-2</v>
      </c>
      <c r="K16" s="27">
        <f>'01 - 2020'!H21-'01 - 2020'!H20</f>
        <v>0</v>
      </c>
      <c r="L16" s="27">
        <f>'01 - 2020'!I21-'01 - 2020'!I20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0</v>
      </c>
      <c r="F17" s="25">
        <v>0.11799999999999999</v>
      </c>
      <c r="G17" s="27">
        <f>(('01 - 2020'!E22-'01 - 2020'!E21)+('01 - 2020'!F22-'01 - 2020'!F21)+('01 - 2020'!G22-'01 - 2020'!G21))*1.81</f>
        <v>0</v>
      </c>
      <c r="H17" s="25">
        <v>0.99</v>
      </c>
      <c r="I17" s="27">
        <f>'01 - 2020'!J22-'01 - 2020'!J21</f>
        <v>0</v>
      </c>
      <c r="J17" s="25">
        <v>8.1000000000000003E-2</v>
      </c>
      <c r="K17" s="27">
        <f>'01 - 2020'!H22-'01 - 2020'!H21</f>
        <v>0</v>
      </c>
      <c r="L17" s="27">
        <f>'01 - 2020'!I22-'01 - 2020'!I21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18" sqref="Q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</f>
        <v>3251</v>
      </c>
      <c r="F2" s="27">
        <f>'[1]12 - 2019'!C7-'[1]12 - 2019'!C6</f>
        <v>5160.7000000000116</v>
      </c>
      <c r="G2" s="25">
        <v>0.11799999999999999</v>
      </c>
      <c r="H2" s="27">
        <f>'[1]12 - 2019'!E7-'[1]12 - 2019'!E6</f>
        <v>23.699999999999818</v>
      </c>
      <c r="I2" s="27">
        <f>'[1]12 - 2019'!F7-'[1]12 - 2019'!F6</f>
        <v>4.9399999999998272</v>
      </c>
      <c r="J2" s="27">
        <f>'[1]12 - 2019'!G7-'[1]12 - 2019'!G6</f>
        <v>30.920000000000073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</f>
        <v>3308</v>
      </c>
      <c r="F3" s="27">
        <f>'[1]12 - 2019'!C8-'[1]12 - 2019'!C7</f>
        <v>5328.3999999999942</v>
      </c>
      <c r="G3" s="25">
        <v>0.11799999999999999</v>
      </c>
      <c r="H3" s="27">
        <f>'[1]12 - 2019'!E8-'[1]12 - 2019'!E7</f>
        <v>21.300000000000182</v>
      </c>
      <c r="I3" s="27">
        <f>'[1]12 - 2019'!F8-'[1]12 - 2019'!F7</f>
        <v>4.8800000000001091</v>
      </c>
      <c r="J3" s="27">
        <f>'[1]12 - 2019'!G8-'[1]12 - 2019'!G7</f>
        <v>30.270000000000437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'[1]12 - 2019'!B9-'[1]12 - 2019'!B8</f>
        <v>3661</v>
      </c>
      <c r="F4" s="27">
        <f>'[1]12 - 2019'!C9-'[1]12 - 2019'!C8</f>
        <v>5891</v>
      </c>
      <c r="G4" s="25">
        <v>0.11799999999999999</v>
      </c>
      <c r="H4" s="27">
        <f>'[1]12 - 2019'!E9-'[1]12 - 2019'!E8</f>
        <v>27</v>
      </c>
      <c r="I4" s="27">
        <f>'[1]12 - 2019'!F9-'[1]12 - 2019'!F8</f>
        <v>4</v>
      </c>
      <c r="J4" s="27">
        <f>'[1]12 - 2019'!G9-'[1]12 - 2019'!G8</f>
        <v>34</v>
      </c>
      <c r="K4" s="25">
        <v>0.74</v>
      </c>
      <c r="L4" s="6">
        <v>98</v>
      </c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'[1]12 - 2019'!B10-'[1]12 - 2019'!B9</f>
        <v>3709</v>
      </c>
      <c r="F5" s="27">
        <f>'[1]12 - 2019'!C10-'[1]12 - 2019'!C9</f>
        <v>5973</v>
      </c>
      <c r="G5" s="25">
        <v>0.11799999999999999</v>
      </c>
      <c r="H5" s="27">
        <f>'[1]12 - 2019'!E10-'[1]12 - 2019'!E9</f>
        <v>28</v>
      </c>
      <c r="I5" s="27">
        <f>'[1]12 - 2019'!F10-'[1]12 - 2019'!F9</f>
        <v>6</v>
      </c>
      <c r="J5" s="27">
        <f>'[1]12 - 2019'!G10-'[1]12 - 2019'!G9</f>
        <v>37</v>
      </c>
      <c r="K5" s="25">
        <v>0.74</v>
      </c>
      <c r="L5" s="6">
        <v>98</v>
      </c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'[1]12 - 2019'!B11-'[1]12 - 2019'!B10</f>
        <v>3793</v>
      </c>
      <c r="F6" s="27">
        <f>'[1]12 - 2019'!C11-'[1]12 - 2019'!C10</f>
        <v>6292</v>
      </c>
      <c r="G6" s="25">
        <v>0.11799999999999999</v>
      </c>
      <c r="H6" s="27">
        <f>'[1]12 - 2019'!E11-'[1]12 - 2019'!E10</f>
        <v>26.630000000000109</v>
      </c>
      <c r="I6" s="27">
        <f>'[1]12 - 2019'!F11-'[1]12 - 2019'!F10</f>
        <v>4</v>
      </c>
      <c r="J6" s="27">
        <f>'[1]12 - 2019'!G11-'[1]12 - 2019'!G10</f>
        <v>36</v>
      </c>
      <c r="K6" s="25">
        <v>0.74</v>
      </c>
      <c r="L6" s="15">
        <v>93</v>
      </c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'[1]12 - 2019'!B12-'[1]12 - 2019'!B11</f>
        <v>3844</v>
      </c>
      <c r="F7" s="27">
        <f>'[1]12 - 2019'!C12-'[1]12 - 2019'!C11</f>
        <v>6122</v>
      </c>
      <c r="G7" s="25">
        <v>0.11799999999999999</v>
      </c>
      <c r="H7" s="27">
        <f>'[1]12 - 2019'!E12-'[1]12 - 2019'!E11</f>
        <v>27.159999999999854</v>
      </c>
      <c r="I7" s="27">
        <f>'[1]12 - 2019'!F12-'[1]12 - 2019'!F11</f>
        <v>6.0899999999999181</v>
      </c>
      <c r="J7" s="27">
        <f>'[1]12 - 2019'!G12-'[1]12 - 2019'!G11</f>
        <v>44</v>
      </c>
      <c r="K7" s="25">
        <v>0.74</v>
      </c>
      <c r="L7" s="6">
        <v>92</v>
      </c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'[1]12 - 2019'!B13-'[1]12 - 2019'!B12</f>
        <v>3713</v>
      </c>
      <c r="F8" s="27">
        <f>'[1]12 - 2019'!C13-'[1]12 - 2019'!C12</f>
        <v>6597</v>
      </c>
      <c r="G8" s="25">
        <v>0.11799999999999999</v>
      </c>
      <c r="H8" s="27">
        <f>'[1]12 - 2019'!E13-'[1]12 - 2019'!E12</f>
        <v>25.869999999999891</v>
      </c>
      <c r="I8" s="27">
        <f>'[1]12 - 2019'!F13-'[1]12 - 2019'!F12</f>
        <v>5.3700000000001182</v>
      </c>
      <c r="J8" s="27">
        <f>'[1]12 - 2019'!G13-'[1]12 - 2019'!G12</f>
        <v>41</v>
      </c>
      <c r="K8" s="25">
        <v>0.74</v>
      </c>
      <c r="L8" s="6">
        <v>82</v>
      </c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'[1]12 - 2019'!B14-'[1]12 - 2019'!B13</f>
        <v>3721</v>
      </c>
      <c r="F9" s="27">
        <f>'[1]12 - 2019'!C14-'[1]12 - 2019'!C13</f>
        <v>5668</v>
      </c>
      <c r="G9" s="25">
        <v>0.11799999999999999</v>
      </c>
      <c r="H9" s="27">
        <f>'[1]12 - 2019'!E14-'[1]12 - 2019'!E13</f>
        <v>26.079999999999927</v>
      </c>
      <c r="I9" s="27">
        <f>'[1]12 - 2019'!F14-'[1]12 - 2019'!F13</f>
        <v>4.3299999999999272</v>
      </c>
      <c r="J9" s="27">
        <f>'[1]12 - 2019'!G14-'[1]12 - 2019'!G13</f>
        <v>37</v>
      </c>
      <c r="K9" s="25">
        <v>0.74</v>
      </c>
      <c r="L9" s="6">
        <v>90</v>
      </c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'[1]12 - 2019'!B15-'[1]12 - 2019'!B14</f>
        <v>3658</v>
      </c>
      <c r="F10" s="27">
        <f>'[1]12 - 2019'!C15-'[1]12 - 2019'!C14</f>
        <v>6075</v>
      </c>
      <c r="G10" s="25">
        <v>0.11799999999999999</v>
      </c>
      <c r="H10" s="27">
        <f>'[1]12 - 2019'!E15-'[1]12 - 2019'!E14</f>
        <v>31.320000000000618</v>
      </c>
      <c r="I10" s="27">
        <f>'[1]12 - 2019'!F15-'[1]12 - 2019'!F14</f>
        <v>6.8199999999999363</v>
      </c>
      <c r="J10" s="27">
        <f>'[1]12 - 2019'!G15-'[1]12 - 2019'!G14</f>
        <v>40.540000000000873</v>
      </c>
      <c r="K10" s="25">
        <v>0.74</v>
      </c>
      <c r="L10" s="27">
        <v>97</v>
      </c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'[1]12 - 2019'!B16-'[1]12 - 2019'!B15</f>
        <v>3654</v>
      </c>
      <c r="F11" s="27">
        <f>'[1]12 - 2019'!C16-'[1]12 - 2019'!C15</f>
        <v>6002</v>
      </c>
      <c r="G11" s="25">
        <v>0.11799999999999999</v>
      </c>
      <c r="H11" s="27">
        <f>'[1]12 - 2019'!E16-'[1]12 - 2019'!E15</f>
        <v>22.259999999999309</v>
      </c>
      <c r="I11" s="27">
        <f>'[1]12 - 2019'!F16-'[1]12 - 2019'!F15</f>
        <v>5.4600000000000364</v>
      </c>
      <c r="J11" s="27">
        <f>'[1]12 - 2019'!G16-'[1]12 - 2019'!G15</f>
        <v>39.459999999999127</v>
      </c>
      <c r="K11" s="25">
        <v>0.74</v>
      </c>
      <c r="L11" s="27">
        <v>103</v>
      </c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'[1]12 - 2019'!B17-'[1]12 - 2019'!B16</f>
        <v>4016</v>
      </c>
      <c r="F12" s="27">
        <f>'[1]12 - 2019'!C17-'[1]12 - 2019'!C16</f>
        <v>6737</v>
      </c>
      <c r="G12" s="25">
        <v>0.11799999999999999</v>
      </c>
      <c r="H12" s="27">
        <f>'[1]12 - 2019'!E17-'[1]12 - 2019'!E16</f>
        <v>28.680000000000291</v>
      </c>
      <c r="I12" s="27">
        <f>'[1]12 - 2019'!F17-'[1]12 - 2019'!F16</f>
        <v>6.4100000000000819</v>
      </c>
      <c r="J12" s="27">
        <f>'[1]12 - 2019'!G17-'[1]12 - 2019'!G16</f>
        <v>43</v>
      </c>
      <c r="K12" s="25">
        <v>0.74</v>
      </c>
      <c r="L12" s="27">
        <v>92</v>
      </c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'[1]12 - 2019'!B18-'[1]12 - 2019'!B17</f>
        <v>4013</v>
      </c>
      <c r="F13" s="27">
        <f>'[1]12 - 2019'!C18-'[1]12 - 2019'!C17</f>
        <v>6595</v>
      </c>
      <c r="G13" s="25">
        <v>0.11799999999999999</v>
      </c>
      <c r="H13" s="27">
        <f>'[1]12 - 2019'!E18-'[1]12 - 2019'!E17</f>
        <v>27.100000000000364</v>
      </c>
      <c r="I13" s="27">
        <f>'[1]12 - 2019'!F18-'[1]12 - 2019'!F17</f>
        <v>5.7799999999999727</v>
      </c>
      <c r="J13" s="27">
        <f>'[1]12 - 2019'!G18-'[1]12 - 2019'!G17</f>
        <v>44</v>
      </c>
      <c r="K13" s="25">
        <v>0.74</v>
      </c>
      <c r="L13" s="27">
        <v>93</v>
      </c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'[1]12 - 2019'!B19-'[1]12 - 2019'!B18</f>
        <v>4018</v>
      </c>
      <c r="F14" s="27">
        <f>'[1]12 - 2019'!C19-'[1]12 - 2019'!C18</f>
        <v>6400</v>
      </c>
      <c r="G14" s="25">
        <v>0.11799999999999999</v>
      </c>
      <c r="H14" s="27">
        <f>'[1]12 - 2019'!E19-'[1]12 - 2019'!E18</f>
        <v>29.079999999999927</v>
      </c>
      <c r="I14" s="27">
        <f>'[1]12 - 2019'!F19-'[1]12 - 2019'!F18</f>
        <v>6.2599999999999909</v>
      </c>
      <c r="J14" s="27">
        <f>'[1]12 - 2019'!G19-'[1]12 - 2019'!G18</f>
        <v>42.610000000000582</v>
      </c>
      <c r="K14" s="25">
        <v>0.74</v>
      </c>
      <c r="L14" s="6">
        <v>87</v>
      </c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v>0</v>
      </c>
      <c r="F15" s="27">
        <v>0</v>
      </c>
      <c r="G15" s="25">
        <v>0.11799999999999999</v>
      </c>
      <c r="H15" s="27">
        <v>0</v>
      </c>
      <c r="I15" s="27">
        <v>0</v>
      </c>
      <c r="J15" s="27"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0</v>
      </c>
      <c r="F16" s="27">
        <f>'01 - 2020'!C21-'01 - 2020'!C20</f>
        <v>0</v>
      </c>
      <c r="G16" s="25">
        <v>0.11799999999999999</v>
      </c>
      <c r="H16" s="27">
        <f>'01 - 2020'!E21-'01 - 2020'!E20</f>
        <v>0</v>
      </c>
      <c r="I16" s="27">
        <f>'01 - 2020'!F21-'01 - 2020'!F20</f>
        <v>0</v>
      </c>
      <c r="J16" s="27">
        <f>'01 - 2020'!G21-'01 - 2020'!G20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0</v>
      </c>
      <c r="F17" s="27">
        <f>'01 - 2020'!C22-'01 - 2020'!C21</f>
        <v>0</v>
      </c>
      <c r="G17" s="25">
        <v>0.11799999999999999</v>
      </c>
      <c r="H17" s="27">
        <f>'01 - 2020'!E22-'01 - 2020'!E21</f>
        <v>0</v>
      </c>
      <c r="I17" s="27">
        <f>'01 - 2020'!F22-'01 - 2020'!F21</f>
        <v>0</v>
      </c>
      <c r="J17" s="27">
        <f>'01 - 2020'!G22-'01 - 2020'!G21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L32" sqref="L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43466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43467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43468</v>
      </c>
      <c r="B9" s="16">
        <v>383172</v>
      </c>
      <c r="C9" s="16">
        <v>281953</v>
      </c>
      <c r="D9" s="17">
        <v>0.85</v>
      </c>
      <c r="E9" s="24">
        <v>8825</v>
      </c>
      <c r="F9" s="24">
        <v>1668.1</v>
      </c>
      <c r="G9" s="24">
        <v>15261.71</v>
      </c>
      <c r="H9" s="20">
        <v>14528</v>
      </c>
      <c r="I9" s="16">
        <v>83932</v>
      </c>
      <c r="J9" s="16">
        <v>37269901</v>
      </c>
      <c r="K9" s="19"/>
      <c r="L9" s="34"/>
    </row>
    <row r="10" spans="1:15" ht="12.75" customHeight="1" x14ac:dyDescent="0.25">
      <c r="A10" s="49">
        <v>43469</v>
      </c>
      <c r="B10" s="16">
        <v>386677</v>
      </c>
      <c r="C10" s="16">
        <v>287581</v>
      </c>
      <c r="D10" s="17">
        <v>0.78</v>
      </c>
      <c r="E10" s="24">
        <v>8848.18</v>
      </c>
      <c r="F10" s="24">
        <v>1674.1</v>
      </c>
      <c r="G10" s="24">
        <v>15299.18</v>
      </c>
      <c r="H10" s="20">
        <v>14528</v>
      </c>
      <c r="I10" s="16">
        <v>84063</v>
      </c>
      <c r="J10" s="16">
        <v>37283729</v>
      </c>
      <c r="K10" s="19"/>
      <c r="L10" s="34"/>
    </row>
    <row r="11" spans="1:15" ht="12.75" customHeight="1" x14ac:dyDescent="0.25">
      <c r="A11" s="49">
        <v>43470</v>
      </c>
      <c r="B11" s="16">
        <v>390917</v>
      </c>
      <c r="C11" s="16">
        <v>294379</v>
      </c>
      <c r="D11" s="17">
        <v>0.7</v>
      </c>
      <c r="E11" s="24">
        <v>8871.18</v>
      </c>
      <c r="F11" s="24">
        <v>1680.18</v>
      </c>
      <c r="G11" s="24">
        <v>15344.8</v>
      </c>
      <c r="H11" s="16">
        <v>14528</v>
      </c>
      <c r="I11" s="16">
        <v>84177</v>
      </c>
      <c r="J11" s="16">
        <v>37299559</v>
      </c>
      <c r="K11" s="19"/>
      <c r="L11" s="34"/>
    </row>
    <row r="12" spans="1:15" ht="12.75" customHeight="1" x14ac:dyDescent="0.25">
      <c r="A12" s="49">
        <v>43471</v>
      </c>
      <c r="B12" s="16">
        <v>394057</v>
      </c>
      <c r="C12" s="16">
        <v>299244</v>
      </c>
      <c r="D12" s="17">
        <v>0.63</v>
      </c>
      <c r="E12" s="24">
        <v>8893.51</v>
      </c>
      <c r="F12" s="24">
        <v>1686.06</v>
      </c>
      <c r="G12" s="24">
        <v>15376.52</v>
      </c>
      <c r="H12" s="16">
        <v>14528</v>
      </c>
      <c r="I12" s="18">
        <v>84263</v>
      </c>
      <c r="J12" s="18">
        <v>37312092</v>
      </c>
      <c r="K12" s="19"/>
      <c r="L12" s="34"/>
    </row>
    <row r="13" spans="1:15" ht="12.75" customHeight="1" x14ac:dyDescent="0.25">
      <c r="A13" s="49">
        <v>43472</v>
      </c>
      <c r="B13" s="16">
        <v>398263</v>
      </c>
      <c r="C13" s="16">
        <v>305376</v>
      </c>
      <c r="D13" s="17">
        <v>0.55000000000000004</v>
      </c>
      <c r="E13" s="24">
        <v>8919.77</v>
      </c>
      <c r="F13" s="24">
        <v>1692.26</v>
      </c>
      <c r="G13" s="18">
        <v>15413.97</v>
      </c>
      <c r="H13" s="16">
        <v>14528</v>
      </c>
      <c r="I13" s="16">
        <v>84367</v>
      </c>
      <c r="J13" s="16">
        <v>37325840</v>
      </c>
      <c r="K13" s="28"/>
      <c r="L13" s="34"/>
      <c r="O13" s="27"/>
    </row>
    <row r="14" spans="1:15" ht="12.75" customHeight="1" x14ac:dyDescent="0.25">
      <c r="A14" s="49">
        <v>43473</v>
      </c>
      <c r="B14" s="20">
        <v>402611</v>
      </c>
      <c r="C14" s="16">
        <v>311983</v>
      </c>
      <c r="D14" s="17">
        <v>0.47</v>
      </c>
      <c r="E14" s="24">
        <v>8947.18</v>
      </c>
      <c r="F14" s="24">
        <v>1698.29</v>
      </c>
      <c r="G14" s="18">
        <v>15458.18</v>
      </c>
      <c r="H14" s="16">
        <v>14528</v>
      </c>
      <c r="I14" s="16">
        <v>84510</v>
      </c>
      <c r="J14" s="16">
        <v>37339390</v>
      </c>
      <c r="K14" s="19"/>
      <c r="L14" s="34"/>
      <c r="O14" s="27"/>
    </row>
    <row r="15" spans="1:15" ht="12.75" customHeight="1" x14ac:dyDescent="0.25">
      <c r="A15" s="49">
        <v>43474</v>
      </c>
      <c r="B15" s="51">
        <v>406292</v>
      </c>
      <c r="C15" s="16">
        <v>317579</v>
      </c>
      <c r="D15" s="17">
        <v>0.4</v>
      </c>
      <c r="E15" s="24">
        <v>8970.07</v>
      </c>
      <c r="F15" s="24">
        <v>1704.02</v>
      </c>
      <c r="G15" s="18">
        <v>15489.91</v>
      </c>
      <c r="H15" s="16">
        <v>14528</v>
      </c>
      <c r="I15" s="16">
        <v>84639</v>
      </c>
      <c r="J15" s="16">
        <v>37352016</v>
      </c>
      <c r="K15" s="19"/>
      <c r="L15" s="34"/>
    </row>
    <row r="16" spans="1:15" ht="12.75" customHeight="1" x14ac:dyDescent="0.25">
      <c r="A16" s="49">
        <v>43475</v>
      </c>
      <c r="B16" s="18">
        <v>410312</v>
      </c>
      <c r="C16" s="18">
        <v>323899</v>
      </c>
      <c r="D16" s="29">
        <v>0.85</v>
      </c>
      <c r="E16" s="24">
        <v>8994.8799999999992</v>
      </c>
      <c r="F16" s="24">
        <v>1710.66</v>
      </c>
      <c r="G16" s="18">
        <v>15528.17</v>
      </c>
      <c r="H16" s="16">
        <v>14528</v>
      </c>
      <c r="I16" s="18">
        <v>86747</v>
      </c>
      <c r="J16" s="18">
        <v>37365352</v>
      </c>
      <c r="K16" s="19"/>
      <c r="L16" s="34"/>
    </row>
    <row r="17" spans="1:16" ht="12.75" customHeight="1" x14ac:dyDescent="0.25">
      <c r="A17" s="49">
        <v>43476</v>
      </c>
      <c r="B17" s="16">
        <v>414350</v>
      </c>
      <c r="C17" s="16">
        <v>330019</v>
      </c>
      <c r="D17" s="17">
        <v>0.79</v>
      </c>
      <c r="E17" s="24">
        <v>9034</v>
      </c>
      <c r="F17" s="24">
        <v>1716</v>
      </c>
      <c r="G17" s="18">
        <v>15557</v>
      </c>
      <c r="H17" s="16">
        <v>14528</v>
      </c>
      <c r="I17" s="16">
        <v>84851</v>
      </c>
      <c r="J17" s="16">
        <v>37376804</v>
      </c>
      <c r="K17" s="19"/>
      <c r="L17" s="34"/>
      <c r="P17" s="27"/>
    </row>
    <row r="18" spans="1:16" ht="12.75" customHeight="1" x14ac:dyDescent="0.25">
      <c r="A18" s="49">
        <v>43477</v>
      </c>
      <c r="B18" s="16">
        <v>418026</v>
      </c>
      <c r="C18" s="16">
        <v>335397</v>
      </c>
      <c r="D18" s="17">
        <v>0.72</v>
      </c>
      <c r="E18" s="24">
        <v>9069.67</v>
      </c>
      <c r="F18" s="24">
        <v>1720.46</v>
      </c>
      <c r="G18" s="18">
        <v>15612.21</v>
      </c>
      <c r="H18" s="16">
        <v>14528</v>
      </c>
      <c r="I18" s="16">
        <v>84996</v>
      </c>
      <c r="J18" s="16">
        <v>37389748</v>
      </c>
      <c r="K18" s="19"/>
      <c r="L18" s="34"/>
      <c r="P18" s="27"/>
    </row>
    <row r="19" spans="1:16" ht="12.75" customHeight="1" x14ac:dyDescent="0.25">
      <c r="A19" s="49">
        <v>43478</v>
      </c>
      <c r="B19" s="16">
        <v>422681</v>
      </c>
      <c r="C19" s="16">
        <v>342020</v>
      </c>
      <c r="D19" s="17">
        <v>0.65</v>
      </c>
      <c r="E19" s="24">
        <v>9072.51</v>
      </c>
      <c r="F19" s="24">
        <v>1725.78</v>
      </c>
      <c r="G19" s="18">
        <v>15654.52</v>
      </c>
      <c r="H19" s="16">
        <v>14528</v>
      </c>
      <c r="I19" s="16">
        <v>85115</v>
      </c>
      <c r="J19" s="16">
        <v>37399998</v>
      </c>
      <c r="K19" s="19"/>
      <c r="L19" s="34"/>
    </row>
    <row r="20" spans="1:16" ht="12.75" customHeight="1" x14ac:dyDescent="0.25">
      <c r="A20" s="49">
        <v>43479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43480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43481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43482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43483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43484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43485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43486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43487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43488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43489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43490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43491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43492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43493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43494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43495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43496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ref="I38" si="1">I37-I6</f>
        <v>-83575</v>
      </c>
      <c r="J38" s="37">
        <f>J37-J6</f>
        <v>-37225210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2020-01-13T07:36:32Z</dcterms:modified>
</cp:coreProperties>
</file>