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<sst xmlns="http://schemas.openxmlformats.org/spreadsheetml/2006/main" count="313" uniqueCount="148">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</sst>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 t="str">
        <f>'FS Desroches Daily'!AV19</f>
        <v/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250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 t="str">
        <f>IF(LPG!F25-LPG!F24&lt;0,"0",(LPG!F25-LPG!F24)*1.8315)</f>
        <v>0</v>
      </c>
      <c r="AY18" s="31" t="str">
        <f>IF(LPG!H25-LPG!H24&lt;0,"0",(LPG!H25-LPG!H24)*1.8315)</f>
        <v>0</v>
      </c>
      <c r="AZ18" s="31" t="str">
        <f>IF(LPG!J25-LPG!J24&lt;0,"0",(LPG!J25-LPG!J24)*1.8315)</f>
        <v>0</v>
      </c>
      <c r="BA18" s="31" t="str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str">
        <f>'FS Desroches Daily'!P21</f>
        <v/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 t="str">
        <f>'FS Desroches Daily'!BF21</f>
        <v/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33199.999999999891</v>
      </c>
      <c r="F33" s="17">
        <f t="shared" ref="F33:BC33" si="1">SUM(F2:F32)</f>
        <v>43299.999999999898</v>
      </c>
      <c r="G33" s="17">
        <f t="shared" si="1"/>
        <v>41100.000000000138</v>
      </c>
      <c r="H33" s="17">
        <f t="shared" si="1"/>
        <v>20700.000000000164</v>
      </c>
      <c r="I33" s="17">
        <f t="shared" si="1"/>
        <v>31499.999999999873</v>
      </c>
      <c r="J33" s="17">
        <f t="shared" si="1"/>
        <v>15800.000000000033</v>
      </c>
      <c r="K33" s="17">
        <f t="shared" si="1"/>
        <v>73</v>
      </c>
      <c r="L33" s="17">
        <f t="shared" si="1"/>
        <v>34</v>
      </c>
      <c r="M33" s="17">
        <f t="shared" si="1"/>
        <v>12964.599999999977</v>
      </c>
      <c r="N33" s="17">
        <f t="shared" si="1"/>
        <v>4933.3000000000466</v>
      </c>
      <c r="O33" s="17">
        <f t="shared" si="1"/>
        <v>4220.0000000000273</v>
      </c>
      <c r="P33" s="17">
        <f t="shared" si="1"/>
        <v>38400.000000000218</v>
      </c>
      <c r="Q33" s="17">
        <f t="shared" si="1"/>
        <v>4439.9999999999982</v>
      </c>
      <c r="R33" s="17">
        <f t="shared" si="1"/>
        <v>4149.9999999999773</v>
      </c>
      <c r="S33" s="17">
        <f t="shared" si="1"/>
        <v>5309.9999999999454</v>
      </c>
      <c r="T33" s="17">
        <f t="shared" si="1"/>
        <v>563</v>
      </c>
      <c r="U33" s="35">
        <f t="shared" si="1"/>
        <v>11529.999999999971</v>
      </c>
      <c r="V33" s="35">
        <f t="shared" si="1"/>
        <v>2820.0000000000209</v>
      </c>
      <c r="W33" s="35">
        <f t="shared" si="1"/>
        <v>2359.9999999999854</v>
      </c>
      <c r="X33" s="35">
        <f t="shared" si="1"/>
        <v>1790.0000000000205</v>
      </c>
      <c r="Y33" s="35">
        <f t="shared" si="1"/>
        <v>2659.9999999999968</v>
      </c>
      <c r="Z33" s="35">
        <f t="shared" si="1"/>
        <v>3146.8800000000706</v>
      </c>
      <c r="AA33" s="35">
        <f t="shared" si="1"/>
        <v>3146.8800000000706</v>
      </c>
      <c r="AB33" s="35">
        <f t="shared" si="1"/>
        <v>1300.0000000000114</v>
      </c>
      <c r="AC33" s="35">
        <f t="shared" si="1"/>
        <v>750</v>
      </c>
      <c r="AD33" s="35">
        <f t="shared" si="1"/>
        <v>400.00000000003411</v>
      </c>
      <c r="AE33" s="35">
        <f t="shared" si="1"/>
        <v>1539.999999999992</v>
      </c>
      <c r="AF33" s="17">
        <f t="shared" si="1"/>
        <v>497</v>
      </c>
      <c r="AG33" s="32">
        <f t="shared" si="1"/>
        <v>659.99999999999659</v>
      </c>
      <c r="AH33" s="32">
        <f t="shared" si="1"/>
        <v>449.99999999998863</v>
      </c>
      <c r="AI33" s="32">
        <f t="shared" si="1"/>
        <v>469.99999999999886</v>
      </c>
      <c r="AJ33" s="32">
        <f t="shared" si="1"/>
        <v>620.00000000000455</v>
      </c>
      <c r="AK33" s="32">
        <f t="shared" si="1"/>
        <v>589.99999999997499</v>
      </c>
      <c r="AL33" s="32">
        <f t="shared" si="1"/>
        <v>465</v>
      </c>
      <c r="AM33" s="32">
        <f t="shared" si="1"/>
        <v>490.00000000000909</v>
      </c>
      <c r="AN33" s="32">
        <f t="shared" si="1"/>
        <v>658</v>
      </c>
      <c r="AO33" s="32">
        <f t="shared" si="1"/>
        <v>390.00000000001478</v>
      </c>
      <c r="AP33" s="32">
        <f t="shared" si="1"/>
        <v>730</v>
      </c>
      <c r="AQ33" s="17">
        <f t="shared" si="1"/>
        <v>583.79999999999927</v>
      </c>
      <c r="AR33" s="17">
        <f t="shared" si="1"/>
        <v>151.39999999999964</v>
      </c>
      <c r="AS33" s="17">
        <f t="shared" si="1"/>
        <v>85.199999999999818</v>
      </c>
      <c r="AT33" s="17">
        <f t="shared" si="1"/>
        <v>566.79999999999563</v>
      </c>
      <c r="AU33" s="17">
        <f t="shared" si="1"/>
        <v>4594</v>
      </c>
      <c r="AV33" s="17">
        <f t="shared" si="1"/>
        <v>10169.99999999996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117.21600000000001</v>
      </c>
      <c r="BC33" s="17">
        <f t="shared" si="1"/>
        <v>161</v>
      </c>
    </row>
    <row r="35" spans="5:55" x14ac:dyDescent="0.25">
      <c r="E35" s="38">
        <f>E33/E37</f>
        <v>0.22859031382971301</v>
      </c>
      <c r="G35" s="29">
        <f>G33-M36</f>
        <v>23202.100000000115</v>
      </c>
      <c r="AE35" s="35">
        <f>SUM(U33:AE33)</f>
        <v>31443.760000000173</v>
      </c>
      <c r="AG35" s="32">
        <f>SUM(AG33:AP33)</f>
        <v>5522.9999999999873</v>
      </c>
    </row>
    <row r="36" spans="5:55" x14ac:dyDescent="0.25">
      <c r="G36" s="29">
        <f>G35-633*14</f>
        <v>14340.100000000115</v>
      </c>
      <c r="M36" s="29">
        <f>M33+N33</f>
        <v>17897.900000000023</v>
      </c>
    </row>
    <row r="37" spans="5:55" x14ac:dyDescent="0.25">
      <c r="E37" s="17">
        <f>E33+F33+G33+H33+J33-633*14</f>
        <v>145238.00000000015</v>
      </c>
      <c r="G37" s="37">
        <f>M36/E37</f>
        <v>0.12323152343050721</v>
      </c>
      <c r="M37" s="35">
        <f>AE35</f>
        <v>31443.760000000173</v>
      </c>
    </row>
    <row r="38" spans="5:55" x14ac:dyDescent="0.25">
      <c r="L38" s="27">
        <f>M38/E37</f>
        <v>3.8027238050647776E-2</v>
      </c>
      <c r="M38" s="29">
        <f>AG35</f>
        <v>5522.9999999999873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U1" zoomScale="80" zoomScaleNormal="80" workbookViewId="0">
      <pane ySplit="1" topLeftCell="A2" activePane="bottomLeft" state="frozen"/>
      <selection pane="bottomLeft" activeCell="BE21" sqref="BE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286.63</v>
      </c>
      <c r="AV19" s="65" t="str">
        <f>IF((AU19-AU18&lt;0), "",(AU19-AU18)*1000)</f>
        <v/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250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"/>
        <v>0</v>
      </c>
      <c r="M21" s="58"/>
      <c r="N21" s="64" t="str">
        <f t="shared" si="5"/>
        <v/>
      </c>
      <c r="O21" s="58"/>
      <c r="P21" s="67" t="str">
        <f t="shared" si="44"/>
        <v/>
      </c>
      <c r="Q21" s="58"/>
      <c r="R21" s="67" t="str">
        <f t="shared" si="6"/>
        <v/>
      </c>
      <c r="S21" s="58"/>
      <c r="T21" s="67" t="str">
        <f t="shared" si="7"/>
        <v/>
      </c>
      <c r="U21" s="58"/>
      <c r="V21" s="67" t="str">
        <f t="shared" si="8"/>
        <v/>
      </c>
      <c r="W21" s="58"/>
      <c r="X21" s="65" t="str">
        <f t="shared" si="9"/>
        <v/>
      </c>
      <c r="Y21" s="58"/>
      <c r="Z21" s="65" t="str">
        <f t="shared" si="10"/>
        <v/>
      </c>
      <c r="AA21" s="58"/>
      <c r="AB21" s="65" t="str">
        <f t="shared" si="11"/>
        <v/>
      </c>
      <c r="AC21" s="58"/>
      <c r="AD21" s="65" t="str">
        <f t="shared" si="12"/>
        <v/>
      </c>
      <c r="AE21" s="58"/>
      <c r="AF21" s="65" t="str">
        <f t="shared" si="13"/>
        <v/>
      </c>
      <c r="AG21" s="58"/>
      <c r="AH21" s="67" t="str">
        <f t="shared" si="14"/>
        <v/>
      </c>
      <c r="AI21" s="58"/>
      <c r="AJ21" s="65" t="str">
        <f t="shared" si="15"/>
        <v/>
      </c>
      <c r="AK21" s="58"/>
      <c r="AL21" s="65" t="str">
        <f t="shared" si="15"/>
        <v/>
      </c>
      <c r="AM21" s="58"/>
      <c r="AN21" s="65" t="str">
        <f t="shared" si="15"/>
        <v/>
      </c>
      <c r="AO21" s="58"/>
      <c r="AP21" s="65" t="str">
        <f t="shared" si="15"/>
        <v/>
      </c>
      <c r="AQ21" s="58"/>
      <c r="AR21" s="65" t="str">
        <f t="shared" si="16"/>
        <v/>
      </c>
      <c r="AS21" s="58"/>
      <c r="AT21" s="65" t="str">
        <f t="shared" si="17"/>
        <v/>
      </c>
      <c r="AU21" s="58"/>
      <c r="AV21" s="65" t="str">
        <f t="shared" si="18"/>
        <v/>
      </c>
      <c r="AW21" s="58"/>
      <c r="AX21" s="65" t="str">
        <f t="shared" si="19"/>
        <v/>
      </c>
      <c r="AY21" s="58"/>
      <c r="AZ21" s="65" t="str">
        <f t="shared" si="20"/>
        <v/>
      </c>
      <c r="BA21" s="58"/>
      <c r="BB21" s="65" t="str">
        <f t="shared" si="21"/>
        <v/>
      </c>
      <c r="BC21" s="58"/>
      <c r="BD21" s="65" t="str">
        <f t="shared" si="22"/>
        <v/>
      </c>
      <c r="BE21" s="59"/>
      <c r="BF21" s="67" t="str">
        <f t="shared" si="39"/>
        <v/>
      </c>
      <c r="BG21" s="60"/>
      <c r="BH21" s="65" t="str">
        <f t="shared" si="23"/>
        <v/>
      </c>
      <c r="BI21" s="60"/>
      <c r="BJ21" s="65" t="str">
        <f t="shared" si="40"/>
        <v/>
      </c>
      <c r="BK21" s="60"/>
      <c r="BL21" s="65" t="str">
        <f t="shared" si="24"/>
        <v/>
      </c>
      <c r="BM21" s="60"/>
      <c r="BN21" s="65" t="str">
        <f t="shared" si="25"/>
        <v/>
      </c>
      <c r="BO21" s="60"/>
      <c r="BP21" s="65" t="str">
        <f t="shared" si="26"/>
        <v/>
      </c>
      <c r="BQ21" s="60"/>
      <c r="BR21" s="65" t="str">
        <f t="shared" si="27"/>
        <v/>
      </c>
      <c r="BS21" s="60"/>
      <c r="BT21" s="65" t="str">
        <f t="shared" si="42"/>
        <v/>
      </c>
      <c r="BU21" s="60"/>
      <c r="BV21" s="65" t="str">
        <f t="shared" si="29"/>
        <v/>
      </c>
      <c r="BW21" s="60"/>
      <c r="BX21" s="65" t="str">
        <f t="shared" si="30"/>
        <v/>
      </c>
      <c r="BY21" s="60"/>
      <c r="BZ21" s="67" t="str">
        <f t="shared" si="31"/>
        <v/>
      </c>
      <c r="CA21" s="60"/>
      <c r="CB21" s="67" t="str">
        <f t="shared" si="32"/>
        <v/>
      </c>
      <c r="CC21" s="60"/>
      <c r="CD21" s="67" t="str">
        <f t="shared" si="33"/>
        <v/>
      </c>
      <c r="CE21" s="60"/>
      <c r="CF21" s="67" t="str">
        <f t="shared" si="34"/>
        <v/>
      </c>
      <c r="CG21" s="60"/>
      <c r="CH21" s="67" t="str">
        <f t="shared" si="35"/>
        <v/>
      </c>
      <c r="CI21" s="60"/>
      <c r="CJ21" s="67" t="str">
        <f t="shared" si="36"/>
        <v/>
      </c>
      <c r="CK21" s="60"/>
      <c r="CL21" s="64" t="str">
        <f t="shared" si="37"/>
        <v/>
      </c>
      <c r="CM21" s="65" t="e">
        <f t="shared" si="41"/>
        <v>#VALUE!</v>
      </c>
      <c r="CN21" s="62">
        <v>0</v>
      </c>
      <c r="CO21" s="62">
        <v>0</v>
      </c>
      <c r="CP21" s="68"/>
      <c r="CQ21" s="67" t="str">
        <f t="shared" si="38"/>
        <v/>
      </c>
      <c r="CR21" s="68"/>
      <c r="CS21" s="67" t="str">
        <f t="shared" si="38"/>
        <v/>
      </c>
      <c r="CT21" s="75"/>
      <c r="CU21" s="67" t="str">
        <f t="shared" si="38"/>
        <v/>
      </c>
      <c r="CV21" s="68"/>
      <c r="CW21" s="67" t="str">
        <f t="shared" si="38"/>
        <v/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C24" sqref="C24:Q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-198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2021-07-18T19:17:34Z</dcterms:modified>
</cp:coreProperties>
</file>