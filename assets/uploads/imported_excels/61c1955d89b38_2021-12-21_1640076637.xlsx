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60" windowWidth="12210" windowHeight="12075" tabRatio="579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J20" i="76"/>
  <c r="AW21" i="7"/>
  <c r="D19" i="73"/>
  <c r="P19" i="1"/>
  <c r="E12" i="2" l="1"/>
  <c r="E9"/>
  <c r="E10"/>
  <c r="E11"/>
  <c r="AA12" i="76"/>
  <c r="Y10"/>
  <c r="Z10"/>
  <c r="AA10"/>
  <c r="Y11"/>
  <c r="Z11"/>
  <c r="AA11"/>
  <c r="Z9"/>
  <c r="AA9"/>
  <c r="Y9"/>
  <c r="V10"/>
  <c r="W10"/>
  <c r="V11"/>
  <c r="W11"/>
  <c r="W9"/>
  <c r="V26" s="1"/>
  <c r="V9"/>
  <c r="AF34" i="3" l="1"/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C3"/>
  <c r="D3"/>
  <c r="E3"/>
  <c r="F3"/>
  <c r="F4" s="1"/>
  <c r="G3"/>
  <c r="H3"/>
  <c r="H4" s="1"/>
  <c r="H5" s="1"/>
  <c r="H6" s="1"/>
  <c r="H7" s="1"/>
  <c r="H8" s="1"/>
  <c r="H13" s="1"/>
  <c r="H14" s="1"/>
  <c r="H15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K3"/>
  <c r="L3"/>
  <c r="M3"/>
  <c r="N3"/>
  <c r="S3"/>
  <c r="B3"/>
  <c r="B4" s="1"/>
  <c r="B5" s="1"/>
  <c r="B6" s="1"/>
  <c r="B7" s="1"/>
  <c r="B8" s="1"/>
  <c r="B13" s="1"/>
  <c r="B14" s="1"/>
  <c r="B15" s="1"/>
  <c r="B18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G2"/>
  <c r="H2"/>
  <c r="I2"/>
  <c r="O2"/>
  <c r="R2"/>
  <c r="R5" s="1"/>
  <c r="R6" s="1"/>
  <c r="R12" s="1"/>
  <c r="R13" s="1"/>
  <c r="R18" s="1"/>
  <c r="R19" s="1"/>
  <c r="R20" s="1"/>
  <c r="R23" s="1"/>
  <c r="R24" s="1"/>
  <c r="R25" s="1"/>
  <c r="R26" s="1"/>
  <c r="R27" s="1"/>
  <c r="R28" s="1"/>
  <c r="R29" s="1"/>
  <c r="R30" s="1"/>
  <c r="R31" s="1"/>
  <c r="R32" s="1"/>
  <c r="R33" s="1"/>
  <c r="S2"/>
  <c r="U2"/>
  <c r="V2"/>
  <c r="W2"/>
  <c r="X2"/>
  <c r="Y2"/>
  <c r="AD2"/>
  <c r="AI2"/>
  <c r="AJ2"/>
  <c r="B2"/>
  <c r="B5" s="1"/>
  <c r="B6" s="1"/>
  <c r="B12" s="1"/>
  <c r="B13" s="1"/>
  <c r="B19" s="1"/>
  <c r="B20" s="1"/>
  <c r="B23" s="1"/>
  <c r="B24" s="1"/>
  <c r="A2"/>
  <c r="C5" i="79"/>
  <c r="D5"/>
  <c r="E5"/>
  <c r="F5"/>
  <c r="G5"/>
  <c r="H5"/>
  <c r="H7" s="1"/>
  <c r="H8" s="1"/>
  <c r="H9" s="1"/>
  <c r="H11" s="1"/>
  <c r="H12" s="1"/>
  <c r="H13" s="1"/>
  <c r="H15" s="1"/>
  <c r="H16" s="1"/>
  <c r="H18" s="1"/>
  <c r="H21" s="1"/>
  <c r="H22" s="1"/>
  <c r="H23" s="1"/>
  <c r="H24" s="1"/>
  <c r="H26" s="1"/>
  <c r="H27" s="1"/>
  <c r="H28" s="1"/>
  <c r="H29" s="1"/>
  <c r="H30" s="1"/>
  <c r="H31" s="1"/>
  <c r="H32" s="1"/>
  <c r="H33" s="1"/>
  <c r="H34" s="1"/>
  <c r="H35" s="1"/>
  <c r="H36" s="1"/>
  <c r="B5"/>
  <c r="A5"/>
  <c r="AT5" i="5"/>
  <c r="AT6" s="1"/>
  <c r="AT8" s="1"/>
  <c r="AT9" s="1"/>
  <c r="AT10" s="1"/>
  <c r="AT11" s="1"/>
  <c r="AT13" s="1"/>
  <c r="AT15" s="1"/>
  <c r="AT16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3" s="1"/>
  <c r="AV15" s="1"/>
  <c r="AV16" s="1"/>
  <c r="AV21" s="1"/>
  <c r="AV22" s="1"/>
  <c r="AV23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5" s="1"/>
  <c r="AX16" s="1"/>
  <c r="AX22" s="1"/>
  <c r="AX23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AR5"/>
  <c r="F5" i="76" l="1"/>
  <c r="F6" s="1"/>
  <c r="F7" s="1"/>
  <c r="F8" s="1"/>
  <c r="F13" s="1"/>
  <c r="F14" s="1"/>
  <c r="F15" s="1"/>
  <c r="B25" i="3"/>
  <c r="B26" s="1"/>
  <c r="B27" s="1"/>
  <c r="B28" s="1"/>
  <c r="B29" s="1"/>
  <c r="B30" s="1"/>
  <c r="B31" s="1"/>
  <c r="B32" s="1"/>
  <c r="B33" s="1"/>
  <c r="C24"/>
  <c r="J18" i="76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H18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5" i="5"/>
  <c r="G5"/>
  <c r="G6" s="1"/>
  <c r="G8" s="1"/>
  <c r="G9" s="1"/>
  <c r="G10" s="1"/>
  <c r="G11" s="1"/>
  <c r="G12" s="1"/>
  <c r="G13" s="1"/>
  <c r="G15" s="1"/>
  <c r="G16" s="1"/>
  <c r="G18" s="1"/>
  <c r="G19" s="1"/>
  <c r="G20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K5"/>
  <c r="L5"/>
  <c r="R5"/>
  <c r="S5"/>
  <c r="T5"/>
  <c r="U5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4" s="1"/>
  <c r="C15" s="1"/>
  <c r="C21" s="1"/>
  <c r="C22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6" s="1"/>
  <c r="F7" s="1"/>
  <c r="F8" s="1"/>
  <c r="F14" s="1"/>
  <c r="F15" s="1"/>
  <c r="F20" s="1"/>
  <c r="F21" s="1"/>
  <c r="F22" s="1"/>
  <c r="F25" s="1"/>
  <c r="F26" s="1"/>
  <c r="F27" s="1"/>
  <c r="F28" s="1"/>
  <c r="F29" s="1"/>
  <c r="F30" s="1"/>
  <c r="F31" s="1"/>
  <c r="F32" s="1"/>
  <c r="F33" s="1"/>
  <c r="F34" s="1"/>
  <c r="F35" s="1"/>
  <c r="G4"/>
  <c r="H4"/>
  <c r="H6" s="1"/>
  <c r="H7" s="1"/>
  <c r="H8" s="1"/>
  <c r="H14" s="1"/>
  <c r="H15" s="1"/>
  <c r="H20" s="1"/>
  <c r="H21" s="1"/>
  <c r="H22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4" s="1"/>
  <c r="B15" s="1"/>
  <c r="B21" s="1"/>
  <c r="B22" s="1"/>
  <c r="B25" s="1"/>
  <c r="B26" s="1"/>
  <c r="B27" s="1"/>
  <c r="B28" s="1"/>
  <c r="B29" s="1"/>
  <c r="B30" s="1"/>
  <c r="B31" s="1"/>
  <c r="B32" s="1"/>
  <c r="B33" s="1"/>
  <c r="B34" s="1"/>
  <c r="B35" s="1"/>
  <c r="E3" i="2"/>
  <c r="F3"/>
  <c r="F6" s="1"/>
  <c r="F7" s="1"/>
  <c r="F13" s="1"/>
  <c r="F14" s="1"/>
  <c r="F20" s="1"/>
  <c r="F21" s="1"/>
  <c r="F24" s="1"/>
  <c r="F25" s="1"/>
  <c r="F26" s="1"/>
  <c r="F27" s="1"/>
  <c r="F28" s="1"/>
  <c r="F29" s="1"/>
  <c r="F30" s="1"/>
  <c r="F31" s="1"/>
  <c r="F32" s="1"/>
  <c r="F33" s="1"/>
  <c r="G3"/>
  <c r="H3"/>
  <c r="H6" s="1"/>
  <c r="H7" s="1"/>
  <c r="H13" s="1"/>
  <c r="H14" s="1"/>
  <c r="H20" s="1"/>
  <c r="H21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13" s="1"/>
  <c r="J14" s="1"/>
  <c r="J20" s="1"/>
  <c r="J21" s="1"/>
  <c r="J24" s="1"/>
  <c r="J25" s="1"/>
  <c r="J26" s="1"/>
  <c r="J27" s="1"/>
  <c r="J28" s="1"/>
  <c r="J29" s="1"/>
  <c r="J30" s="1"/>
  <c r="J31" s="1"/>
  <c r="J32" s="1"/>
  <c r="J33" s="1"/>
  <c r="J34" s="1"/>
  <c r="K3"/>
  <c r="L3"/>
  <c r="L6" s="1"/>
  <c r="L7" s="1"/>
  <c r="L13" s="1"/>
  <c r="L14" s="1"/>
  <c r="L20" s="1"/>
  <c r="L21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6" s="1"/>
  <c r="P7" s="1"/>
  <c r="P13" s="1"/>
  <c r="P14" s="1"/>
  <c r="P20" s="1"/>
  <c r="P21" s="1"/>
  <c r="P24" s="1"/>
  <c r="P25" s="1"/>
  <c r="P26" s="1"/>
  <c r="P27" s="1"/>
  <c r="P28" s="1"/>
  <c r="P29" s="1"/>
  <c r="P30" s="1"/>
  <c r="P31" s="1"/>
  <c r="P32" s="1"/>
  <c r="P33" s="1"/>
  <c r="P34" s="1"/>
  <c r="Q3"/>
  <c r="R3"/>
  <c r="W3"/>
  <c r="W6" s="1"/>
  <c r="W7" s="1"/>
  <c r="W13" s="1"/>
  <c r="W14" s="1"/>
  <c r="W19" s="1"/>
  <c r="W20" s="1"/>
  <c r="W21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6" s="1"/>
  <c r="Y7" s="1"/>
  <c r="Y13" s="1"/>
  <c r="Y14" s="1"/>
  <c r="Y19" s="1"/>
  <c r="Y20" s="1"/>
  <c r="Y21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D3"/>
  <c r="D6" s="1"/>
  <c r="C3"/>
  <c r="D7" l="1"/>
  <c r="E6"/>
  <c r="F18" i="76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Y9" i="3"/>
  <c r="Y10"/>
  <c r="Y11"/>
  <c r="Y12"/>
  <c r="Y13"/>
  <c r="Y14"/>
  <c r="Y15"/>
  <c r="Y16"/>
  <c r="Y17"/>
  <c r="Y18"/>
  <c r="Y19"/>
  <c r="D13" i="2" l="1"/>
  <c r="E8"/>
  <c r="E7"/>
  <c r="Q20"/>
  <c r="Q19"/>
  <c r="E13" l="1"/>
  <c r="D14"/>
  <c r="E14" s="1"/>
  <c r="E15"/>
  <c r="D15" i="73"/>
  <c r="H12" i="77"/>
  <c r="E16" i="2" l="1"/>
  <c r="BA7" i="5"/>
  <c r="E17" i="2" l="1"/>
  <c r="I8" i="77"/>
  <c r="E18" i="2" l="1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AC34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D20" l="1"/>
  <c r="E19"/>
  <c r="K4" i="76"/>
  <c r="AB26"/>
  <c r="AA28"/>
  <c r="AB28" s="1"/>
  <c r="AE28" s="1"/>
  <c r="AF28" s="1"/>
  <c r="D21" i="2" l="1"/>
  <c r="E20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D24" i="2" l="1"/>
  <c r="E23"/>
  <c r="K77" i="74"/>
  <c r="K76"/>
  <c r="J77"/>
  <c r="J76"/>
  <c r="J75"/>
  <c r="D25" i="2" l="1"/>
  <c r="E24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D26" l="1"/>
  <c r="E25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D27" i="2" l="1"/>
  <c r="E26"/>
  <c r="V30" i="1"/>
  <c r="Y25" i="5"/>
  <c r="G17" i="2"/>
  <c r="Z17"/>
  <c r="AB17"/>
  <c r="I17"/>
  <c r="Q17"/>
  <c r="N16"/>
  <c r="R16" s="1"/>
  <c r="K17"/>
  <c r="M17"/>
  <c r="X17"/>
  <c r="U30" i="1"/>
  <c r="D28" i="2" l="1"/>
  <c r="E27"/>
  <c r="Y26" i="5"/>
  <c r="K18" i="2"/>
  <c r="M18"/>
  <c r="I18"/>
  <c r="Z18"/>
  <c r="X18"/>
  <c r="Q18"/>
  <c r="AB18"/>
  <c r="G18"/>
  <c r="N17"/>
  <c r="R17" s="1"/>
  <c r="D29" l="1"/>
  <c r="E28"/>
  <c r="Y27" i="5"/>
  <c r="G19" i="2"/>
  <c r="N18"/>
  <c r="R18" s="1"/>
  <c r="I19"/>
  <c r="AB19"/>
  <c r="K19"/>
  <c r="Z19"/>
  <c r="X19"/>
  <c r="M19"/>
  <c r="D30" l="1"/>
  <c r="E29"/>
  <c r="Y28" i="5"/>
  <c r="AB20" i="2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D31" l="1"/>
  <c r="E30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D32" i="2" l="1"/>
  <c r="E3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D33" l="1"/>
  <c r="E32"/>
  <c r="Y31" i="5"/>
  <c r="N22" i="2"/>
  <c r="R22" s="1"/>
  <c r="G23"/>
  <c r="X23"/>
  <c r="AB23"/>
  <c r="Q23"/>
  <c r="M23"/>
  <c r="I23"/>
  <c r="K23"/>
  <c r="Z23"/>
  <c r="Q11"/>
  <c r="I7" i="77"/>
  <c r="I12" s="1"/>
  <c r="D34" i="2" l="1"/>
  <c r="E34" s="1"/>
  <c r="E33"/>
  <c r="Y32" i="5"/>
  <c r="N23" i="2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V35" i="1"/>
  <c r="AL35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F25" s="1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D9" i="76" l="1"/>
  <c r="AV10" i="7" l="1"/>
  <c r="AV11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  <c r="AC10" i="76" l="1"/>
  <c r="AC27" s="1"/>
  <c r="AC11"/>
  <c r="AC28" s="1"/>
  <c r="AC9"/>
  <c r="AC26" s="1"/>
  <c r="AC5" i="5"/>
  <c r="AC6" s="1"/>
  <c r="AC7" s="1"/>
  <c r="AE5"/>
  <c r="AE6" s="1"/>
  <c r="AG5"/>
  <c r="AG6" s="1"/>
  <c r="AC4" i="1"/>
  <c r="AC5" s="1"/>
  <c r="AE4"/>
  <c r="AE5" s="1"/>
  <c r="S3" i="2"/>
  <c r="S4" s="1"/>
  <c r="U3"/>
  <c r="U4" s="1"/>
  <c r="AC3"/>
  <c r="AC4" s="1"/>
  <c r="AC29" i="76" l="1"/>
  <c r="O30" s="1"/>
  <c r="P30" s="1"/>
  <c r="S5" i="2"/>
  <c r="T4"/>
  <c r="AD7" i="5"/>
  <c r="AC8"/>
  <c r="AF6"/>
  <c r="AE7"/>
  <c r="O14" i="76"/>
  <c r="P14" s="1"/>
  <c r="O31"/>
  <c r="P31" s="1"/>
  <c r="O12"/>
  <c r="P12" s="1"/>
  <c r="O11"/>
  <c r="P11" s="1"/>
  <c r="O20"/>
  <c r="P20" s="1"/>
  <c r="O19"/>
  <c r="P19" s="1"/>
  <c r="O25"/>
  <c r="P25" s="1"/>
  <c r="O23"/>
  <c r="P23" s="1"/>
  <c r="U5" i="2"/>
  <c r="V4"/>
  <c r="AD5" i="1"/>
  <c r="AC6"/>
  <c r="AH6" i="5"/>
  <c r="AG7"/>
  <c r="AD4" i="2"/>
  <c r="AC5"/>
  <c r="AE6" i="1"/>
  <c r="AF5"/>
  <c r="AH5" s="1"/>
  <c r="AC12" i="76"/>
  <c r="O27" l="1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T5"/>
  <c r="S6"/>
  <c r="AI5" i="1"/>
  <c r="C5" i="65"/>
  <c r="E5" s="1"/>
  <c r="AD8" i="5"/>
  <c r="AC9"/>
  <c r="A2" i="63"/>
  <c r="AE4" i="2"/>
  <c r="AG4" s="1"/>
  <c r="AI6" i="5"/>
  <c r="P34" i="76"/>
  <c r="R34" s="1"/>
  <c r="T34" s="1"/>
  <c r="F32" i="81" s="1"/>
  <c r="AD6" i="1"/>
  <c r="AC7"/>
  <c r="AF7" i="5"/>
  <c r="AE8"/>
  <c r="AM5" i="1"/>
  <c r="F6" i="75" s="1"/>
  <c r="G6" s="1"/>
  <c r="AG5" i="1"/>
  <c r="AH7" i="5"/>
  <c r="AG8"/>
  <c r="AC6" i="2"/>
  <c r="AD5"/>
  <c r="H5" i="65"/>
  <c r="B2" i="63"/>
  <c r="AF6" i="1"/>
  <c r="AH6" s="1"/>
  <c r="AE7"/>
  <c r="V5" i="2"/>
  <c r="U6"/>
  <c r="AB9" i="76"/>
  <c r="AC16"/>
  <c r="AB11"/>
  <c r="AE11" s="1"/>
  <c r="AF11" s="1"/>
  <c r="AB36" l="1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AC12"/>
  <c r="AD11"/>
  <c r="T11"/>
  <c r="S12"/>
  <c r="AG14" i="5"/>
  <c r="AH13"/>
  <c r="AM11" i="1"/>
  <c r="F12" i="75" s="1"/>
  <c r="G12" s="1"/>
  <c r="AG11" i="1"/>
  <c r="H11" i="65"/>
  <c r="B8" i="63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G10" s="1"/>
  <c r="AI12" i="5"/>
  <c r="AG9" i="2"/>
  <c r="AI13" i="5" l="1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B10" i="76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B12" i="76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B13" i="76"/>
  <c r="AB19" s="1"/>
  <c r="AF14" i="2" l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B12" i="63"/>
  <c r="H15" i="65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B16" i="76"/>
  <c r="AI16" i="1" l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B17" i="76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5" i="5"/>
  <c r="B6" s="1"/>
  <c r="H20" i="65" l="1"/>
  <c r="AI22" i="5"/>
  <c r="AF23"/>
  <c r="AE24"/>
  <c r="AF22" i="1"/>
  <c r="AH22" s="1"/>
  <c r="AE23"/>
  <c r="C6" i="5"/>
  <c r="B7"/>
  <c r="S22" i="2"/>
  <c r="T21"/>
  <c r="AY20" i="7"/>
  <c r="BJ20"/>
  <c r="Q18" i="76"/>
  <c r="R18" s="1"/>
  <c r="T18" s="1"/>
  <c r="F16" i="81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5" i="5"/>
  <c r="AS6" s="1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AY5" i="5"/>
  <c r="BB6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5" i="5"/>
  <c r="M6" s="1"/>
  <c r="O5"/>
  <c r="O6" s="1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AF26" s="1"/>
  <c r="U27"/>
  <c r="E10" i="5"/>
  <c r="I10"/>
  <c r="D10"/>
  <c r="G7" i="63"/>
  <c r="AE25" i="2"/>
  <c r="AG25" s="1"/>
  <c r="A23" i="63"/>
  <c r="V5" i="5"/>
  <c r="V6" s="1"/>
  <c r="AF5"/>
  <c r="AH5"/>
  <c r="BF9" l="1"/>
  <c r="BG9" s="1"/>
  <c r="G9" i="65" s="1"/>
  <c r="Q6" i="5"/>
  <c r="M2" i="81" s="1"/>
  <c r="AI28" i="5"/>
  <c r="V27" i="2"/>
  <c r="U28"/>
  <c r="B24" i="63"/>
  <c r="H27" i="65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W5" i="5"/>
  <c r="AI5"/>
  <c r="Q7" l="1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AX28" i="7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AL5" i="5"/>
  <c r="AD3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G30" s="1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F31" i="2" l="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F32" i="2" l="1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T3"/>
  <c r="V3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AE3" i="2"/>
  <c r="AF3"/>
  <c r="C5" i="5"/>
  <c r="G2" i="63" s="1"/>
  <c r="I2" s="1"/>
  <c r="AD5" i="5"/>
  <c r="Q1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2" i="3"/>
  <c r="L3" s="1"/>
  <c r="C21" i="5"/>
  <c r="B22"/>
  <c r="O17"/>
  <c r="P16"/>
  <c r="Q16" s="1"/>
  <c r="M12" i="81" s="1"/>
  <c r="AG3" i="2"/>
  <c r="E5" i="5"/>
  <c r="D5"/>
  <c r="I5"/>
  <c r="BF19" l="1"/>
  <c r="BG19" s="1"/>
  <c r="G19" i="65" s="1"/>
  <c r="J2" i="3"/>
  <c r="J3" s="1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J5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B32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P5" i="5"/>
  <c r="N5"/>
  <c r="W31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5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BK21" i="7"/>
  <c r="AC19" i="3"/>
  <c r="AK19"/>
  <c r="AL19"/>
  <c r="AE19"/>
  <c r="AF19" s="1"/>
  <c r="F19" i="63"/>
  <c r="W35" i="5"/>
  <c r="AL35" s="1"/>
  <c r="V36"/>
  <c r="W36" s="1"/>
  <c r="AL36" s="1"/>
  <c r="AL37" s="1"/>
  <c r="Q35"/>
  <c r="M31" i="81" s="1"/>
  <c r="Q36" i="5"/>
  <c r="AC20" i="3" l="1"/>
  <c r="AL20"/>
  <c r="AK20"/>
  <c r="F20" i="63"/>
  <c r="AE20" i="3"/>
  <c r="AF20" s="1"/>
  <c r="M32" i="81"/>
  <c r="Q37" i="5"/>
  <c r="O38" s="1"/>
  <c r="L24" i="3"/>
  <c r="M23"/>
  <c r="AA23" s="1"/>
  <c r="Z21"/>
  <c r="N21"/>
  <c r="AG19"/>
  <c r="AH19" s="1"/>
  <c r="BK22" i="7"/>
  <c r="K22" i="3"/>
  <c r="J23"/>
  <c r="M24" l="1"/>
  <c r="L25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AB24" s="1"/>
  <c r="K25"/>
  <c r="J26"/>
  <c r="AC23"/>
  <c r="F23" i="63"/>
  <c r="AK23" i="3"/>
  <c r="AE23"/>
  <c r="AF23" s="1"/>
  <c r="AL23"/>
  <c r="M26"/>
  <c r="L27"/>
  <c r="AG23" l="1"/>
  <c r="AH23" s="1"/>
  <c r="BK26" i="7"/>
  <c r="AC24" i="3"/>
  <c r="AE24"/>
  <c r="AF24" s="1"/>
  <c r="F24" i="63"/>
  <c r="AK24" i="3"/>
  <c r="AL24"/>
  <c r="N25"/>
  <c r="AB25" s="1"/>
  <c r="Z25"/>
  <c r="M27"/>
  <c r="L28"/>
  <c r="K26"/>
  <c r="J27"/>
  <c r="M28" l="1"/>
  <c r="L29"/>
  <c r="N26"/>
  <c r="AB26" s="1"/>
  <c r="Z26"/>
  <c r="AL25"/>
  <c r="AE25"/>
  <c r="AF25" s="1"/>
  <c r="AK25"/>
  <c r="AC25"/>
  <c r="F25" i="63"/>
  <c r="AG24" i="3"/>
  <c r="AH24" s="1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AH25" s="1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AB29" s="1"/>
  <c r="K30"/>
  <c r="J31"/>
  <c r="AG27"/>
  <c r="AH27" s="1"/>
  <c r="BK30" i="7"/>
  <c r="AC28" i="3"/>
  <c r="F28" i="63"/>
  <c r="AK28" i="3"/>
  <c r="AL28"/>
  <c r="AE28"/>
  <c r="AF28" s="1"/>
  <c r="M31"/>
  <c r="L32"/>
  <c r="AD4" i="1"/>
  <c r="Z30" i="3" l="1"/>
  <c r="N30"/>
  <c r="AB30" s="1"/>
  <c r="K31"/>
  <c r="J32"/>
  <c r="AC29"/>
  <c r="AK29"/>
  <c r="AL29"/>
  <c r="AE29"/>
  <c r="AF29" s="1"/>
  <c r="F29" i="63"/>
  <c r="AG28" i="3"/>
  <c r="AH28" s="1"/>
  <c r="BK31" i="7"/>
  <c r="L33" i="3"/>
  <c r="M33" s="1"/>
  <c r="M32"/>
  <c r="AG4" i="1"/>
  <c r="AF4"/>
  <c r="AG29" i="3" l="1"/>
  <c r="AH29" s="1"/>
  <c r="BK32" i="7"/>
  <c r="Z31" i="3"/>
  <c r="N31"/>
  <c r="AB31" s="1"/>
  <c r="AC30"/>
  <c r="AE30"/>
  <c r="AF30" s="1"/>
  <c r="AK30"/>
  <c r="F30" i="63"/>
  <c r="AL30" i="3"/>
  <c r="K32"/>
  <c r="J33"/>
  <c r="K33" s="1"/>
  <c r="AH4" i="1"/>
  <c r="AM4"/>
  <c r="F5" i="75" s="1"/>
  <c r="G5" s="1"/>
  <c r="AG30" i="3" l="1"/>
  <c r="AH30" s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AI4" i="1" l="1"/>
  <c r="AJ4" l="1"/>
  <c r="AK4" l="1"/>
  <c r="AD11" i="76" l="1"/>
  <c r="AD10"/>
  <c r="D2" i="3" l="1"/>
  <c r="D3" s="1"/>
  <c r="E2" l="1"/>
  <c r="F2"/>
  <c r="E3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D15" s="1"/>
  <c r="E13"/>
  <c r="AA13" s="1"/>
  <c r="E14" l="1"/>
  <c r="Q3" i="76"/>
  <c r="AA14" i="3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E20" l="1"/>
  <c r="AA20" s="1"/>
  <c r="D21"/>
  <c r="E21" l="1"/>
  <c r="D22"/>
  <c r="D23" s="1"/>
  <c r="D24" s="1"/>
  <c r="AA21" l="1"/>
  <c r="AC21" s="1"/>
  <c r="AH21" s="1"/>
  <c r="F21"/>
  <c r="AB21" s="1"/>
  <c r="D25"/>
  <c r="E24"/>
  <c r="AA24" s="1"/>
  <c r="D26" l="1"/>
  <c r="E25"/>
  <c r="AA25" s="1"/>
  <c r="E26" l="1"/>
  <c r="AA26" s="1"/>
  <c r="D27"/>
  <c r="E27" l="1"/>
  <c r="AA27" s="1"/>
  <c r="D28"/>
  <c r="E28" l="1"/>
  <c r="AA28" s="1"/>
  <c r="D29"/>
  <c r="D30" l="1"/>
  <c r="E29"/>
  <c r="AA29" s="1"/>
  <c r="D31" l="1"/>
  <c r="E30"/>
  <c r="AA30" s="1"/>
  <c r="D32" l="1"/>
  <c r="E31"/>
  <c r="AA31" s="1"/>
  <c r="D33" l="1"/>
  <c r="E33" s="1"/>
  <c r="AA33" s="1"/>
  <c r="E32"/>
  <c r="AA32" s="1"/>
  <c r="AR4" i="1" l="1"/>
  <c r="AR5" s="1"/>
  <c r="AP4"/>
  <c r="AP5" s="1"/>
  <c r="AN4"/>
  <c r="AN5" s="1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2" i="3"/>
  <c r="P3" s="1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O4"/>
  <c r="Q2" i="3"/>
  <c r="K2"/>
  <c r="AS4" i="1"/>
  <c r="AQ4"/>
  <c r="AT35" l="1"/>
  <c r="P31" i="3"/>
  <c r="Q30"/>
  <c r="AU33" i="1"/>
  <c r="I30" i="81" s="1"/>
  <c r="AT34" i="1"/>
  <c r="AU35" s="1"/>
  <c r="I32" i="81" s="1"/>
  <c r="AT4" i="1"/>
  <c r="AU5" s="1"/>
  <c r="Z2" i="3"/>
  <c r="F2" i="63" s="1"/>
  <c r="N2" i="3"/>
  <c r="AU34" i="1" l="1"/>
  <c r="I31" i="81" s="1"/>
  <c r="I2"/>
  <c r="P32" i="3"/>
  <c r="Q31"/>
  <c r="AB2"/>
  <c r="W15" i="76"/>
  <c r="AK2" i="3"/>
  <c r="AU4" i="1"/>
  <c r="AE2" i="3"/>
  <c r="AU36" i="1" l="1"/>
  <c r="AU38" s="1"/>
  <c r="P33" i="3"/>
  <c r="Q33" s="1"/>
  <c r="Q32"/>
  <c r="X15" i="76"/>
  <c r="AF2" i="3"/>
  <c r="AG2" l="1"/>
  <c r="Y15" i="76"/>
  <c r="M2" i="3" l="1"/>
  <c r="AA2" l="1"/>
  <c r="AC2" l="1"/>
  <c r="AH2" l="1"/>
  <c r="O3" i="76" l="1"/>
  <c r="P3"/>
  <c r="R3" l="1"/>
  <c r="T3" l="1"/>
  <c r="AX4" i="1" l="1"/>
  <c r="AX5" s="1"/>
  <c r="J2" i="81" l="1"/>
  <c r="AX6" i="1"/>
  <c r="BB5" i="5"/>
  <c r="J3" i="81" l="1"/>
  <c r="AX7" i="1"/>
  <c r="BE5" i="5"/>
  <c r="J4" i="81" l="1"/>
  <c r="AX8" i="1"/>
  <c r="BF5" i="5"/>
  <c r="J5" i="81" l="1"/>
  <c r="AX9" i="1"/>
  <c r="BG5" i="5"/>
  <c r="G5" i="65" s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5" i="7" l="1"/>
  <c r="AV6" s="1"/>
  <c r="H2" i="81" l="1"/>
  <c r="AV7" i="7"/>
  <c r="H3" i="81" l="1"/>
  <c r="AV8" i="7"/>
  <c r="AV9" l="1"/>
  <c r="H5" i="81" s="1"/>
  <c r="H4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<sst xmlns="http://schemas.openxmlformats.org/spreadsheetml/2006/main" count="669" uniqueCount="417">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</sst>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9545</c:v>
                </c:pt>
                <c:pt idx="17">
                  <c:v>0</c:v>
                </c:pt>
                <c:pt idx="18">
                  <c:v>0</c:v>
                </c:pt>
                <c:pt idx="19">
                  <c:v>6388</c:v>
                </c:pt>
                <c:pt idx="20">
                  <c:v>5544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73728128"/>
        <c:axId val="173729664"/>
      </c:lineChart>
      <c:catAx>
        <c:axId val="17372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29664"/>
        <c:crosses val="autoZero"/>
        <c:auto val="1"/>
        <c:lblAlgn val="ctr"/>
        <c:lblOffset val="100"/>
      </c:catAx>
      <c:valAx>
        <c:axId val="173729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2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4725888"/>
        <c:axId val="144727424"/>
      </c:lineChart>
      <c:catAx>
        <c:axId val="14472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27424"/>
        <c:crosses val="autoZero"/>
        <c:auto val="1"/>
        <c:lblAlgn val="ctr"/>
        <c:lblOffset val="100"/>
      </c:catAx>
      <c:valAx>
        <c:axId val="14472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2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98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4739712"/>
        <c:axId val="144753792"/>
      </c:lineChart>
      <c:catAx>
        <c:axId val="14473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53792"/>
        <c:crosses val="autoZero"/>
        <c:auto val="1"/>
        <c:lblAlgn val="ctr"/>
        <c:lblOffset val="100"/>
      </c:catAx>
      <c:valAx>
        <c:axId val="1447537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3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73233280"/>
        <c:axId val="173234816"/>
      </c:lineChart>
      <c:catAx>
        <c:axId val="17323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34816"/>
        <c:crosses val="autoZero"/>
        <c:auto val="1"/>
        <c:lblAlgn val="ctr"/>
        <c:lblOffset val="100"/>
      </c:catAx>
      <c:valAx>
        <c:axId val="173234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3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97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73255296"/>
        <c:axId val="173744512"/>
      </c:lineChart>
      <c:catAx>
        <c:axId val="17325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44512"/>
        <c:crosses val="autoZero"/>
        <c:auto val="1"/>
        <c:lblAlgn val="ctr"/>
        <c:lblOffset val="100"/>
      </c:catAx>
      <c:valAx>
        <c:axId val="173744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5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1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73171456"/>
        <c:axId val="173172992"/>
      </c:lineChart>
      <c:catAx>
        <c:axId val="17317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72992"/>
        <c:crosses val="autoZero"/>
        <c:auto val="1"/>
        <c:lblAlgn val="ctr"/>
        <c:lblOffset val="100"/>
      </c:catAx>
      <c:valAx>
        <c:axId val="17317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7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73205760"/>
        <c:axId val="174198784"/>
      </c:lineChart>
      <c:catAx>
        <c:axId val="17320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98784"/>
        <c:crosses val="autoZero"/>
        <c:auto val="1"/>
        <c:lblAlgn val="ctr"/>
        <c:lblOffset val="100"/>
      </c:catAx>
      <c:valAx>
        <c:axId val="17419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0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74206976"/>
        <c:axId val="174208512"/>
      </c:lineChart>
      <c:catAx>
        <c:axId val="17420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08512"/>
        <c:crosses val="autoZero"/>
        <c:auto val="1"/>
        <c:lblAlgn val="ctr"/>
        <c:lblOffset val="100"/>
      </c:catAx>
      <c:valAx>
        <c:axId val="17420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0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74249472"/>
        <c:axId val="174251008"/>
      </c:lineChart>
      <c:catAx>
        <c:axId val="17424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51008"/>
        <c:crosses val="autoZero"/>
        <c:auto val="1"/>
        <c:lblAlgn val="ctr"/>
        <c:lblOffset val="100"/>
      </c:catAx>
      <c:valAx>
        <c:axId val="174251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4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022"/>
          <c:w val="0.1272403315177596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74271488"/>
        <c:axId val="174297856"/>
      </c:lineChart>
      <c:catAx>
        <c:axId val="17427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97856"/>
        <c:crosses val="autoZero"/>
        <c:auto val="1"/>
        <c:lblAlgn val="ctr"/>
        <c:lblOffset val="100"/>
      </c:catAx>
      <c:valAx>
        <c:axId val="17429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27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74478080"/>
        <c:axId val="174479616"/>
      </c:lineChart>
      <c:catAx>
        <c:axId val="17447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79616"/>
        <c:crosses val="autoZero"/>
        <c:auto val="1"/>
        <c:lblAlgn val="ctr"/>
        <c:lblOffset val="100"/>
      </c:catAx>
      <c:valAx>
        <c:axId val="174479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47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74848640"/>
        <c:axId val="173932928"/>
      </c:lineChart>
      <c:catAx>
        <c:axId val="17484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932928"/>
        <c:crosses val="autoZero"/>
        <c:auto val="1"/>
        <c:lblAlgn val="ctr"/>
        <c:lblOffset val="100"/>
      </c:catAx>
      <c:valAx>
        <c:axId val="17393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04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110</c:v>
                </c:pt>
                <c:pt idx="7">
                  <c:v>119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118</c:v>
                </c:pt>
                <c:pt idx="13">
                  <c:v>169</c:v>
                </c:pt>
                <c:pt idx="14">
                  <c:v>117</c:v>
                </c:pt>
                <c:pt idx="15">
                  <c:v>112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285</c:v>
                </c:pt>
                <c:pt idx="20">
                  <c:v>199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74588672"/>
        <c:axId val="174590208"/>
      </c:lineChart>
      <c:catAx>
        <c:axId val="17458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90208"/>
        <c:crosses val="autoZero"/>
        <c:auto val="1"/>
        <c:lblAlgn val="ctr"/>
        <c:lblOffset val="100"/>
      </c:catAx>
      <c:valAx>
        <c:axId val="174590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8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022"/>
          <c:w val="0.135416885389375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74635264"/>
        <c:axId val="174637056"/>
      </c:lineChart>
      <c:catAx>
        <c:axId val="17463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37056"/>
        <c:crosses val="autoZero"/>
        <c:auto val="1"/>
        <c:lblAlgn val="ctr"/>
        <c:lblOffset val="100"/>
      </c:catAx>
      <c:valAx>
        <c:axId val="174637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3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02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9545</c:v>
                </c:pt>
                <c:pt idx="17">
                  <c:v>0</c:v>
                </c:pt>
                <c:pt idx="18">
                  <c:v>0</c:v>
                </c:pt>
                <c:pt idx="19">
                  <c:v>6388</c:v>
                </c:pt>
                <c:pt idx="20">
                  <c:v>5544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74862720"/>
        <c:axId val="174864256"/>
      </c:lineChart>
      <c:catAx>
        <c:axId val="17486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64256"/>
        <c:crosses val="autoZero"/>
        <c:auto val="1"/>
        <c:lblAlgn val="ctr"/>
        <c:lblOffset val="100"/>
      </c:catAx>
      <c:valAx>
        <c:axId val="174864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6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74901120"/>
        <c:axId val="174902656"/>
      </c:lineChart>
      <c:catAx>
        <c:axId val="17490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02656"/>
        <c:crosses val="autoZero"/>
        <c:auto val="1"/>
        <c:lblAlgn val="ctr"/>
        <c:lblOffset val="100"/>
      </c:catAx>
      <c:valAx>
        <c:axId val="174902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0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022"/>
          <c:w val="0.135416885389375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74988672"/>
        <c:axId val="174998656"/>
      </c:lineChart>
      <c:catAx>
        <c:axId val="17498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98656"/>
        <c:crosses val="autoZero"/>
        <c:auto val="1"/>
        <c:lblAlgn val="ctr"/>
        <c:lblOffset val="100"/>
      </c:catAx>
      <c:valAx>
        <c:axId val="174998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8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192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-1796.7419354838494</c:v>
                </c:pt>
                <c:pt idx="6">
                  <c:v>-2803.4193548387411</c:v>
                </c:pt>
                <c:pt idx="7">
                  <c:v>-2006.7419354838494</c:v>
                </c:pt>
                <c:pt idx="8">
                  <c:v>-2146.7419354838785</c:v>
                </c:pt>
                <c:pt idx="9">
                  <c:v>0</c:v>
                </c:pt>
                <c:pt idx="10">
                  <c:v>0</c:v>
                </c:pt>
                <c:pt idx="11">
                  <c:v>-1603.3870967741896</c:v>
                </c:pt>
                <c:pt idx="12">
                  <c:v>-2076.7419354838567</c:v>
                </c:pt>
                <c:pt idx="13">
                  <c:v>-493</c:v>
                </c:pt>
                <c:pt idx="14">
                  <c:v>-2076.741935483893</c:v>
                </c:pt>
                <c:pt idx="15">
                  <c:v>-2523.4193548386902</c:v>
                </c:pt>
                <c:pt idx="16">
                  <c:v>0</c:v>
                </c:pt>
                <c:pt idx="17">
                  <c:v>0</c:v>
                </c:pt>
                <c:pt idx="18">
                  <c:v>-3303.4516129032345</c:v>
                </c:pt>
                <c:pt idx="19">
                  <c:v>-1980.0645161290449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75027328"/>
        <c:axId val="175028864"/>
      </c:lineChart>
      <c:catAx>
        <c:axId val="17502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28864"/>
        <c:crosses val="autoZero"/>
        <c:auto val="1"/>
        <c:lblAlgn val="ctr"/>
        <c:lblOffset val="100"/>
      </c:catAx>
      <c:valAx>
        <c:axId val="175028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2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74926848"/>
        <c:axId val="174932736"/>
      </c:lineChart>
      <c:catAx>
        <c:axId val="17492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32736"/>
        <c:crosses val="autoZero"/>
        <c:auto val="1"/>
        <c:lblAlgn val="ctr"/>
        <c:lblOffset val="100"/>
      </c:catAx>
      <c:valAx>
        <c:axId val="17493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2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57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74977792"/>
        <c:axId val="174979328"/>
      </c:lineChart>
      <c:catAx>
        <c:axId val="1749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79328"/>
        <c:crosses val="autoZero"/>
        <c:auto val="1"/>
        <c:lblAlgn val="ctr"/>
        <c:lblOffset val="100"/>
      </c:catAx>
      <c:valAx>
        <c:axId val="174979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75073536"/>
        <c:axId val="175091712"/>
      </c:lineChart>
      <c:catAx>
        <c:axId val="17507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91712"/>
        <c:crosses val="autoZero"/>
        <c:auto val="1"/>
        <c:lblAlgn val="ctr"/>
        <c:lblOffset val="100"/>
      </c:catAx>
      <c:valAx>
        <c:axId val="175091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7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75194112"/>
        <c:axId val="175195648"/>
      </c:lineChart>
      <c:catAx>
        <c:axId val="17519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95648"/>
        <c:crosses val="autoZero"/>
        <c:auto val="1"/>
        <c:lblAlgn val="ctr"/>
        <c:lblOffset val="100"/>
      </c:catAx>
      <c:valAx>
        <c:axId val="175195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9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59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75203840"/>
        <c:axId val="175205376"/>
      </c:lineChart>
      <c:catAx>
        <c:axId val="17520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05376"/>
        <c:crosses val="autoZero"/>
        <c:auto val="1"/>
        <c:lblAlgn val="ctr"/>
        <c:lblOffset val="100"/>
      </c:catAx>
      <c:valAx>
        <c:axId val="17520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0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02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75250432"/>
        <c:axId val="175256320"/>
      </c:lineChart>
      <c:catAx>
        <c:axId val="17525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56320"/>
        <c:crosses val="autoZero"/>
        <c:auto val="1"/>
        <c:lblAlgn val="ctr"/>
        <c:lblOffset val="100"/>
      </c:catAx>
      <c:valAx>
        <c:axId val="175256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5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971"/>
          <c:w val="0.123431181980942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75290240"/>
        <c:axId val="175291776"/>
      </c:lineChart>
      <c:catAx>
        <c:axId val="1752902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91776"/>
        <c:crosses val="autoZero"/>
        <c:auto val="1"/>
        <c:lblAlgn val="ctr"/>
        <c:lblOffset val="100"/>
      </c:catAx>
      <c:valAx>
        <c:axId val="1752917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29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439"/>
          <c:w val="0.1569039853282407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197.5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75311872"/>
        <c:axId val="175330048"/>
      </c:lineChart>
      <c:catAx>
        <c:axId val="17531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30048"/>
        <c:crosses val="autoZero"/>
        <c:auto val="1"/>
        <c:lblAlgn val="ctr"/>
        <c:lblOffset val="100"/>
      </c:catAx>
      <c:valAx>
        <c:axId val="175330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1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6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16.5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75395968"/>
        <c:axId val="175397504"/>
      </c:lineChart>
      <c:catAx>
        <c:axId val="17539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97504"/>
        <c:crosses val="autoZero"/>
        <c:auto val="1"/>
        <c:lblAlgn val="ctr"/>
        <c:lblOffset val="100"/>
      </c:catAx>
      <c:valAx>
        <c:axId val="175397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39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46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77537408"/>
        <c:axId val="177538944"/>
      </c:lineChart>
      <c:catAx>
        <c:axId val="1775374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38944"/>
        <c:crosses val="autoZero"/>
        <c:auto val="1"/>
        <c:lblAlgn val="ctr"/>
        <c:lblOffset val="100"/>
      </c:catAx>
      <c:valAx>
        <c:axId val="1775389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3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43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F36">
            <v>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G32">
            <v>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W32">
            <v>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23</v>
          </cell>
        </row>
      </sheetData>
      <sheetData sheetId="7">
        <row r="26">
          <cell r="V26">
            <v>399615</v>
          </cell>
          <cell r="W26">
            <v>399616</v>
          </cell>
          <cell r="Y26">
            <v>80</v>
          </cell>
          <cell r="Z26">
            <v>1</v>
          </cell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V27">
            <v>540744</v>
          </cell>
          <cell r="W27">
            <v>543471</v>
          </cell>
          <cell r="Y27">
            <v>112</v>
          </cell>
          <cell r="Z27">
            <v>1</v>
          </cell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V28">
            <v>159573</v>
          </cell>
          <cell r="W28">
            <v>159873</v>
          </cell>
          <cell r="Y28">
            <v>320</v>
          </cell>
          <cell r="Z28">
            <v>1</v>
          </cell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A30">
            <v>0</v>
          </cell>
          <cell r="AB30">
            <v>7635837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222</v>
          </cell>
          <cell r="X32">
            <v>27.75</v>
          </cell>
          <cell r="Y32">
            <v>27.75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A34">
            <v>0</v>
          </cell>
          <cell r="AB34">
            <v>8475779.0700000003</v>
          </cell>
          <cell r="AC34">
            <v>0</v>
          </cell>
        </row>
      </sheetData>
      <sheetData sheetId="8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0">
          <cell r="B30">
            <v>0</v>
          </cell>
          <cell r="C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AT36">
            <v>0</v>
          </cell>
          <cell r="AU36">
            <v>0</v>
          </cell>
        </row>
      </sheetData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0.25114967597094123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0.24187690809181595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3.5299405537362716E-2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4979</v>
      </c>
      <c r="F7" s="315">
        <f>SUM('EDl log'!T9)</f>
        <v>0.25830948522820885</v>
      </c>
      <c r="G7" s="203">
        <f>-tanks!AW11</f>
        <v>110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5333</v>
      </c>
      <c r="F8" s="315">
        <f>SUM('EDl log'!T10)</f>
        <v>0.34285295962016288</v>
      </c>
      <c r="G8" s="203">
        <f>-tanks!AW12</f>
        <v>119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5724</v>
      </c>
      <c r="F9" s="315">
        <f>SUM('EDl log'!T11)</f>
        <v>0.24888920322438729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4995</v>
      </c>
      <c r="F10" s="315">
        <f>SUM('EDl log'!T12)</f>
        <v>0.29927533336043038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170</v>
      </c>
      <c r="L10" s="316">
        <f>SUM(WATER!J14)</f>
        <v>1.4231499051233396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6833</v>
      </c>
      <c r="F13" s="315">
        <f>SUM('EDl log'!T15)</f>
        <v>0.15754218236777004</v>
      </c>
      <c r="G13" s="203">
        <f>-tanks!AW17</f>
        <v>118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2</v>
      </c>
      <c r="L13" s="316">
        <f>SUM(WATER!J17)</f>
        <v>120.96774193548387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5512.2000000001863</v>
      </c>
      <c r="F14" s="315">
        <f>SUM('EDl log'!T16)</f>
        <v>0.24283533063718221</v>
      </c>
      <c r="G14" s="203">
        <f>-tanks!AW18</f>
        <v>169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5313.7999999998137</v>
      </c>
      <c r="F15" s="315">
        <f>SUM('EDl log'!T17)</f>
        <v>8.2997184981685054E-2</v>
      </c>
      <c r="G15" s="203">
        <f>-tanks!AW19</f>
        <v>117</v>
      </c>
      <c r="H15" s="315">
        <f>SUM(tanks!AV19)</f>
        <v>0.60699999999999998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5643</v>
      </c>
      <c r="F16" s="315">
        <f>SUM('EDl log'!T18)</f>
        <v>0.24347428841721486</v>
      </c>
      <c r="G16" s="203">
        <f>-tanks!AW20</f>
        <v>112</v>
      </c>
      <c r="H16" s="315">
        <f>SUM(tanks!AV20)</f>
        <v>0.60699999999999998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9545</v>
      </c>
      <c r="F17" s="315">
        <f>SUM('EDl log'!T19)</f>
        <v>0.18407876857958178</v>
      </c>
      <c r="G17" s="203">
        <f>-tanks!AW21</f>
        <v>0</v>
      </c>
      <c r="H17" s="315">
        <f>SUM(tanks!AV21)</f>
        <v>0.60699999999999998</v>
      </c>
      <c r="I17" s="10">
        <f>('B5'!AU20)*0.51</f>
        <v>0</v>
      </c>
      <c r="J17" s="296">
        <f>'B5'!AX20/0.51</f>
        <v>1.5686274509803921</v>
      </c>
      <c r="K17" s="203">
        <f>WATER!I21</f>
        <v>117</v>
      </c>
      <c r="L17" s="316">
        <f>SUM(WATER!J21)</f>
        <v>2.0678246484698097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0.60699999999999998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0.60699999999999998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6388</v>
      </c>
      <c r="F20" s="315">
        <f>SUM('EDl log'!T22)</f>
        <v>0.31743147532514793</v>
      </c>
      <c r="G20" s="203">
        <f>-tanks!AW24</f>
        <v>285</v>
      </c>
      <c r="H20" s="315">
        <f>SUM(tanks!AV24)</f>
        <v>0.60699999999999998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5544</v>
      </c>
      <c r="F21" s="315">
        <f>SUM('EDl log'!T23)</f>
        <v>0.22726435260257222</v>
      </c>
      <c r="G21" s="203">
        <f>-tanks!AW25</f>
        <v>199</v>
      </c>
      <c r="H21" s="315">
        <f>SUM(tanks!AV25)</f>
        <v>0.60699999999999998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0.60699999999999998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0.60699999999999998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0.60699999999999998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0.60699999999999998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0.60699999999999998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0.60699999999999998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0.60699999999999998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0.60699999999999998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0.60699999999999998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0.60699999999999998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0.60699999999999998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H16" sqref="H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960</v>
      </c>
      <c r="F7" s="203">
        <f>ELEC!K9</f>
        <v>1500</v>
      </c>
      <c r="G7" s="203">
        <f>ELEC!I9</f>
        <v>452</v>
      </c>
      <c r="H7" s="203">
        <f>ELEC!E9</f>
        <v>1810</v>
      </c>
      <c r="I7" s="203">
        <f>ELEC!G9</f>
        <v>257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1022</v>
      </c>
      <c r="F8" s="203">
        <f>ELEC!K10</f>
        <v>1574</v>
      </c>
      <c r="G8" s="203">
        <f>ELEC!I10</f>
        <v>484</v>
      </c>
      <c r="H8" s="203">
        <f>ELEC!E10</f>
        <v>1991</v>
      </c>
      <c r="I8" s="203">
        <f>ELEC!G10</f>
        <v>262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970</v>
      </c>
      <c r="F9" s="203">
        <f>ELEC!K11</f>
        <v>1650</v>
      </c>
      <c r="G9" s="203">
        <f>ELEC!I11</f>
        <v>558</v>
      </c>
      <c r="H9" s="203">
        <f>ELEC!E11</f>
        <v>2244</v>
      </c>
      <c r="I9" s="203">
        <f>ELEC!G11</f>
        <v>302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916</v>
      </c>
      <c r="F10" s="203">
        <f>ELEC!K12</f>
        <v>1332</v>
      </c>
      <c r="G10" s="203">
        <f>ELEC!I12</f>
        <v>486</v>
      </c>
      <c r="H10" s="203">
        <f>ELEC!E12</f>
        <v>2009</v>
      </c>
      <c r="I10" s="203">
        <f>ELEC!G12</f>
        <v>252</v>
      </c>
      <c r="J10" s="203">
        <f>WATER!Y14</f>
        <v>146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1248</v>
      </c>
      <c r="F13" s="203">
        <f>ELEC!K15</f>
        <v>2454</v>
      </c>
      <c r="G13" s="203">
        <f>ELEC!I15</f>
        <v>596</v>
      </c>
      <c r="H13" s="203">
        <f>ELEC!E15</f>
        <v>2210</v>
      </c>
      <c r="I13" s="203">
        <f>ELEC!G15</f>
        <v>325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1040</v>
      </c>
      <c r="F14" s="203">
        <f>ELEC!K16</f>
        <v>1578</v>
      </c>
      <c r="G14" s="203">
        <f>ELEC!I16</f>
        <v>508</v>
      </c>
      <c r="H14" s="203">
        <f>ELEC!E16</f>
        <v>2104</v>
      </c>
      <c r="I14" s="203">
        <f>ELEC!G16</f>
        <v>282.20000000018626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1040</v>
      </c>
      <c r="F15" s="203">
        <f>ELEC!K17</f>
        <v>1600</v>
      </c>
      <c r="G15" s="203">
        <f>ELEC!I17</f>
        <v>524</v>
      </c>
      <c r="H15" s="203">
        <f>ELEC!E17</f>
        <v>1880</v>
      </c>
      <c r="I15" s="203">
        <f>ELEC!G17</f>
        <v>269.79999999981374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1028</v>
      </c>
      <c r="F16" s="203">
        <f>ELEC!K18</f>
        <v>1696</v>
      </c>
      <c r="G16" s="203">
        <f>ELEC!I18</f>
        <v>516</v>
      </c>
      <c r="H16" s="203">
        <f>ELEC!E18</f>
        <v>2144</v>
      </c>
      <c r="I16" s="203">
        <f>ELEC!G18</f>
        <v>259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2236</v>
      </c>
      <c r="F17" s="203">
        <f>ELEC!K19</f>
        <v>2866</v>
      </c>
      <c r="G17" s="203">
        <f>ELEC!I19</f>
        <v>940</v>
      </c>
      <c r="H17" s="203">
        <f>ELEC!E19</f>
        <v>3000</v>
      </c>
      <c r="I17" s="203">
        <f>ELEC!G19</f>
        <v>503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1096</v>
      </c>
      <c r="F20" s="203">
        <f>ELEC!K22</f>
        <v>1510</v>
      </c>
      <c r="G20" s="203">
        <f>ELEC!I22</f>
        <v>504</v>
      </c>
      <c r="H20" s="203">
        <f>ELEC!E22</f>
        <v>3011</v>
      </c>
      <c r="I20" s="203">
        <f>ELEC!G22</f>
        <v>267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1248</v>
      </c>
      <c r="F21" s="203">
        <f>ELEC!K23</f>
        <v>1692</v>
      </c>
      <c r="G21" s="203">
        <f>ELEC!I23</f>
        <v>536</v>
      </c>
      <c r="H21" s="203">
        <f>ELEC!E23</f>
        <v>1781</v>
      </c>
      <c r="I21" s="203">
        <f>ELEC!G23</f>
        <v>287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N1" zoomScale="70" zoomScaleNormal="70" zoomScaleSheetLayoutView="100" workbookViewId="0">
      <pane ySplit="2" topLeftCell="A3" activePane="bottomLeft" state="frozen"/>
      <selection activeCell="C1" sqref="C1"/>
      <selection pane="bottomLeft" activeCell="W23" sqref="W23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0">
        <f>[2]ELEC!D33</f>
        <v>69398</v>
      </c>
      <c r="E3" s="600">
        <f>[2]ELEC!E33</f>
        <v>2255</v>
      </c>
      <c r="F3" s="600">
        <f>[2]ELEC!F33</f>
        <v>4103940</v>
      </c>
      <c r="G3" s="600">
        <f>[2]ELEC!G33</f>
        <v>322</v>
      </c>
      <c r="H3" s="600">
        <f>[2]ELEC!H33</f>
        <v>17989982</v>
      </c>
      <c r="I3" s="600">
        <f>[2]ELEC!I33</f>
        <v>582</v>
      </c>
      <c r="J3" s="600">
        <f>[2]ELEC!J33</f>
        <v>29621430</v>
      </c>
      <c r="K3" s="600">
        <f>[2]ELEC!K33</f>
        <v>2298</v>
      </c>
      <c r="L3" s="600">
        <f>[2]ELEC!L33</f>
        <v>24473990</v>
      </c>
      <c r="M3" s="600">
        <f>[2]ELEC!M33</f>
        <v>1238</v>
      </c>
      <c r="N3" s="600">
        <f>[2]ELEC!N33</f>
        <v>6695</v>
      </c>
      <c r="O3" s="600">
        <f>[2]ELEC!O33</f>
        <v>0</v>
      </c>
      <c r="P3" s="600">
        <f>[2]ELEC!P33</f>
        <v>18659.785</v>
      </c>
      <c r="Q3" s="600">
        <f>[2]ELEC!Q33</f>
        <v>6585.9999999993306</v>
      </c>
      <c r="R3" s="600">
        <f>[2]ELEC!R33</f>
        <v>109.00000000066939</v>
      </c>
      <c r="S3" s="600">
        <f>[2]ELEC!S33</f>
        <v>10175</v>
      </c>
      <c r="T3" s="600">
        <f>[2]ELEC!T33</f>
        <v>0</v>
      </c>
      <c r="U3" s="600">
        <f>[2]ELEC!U33</f>
        <v>429166</v>
      </c>
      <c r="V3" s="600">
        <f>[2]ELEC!V33</f>
        <v>0</v>
      </c>
      <c r="W3" s="600">
        <f>[2]ELEC!W33</f>
        <v>33457</v>
      </c>
      <c r="X3" s="600">
        <f>[2]ELEC!X33</f>
        <v>3</v>
      </c>
      <c r="Y3" s="600">
        <f>[2]ELEC!Y33</f>
        <v>990507</v>
      </c>
      <c r="Z3" s="600">
        <f>[2]ELEC!Z33</f>
        <v>859</v>
      </c>
      <c r="AA3" s="600">
        <f>[2]ELEC!AA33</f>
        <v>36796</v>
      </c>
      <c r="AB3" s="600">
        <f>[2]ELEC!AB33</f>
        <v>0</v>
      </c>
      <c r="AC3" s="600">
        <f>[2]ELEC!AC33</f>
        <v>1170505</v>
      </c>
      <c r="AD3" s="600">
        <f>[2]ELEC!AD33</f>
        <v>0</v>
      </c>
      <c r="AE3" s="600">
        <f>[2]ELEC!AE33</f>
        <v>3</v>
      </c>
      <c r="AF3" s="600">
        <f>[2]ELEC!AF33</f>
        <v>859</v>
      </c>
      <c r="AG3" s="600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1">
        <v>71588</v>
      </c>
      <c r="E4" s="585">
        <f>D4-D3</f>
        <v>2190</v>
      </c>
      <c r="F4" s="573">
        <v>4104242</v>
      </c>
      <c r="G4" s="586">
        <f>F4-F3</f>
        <v>302</v>
      </c>
      <c r="H4" s="426">
        <v>17990558</v>
      </c>
      <c r="I4" s="586">
        <f>H4-H3</f>
        <v>576</v>
      </c>
      <c r="J4" s="426">
        <v>29623494</v>
      </c>
      <c r="K4" s="586">
        <f>J4-J3</f>
        <v>2064</v>
      </c>
      <c r="L4" s="426">
        <v>24475190</v>
      </c>
      <c r="M4" s="586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1">
        <v>73510</v>
      </c>
      <c r="E5" s="585">
        <f t="shared" ref="E5:E34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1">
        <f t="shared" ref="D6:D34" si="12">D5</f>
        <v>73510</v>
      </c>
      <c r="E6" s="585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1">
        <f t="shared" si="12"/>
        <v>73510</v>
      </c>
      <c r="E7" s="585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1">
        <v>75882</v>
      </c>
      <c r="E8" s="585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1">
        <v>77692</v>
      </c>
      <c r="E9" s="585">
        <f t="shared" si="7"/>
        <v>1810</v>
      </c>
      <c r="F9" s="573">
        <v>4105086</v>
      </c>
      <c r="G9" s="449">
        <f t="shared" si="14"/>
        <v>257</v>
      </c>
      <c r="H9" s="426">
        <v>17992166</v>
      </c>
      <c r="I9" s="449">
        <f t="shared" si="16"/>
        <v>452</v>
      </c>
      <c r="J9" s="426">
        <v>29628866</v>
      </c>
      <c r="K9" s="449">
        <f t="shared" si="18"/>
        <v>1500</v>
      </c>
      <c r="L9" s="426">
        <v>24478510</v>
      </c>
      <c r="M9" s="449">
        <f t="shared" si="20"/>
        <v>960</v>
      </c>
      <c r="N9" s="297">
        <f t="shared" si="21"/>
        <v>4979</v>
      </c>
      <c r="O9" s="445">
        <f t="shared" si="0"/>
        <v>0</v>
      </c>
      <c r="P9" s="564">
        <v>18682.821</v>
      </c>
      <c r="Q9" s="446">
        <f t="shared" si="1"/>
        <v>4929.0000000000873</v>
      </c>
      <c r="R9" s="428">
        <f t="shared" si="29"/>
        <v>49.999999999912689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v>33466</v>
      </c>
      <c r="X9" s="428">
        <f t="shared" si="3"/>
        <v>2</v>
      </c>
      <c r="Y9" s="426">
        <v>992709</v>
      </c>
      <c r="Z9" s="428">
        <f t="shared" si="30"/>
        <v>492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2</v>
      </c>
      <c r="AF9" s="451">
        <f t="shared" si="4"/>
        <v>492</v>
      </c>
      <c r="AG9" s="443">
        <f t="shared" si="5"/>
        <v>246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1">
        <v>79683</v>
      </c>
      <c r="E10" s="585">
        <f t="shared" si="7"/>
        <v>1991</v>
      </c>
      <c r="F10" s="573">
        <v>4105348</v>
      </c>
      <c r="G10" s="449">
        <f t="shared" si="14"/>
        <v>262</v>
      </c>
      <c r="H10" s="426">
        <v>17992650</v>
      </c>
      <c r="I10" s="449">
        <f t="shared" si="16"/>
        <v>484</v>
      </c>
      <c r="J10" s="426">
        <v>29630440</v>
      </c>
      <c r="K10" s="449">
        <f t="shared" si="18"/>
        <v>1574</v>
      </c>
      <c r="L10" s="426">
        <v>24479532</v>
      </c>
      <c r="M10" s="449">
        <f t="shared" si="20"/>
        <v>1022</v>
      </c>
      <c r="N10" s="297">
        <f t="shared" si="21"/>
        <v>5333</v>
      </c>
      <c r="O10" s="445">
        <f t="shared" si="0"/>
        <v>0</v>
      </c>
      <c r="P10" s="564">
        <v>18688.064999999999</v>
      </c>
      <c r="Q10" s="446">
        <f t="shared" si="1"/>
        <v>5243.9999999987776</v>
      </c>
      <c r="R10" s="428">
        <f t="shared" si="29"/>
        <v>89.000000001222361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v>33468</v>
      </c>
      <c r="X10" s="428">
        <f t="shared" ref="X10:X31" si="31">W10-W9</f>
        <v>2</v>
      </c>
      <c r="Y10" s="426">
        <v>993093</v>
      </c>
      <c r="Z10" s="428">
        <f t="shared" si="30"/>
        <v>384</v>
      </c>
      <c r="AA10" s="426"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2</v>
      </c>
      <c r="AF10" s="451">
        <f t="shared" si="4"/>
        <v>384</v>
      </c>
      <c r="AG10" s="443">
        <f t="shared" si="5"/>
        <v>192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1">
        <v>81927</v>
      </c>
      <c r="E11" s="585">
        <f t="shared" si="7"/>
        <v>2244</v>
      </c>
      <c r="F11" s="573">
        <v>4105650</v>
      </c>
      <c r="G11" s="449">
        <f t="shared" si="14"/>
        <v>302</v>
      </c>
      <c r="H11" s="426">
        <v>17993208</v>
      </c>
      <c r="I11" s="449">
        <f t="shared" si="16"/>
        <v>558</v>
      </c>
      <c r="J11" s="426">
        <v>29632090</v>
      </c>
      <c r="K11" s="449">
        <f t="shared" si="18"/>
        <v>1650</v>
      </c>
      <c r="L11" s="426">
        <v>24480502</v>
      </c>
      <c r="M11" s="449">
        <f t="shared" si="20"/>
        <v>970</v>
      </c>
      <c r="N11" s="297">
        <f t="shared" si="21"/>
        <v>5724</v>
      </c>
      <c r="O11" s="445">
        <f t="shared" ref="O11:O31" si="32">IF(B11&gt;0,N11/B11,0)</f>
        <v>0</v>
      </c>
      <c r="P11" s="564">
        <v>18694.027999999998</v>
      </c>
      <c r="Q11" s="446">
        <f t="shared" si="1"/>
        <v>5962.9999999997381</v>
      </c>
      <c r="R11" s="428">
        <f t="shared" si="29"/>
        <v>-238.99999999973807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v>33469</v>
      </c>
      <c r="X11" s="428">
        <f t="shared" si="31"/>
        <v>1</v>
      </c>
      <c r="Y11" s="426">
        <v>993264</v>
      </c>
      <c r="Z11" s="428">
        <f t="shared" si="30"/>
        <v>171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1</v>
      </c>
      <c r="AF11" s="451">
        <f t="shared" si="4"/>
        <v>171</v>
      </c>
      <c r="AG11" s="443">
        <f t="shared" ref="AG11:AG31" si="33">IF(AE11&gt;0,AF11/AE11,0)</f>
        <v>171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1">
        <v>83936</v>
      </c>
      <c r="E12" s="585">
        <f>D12-D11</f>
        <v>2009</v>
      </c>
      <c r="F12" s="573">
        <v>4105902</v>
      </c>
      <c r="G12" s="449">
        <f t="shared" si="14"/>
        <v>252</v>
      </c>
      <c r="H12" s="426">
        <v>17993694</v>
      </c>
      <c r="I12" s="449">
        <f t="shared" si="16"/>
        <v>486</v>
      </c>
      <c r="J12" s="426">
        <v>29633422</v>
      </c>
      <c r="K12" s="449">
        <f t="shared" si="18"/>
        <v>1332</v>
      </c>
      <c r="L12" s="426">
        <v>24481418</v>
      </c>
      <c r="M12" s="449">
        <f t="shared" si="20"/>
        <v>916</v>
      </c>
      <c r="N12" s="297">
        <f>M12+K12+I12+G12+E12</f>
        <v>4995</v>
      </c>
      <c r="O12" s="445">
        <f t="shared" si="32"/>
        <v>0</v>
      </c>
      <c r="P12" s="564">
        <v>18698.864000000001</v>
      </c>
      <c r="Q12" s="446">
        <f t="shared" si="1"/>
        <v>4836.0000000029686</v>
      </c>
      <c r="R12" s="428">
        <f t="shared" si="29"/>
        <v>158.99999999703141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v>33470</v>
      </c>
      <c r="X12" s="428">
        <f t="shared" si="31"/>
        <v>1</v>
      </c>
      <c r="Y12" s="426">
        <v>993482</v>
      </c>
      <c r="Z12" s="428">
        <f t="shared" si="30"/>
        <v>218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1</v>
      </c>
      <c r="AF12" s="451">
        <f t="shared" si="4"/>
        <v>218</v>
      </c>
      <c r="AG12" s="443">
        <f t="shared" si="33"/>
        <v>218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1">
        <f t="shared" si="12"/>
        <v>83936</v>
      </c>
      <c r="E13" s="585">
        <f t="shared" si="7"/>
        <v>0</v>
      </c>
      <c r="F13" s="573">
        <f t="shared" si="13"/>
        <v>4105902</v>
      </c>
      <c r="G13" s="449">
        <f t="shared" si="14"/>
        <v>0</v>
      </c>
      <c r="H13" s="426">
        <f t="shared" si="15"/>
        <v>17993694</v>
      </c>
      <c r="I13" s="449">
        <f t="shared" si="16"/>
        <v>0</v>
      </c>
      <c r="J13" s="426">
        <f t="shared" si="17"/>
        <v>29633422</v>
      </c>
      <c r="K13" s="449">
        <f t="shared" si="18"/>
        <v>0</v>
      </c>
      <c r="L13" s="426">
        <f t="shared" si="19"/>
        <v>24481418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18698.864000000001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33470</v>
      </c>
      <c r="X13" s="428">
        <f t="shared" si="31"/>
        <v>0</v>
      </c>
      <c r="Y13" s="426">
        <f t="shared" si="25"/>
        <v>993482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1">
        <f t="shared" si="12"/>
        <v>83936</v>
      </c>
      <c r="E14" s="585">
        <f t="shared" si="7"/>
        <v>0</v>
      </c>
      <c r="F14" s="573">
        <f t="shared" si="13"/>
        <v>4105902</v>
      </c>
      <c r="G14" s="449">
        <f t="shared" si="14"/>
        <v>0</v>
      </c>
      <c r="H14" s="426">
        <f t="shared" si="15"/>
        <v>17993694</v>
      </c>
      <c r="I14" s="449">
        <f t="shared" si="16"/>
        <v>0</v>
      </c>
      <c r="J14" s="426">
        <f t="shared" si="17"/>
        <v>29633422</v>
      </c>
      <c r="K14" s="449">
        <f t="shared" si="18"/>
        <v>0</v>
      </c>
      <c r="L14" s="426">
        <f t="shared" si="19"/>
        <v>24481418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18698.864000000001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33470</v>
      </c>
      <c r="X14" s="428">
        <f t="shared" si="31"/>
        <v>0</v>
      </c>
      <c r="Y14" s="426">
        <f t="shared" si="25"/>
        <v>993482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1">
        <v>86146</v>
      </c>
      <c r="E15" s="585">
        <f t="shared" si="7"/>
        <v>2210</v>
      </c>
      <c r="F15" s="573">
        <v>4106227</v>
      </c>
      <c r="G15" s="449">
        <f t="shared" si="14"/>
        <v>325</v>
      </c>
      <c r="H15" s="426">
        <v>17994290</v>
      </c>
      <c r="I15" s="449">
        <f t="shared" si="16"/>
        <v>596</v>
      </c>
      <c r="J15" s="426">
        <v>29635876</v>
      </c>
      <c r="K15" s="449">
        <f t="shared" si="18"/>
        <v>2454</v>
      </c>
      <c r="L15" s="426">
        <v>24482666</v>
      </c>
      <c r="M15" s="449">
        <f t="shared" si="20"/>
        <v>1248</v>
      </c>
      <c r="N15" s="297">
        <f t="shared" si="21"/>
        <v>6833</v>
      </c>
      <c r="O15" s="445">
        <f t="shared" si="32"/>
        <v>0</v>
      </c>
      <c r="P15" s="564">
        <v>18705.585999999999</v>
      </c>
      <c r="Q15" s="446">
        <f t="shared" si="1"/>
        <v>6721.9999999979336</v>
      </c>
      <c r="R15" s="428">
        <f t="shared" si="29"/>
        <v>111.00000000206637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v>33472</v>
      </c>
      <c r="X15" s="428">
        <f t="shared" si="31"/>
        <v>2</v>
      </c>
      <c r="Y15" s="426">
        <v>993956</v>
      </c>
      <c r="Z15" s="428">
        <f t="shared" si="30"/>
        <v>474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2</v>
      </c>
      <c r="AF15" s="451">
        <f t="shared" si="4"/>
        <v>474</v>
      </c>
      <c r="AG15" s="443">
        <f t="shared" si="33"/>
        <v>237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1">
        <v>88250</v>
      </c>
      <c r="E16" s="585">
        <f t="shared" si="7"/>
        <v>2104</v>
      </c>
      <c r="F16" s="573">
        <v>4106509.2</v>
      </c>
      <c r="G16" s="449">
        <f t="shared" si="14"/>
        <v>282.20000000018626</v>
      </c>
      <c r="H16" s="426">
        <v>17994798</v>
      </c>
      <c r="I16" s="449">
        <f t="shared" si="16"/>
        <v>508</v>
      </c>
      <c r="J16" s="426">
        <v>29637454</v>
      </c>
      <c r="K16" s="449">
        <f t="shared" si="18"/>
        <v>1578</v>
      </c>
      <c r="L16" s="426">
        <v>24483706</v>
      </c>
      <c r="M16" s="449">
        <f t="shared" si="20"/>
        <v>1040</v>
      </c>
      <c r="N16" s="297">
        <f t="shared" si="21"/>
        <v>5512.2000000001863</v>
      </c>
      <c r="O16" s="445">
        <f t="shared" si="32"/>
        <v>0</v>
      </c>
      <c r="P16" s="564">
        <v>18710.710999999999</v>
      </c>
      <c r="Q16" s="446">
        <f t="shared" si="1"/>
        <v>5125</v>
      </c>
      <c r="R16" s="428">
        <f t="shared" si="29"/>
        <v>387.20000000018626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v>33474</v>
      </c>
      <c r="X16" s="428">
        <f t="shared" si="31"/>
        <v>2</v>
      </c>
      <c r="Y16" s="426">
        <v>994549</v>
      </c>
      <c r="Z16" s="428">
        <f t="shared" si="30"/>
        <v>593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2</v>
      </c>
      <c r="AF16" s="451">
        <f t="shared" si="4"/>
        <v>593</v>
      </c>
      <c r="AG16" s="443">
        <f t="shared" si="33"/>
        <v>296.5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1">
        <v>90130</v>
      </c>
      <c r="E17" s="585">
        <f t="shared" si="7"/>
        <v>1880</v>
      </c>
      <c r="F17" s="573">
        <v>4106779</v>
      </c>
      <c r="G17" s="449">
        <f t="shared" si="14"/>
        <v>269.79999999981374</v>
      </c>
      <c r="H17" s="426">
        <v>17995322</v>
      </c>
      <c r="I17" s="449">
        <f t="shared" si="16"/>
        <v>524</v>
      </c>
      <c r="J17" s="426">
        <v>29639054</v>
      </c>
      <c r="K17" s="449">
        <f t="shared" si="18"/>
        <v>1600</v>
      </c>
      <c r="L17" s="426">
        <v>24484746</v>
      </c>
      <c r="M17" s="449">
        <f t="shared" si="20"/>
        <v>1040</v>
      </c>
      <c r="N17" s="297">
        <f t="shared" si="21"/>
        <v>5313.7999999998137</v>
      </c>
      <c r="O17" s="445">
        <f t="shared" si="32"/>
        <v>0</v>
      </c>
      <c r="P17" s="564">
        <v>18715.857</v>
      </c>
      <c r="Q17" s="446">
        <f t="shared" si="1"/>
        <v>5146.0000000006403</v>
      </c>
      <c r="R17" s="428">
        <f t="shared" si="29"/>
        <v>167.79999999917345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v>33475</v>
      </c>
      <c r="X17" s="428">
        <f>W17-W16</f>
        <v>1</v>
      </c>
      <c r="Y17" s="426">
        <v>994802</v>
      </c>
      <c r="Z17" s="428">
        <f>Y17-Y16</f>
        <v>253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1</v>
      </c>
      <c r="AF17" s="451">
        <f t="shared" si="4"/>
        <v>253</v>
      </c>
      <c r="AG17" s="443">
        <f t="shared" si="33"/>
        <v>253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1">
        <v>92274</v>
      </c>
      <c r="E18" s="585">
        <f t="shared" si="7"/>
        <v>2144</v>
      </c>
      <c r="F18" s="573">
        <v>4107038</v>
      </c>
      <c r="G18" s="449">
        <f t="shared" si="14"/>
        <v>259</v>
      </c>
      <c r="H18" s="426">
        <v>17995838</v>
      </c>
      <c r="I18" s="449">
        <f t="shared" si="16"/>
        <v>516</v>
      </c>
      <c r="J18" s="426">
        <v>29640750</v>
      </c>
      <c r="K18" s="449">
        <f t="shared" si="18"/>
        <v>1696</v>
      </c>
      <c r="L18" s="426">
        <v>24485774</v>
      </c>
      <c r="M18" s="449">
        <f t="shared" si="20"/>
        <v>1028</v>
      </c>
      <c r="N18" s="297">
        <f>M18+K18+I18+G18+E18</f>
        <v>5643</v>
      </c>
      <c r="O18" s="445">
        <f t="shared" si="32"/>
        <v>0</v>
      </c>
      <c r="P18" s="564">
        <v>18721.030999999999</v>
      </c>
      <c r="Q18" s="446">
        <f t="shared" si="1"/>
        <v>5173.9999999990687</v>
      </c>
      <c r="R18" s="428">
        <f t="shared" si="29"/>
        <v>469.00000000093132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v>33476</v>
      </c>
      <c r="X18" s="428">
        <f t="shared" si="31"/>
        <v>1</v>
      </c>
      <c r="Y18" s="426">
        <v>995165</v>
      </c>
      <c r="Z18" s="428">
        <f t="shared" si="30"/>
        <v>363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1</v>
      </c>
      <c r="AF18" s="451">
        <f t="shared" si="4"/>
        <v>363</v>
      </c>
      <c r="AG18" s="443">
        <f t="shared" si="33"/>
        <v>363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1">
        <v>95274</v>
      </c>
      <c r="E19" s="585">
        <f t="shared" si="7"/>
        <v>3000</v>
      </c>
      <c r="F19" s="573">
        <v>4107541</v>
      </c>
      <c r="G19" s="449">
        <f t="shared" si="14"/>
        <v>503</v>
      </c>
      <c r="H19" s="426">
        <v>17996778</v>
      </c>
      <c r="I19" s="449">
        <f t="shared" si="16"/>
        <v>940</v>
      </c>
      <c r="J19" s="426">
        <v>29643616</v>
      </c>
      <c r="K19" s="449">
        <f t="shared" si="18"/>
        <v>2866</v>
      </c>
      <c r="L19" s="426">
        <v>24488010</v>
      </c>
      <c r="M19" s="449">
        <f t="shared" si="20"/>
        <v>2236</v>
      </c>
      <c r="N19" s="297">
        <f t="shared" si="21"/>
        <v>9545</v>
      </c>
      <c r="O19" s="445">
        <f t="shared" si="32"/>
        <v>0</v>
      </c>
      <c r="P19" s="564">
        <v>18730.953000000001</v>
      </c>
      <c r="Q19" s="446">
        <f>(P19-P18)*1000</f>
        <v>9922.0000000022992</v>
      </c>
      <c r="R19" s="606">
        <f>N19-Q19</f>
        <v>-377.0000000022992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33476</v>
      </c>
      <c r="X19" s="428">
        <f t="shared" si="31"/>
        <v>0</v>
      </c>
      <c r="Y19" s="426">
        <f t="shared" si="25"/>
        <v>995165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1">
        <f t="shared" si="12"/>
        <v>95274</v>
      </c>
      <c r="E20" s="585">
        <f t="shared" si="7"/>
        <v>0</v>
      </c>
      <c r="F20" s="573">
        <f t="shared" si="13"/>
        <v>4107541</v>
      </c>
      <c r="G20" s="449">
        <f t="shared" si="14"/>
        <v>0</v>
      </c>
      <c r="H20" s="426">
        <f t="shared" si="15"/>
        <v>17996778</v>
      </c>
      <c r="I20" s="449">
        <f t="shared" si="16"/>
        <v>0</v>
      </c>
      <c r="J20" s="426">
        <f t="shared" si="17"/>
        <v>29643616</v>
      </c>
      <c r="K20" s="449">
        <f t="shared" si="18"/>
        <v>0</v>
      </c>
      <c r="L20" s="426">
        <f t="shared" si="19"/>
        <v>24488010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18730.953000000001</v>
      </c>
      <c r="Q20" s="446">
        <f>(P20-P19)*1000</f>
        <v>0</v>
      </c>
      <c r="R20" s="606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33476</v>
      </c>
      <c r="X20" s="428">
        <f t="shared" si="31"/>
        <v>0</v>
      </c>
      <c r="Y20" s="426">
        <f t="shared" si="25"/>
        <v>995165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1">
        <f t="shared" si="12"/>
        <v>95274</v>
      </c>
      <c r="E21" s="585">
        <f t="shared" si="7"/>
        <v>0</v>
      </c>
      <c r="F21" s="573">
        <f t="shared" si="13"/>
        <v>4107541</v>
      </c>
      <c r="G21" s="449">
        <f t="shared" si="14"/>
        <v>0</v>
      </c>
      <c r="H21" s="426">
        <f t="shared" si="15"/>
        <v>17996778</v>
      </c>
      <c r="I21" s="449">
        <f t="shared" si="16"/>
        <v>0</v>
      </c>
      <c r="J21" s="426">
        <f t="shared" si="17"/>
        <v>29643616</v>
      </c>
      <c r="K21" s="449">
        <f t="shared" si="18"/>
        <v>0</v>
      </c>
      <c r="L21" s="426">
        <f t="shared" si="19"/>
        <v>24488010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18730.953000000001</v>
      </c>
      <c r="Q21" s="446">
        <f t="shared" si="1"/>
        <v>0</v>
      </c>
      <c r="R21" s="606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33476</v>
      </c>
      <c r="X21" s="428">
        <f t="shared" si="31"/>
        <v>0</v>
      </c>
      <c r="Y21" s="426">
        <f t="shared" si="25"/>
        <v>995165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1">
        <v>98285</v>
      </c>
      <c r="E22" s="585">
        <f t="shared" si="7"/>
        <v>3011</v>
      </c>
      <c r="F22" s="573">
        <v>4107808</v>
      </c>
      <c r="G22" s="449">
        <f t="shared" si="14"/>
        <v>267</v>
      </c>
      <c r="H22" s="426">
        <v>17997282</v>
      </c>
      <c r="I22" s="449">
        <f t="shared" si="16"/>
        <v>504</v>
      </c>
      <c r="J22" s="426">
        <v>29645126</v>
      </c>
      <c r="K22" s="449">
        <f t="shared" si="18"/>
        <v>1510</v>
      </c>
      <c r="L22" s="426">
        <v>24489106</v>
      </c>
      <c r="M22" s="449">
        <f t="shared" si="20"/>
        <v>1096</v>
      </c>
      <c r="N22" s="297">
        <f t="shared" si="21"/>
        <v>6388</v>
      </c>
      <c r="O22" s="445">
        <f t="shared" si="32"/>
        <v>0</v>
      </c>
      <c r="P22" s="564">
        <v>18736.311000000002</v>
      </c>
      <c r="Q22" s="446">
        <f t="shared" si="1"/>
        <v>5358.0000000001746</v>
      </c>
      <c r="R22" s="606">
        <f t="shared" si="35"/>
        <v>1029.9999999998254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v>33478</v>
      </c>
      <c r="X22" s="428">
        <f t="shared" si="31"/>
        <v>2</v>
      </c>
      <c r="Y22" s="426">
        <v>995560</v>
      </c>
      <c r="Z22" s="428">
        <f t="shared" si="30"/>
        <v>395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2</v>
      </c>
      <c r="AF22" s="451">
        <f t="shared" si="4"/>
        <v>395</v>
      </c>
      <c r="AG22" s="443">
        <f t="shared" si="33"/>
        <v>197.5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1">
        <v>100066</v>
      </c>
      <c r="E23" s="585">
        <f t="shared" si="7"/>
        <v>1781</v>
      </c>
      <c r="F23" s="573">
        <v>4108095</v>
      </c>
      <c r="G23" s="449">
        <f t="shared" si="14"/>
        <v>287</v>
      </c>
      <c r="H23" s="426">
        <v>17997818</v>
      </c>
      <c r="I23" s="449">
        <f t="shared" si="16"/>
        <v>536</v>
      </c>
      <c r="J23" s="426">
        <v>29646818</v>
      </c>
      <c r="K23" s="449">
        <f t="shared" si="18"/>
        <v>1692</v>
      </c>
      <c r="L23" s="426">
        <v>24490354</v>
      </c>
      <c r="M23" s="449">
        <f t="shared" si="20"/>
        <v>1248</v>
      </c>
      <c r="N23" s="297">
        <f t="shared" si="21"/>
        <v>5544</v>
      </c>
      <c r="O23" s="445">
        <f t="shared" si="32"/>
        <v>0</v>
      </c>
      <c r="P23" s="564">
        <v>18742.012999999999</v>
      </c>
      <c r="Q23" s="446">
        <f t="shared" si="1"/>
        <v>5701.9999999974971</v>
      </c>
      <c r="R23" s="606">
        <f t="shared" si="35"/>
        <v>-157.99999999749707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33478</v>
      </c>
      <c r="X23" s="428">
        <f t="shared" si="31"/>
        <v>0</v>
      </c>
      <c r="Y23" s="426">
        <f t="shared" si="25"/>
        <v>995560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1">
        <f t="shared" si="12"/>
        <v>100066</v>
      </c>
      <c r="E24" s="585">
        <f t="shared" si="7"/>
        <v>0</v>
      </c>
      <c r="F24" s="573">
        <f t="shared" si="13"/>
        <v>4108095</v>
      </c>
      <c r="G24" s="449">
        <f t="shared" si="14"/>
        <v>0</v>
      </c>
      <c r="H24" s="426">
        <f t="shared" si="15"/>
        <v>17997818</v>
      </c>
      <c r="I24" s="622">
        <f t="shared" si="16"/>
        <v>0</v>
      </c>
      <c r="J24" s="426">
        <f t="shared" si="17"/>
        <v>29646818</v>
      </c>
      <c r="K24" s="449">
        <f t="shared" si="18"/>
        <v>0</v>
      </c>
      <c r="L24" s="426">
        <f t="shared" si="19"/>
        <v>24490354</v>
      </c>
      <c r="M24" s="449">
        <f t="shared" si="20"/>
        <v>0</v>
      </c>
      <c r="N24" s="297">
        <f t="shared" si="21"/>
        <v>0</v>
      </c>
      <c r="O24" s="445">
        <f t="shared" si="32"/>
        <v>0</v>
      </c>
      <c r="P24" s="564">
        <f t="shared" si="22"/>
        <v>18742.012999999999</v>
      </c>
      <c r="Q24" s="446">
        <f t="shared" si="1"/>
        <v>0</v>
      </c>
      <c r="R24" s="606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33478</v>
      </c>
      <c r="X24" s="428">
        <f t="shared" si="31"/>
        <v>0</v>
      </c>
      <c r="Y24" s="426">
        <f t="shared" si="25"/>
        <v>995560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1">
        <f t="shared" si="12"/>
        <v>100066</v>
      </c>
      <c r="E25" s="585">
        <f t="shared" si="7"/>
        <v>0</v>
      </c>
      <c r="F25" s="573">
        <f t="shared" si="13"/>
        <v>4108095</v>
      </c>
      <c r="G25" s="449">
        <f t="shared" si="14"/>
        <v>0</v>
      </c>
      <c r="H25" s="426">
        <f t="shared" si="15"/>
        <v>17997818</v>
      </c>
      <c r="I25" s="449">
        <f t="shared" si="16"/>
        <v>0</v>
      </c>
      <c r="J25" s="426">
        <f t="shared" si="17"/>
        <v>29646818</v>
      </c>
      <c r="K25" s="449">
        <f t="shared" si="18"/>
        <v>0</v>
      </c>
      <c r="L25" s="426">
        <f t="shared" si="19"/>
        <v>24490354</v>
      </c>
      <c r="M25" s="449">
        <f t="shared" si="20"/>
        <v>0</v>
      </c>
      <c r="N25" s="297">
        <f t="shared" si="21"/>
        <v>0</v>
      </c>
      <c r="O25" s="445">
        <f t="shared" si="32"/>
        <v>0</v>
      </c>
      <c r="P25" s="564">
        <f t="shared" si="22"/>
        <v>18742.012999999999</v>
      </c>
      <c r="Q25" s="446">
        <f t="shared" si="1"/>
        <v>0</v>
      </c>
      <c r="R25" s="606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33478</v>
      </c>
      <c r="X25" s="428">
        <f t="shared" si="31"/>
        <v>0</v>
      </c>
      <c r="Y25" s="426">
        <f t="shared" si="25"/>
        <v>995560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1">
        <f t="shared" si="12"/>
        <v>100066</v>
      </c>
      <c r="E26" s="585">
        <f t="shared" si="7"/>
        <v>0</v>
      </c>
      <c r="F26" s="573">
        <f t="shared" si="13"/>
        <v>4108095</v>
      </c>
      <c r="G26" s="449">
        <f t="shared" si="14"/>
        <v>0</v>
      </c>
      <c r="H26" s="426">
        <f t="shared" si="15"/>
        <v>17997818</v>
      </c>
      <c r="I26" s="449">
        <f t="shared" si="16"/>
        <v>0</v>
      </c>
      <c r="J26" s="426">
        <f t="shared" si="17"/>
        <v>29646818</v>
      </c>
      <c r="K26" s="449">
        <f t="shared" si="18"/>
        <v>0</v>
      </c>
      <c r="L26" s="426">
        <f t="shared" si="19"/>
        <v>24490354</v>
      </c>
      <c r="M26" s="449">
        <f t="shared" si="20"/>
        <v>0</v>
      </c>
      <c r="N26" s="297">
        <f t="shared" si="21"/>
        <v>0</v>
      </c>
      <c r="O26" s="445">
        <f t="shared" si="32"/>
        <v>0</v>
      </c>
      <c r="P26" s="564">
        <f t="shared" si="22"/>
        <v>18742.012999999999</v>
      </c>
      <c r="Q26" s="446">
        <f t="shared" si="1"/>
        <v>0</v>
      </c>
      <c r="R26" s="606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33478</v>
      </c>
      <c r="X26" s="428">
        <f t="shared" si="31"/>
        <v>0</v>
      </c>
      <c r="Y26" s="426">
        <f t="shared" si="25"/>
        <v>995560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1">
        <f t="shared" si="12"/>
        <v>100066</v>
      </c>
      <c r="E27" s="585">
        <f t="shared" si="7"/>
        <v>0</v>
      </c>
      <c r="F27" s="573">
        <f t="shared" si="13"/>
        <v>4108095</v>
      </c>
      <c r="G27" s="449">
        <f t="shared" si="14"/>
        <v>0</v>
      </c>
      <c r="H27" s="426">
        <f t="shared" si="15"/>
        <v>17997818</v>
      </c>
      <c r="I27" s="449">
        <f t="shared" si="16"/>
        <v>0</v>
      </c>
      <c r="J27" s="426">
        <f t="shared" si="17"/>
        <v>29646818</v>
      </c>
      <c r="K27" s="449">
        <f t="shared" si="18"/>
        <v>0</v>
      </c>
      <c r="L27" s="426">
        <f t="shared" si="19"/>
        <v>24490354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18742.012999999999</v>
      </c>
      <c r="Q27" s="446">
        <f t="shared" si="1"/>
        <v>0</v>
      </c>
      <c r="R27" s="606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33478</v>
      </c>
      <c r="X27" s="428">
        <f t="shared" si="31"/>
        <v>0</v>
      </c>
      <c r="Y27" s="426">
        <f t="shared" si="25"/>
        <v>995560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1">
        <f t="shared" si="12"/>
        <v>100066</v>
      </c>
      <c r="E28" s="585">
        <f t="shared" si="7"/>
        <v>0</v>
      </c>
      <c r="F28" s="573">
        <f t="shared" si="13"/>
        <v>4108095</v>
      </c>
      <c r="G28" s="449">
        <f>F28-F27</f>
        <v>0</v>
      </c>
      <c r="H28" s="426">
        <f t="shared" si="15"/>
        <v>17997818</v>
      </c>
      <c r="I28" s="449">
        <f t="shared" si="16"/>
        <v>0</v>
      </c>
      <c r="J28" s="426">
        <f t="shared" si="17"/>
        <v>29646818</v>
      </c>
      <c r="K28" s="449">
        <f t="shared" si="18"/>
        <v>0</v>
      </c>
      <c r="L28" s="426">
        <f t="shared" si="19"/>
        <v>24490354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18742.012999999999</v>
      </c>
      <c r="Q28" s="446">
        <f t="shared" si="1"/>
        <v>0</v>
      </c>
      <c r="R28" s="606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33478</v>
      </c>
      <c r="X28" s="428">
        <f t="shared" si="31"/>
        <v>0</v>
      </c>
      <c r="Y28" s="426">
        <f t="shared" si="25"/>
        <v>995560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1">
        <f t="shared" si="12"/>
        <v>100066</v>
      </c>
      <c r="E29" s="585">
        <f t="shared" si="7"/>
        <v>0</v>
      </c>
      <c r="F29" s="573">
        <f t="shared" si="13"/>
        <v>4108095</v>
      </c>
      <c r="G29" s="449">
        <f t="shared" ref="G29" si="36">F29-F28</f>
        <v>0</v>
      </c>
      <c r="H29" s="426">
        <f t="shared" si="15"/>
        <v>17997818</v>
      </c>
      <c r="I29" s="449">
        <f t="shared" ref="I29" si="37">H29-H28</f>
        <v>0</v>
      </c>
      <c r="J29" s="426">
        <f t="shared" si="17"/>
        <v>29646818</v>
      </c>
      <c r="K29" s="449">
        <f t="shared" ref="K29" si="38">J29-J28</f>
        <v>0</v>
      </c>
      <c r="L29" s="426">
        <f t="shared" si="19"/>
        <v>24490354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18742.012999999999</v>
      </c>
      <c r="Q29" s="446">
        <f t="shared" ref="Q29" si="42">(P29-P28)*1000</f>
        <v>0</v>
      </c>
      <c r="R29" s="606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33478</v>
      </c>
      <c r="X29" s="428">
        <f t="shared" ref="X29" si="45">W29-W28</f>
        <v>0</v>
      </c>
      <c r="Y29" s="426">
        <f t="shared" si="25"/>
        <v>995560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1">
        <f t="shared" si="12"/>
        <v>100066</v>
      </c>
      <c r="E30" s="585">
        <f t="shared" si="7"/>
        <v>0</v>
      </c>
      <c r="F30" s="573">
        <f t="shared" si="13"/>
        <v>4108095</v>
      </c>
      <c r="G30" s="449">
        <f t="shared" si="14"/>
        <v>0</v>
      </c>
      <c r="H30" s="426">
        <f t="shared" si="15"/>
        <v>17997818</v>
      </c>
      <c r="I30" s="449">
        <f t="shared" si="16"/>
        <v>0</v>
      </c>
      <c r="J30" s="426">
        <f t="shared" si="17"/>
        <v>29646818</v>
      </c>
      <c r="K30" s="449">
        <f t="shared" si="18"/>
        <v>0</v>
      </c>
      <c r="L30" s="426">
        <f t="shared" si="19"/>
        <v>24490354</v>
      </c>
      <c r="M30" s="449">
        <f t="shared" si="20"/>
        <v>0</v>
      </c>
      <c r="N30" s="297">
        <f t="shared" si="21"/>
        <v>0</v>
      </c>
      <c r="O30" s="445">
        <f t="shared" si="32"/>
        <v>0</v>
      </c>
      <c r="P30" s="564">
        <f t="shared" si="22"/>
        <v>18742.012999999999</v>
      </c>
      <c r="Q30" s="446">
        <f t="shared" si="1"/>
        <v>0</v>
      </c>
      <c r="R30" s="606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f t="shared" si="24"/>
        <v>33478</v>
      </c>
      <c r="X30" s="428">
        <f t="shared" si="31"/>
        <v>0</v>
      </c>
      <c r="Y30" s="426">
        <f t="shared" si="25"/>
        <v>995560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1">
        <f t="shared" si="12"/>
        <v>100066</v>
      </c>
      <c r="E31" s="585">
        <f t="shared" si="7"/>
        <v>0</v>
      </c>
      <c r="F31" s="573">
        <f t="shared" si="13"/>
        <v>4108095</v>
      </c>
      <c r="G31" s="449">
        <f t="shared" si="14"/>
        <v>0</v>
      </c>
      <c r="H31" s="426">
        <f t="shared" si="15"/>
        <v>17997818</v>
      </c>
      <c r="I31" s="449">
        <f t="shared" si="16"/>
        <v>0</v>
      </c>
      <c r="J31" s="426">
        <f t="shared" si="17"/>
        <v>29646818</v>
      </c>
      <c r="K31" s="449">
        <f t="shared" si="18"/>
        <v>0</v>
      </c>
      <c r="L31" s="426">
        <f t="shared" si="19"/>
        <v>24490354</v>
      </c>
      <c r="M31" s="449">
        <f t="shared" si="20"/>
        <v>0</v>
      </c>
      <c r="N31" s="297">
        <f t="shared" si="21"/>
        <v>0</v>
      </c>
      <c r="O31" s="445">
        <f t="shared" si="32"/>
        <v>0</v>
      </c>
      <c r="P31" s="564">
        <f t="shared" si="22"/>
        <v>18742.012999999999</v>
      </c>
      <c r="Q31" s="446">
        <f t="shared" si="1"/>
        <v>0</v>
      </c>
      <c r="R31" s="606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33478</v>
      </c>
      <c r="X31" s="448">
        <f t="shared" si="31"/>
        <v>0</v>
      </c>
      <c r="Y31" s="426">
        <f t="shared" si="25"/>
        <v>995560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1">
        <f t="shared" si="12"/>
        <v>100066</v>
      </c>
      <c r="E32" s="585">
        <f t="shared" si="7"/>
        <v>0</v>
      </c>
      <c r="F32" s="573">
        <f t="shared" si="13"/>
        <v>4108095</v>
      </c>
      <c r="G32" s="449">
        <f t="shared" si="14"/>
        <v>0</v>
      </c>
      <c r="H32" s="426">
        <f t="shared" si="15"/>
        <v>17997818</v>
      </c>
      <c r="I32" s="449">
        <f t="shared" si="16"/>
        <v>0</v>
      </c>
      <c r="J32" s="426">
        <f t="shared" si="17"/>
        <v>29646818</v>
      </c>
      <c r="K32" s="449">
        <f t="shared" si="18"/>
        <v>0</v>
      </c>
      <c r="L32" s="426">
        <f t="shared" si="19"/>
        <v>24490354</v>
      </c>
      <c r="M32" s="449">
        <f t="shared" si="20"/>
        <v>0</v>
      </c>
      <c r="N32" s="297">
        <f t="shared" si="21"/>
        <v>0</v>
      </c>
      <c r="O32" s="445">
        <f>IF(B32&gt;0,N32/B32,0)</f>
        <v>0</v>
      </c>
      <c r="P32" s="564">
        <f t="shared" si="22"/>
        <v>18742.012999999999</v>
      </c>
      <c r="Q32" s="446">
        <f t="shared" si="1"/>
        <v>0</v>
      </c>
      <c r="R32" s="606">
        <f t="shared" si="35"/>
        <v>0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33478</v>
      </c>
      <c r="X32" s="448">
        <f>W32-W31</f>
        <v>0</v>
      </c>
      <c r="Y32" s="426">
        <f t="shared" si="25"/>
        <v>995560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1">
        <f t="shared" si="12"/>
        <v>100066</v>
      </c>
      <c r="E33" s="585">
        <f t="shared" si="7"/>
        <v>0</v>
      </c>
      <c r="F33" s="573">
        <f t="shared" si="13"/>
        <v>4108095</v>
      </c>
      <c r="G33" s="449">
        <f t="shared" si="14"/>
        <v>0</v>
      </c>
      <c r="H33" s="426">
        <f t="shared" si="15"/>
        <v>17997818</v>
      </c>
      <c r="I33" s="449">
        <f t="shared" si="16"/>
        <v>0</v>
      </c>
      <c r="J33" s="426">
        <f t="shared" si="17"/>
        <v>29646818</v>
      </c>
      <c r="K33" s="449">
        <f t="shared" si="18"/>
        <v>0</v>
      </c>
      <c r="L33" s="426">
        <f t="shared" si="19"/>
        <v>24490354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18742.012999999999</v>
      </c>
      <c r="Q33" s="446">
        <f t="shared" si="1"/>
        <v>0</v>
      </c>
      <c r="R33" s="606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33478</v>
      </c>
      <c r="X33" s="448">
        <f>W33-W32</f>
        <v>0</v>
      </c>
      <c r="Y33" s="426">
        <f t="shared" si="25"/>
        <v>995560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1">
        <f t="shared" si="12"/>
        <v>100066</v>
      </c>
      <c r="E34" s="585">
        <f t="shared" si="7"/>
        <v>0</v>
      </c>
      <c r="F34" s="573">
        <f t="shared" ref="F34" si="51">F33</f>
        <v>4108095</v>
      </c>
      <c r="G34" s="449">
        <f t="shared" ref="G34" si="52">F34-F33</f>
        <v>0</v>
      </c>
      <c r="H34" s="426">
        <f t="shared" si="15"/>
        <v>17997818</v>
      </c>
      <c r="I34" s="449">
        <f t="shared" si="16"/>
        <v>0</v>
      </c>
      <c r="J34" s="426">
        <f t="shared" si="17"/>
        <v>29646818</v>
      </c>
      <c r="K34" s="449">
        <f t="shared" ref="K34" si="53">J34-J33</f>
        <v>0</v>
      </c>
      <c r="L34" s="426">
        <f t="shared" si="19"/>
        <v>24490354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18742.012999999999</v>
      </c>
      <c r="Q34" s="446">
        <f t="shared" si="1"/>
        <v>0</v>
      </c>
      <c r="R34" s="606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33478</v>
      </c>
      <c r="X34" s="448">
        <f>W34-W33</f>
        <v>0</v>
      </c>
      <c r="Y34" s="426">
        <f t="shared" si="25"/>
        <v>995560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4" activePane="bottomLeft" state="frozen"/>
      <selection activeCell="K1" sqref="K1"/>
      <selection pane="bottomLeft" activeCell="I24" sqref="I2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74.291666666666671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v>229</v>
      </c>
      <c r="C10" s="537">
        <v>239</v>
      </c>
      <c r="D10" s="45">
        <f t="shared" si="36"/>
        <v>2</v>
      </c>
      <c r="E10" s="45">
        <f t="shared" si="12"/>
        <v>16.760000000000002</v>
      </c>
      <c r="F10" s="537">
        <v>1928</v>
      </c>
      <c r="G10" s="52">
        <f t="shared" si="0"/>
        <v>2</v>
      </c>
      <c r="H10" s="537">
        <v>19916</v>
      </c>
      <c r="I10" s="380">
        <f t="shared" si="1"/>
        <v>110</v>
      </c>
      <c r="J10" s="66">
        <f t="shared" si="15"/>
        <v>55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2</v>
      </c>
      <c r="V10" s="62">
        <f t="shared" si="20"/>
        <v>110</v>
      </c>
      <c r="W10" s="384">
        <f t="shared" si="21"/>
        <v>55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110</v>
      </c>
      <c r="AJ10" s="303">
        <f>-tanks!AW11</f>
        <v>110</v>
      </c>
      <c r="AK10" s="303">
        <f t="shared" si="29"/>
        <v>0</v>
      </c>
      <c r="AL10" s="303">
        <f t="shared" si="8"/>
        <v>2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v>221</v>
      </c>
      <c r="C11" s="537">
        <v>226</v>
      </c>
      <c r="D11" s="45">
        <f t="shared" si="36"/>
        <v>13</v>
      </c>
      <c r="E11" s="45">
        <f t="shared" si="12"/>
        <v>108.94000000000001</v>
      </c>
      <c r="F11" s="537">
        <v>1929</v>
      </c>
      <c r="G11" s="52">
        <f t="shared" si="0"/>
        <v>1</v>
      </c>
      <c r="H11" s="537">
        <v>20035</v>
      </c>
      <c r="I11" s="380">
        <f t="shared" si="1"/>
        <v>119</v>
      </c>
      <c r="J11" s="66">
        <f t="shared" si="15"/>
        <v>119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1</v>
      </c>
      <c r="V11" s="62">
        <f t="shared" si="20"/>
        <v>119</v>
      </c>
      <c r="W11" s="384">
        <f t="shared" si="21"/>
        <v>119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119</v>
      </c>
      <c r="AJ11" s="303">
        <f>-tanks!AW12</f>
        <v>119</v>
      </c>
      <c r="AK11" s="303">
        <f t="shared" si="29"/>
        <v>0</v>
      </c>
      <c r="AL11" s="303">
        <f t="shared" si="8"/>
        <v>1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v>214</v>
      </c>
      <c r="C12" s="537">
        <v>221</v>
      </c>
      <c r="D12" s="45">
        <f t="shared" si="36"/>
        <v>5</v>
      </c>
      <c r="E12" s="45">
        <f t="shared" si="12"/>
        <v>41.900000000000006</v>
      </c>
      <c r="F12" s="537">
        <v>1930</v>
      </c>
      <c r="G12" s="52">
        <f t="shared" si="0"/>
        <v>1</v>
      </c>
      <c r="H12" s="537">
        <v>20124</v>
      </c>
      <c r="I12" s="380">
        <f t="shared" si="1"/>
        <v>89</v>
      </c>
      <c r="J12" s="66">
        <f t="shared" si="15"/>
        <v>89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1</v>
      </c>
      <c r="V12" s="62">
        <v>0</v>
      </c>
      <c r="W12" s="384">
        <f t="shared" si="21"/>
        <v>0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1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v>207</v>
      </c>
      <c r="C13" s="537">
        <v>214</v>
      </c>
      <c r="D13" s="45">
        <f t="shared" si="36"/>
        <v>7</v>
      </c>
      <c r="E13" s="45">
        <f t="shared" si="12"/>
        <v>58.660000000000004</v>
      </c>
      <c r="F13" s="537">
        <v>1931</v>
      </c>
      <c r="G13" s="52">
        <f t="shared" si="0"/>
        <v>1</v>
      </c>
      <c r="H13" s="537">
        <v>20194</v>
      </c>
      <c r="I13" s="380">
        <f t="shared" si="1"/>
        <v>70</v>
      </c>
      <c r="J13" s="66">
        <f t="shared" si="15"/>
        <v>70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1</v>
      </c>
      <c r="V13" s="62">
        <v>0</v>
      </c>
      <c r="W13" s="384">
        <f t="shared" si="21"/>
        <v>0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1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207</v>
      </c>
      <c r="C14" s="537">
        <f t="shared" si="35"/>
        <v>214</v>
      </c>
      <c r="D14" s="45">
        <f t="shared" si="36"/>
        <v>0</v>
      </c>
      <c r="E14" s="45">
        <f t="shared" si="12"/>
        <v>0</v>
      </c>
      <c r="F14" s="537">
        <f t="shared" si="13"/>
        <v>1931</v>
      </c>
      <c r="G14" s="52">
        <f t="shared" si="0"/>
        <v>0</v>
      </c>
      <c r="H14" s="537">
        <f t="shared" si="14"/>
        <v>20194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207</v>
      </c>
      <c r="C15" s="537">
        <f t="shared" si="35"/>
        <v>214</v>
      </c>
      <c r="D15" s="45">
        <f t="shared" si="36"/>
        <v>0</v>
      </c>
      <c r="E15" s="45">
        <f t="shared" si="12"/>
        <v>0</v>
      </c>
      <c r="F15" s="537">
        <f t="shared" si="13"/>
        <v>1931</v>
      </c>
      <c r="G15" s="52">
        <f t="shared" si="0"/>
        <v>0</v>
      </c>
      <c r="H15" s="537">
        <f t="shared" si="14"/>
        <v>20194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v>202</v>
      </c>
      <c r="C16" s="537">
        <v>208</v>
      </c>
      <c r="D16" s="45">
        <f t="shared" si="36"/>
        <v>6</v>
      </c>
      <c r="E16" s="45">
        <f t="shared" si="12"/>
        <v>50.28</v>
      </c>
      <c r="F16" s="537">
        <v>1933</v>
      </c>
      <c r="G16" s="52">
        <f t="shared" si="0"/>
        <v>2</v>
      </c>
      <c r="H16" s="537">
        <v>20312</v>
      </c>
      <c r="I16" s="380">
        <f t="shared" si="1"/>
        <v>118</v>
      </c>
      <c r="J16" s="66">
        <f t="shared" si="15"/>
        <v>59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2</v>
      </c>
      <c r="V16" s="62">
        <f t="shared" si="20"/>
        <v>118</v>
      </c>
      <c r="W16" s="384">
        <f t="shared" si="21"/>
        <v>59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118</v>
      </c>
      <c r="AJ16" s="303">
        <f>-tanks!AW17</f>
        <v>118</v>
      </c>
      <c r="AK16" s="303">
        <f t="shared" si="29"/>
        <v>0</v>
      </c>
      <c r="AL16" s="303">
        <f t="shared" si="8"/>
        <v>2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v>195</v>
      </c>
      <c r="C17" s="537">
        <v>202</v>
      </c>
      <c r="D17" s="45">
        <f t="shared" si="36"/>
        <v>6</v>
      </c>
      <c r="E17" s="45">
        <f t="shared" si="12"/>
        <v>50.28</v>
      </c>
      <c r="F17" s="537">
        <v>1934</v>
      </c>
      <c r="G17" s="52">
        <f t="shared" si="0"/>
        <v>1</v>
      </c>
      <c r="H17" s="537">
        <v>20372</v>
      </c>
      <c r="I17" s="380">
        <f t="shared" si="1"/>
        <v>60</v>
      </c>
      <c r="J17" s="66">
        <f t="shared" si="15"/>
        <v>60</v>
      </c>
      <c r="K17" s="537">
        <v>2368</v>
      </c>
      <c r="L17" s="52">
        <f t="shared" si="17"/>
        <v>1</v>
      </c>
      <c r="M17" s="537">
        <v>174856</v>
      </c>
      <c r="N17" s="380">
        <f t="shared" si="2"/>
        <v>72</v>
      </c>
      <c r="O17" s="64">
        <f t="shared" si="3"/>
        <v>1869</v>
      </c>
      <c r="P17" s="537">
        <v>2138</v>
      </c>
      <c r="Q17" s="537">
        <v>179372</v>
      </c>
      <c r="R17" s="379">
        <f t="shared" si="44"/>
        <v>37</v>
      </c>
      <c r="S17" s="52">
        <f t="shared" si="5"/>
        <v>1</v>
      </c>
      <c r="T17" s="67">
        <f t="shared" si="37"/>
        <v>0</v>
      </c>
      <c r="U17" s="386">
        <f t="shared" si="19"/>
        <v>3</v>
      </c>
      <c r="V17" s="62">
        <f t="shared" si="20"/>
        <v>169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169</v>
      </c>
      <c r="AJ17" s="303">
        <f>-tanks!AW18</f>
        <v>169</v>
      </c>
      <c r="AK17" s="303">
        <f t="shared" si="29"/>
        <v>0</v>
      </c>
      <c r="AL17" s="303">
        <f t="shared" si="8"/>
        <v>3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v>226</v>
      </c>
      <c r="C18" s="537">
        <v>233</v>
      </c>
      <c r="D18" s="45">
        <f t="shared" si="36"/>
        <v>-31</v>
      </c>
      <c r="E18" s="45">
        <f t="shared" si="12"/>
        <v>-259.78000000000003</v>
      </c>
      <c r="F18" s="537">
        <v>1935</v>
      </c>
      <c r="G18" s="52">
        <f t="shared" si="0"/>
        <v>1</v>
      </c>
      <c r="H18" s="537">
        <v>20451</v>
      </c>
      <c r="I18" s="380">
        <f t="shared" si="1"/>
        <v>79</v>
      </c>
      <c r="J18" s="66">
        <f t="shared" si="15"/>
        <v>79</v>
      </c>
      <c r="K18" s="537">
        <f t="shared" si="16"/>
        <v>2368</v>
      </c>
      <c r="L18" s="52">
        <f t="shared" si="17"/>
        <v>0</v>
      </c>
      <c r="M18" s="537">
        <f t="shared" si="18"/>
        <v>174856</v>
      </c>
      <c r="N18" s="380">
        <f t="shared" si="2"/>
        <v>0</v>
      </c>
      <c r="O18" s="64">
        <v>1869</v>
      </c>
      <c r="P18" s="537">
        <f t="shared" ref="P18:P35" si="45">P17</f>
        <v>2138</v>
      </c>
      <c r="Q18" s="537">
        <v>179410</v>
      </c>
      <c r="R18" s="379">
        <f t="shared" si="44"/>
        <v>38</v>
      </c>
      <c r="S18" s="52">
        <f t="shared" si="5"/>
        <v>0</v>
      </c>
      <c r="T18" s="67">
        <f t="shared" si="37"/>
        <v>0</v>
      </c>
      <c r="U18" s="386">
        <f t="shared" si="19"/>
        <v>1</v>
      </c>
      <c r="V18" s="62">
        <f t="shared" si="20"/>
        <v>117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6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117</v>
      </c>
      <c r="AJ18" s="303">
        <f>-tanks!AW19</f>
        <v>117</v>
      </c>
      <c r="AK18" s="303">
        <f t="shared" si="29"/>
        <v>0</v>
      </c>
      <c r="AL18" s="303">
        <f t="shared" si="8"/>
        <v>1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v>219</v>
      </c>
      <c r="C19" s="537">
        <v>227</v>
      </c>
      <c r="D19" s="45">
        <f t="shared" si="36"/>
        <v>6</v>
      </c>
      <c r="E19" s="45">
        <f t="shared" si="12"/>
        <v>50.28</v>
      </c>
      <c r="F19" s="537">
        <v>1936</v>
      </c>
      <c r="G19" s="52">
        <f t="shared" si="0"/>
        <v>1</v>
      </c>
      <c r="H19" s="537">
        <v>20563</v>
      </c>
      <c r="I19" s="380">
        <f t="shared" si="1"/>
        <v>112</v>
      </c>
      <c r="J19" s="66">
        <f t="shared" si="15"/>
        <v>112</v>
      </c>
      <c r="K19" s="537">
        <f t="shared" si="16"/>
        <v>2368</v>
      </c>
      <c r="L19" s="52">
        <f t="shared" si="17"/>
        <v>0</v>
      </c>
      <c r="M19" s="537">
        <f t="shared" si="18"/>
        <v>174856</v>
      </c>
      <c r="N19" s="380">
        <f t="shared" si="2"/>
        <v>0</v>
      </c>
      <c r="O19" s="64">
        <f t="shared" ref="O19:O35" si="47">O18</f>
        <v>1869</v>
      </c>
      <c r="P19" s="537">
        <f>P18</f>
        <v>2138</v>
      </c>
      <c r="Q19" s="537">
        <v>179410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1</v>
      </c>
      <c r="V19" s="62">
        <f t="shared" si="20"/>
        <v>112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6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112</v>
      </c>
      <c r="AJ19" s="303">
        <f>-tanks!AW20</f>
        <v>112</v>
      </c>
      <c r="AK19" s="303">
        <f t="shared" si="29"/>
        <v>0</v>
      </c>
      <c r="AL19" s="303">
        <f t="shared" si="8"/>
        <v>1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v>211</v>
      </c>
      <c r="C20" s="537">
        <v>218</v>
      </c>
      <c r="D20" s="45">
        <f>C19-C20</f>
        <v>9</v>
      </c>
      <c r="E20" s="45">
        <f t="shared" si="12"/>
        <v>75.42</v>
      </c>
      <c r="F20" s="537">
        <f t="shared" si="13"/>
        <v>1936</v>
      </c>
      <c r="G20" s="52">
        <f t="shared" si="0"/>
        <v>0</v>
      </c>
      <c r="H20" s="537">
        <f t="shared" si="14"/>
        <v>20563</v>
      </c>
      <c r="I20" s="380">
        <f t="shared" si="1"/>
        <v>0</v>
      </c>
      <c r="J20" s="66">
        <f t="shared" si="15"/>
        <v>0</v>
      </c>
      <c r="K20" s="537">
        <f t="shared" si="16"/>
        <v>2368</v>
      </c>
      <c r="L20" s="52">
        <f t="shared" si="17"/>
        <v>0</v>
      </c>
      <c r="M20" s="537">
        <f t="shared" si="18"/>
        <v>174856</v>
      </c>
      <c r="N20" s="380">
        <f t="shared" si="2"/>
        <v>0</v>
      </c>
      <c r="O20" s="64">
        <f t="shared" si="47"/>
        <v>1869</v>
      </c>
      <c r="P20" s="537">
        <f t="shared" si="45"/>
        <v>2138</v>
      </c>
      <c r="Q20" s="537">
        <f t="shared" ref="Q20:Q35" si="48">Q19</f>
        <v>179410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6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211</v>
      </c>
      <c r="C21" s="537">
        <f t="shared" si="35"/>
        <v>218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1936</v>
      </c>
      <c r="G21" s="52">
        <f t="shared" si="0"/>
        <v>0</v>
      </c>
      <c r="H21" s="537">
        <f t="shared" si="14"/>
        <v>20563</v>
      </c>
      <c r="I21" s="380">
        <f t="shared" si="1"/>
        <v>0</v>
      </c>
      <c r="J21" s="66">
        <f t="shared" si="15"/>
        <v>0</v>
      </c>
      <c r="K21" s="537">
        <f t="shared" si="16"/>
        <v>2368</v>
      </c>
      <c r="L21" s="52">
        <f t="shared" si="17"/>
        <v>0</v>
      </c>
      <c r="M21" s="537">
        <f t="shared" si="18"/>
        <v>174856</v>
      </c>
      <c r="N21" s="380">
        <f t="shared" si="2"/>
        <v>0</v>
      </c>
      <c r="O21" s="64">
        <f t="shared" si="47"/>
        <v>1869</v>
      </c>
      <c r="P21" s="537">
        <f t="shared" si="45"/>
        <v>2138</v>
      </c>
      <c r="Q21" s="537">
        <f t="shared" si="48"/>
        <v>179410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6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211</v>
      </c>
      <c r="C22" s="537">
        <f t="shared" si="35"/>
        <v>218</v>
      </c>
      <c r="D22" s="45">
        <f t="shared" si="49"/>
        <v>0</v>
      </c>
      <c r="E22" s="45">
        <f t="shared" si="12"/>
        <v>0</v>
      </c>
      <c r="F22" s="537">
        <f t="shared" si="13"/>
        <v>1936</v>
      </c>
      <c r="G22" s="52">
        <f t="shared" si="0"/>
        <v>0</v>
      </c>
      <c r="H22" s="537">
        <f t="shared" si="14"/>
        <v>20563</v>
      </c>
      <c r="I22" s="380">
        <f t="shared" si="1"/>
        <v>0</v>
      </c>
      <c r="J22" s="66">
        <f t="shared" si="15"/>
        <v>0</v>
      </c>
      <c r="K22" s="537">
        <f t="shared" si="16"/>
        <v>2368</v>
      </c>
      <c r="L22" s="52">
        <f t="shared" si="17"/>
        <v>0</v>
      </c>
      <c r="M22" s="537">
        <f t="shared" si="18"/>
        <v>174856</v>
      </c>
      <c r="N22" s="380">
        <f t="shared" si="2"/>
        <v>0</v>
      </c>
      <c r="O22" s="64">
        <f t="shared" si="47"/>
        <v>1869</v>
      </c>
      <c r="P22" s="537">
        <f t="shared" si="45"/>
        <v>2138</v>
      </c>
      <c r="Q22" s="537">
        <f t="shared" si="48"/>
        <v>179410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6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v>200</v>
      </c>
      <c r="C23" s="537">
        <v>208</v>
      </c>
      <c r="D23" s="45">
        <f t="shared" si="49"/>
        <v>10</v>
      </c>
      <c r="E23" s="45">
        <f t="shared" si="12"/>
        <v>83.800000000000011</v>
      </c>
      <c r="F23" s="537">
        <v>1938</v>
      </c>
      <c r="G23" s="52">
        <f t="shared" si="0"/>
        <v>2</v>
      </c>
      <c r="H23" s="537">
        <v>20666</v>
      </c>
      <c r="I23" s="380">
        <f t="shared" si="1"/>
        <v>103</v>
      </c>
      <c r="J23" s="66">
        <f t="shared" si="15"/>
        <v>51.5</v>
      </c>
      <c r="K23" s="537">
        <v>2370</v>
      </c>
      <c r="L23" s="52">
        <f t="shared" si="17"/>
        <v>2</v>
      </c>
      <c r="M23" s="537">
        <v>175038</v>
      </c>
      <c r="N23" s="380">
        <f t="shared" si="2"/>
        <v>182</v>
      </c>
      <c r="O23" s="64">
        <f t="shared" si="47"/>
        <v>1869</v>
      </c>
      <c r="P23" s="537">
        <f t="shared" si="45"/>
        <v>2138</v>
      </c>
      <c r="Q23" s="537">
        <f t="shared" si="48"/>
        <v>179410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4</v>
      </c>
      <c r="V23" s="62">
        <f t="shared" si="20"/>
        <v>285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6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285</v>
      </c>
      <c r="AJ23" s="303">
        <f>-tanks!AW24</f>
        <v>285</v>
      </c>
      <c r="AK23" s="303">
        <f>SUM(AJ23-AI23)</f>
        <v>0</v>
      </c>
      <c r="AL23" s="303">
        <f>S23+L23+G23</f>
        <v>4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v>194</v>
      </c>
      <c r="C24" s="537">
        <v>200</v>
      </c>
      <c r="D24" s="45">
        <f t="shared" si="49"/>
        <v>8</v>
      </c>
      <c r="E24" s="45">
        <f t="shared" si="12"/>
        <v>67.040000000000006</v>
      </c>
      <c r="F24" s="537">
        <v>1940</v>
      </c>
      <c r="G24" s="52">
        <f t="shared" si="0"/>
        <v>2</v>
      </c>
      <c r="H24" s="537">
        <v>20865</v>
      </c>
      <c r="I24" s="380">
        <f t="shared" si="1"/>
        <v>199</v>
      </c>
      <c r="J24" s="66">
        <f t="shared" si="15"/>
        <v>99.5</v>
      </c>
      <c r="K24" s="537">
        <f t="shared" si="16"/>
        <v>2370</v>
      </c>
      <c r="L24" s="52">
        <f t="shared" si="17"/>
        <v>0</v>
      </c>
      <c r="M24" s="537">
        <f t="shared" si="18"/>
        <v>175038</v>
      </c>
      <c r="N24" s="380">
        <f t="shared" si="2"/>
        <v>0</v>
      </c>
      <c r="O24" s="64">
        <f t="shared" si="47"/>
        <v>1869</v>
      </c>
      <c r="P24" s="537">
        <f t="shared" si="45"/>
        <v>2138</v>
      </c>
      <c r="Q24" s="537">
        <f t="shared" si="48"/>
        <v>179410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2</v>
      </c>
      <c r="V24" s="62">
        <f t="shared" si="20"/>
        <v>199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199</v>
      </c>
      <c r="AJ24" s="303">
        <f>-tanks!AW25</f>
        <v>199</v>
      </c>
      <c r="AK24" s="303">
        <f t="shared" si="29"/>
        <v>0</v>
      </c>
      <c r="AL24" s="303">
        <f t="shared" si="8"/>
        <v>2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f t="shared" si="34"/>
        <v>194</v>
      </c>
      <c r="C25" s="537">
        <f t="shared" si="35"/>
        <v>200</v>
      </c>
      <c r="D25" s="45">
        <f t="shared" si="49"/>
        <v>0</v>
      </c>
      <c r="E25" s="45">
        <f t="shared" si="12"/>
        <v>0</v>
      </c>
      <c r="F25" s="537">
        <f t="shared" si="13"/>
        <v>1940</v>
      </c>
      <c r="G25" s="52">
        <f t="shared" si="0"/>
        <v>0</v>
      </c>
      <c r="H25" s="537">
        <f t="shared" si="14"/>
        <v>20865</v>
      </c>
      <c r="I25" s="380">
        <f t="shared" si="1"/>
        <v>0</v>
      </c>
      <c r="J25" s="66">
        <f t="shared" si="15"/>
        <v>0</v>
      </c>
      <c r="K25" s="537">
        <f t="shared" si="16"/>
        <v>2370</v>
      </c>
      <c r="L25" s="52">
        <f t="shared" si="17"/>
        <v>0</v>
      </c>
      <c r="M25" s="537">
        <f t="shared" si="18"/>
        <v>175038</v>
      </c>
      <c r="N25" s="380">
        <f t="shared" si="2"/>
        <v>0</v>
      </c>
      <c r="O25" s="64">
        <f t="shared" si="47"/>
        <v>1869</v>
      </c>
      <c r="P25" s="537">
        <f t="shared" si="45"/>
        <v>2138</v>
      </c>
      <c r="Q25" s="537">
        <f t="shared" si="48"/>
        <v>179410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0</v>
      </c>
      <c r="V25" s="62">
        <f t="shared" si="20"/>
        <v>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0</v>
      </c>
      <c r="AJ25" s="303">
        <f>-tanks!AW26</f>
        <v>0</v>
      </c>
      <c r="AK25" s="303">
        <f t="shared" si="29"/>
        <v>0</v>
      </c>
      <c r="AL25" s="303">
        <f t="shared" si="8"/>
        <v>0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f t="shared" si="34"/>
        <v>194</v>
      </c>
      <c r="C26" s="537">
        <f t="shared" si="35"/>
        <v>200</v>
      </c>
      <c r="D26" s="45">
        <f t="shared" si="49"/>
        <v>0</v>
      </c>
      <c r="E26" s="45">
        <f t="shared" si="12"/>
        <v>0</v>
      </c>
      <c r="F26" s="537">
        <f t="shared" si="13"/>
        <v>1940</v>
      </c>
      <c r="G26" s="52">
        <f t="shared" si="0"/>
        <v>0</v>
      </c>
      <c r="H26" s="537">
        <f t="shared" si="14"/>
        <v>20865</v>
      </c>
      <c r="I26" s="380">
        <f t="shared" si="1"/>
        <v>0</v>
      </c>
      <c r="J26" s="66">
        <f t="shared" si="15"/>
        <v>0</v>
      </c>
      <c r="K26" s="537">
        <f t="shared" si="16"/>
        <v>2370</v>
      </c>
      <c r="L26" s="52">
        <f t="shared" si="17"/>
        <v>0</v>
      </c>
      <c r="M26" s="537">
        <f t="shared" si="18"/>
        <v>175038</v>
      </c>
      <c r="N26" s="380">
        <f t="shared" si="2"/>
        <v>0</v>
      </c>
      <c r="O26" s="64">
        <f t="shared" si="47"/>
        <v>1869</v>
      </c>
      <c r="P26" s="537">
        <f t="shared" si="45"/>
        <v>2138</v>
      </c>
      <c r="Q26" s="537">
        <f t="shared" si="48"/>
        <v>179410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0</v>
      </c>
      <c r="V26" s="62">
        <f t="shared" si="20"/>
        <v>0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0</v>
      </c>
      <c r="AJ26" s="303">
        <f>-tanks!AW27</f>
        <v>0</v>
      </c>
      <c r="AK26" s="303">
        <f t="shared" si="29"/>
        <v>0</v>
      </c>
      <c r="AL26" s="303">
        <f t="shared" si="8"/>
        <v>0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f t="shared" si="34"/>
        <v>194</v>
      </c>
      <c r="C27" s="537">
        <f t="shared" si="35"/>
        <v>200</v>
      </c>
      <c r="D27" s="45">
        <f t="shared" si="49"/>
        <v>0</v>
      </c>
      <c r="E27" s="45">
        <f t="shared" si="12"/>
        <v>0</v>
      </c>
      <c r="F27" s="537">
        <f t="shared" si="13"/>
        <v>1940</v>
      </c>
      <c r="G27" s="52">
        <f t="shared" si="0"/>
        <v>0</v>
      </c>
      <c r="H27" s="537">
        <f t="shared" si="14"/>
        <v>20865</v>
      </c>
      <c r="I27" s="380">
        <f t="shared" si="1"/>
        <v>0</v>
      </c>
      <c r="J27" s="66">
        <f t="shared" si="15"/>
        <v>0</v>
      </c>
      <c r="K27" s="537">
        <f t="shared" si="16"/>
        <v>2370</v>
      </c>
      <c r="L27" s="52">
        <f t="shared" si="17"/>
        <v>0</v>
      </c>
      <c r="M27" s="537">
        <f t="shared" si="18"/>
        <v>175038</v>
      </c>
      <c r="N27" s="380">
        <f t="shared" si="2"/>
        <v>0</v>
      </c>
      <c r="O27" s="64">
        <f t="shared" si="47"/>
        <v>1869</v>
      </c>
      <c r="P27" s="537">
        <f t="shared" si="45"/>
        <v>2138</v>
      </c>
      <c r="Q27" s="537">
        <f t="shared" si="48"/>
        <v>179410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0</v>
      </c>
      <c r="V27" s="62">
        <f t="shared" si="20"/>
        <v>0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0</v>
      </c>
      <c r="AJ27" s="303">
        <f>-tanks!AW28</f>
        <v>0</v>
      </c>
      <c r="AK27" s="303">
        <f t="shared" si="29"/>
        <v>0</v>
      </c>
      <c r="AL27" s="303">
        <f t="shared" si="8"/>
        <v>0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194</v>
      </c>
      <c r="C28" s="537">
        <f t="shared" si="35"/>
        <v>200</v>
      </c>
      <c r="D28" s="45">
        <f t="shared" si="49"/>
        <v>0</v>
      </c>
      <c r="E28" s="45">
        <f t="shared" si="12"/>
        <v>0</v>
      </c>
      <c r="F28" s="537">
        <f t="shared" si="13"/>
        <v>1940</v>
      </c>
      <c r="G28" s="52">
        <f t="shared" si="0"/>
        <v>0</v>
      </c>
      <c r="H28" s="537">
        <f t="shared" si="14"/>
        <v>20865</v>
      </c>
      <c r="I28" s="380">
        <f t="shared" si="1"/>
        <v>0</v>
      </c>
      <c r="J28" s="66">
        <f t="shared" si="15"/>
        <v>0</v>
      </c>
      <c r="K28" s="537">
        <f t="shared" si="16"/>
        <v>2370</v>
      </c>
      <c r="L28" s="52">
        <f t="shared" si="17"/>
        <v>0</v>
      </c>
      <c r="M28" s="537">
        <f t="shared" si="18"/>
        <v>175038</v>
      </c>
      <c r="N28" s="380">
        <f t="shared" si="2"/>
        <v>0</v>
      </c>
      <c r="O28" s="64">
        <f t="shared" si="47"/>
        <v>1869</v>
      </c>
      <c r="P28" s="537">
        <f t="shared" si="45"/>
        <v>2138</v>
      </c>
      <c r="Q28" s="537">
        <f t="shared" si="48"/>
        <v>179410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194</v>
      </c>
      <c r="C29" s="537">
        <f t="shared" si="35"/>
        <v>200</v>
      </c>
      <c r="D29" s="45">
        <f t="shared" si="49"/>
        <v>0</v>
      </c>
      <c r="E29" s="45">
        <f t="shared" si="12"/>
        <v>0</v>
      </c>
      <c r="F29" s="537">
        <f t="shared" si="13"/>
        <v>1940</v>
      </c>
      <c r="G29" s="52">
        <f t="shared" si="0"/>
        <v>0</v>
      </c>
      <c r="H29" s="537">
        <f t="shared" si="14"/>
        <v>20865</v>
      </c>
      <c r="I29" s="380">
        <f t="shared" si="1"/>
        <v>0</v>
      </c>
      <c r="J29" s="66">
        <f t="shared" si="15"/>
        <v>0</v>
      </c>
      <c r="K29" s="537">
        <f t="shared" si="16"/>
        <v>2370</v>
      </c>
      <c r="L29" s="52">
        <f t="shared" si="17"/>
        <v>0</v>
      </c>
      <c r="M29" s="537">
        <f t="shared" si="18"/>
        <v>175038</v>
      </c>
      <c r="N29" s="380">
        <f t="shared" si="2"/>
        <v>0</v>
      </c>
      <c r="O29" s="64">
        <f t="shared" si="47"/>
        <v>1869</v>
      </c>
      <c r="P29" s="537">
        <f t="shared" si="45"/>
        <v>2138</v>
      </c>
      <c r="Q29" s="537">
        <f t="shared" si="48"/>
        <v>179410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194</v>
      </c>
      <c r="C30" s="537">
        <f t="shared" si="35"/>
        <v>200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1940</v>
      </c>
      <c r="G30" s="52">
        <f t="shared" ref="G30" si="56">F30-F29</f>
        <v>0</v>
      </c>
      <c r="H30" s="537">
        <f t="shared" si="14"/>
        <v>20865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2370</v>
      </c>
      <c r="L30" s="52">
        <f t="shared" ref="L30" si="59">K30-K29</f>
        <v>0</v>
      </c>
      <c r="M30" s="537">
        <f t="shared" si="18"/>
        <v>175038</v>
      </c>
      <c r="N30" s="380">
        <f t="shared" ref="N30" si="60">M30-M29</f>
        <v>0</v>
      </c>
      <c r="O30" s="64">
        <f t="shared" si="47"/>
        <v>1869</v>
      </c>
      <c r="P30" s="537">
        <f t="shared" si="45"/>
        <v>2138</v>
      </c>
      <c r="Q30" s="537">
        <f t="shared" si="48"/>
        <v>179410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f t="shared" si="34"/>
        <v>194</v>
      </c>
      <c r="C31" s="537">
        <f t="shared" si="35"/>
        <v>200</v>
      </c>
      <c r="D31" s="45">
        <f t="shared" si="49"/>
        <v>0</v>
      </c>
      <c r="E31" s="45">
        <f t="shared" si="12"/>
        <v>0</v>
      </c>
      <c r="F31" s="537">
        <f t="shared" si="13"/>
        <v>1940</v>
      </c>
      <c r="G31" s="52">
        <f t="shared" si="0"/>
        <v>0</v>
      </c>
      <c r="H31" s="537">
        <f t="shared" si="14"/>
        <v>20865</v>
      </c>
      <c r="I31" s="380">
        <f t="shared" si="1"/>
        <v>0</v>
      </c>
      <c r="J31" s="66">
        <f t="shared" si="15"/>
        <v>0</v>
      </c>
      <c r="K31" s="537">
        <f t="shared" si="16"/>
        <v>2370</v>
      </c>
      <c r="L31" s="52">
        <f t="shared" si="17"/>
        <v>0</v>
      </c>
      <c r="M31" s="537">
        <f t="shared" si="18"/>
        <v>175038</v>
      </c>
      <c r="N31" s="380">
        <f t="shared" si="2"/>
        <v>0</v>
      </c>
      <c r="O31" s="64">
        <f t="shared" si="47"/>
        <v>1869</v>
      </c>
      <c r="P31" s="537">
        <f t="shared" si="45"/>
        <v>2138</v>
      </c>
      <c r="Q31" s="537">
        <f t="shared" si="48"/>
        <v>179410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0</v>
      </c>
      <c r="V31" s="62">
        <f t="shared" si="20"/>
        <v>0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0</v>
      </c>
      <c r="AJ31" s="303">
        <f>-tanks!AW32</f>
        <v>0</v>
      </c>
      <c r="AK31" s="303">
        <f t="shared" si="29"/>
        <v>0</v>
      </c>
      <c r="AL31" s="303">
        <f t="shared" si="8"/>
        <v>0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f t="shared" si="34"/>
        <v>194</v>
      </c>
      <c r="C32" s="537">
        <f t="shared" si="35"/>
        <v>200</v>
      </c>
      <c r="D32" s="45">
        <f t="shared" si="49"/>
        <v>0</v>
      </c>
      <c r="E32" s="45">
        <f t="shared" si="12"/>
        <v>0</v>
      </c>
      <c r="F32" s="537">
        <f t="shared" si="13"/>
        <v>1940</v>
      </c>
      <c r="G32" s="52">
        <f t="shared" si="0"/>
        <v>0</v>
      </c>
      <c r="H32" s="537">
        <f t="shared" si="14"/>
        <v>20865</v>
      </c>
      <c r="I32" s="380">
        <f t="shared" si="1"/>
        <v>0</v>
      </c>
      <c r="J32" s="66">
        <f t="shared" si="15"/>
        <v>0</v>
      </c>
      <c r="K32" s="537">
        <f t="shared" si="16"/>
        <v>2370</v>
      </c>
      <c r="L32" s="52">
        <f t="shared" si="17"/>
        <v>0</v>
      </c>
      <c r="M32" s="537">
        <f t="shared" si="18"/>
        <v>175038</v>
      </c>
      <c r="N32" s="380">
        <f t="shared" si="2"/>
        <v>0</v>
      </c>
      <c r="O32" s="64">
        <f t="shared" si="47"/>
        <v>1869</v>
      </c>
      <c r="P32" s="537">
        <f t="shared" si="45"/>
        <v>2138</v>
      </c>
      <c r="Q32" s="537">
        <f t="shared" si="48"/>
        <v>179410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0</v>
      </c>
      <c r="V32" s="62">
        <f t="shared" si="20"/>
        <v>0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0</v>
      </c>
      <c r="AJ32" s="303">
        <f>-tanks!AW33</f>
        <v>0</v>
      </c>
      <c r="AK32" s="303">
        <f t="shared" si="29"/>
        <v>0</v>
      </c>
      <c r="AL32" s="303">
        <f t="shared" si="8"/>
        <v>0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f t="shared" si="34"/>
        <v>194</v>
      </c>
      <c r="C33" s="537">
        <f t="shared" si="35"/>
        <v>200</v>
      </c>
      <c r="D33" s="45">
        <f>C32-C33</f>
        <v>0</v>
      </c>
      <c r="E33" s="45">
        <f>D33*8.38</f>
        <v>0</v>
      </c>
      <c r="F33" s="537">
        <f t="shared" si="13"/>
        <v>1940</v>
      </c>
      <c r="G33" s="52">
        <f>F33-F32</f>
        <v>0</v>
      </c>
      <c r="H33" s="537">
        <f t="shared" si="14"/>
        <v>20865</v>
      </c>
      <c r="I33" s="380">
        <f>SUM(H33-H32)</f>
        <v>0</v>
      </c>
      <c r="J33" s="66">
        <f>IF(G33&gt;0,I33/G33,0)</f>
        <v>0</v>
      </c>
      <c r="K33" s="537">
        <f t="shared" si="16"/>
        <v>2370</v>
      </c>
      <c r="L33" s="52">
        <f>K33-K32</f>
        <v>0</v>
      </c>
      <c r="M33" s="537">
        <f t="shared" si="18"/>
        <v>175038</v>
      </c>
      <c r="N33" s="380">
        <f>M33-M32</f>
        <v>0</v>
      </c>
      <c r="O33" s="64">
        <f t="shared" si="47"/>
        <v>1869</v>
      </c>
      <c r="P33" s="537">
        <f t="shared" si="45"/>
        <v>2138</v>
      </c>
      <c r="Q33" s="537">
        <f t="shared" si="48"/>
        <v>179410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194</v>
      </c>
      <c r="C34" s="537">
        <f t="shared" si="35"/>
        <v>200</v>
      </c>
      <c r="D34" s="45">
        <f>C33-C34</f>
        <v>0</v>
      </c>
      <c r="E34" s="45">
        <f>D34*8.38</f>
        <v>0</v>
      </c>
      <c r="F34" s="537">
        <f t="shared" si="13"/>
        <v>1940</v>
      </c>
      <c r="G34" s="52">
        <f>F34-F33</f>
        <v>0</v>
      </c>
      <c r="H34" s="537">
        <f t="shared" si="14"/>
        <v>20865</v>
      </c>
      <c r="I34" s="380">
        <f>SUM(H34-H33)</f>
        <v>0</v>
      </c>
      <c r="J34" s="66">
        <f>IF(G34&gt;0,I34/G34,0)</f>
        <v>0</v>
      </c>
      <c r="K34" s="537">
        <f t="shared" si="16"/>
        <v>2370</v>
      </c>
      <c r="L34" s="52">
        <f>K34-K33</f>
        <v>0</v>
      </c>
      <c r="M34" s="537">
        <f t="shared" si="18"/>
        <v>175038</v>
      </c>
      <c r="N34" s="380">
        <f>M34-M33</f>
        <v>0</v>
      </c>
      <c r="O34" s="64">
        <f t="shared" si="47"/>
        <v>1869</v>
      </c>
      <c r="P34" s="537">
        <f t="shared" si="45"/>
        <v>2138</v>
      </c>
      <c r="Q34" s="537">
        <f t="shared" si="48"/>
        <v>179410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194</v>
      </c>
      <c r="C35" s="537">
        <f t="shared" si="35"/>
        <v>200</v>
      </c>
      <c r="D35" s="45">
        <f>C34-C35</f>
        <v>0</v>
      </c>
      <c r="E35" s="45">
        <f>D35*8.38</f>
        <v>0</v>
      </c>
      <c r="F35" s="537">
        <f t="shared" si="13"/>
        <v>1940</v>
      </c>
      <c r="G35" s="52">
        <f>F35-F34</f>
        <v>0</v>
      </c>
      <c r="H35" s="537">
        <f t="shared" si="14"/>
        <v>20865</v>
      </c>
      <c r="I35" s="380">
        <f>SUM(H35-H34)</f>
        <v>0</v>
      </c>
      <c r="J35" s="66">
        <f>IF(G35&gt;0,I35/G35,0)</f>
        <v>0</v>
      </c>
      <c r="K35" s="537">
        <f t="shared" si="16"/>
        <v>2370</v>
      </c>
      <c r="L35" s="52">
        <f>K35-K34</f>
        <v>0</v>
      </c>
      <c r="M35" s="537">
        <f t="shared" si="18"/>
        <v>175038</v>
      </c>
      <c r="N35" s="380">
        <f>M35-M34</f>
        <v>0</v>
      </c>
      <c r="O35" s="64">
        <f t="shared" si="47"/>
        <v>1869</v>
      </c>
      <c r="P35" s="537">
        <f t="shared" si="45"/>
        <v>2138</v>
      </c>
      <c r="Q35" s="537">
        <f t="shared" si="48"/>
        <v>179410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74.291666666666671</v>
      </c>
      <c r="U36" s="70">
        <f>SUM(U5:U35)</f>
        <v>23</v>
      </c>
      <c r="V36" s="62">
        <f>SUM(V5:V35)</f>
        <v>1422</v>
      </c>
      <c r="AE36" s="71" t="s">
        <v>379</v>
      </c>
      <c r="AG36" s="329"/>
      <c r="AH36" s="62">
        <f>SUM(AH5:AH35)</f>
        <v>0</v>
      </c>
      <c r="AL36" s="62">
        <f>SUM(AL5:AL35)</f>
        <v>23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61.826086956521742</v>
      </c>
      <c r="AH37" s="62">
        <f>AF37+AA37</f>
        <v>0</v>
      </c>
      <c r="AI37" s="306">
        <f>SUM(AI5:AI35)</f>
        <v>1422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="90" zoomScaleNormal="90" workbookViewId="0">
      <pane ySplit="3" topLeftCell="A19" activePane="bottomLeft" state="frozen"/>
      <selection pane="bottomLeft" activeCell="AR28" sqref="AR28:AR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8143551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v>154335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154335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154335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36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154335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154335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154335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154335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19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v>96</v>
      </c>
      <c r="AY11" s="409">
        <f t="shared" si="37"/>
        <v>167.4</v>
      </c>
      <c r="AZ11" s="409">
        <f t="shared" si="38"/>
        <v>148.5</v>
      </c>
      <c r="BA11" s="409">
        <f t="shared" si="39"/>
        <v>278.39999999999998</v>
      </c>
      <c r="BB11" s="21">
        <f t="shared" si="40"/>
        <v>0</v>
      </c>
      <c r="BC11" s="21">
        <f t="shared" si="30"/>
        <v>0</v>
      </c>
      <c r="BD11" s="21">
        <f t="shared" si="30"/>
        <v>-2.9000000000000341</v>
      </c>
      <c r="BE11" s="24">
        <f t="shared" si="31"/>
        <v>-2.9000000000000341</v>
      </c>
      <c r="BF11" s="96">
        <f t="shared" si="4"/>
        <v>2.9000000000000341</v>
      </c>
      <c r="BG11" s="82">
        <f t="shared" si="5"/>
        <v>-2.9000000000000341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154335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19.5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v>184</v>
      </c>
      <c r="AU12" s="408">
        <f t="shared" si="43"/>
        <v>1.1000000000000001</v>
      </c>
      <c r="AV12" s="201">
        <v>134</v>
      </c>
      <c r="AW12" s="5">
        <v>2.9</v>
      </c>
      <c r="AX12" s="201">
        <v>94</v>
      </c>
      <c r="AY12" s="409">
        <f t="shared" si="37"/>
        <v>165.6</v>
      </c>
      <c r="AZ12" s="409">
        <f t="shared" si="38"/>
        <v>147.4</v>
      </c>
      <c r="BA12" s="409">
        <f t="shared" si="39"/>
        <v>272.59999999999997</v>
      </c>
      <c r="BB12" s="21">
        <f t="shared" si="40"/>
        <v>-1.8000000000000114</v>
      </c>
      <c r="BC12" s="21">
        <f t="shared" si="30"/>
        <v>-1.0999999999999943</v>
      </c>
      <c r="BD12" s="21">
        <f t="shared" si="30"/>
        <v>-5.8000000000000114</v>
      </c>
      <c r="BE12" s="24">
        <f t="shared" si="31"/>
        <v>-8.7000000000000171</v>
      </c>
      <c r="BF12" s="96">
        <f t="shared" si="4"/>
        <v>8.7000000000000171</v>
      </c>
      <c r="BG12" s="82">
        <f t="shared" si="5"/>
        <v>-8.7000000000000171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154335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16.5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184</v>
      </c>
      <c r="AU13" s="408">
        <f t="shared" si="43"/>
        <v>1.1000000000000001</v>
      </c>
      <c r="AV13" s="201">
        <f t="shared" si="35"/>
        <v>134</v>
      </c>
      <c r="AW13" s="5">
        <v>2.9</v>
      </c>
      <c r="AX13" s="201">
        <v>84</v>
      </c>
      <c r="AY13" s="409">
        <f t="shared" si="37"/>
        <v>165.6</v>
      </c>
      <c r="AZ13" s="409">
        <f t="shared" si="38"/>
        <v>147.4</v>
      </c>
      <c r="BA13" s="409">
        <f t="shared" si="39"/>
        <v>243.6</v>
      </c>
      <c r="BB13" s="21">
        <f t="shared" si="40"/>
        <v>0</v>
      </c>
      <c r="BC13" s="21">
        <f t="shared" si="30"/>
        <v>0</v>
      </c>
      <c r="BD13" s="21">
        <f t="shared" si="30"/>
        <v>-28.999999999999972</v>
      </c>
      <c r="BE13" s="24">
        <f t="shared" si="31"/>
        <v>-28.999999999999972</v>
      </c>
      <c r="BF13" s="96">
        <f t="shared" si="4"/>
        <v>28.999999999999972</v>
      </c>
      <c r="BG13" s="82">
        <f t="shared" si="5"/>
        <v>-28.999999999999972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v>626308</v>
      </c>
      <c r="H14" s="5">
        <f t="shared" si="9"/>
        <v>170</v>
      </c>
      <c r="I14" s="5">
        <f t="shared" si="10"/>
        <v>170</v>
      </c>
      <c r="J14" s="319">
        <f t="shared" si="0"/>
        <v>1.4231499051233396</v>
      </c>
      <c r="K14" s="5">
        <f>'Swimming Pool quality check '!H14</f>
        <v>6966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v>154481</v>
      </c>
      <c r="Y14" s="309">
        <f t="shared" si="42"/>
        <v>146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140</v>
      </c>
      <c r="AL14" s="312">
        <f t="shared" si="27"/>
        <v>0</v>
      </c>
      <c r="AM14" s="312">
        <f>'General information '!D13</f>
        <v>17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v>114</v>
      </c>
      <c r="AU14" s="408">
        <f t="shared" si="43"/>
        <v>1.1000000000000001</v>
      </c>
      <c r="AV14" s="201">
        <v>132</v>
      </c>
      <c r="AW14" s="5">
        <v>2.9</v>
      </c>
      <c r="AX14" s="201">
        <v>124</v>
      </c>
      <c r="AY14" s="409">
        <f t="shared" si="37"/>
        <v>102.60000000000001</v>
      </c>
      <c r="AZ14" s="409">
        <f t="shared" si="38"/>
        <v>145.20000000000002</v>
      </c>
      <c r="BA14" s="409">
        <f t="shared" si="39"/>
        <v>359.59999999999997</v>
      </c>
      <c r="BB14" s="21">
        <f t="shared" si="40"/>
        <v>-62.999999999999986</v>
      </c>
      <c r="BC14" s="21">
        <f t="shared" si="30"/>
        <v>-2.1999999999999886</v>
      </c>
      <c r="BD14" s="21">
        <f t="shared" si="30"/>
        <v>115.99999999999997</v>
      </c>
      <c r="BE14" s="24">
        <f t="shared" si="31"/>
        <v>50.8</v>
      </c>
      <c r="BF14" s="96">
        <f t="shared" si="4"/>
        <v>119.2</v>
      </c>
      <c r="BG14" s="82">
        <f t="shared" si="5"/>
        <v>50.8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626308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6966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154481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114</v>
      </c>
      <c r="AU15" s="408">
        <f t="shared" si="43"/>
        <v>1.1000000000000001</v>
      </c>
      <c r="AV15" s="201">
        <f t="shared" si="35"/>
        <v>132</v>
      </c>
      <c r="AW15" s="5">
        <v>2.9</v>
      </c>
      <c r="AX15" s="201">
        <f t="shared" si="36"/>
        <v>124</v>
      </c>
      <c r="AY15" s="409">
        <f t="shared" si="37"/>
        <v>102.60000000000001</v>
      </c>
      <c r="AZ15" s="409">
        <f t="shared" si="38"/>
        <v>145.20000000000002</v>
      </c>
      <c r="BA15" s="409">
        <f t="shared" si="39"/>
        <v>359.59999999999997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626308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6966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154481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114</v>
      </c>
      <c r="AU16" s="408">
        <f t="shared" si="43"/>
        <v>1.1000000000000001</v>
      </c>
      <c r="AV16" s="201">
        <f t="shared" si="35"/>
        <v>132</v>
      </c>
      <c r="AW16" s="5">
        <v>2.9</v>
      </c>
      <c r="AX16" s="201">
        <f t="shared" si="36"/>
        <v>124</v>
      </c>
      <c r="AY16" s="409">
        <f t="shared" si="37"/>
        <v>102.60000000000001</v>
      </c>
      <c r="AZ16" s="409">
        <f t="shared" si="38"/>
        <v>145.20000000000002</v>
      </c>
      <c r="BA16" s="409">
        <f t="shared" si="39"/>
        <v>359.59999999999997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v>626310</v>
      </c>
      <c r="H17" s="5">
        <f t="shared" si="9"/>
        <v>2</v>
      </c>
      <c r="I17" s="5">
        <f t="shared" si="10"/>
        <v>2</v>
      </c>
      <c r="J17" s="319">
        <f t="shared" si="0"/>
        <v>120.96774193548387</v>
      </c>
      <c r="K17" s="5">
        <f>'Swimming Pool quality check '!H17</f>
        <v>6967</v>
      </c>
      <c r="L17" s="83">
        <f t="shared" si="41"/>
        <v>1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154481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-1</v>
      </c>
      <c r="AL17" s="312">
        <f t="shared" si="27"/>
        <v>0</v>
      </c>
      <c r="AM17" s="312">
        <f>'General information '!D16</f>
        <v>18.5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v>117</v>
      </c>
      <c r="AU17" s="408">
        <f t="shared" si="43"/>
        <v>1.1000000000000001</v>
      </c>
      <c r="AV17" s="201">
        <v>131</v>
      </c>
      <c r="AW17" s="5">
        <v>2.9</v>
      </c>
      <c r="AX17" s="201">
        <v>122</v>
      </c>
      <c r="AY17" s="409">
        <f t="shared" si="37"/>
        <v>105.3</v>
      </c>
      <c r="AZ17" s="409">
        <f t="shared" si="38"/>
        <v>144.10000000000002</v>
      </c>
      <c r="BA17" s="409">
        <f t="shared" si="39"/>
        <v>353.8</v>
      </c>
      <c r="BB17" s="21">
        <f t="shared" si="40"/>
        <v>2.6999999999999886</v>
      </c>
      <c r="BC17" s="21">
        <f t="shared" si="30"/>
        <v>-1.0999999999999943</v>
      </c>
      <c r="BD17" s="21">
        <f t="shared" si="30"/>
        <v>-5.7999999999999545</v>
      </c>
      <c r="BE17" s="24">
        <f t="shared" si="31"/>
        <v>-4.1999999999999602</v>
      </c>
      <c r="BF17" s="96">
        <f t="shared" si="4"/>
        <v>6.1999999999999602</v>
      </c>
      <c r="BG17" s="82">
        <f t="shared" si="5"/>
        <v>-4.1999999999999602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626310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6967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154481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117</v>
      </c>
      <c r="AU18" s="408">
        <f t="shared" si="43"/>
        <v>1.1000000000000001</v>
      </c>
      <c r="AV18" s="201">
        <v>130</v>
      </c>
      <c r="AW18" s="5">
        <v>2.9</v>
      </c>
      <c r="AX18" s="201">
        <v>120</v>
      </c>
      <c r="AY18" s="409">
        <f t="shared" si="37"/>
        <v>105.3</v>
      </c>
      <c r="AZ18" s="409">
        <f t="shared" si="38"/>
        <v>143</v>
      </c>
      <c r="BA18" s="409">
        <f t="shared" si="39"/>
        <v>348</v>
      </c>
      <c r="BB18" s="21">
        <f t="shared" si="40"/>
        <v>0</v>
      </c>
      <c r="BC18" s="21">
        <f t="shared" si="30"/>
        <v>-1.1000000000000227</v>
      </c>
      <c r="BD18" s="21">
        <f t="shared" si="30"/>
        <v>-5.8000000000000114</v>
      </c>
      <c r="BE18" s="24">
        <f t="shared" si="31"/>
        <v>-6.9000000000000341</v>
      </c>
      <c r="BF18" s="96">
        <f t="shared" si="4"/>
        <v>6.9000000000000341</v>
      </c>
      <c r="BG18" s="82">
        <f t="shared" si="5"/>
        <v>-6.9000000000000341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626310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6968</v>
      </c>
      <c r="L19" s="83">
        <f t="shared" si="41"/>
        <v>1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154481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-1</v>
      </c>
      <c r="AL19" s="312">
        <f t="shared" si="27"/>
        <v>0</v>
      </c>
      <c r="AM19" s="312">
        <f>'General information '!D18</f>
        <v>19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v>181</v>
      </c>
      <c r="AU19" s="408">
        <f t="shared" si="43"/>
        <v>1.1000000000000001</v>
      </c>
      <c r="AV19" s="201">
        <v>129</v>
      </c>
      <c r="AW19" s="5">
        <v>2.9</v>
      </c>
      <c r="AX19" s="201">
        <v>119</v>
      </c>
      <c r="AY19" s="409">
        <f>AS19*AT19</f>
        <v>162.9</v>
      </c>
      <c r="AZ19" s="409">
        <f>AU19*AV19</f>
        <v>141.9</v>
      </c>
      <c r="BA19" s="409">
        <f>AW19*AX19</f>
        <v>345.09999999999997</v>
      </c>
      <c r="BB19" s="21">
        <f t="shared" si="40"/>
        <v>57.600000000000009</v>
      </c>
      <c r="BC19" s="21">
        <f t="shared" ref="BB19:BD20" si="47">AZ19-AZ18</f>
        <v>-1.0999999999999943</v>
      </c>
      <c r="BD19" s="21">
        <f t="shared" si="47"/>
        <v>-2.9000000000000341</v>
      </c>
      <c r="BE19" s="24">
        <f>SUM(BB19:BD19)</f>
        <v>53.59999999999998</v>
      </c>
      <c r="BF19" s="96">
        <f t="shared" si="4"/>
        <v>-53.59999999999998</v>
      </c>
      <c r="BG19" s="82">
        <f t="shared" si="5"/>
        <v>53.59999999999998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626310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6969</v>
      </c>
      <c r="L20" s="83">
        <f t="shared" si="41"/>
        <v>1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154481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</v>
      </c>
      <c r="AL20" s="312">
        <f t="shared" si="27"/>
        <v>0</v>
      </c>
      <c r="AM20" s="312">
        <f>'General information '!D19</f>
        <v>18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181</v>
      </c>
      <c r="AU20" s="408">
        <f t="shared" si="43"/>
        <v>1.1000000000000001</v>
      </c>
      <c r="AV20" s="201">
        <v>127</v>
      </c>
      <c r="AW20" s="5">
        <v>2.9</v>
      </c>
      <c r="AX20" s="201">
        <v>118</v>
      </c>
      <c r="AY20" s="409">
        <f>AS20*AT20</f>
        <v>162.9</v>
      </c>
      <c r="AZ20" s="409">
        <f>AU20*AV20</f>
        <v>139.70000000000002</v>
      </c>
      <c r="BA20" s="409">
        <f>AW20*AX20</f>
        <v>342.2</v>
      </c>
      <c r="BB20" s="21">
        <f t="shared" si="47"/>
        <v>0</v>
      </c>
      <c r="BC20" s="21">
        <f t="shared" si="47"/>
        <v>-2.1999999999999886</v>
      </c>
      <c r="BD20" s="21">
        <f t="shared" si="47"/>
        <v>-2.8999999999999773</v>
      </c>
      <c r="BE20" s="24">
        <f>SUM(BB20:BD20)</f>
        <v>-5.0999999999999659</v>
      </c>
      <c r="BF20" s="96">
        <f t="shared" si="4"/>
        <v>5.0999999999999659</v>
      </c>
      <c r="BG20" s="82">
        <f t="shared" si="5"/>
        <v>-5.0999999999999659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v>626427</v>
      </c>
      <c r="H21" s="5">
        <f t="shared" si="9"/>
        <v>117</v>
      </c>
      <c r="I21" s="5">
        <f t="shared" si="10"/>
        <v>117</v>
      </c>
      <c r="J21" s="319">
        <f t="shared" si="0"/>
        <v>2.0678246484698097</v>
      </c>
      <c r="K21" s="5">
        <f>'Swimming Pool quality check '!H21</f>
        <v>6969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154481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181</v>
      </c>
      <c r="AU21" s="408">
        <f t="shared" si="43"/>
        <v>1.1000000000000001</v>
      </c>
      <c r="AV21" s="201">
        <f t="shared" si="35"/>
        <v>127</v>
      </c>
      <c r="AW21" s="5">
        <v>2.9</v>
      </c>
      <c r="AX21" s="201">
        <v>119</v>
      </c>
      <c r="AY21" s="409">
        <f>AS21*AT21</f>
        <v>162.9</v>
      </c>
      <c r="AZ21" s="409">
        <f>AU21*AV21</f>
        <v>139.70000000000002</v>
      </c>
      <c r="BA21" s="409">
        <f>AW21*AX21</f>
        <v>345.09999999999997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2.8999999999999773</v>
      </c>
      <c r="BE21" s="24">
        <f t="shared" si="31"/>
        <v>2.8999999999999773</v>
      </c>
      <c r="BF21" s="96">
        <f t="shared" si="4"/>
        <v>114.10000000000002</v>
      </c>
      <c r="BG21" s="82">
        <f t="shared" si="5"/>
        <v>2.8999999999999773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32"/>
        <v>626427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154481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49">AS21</f>
        <v>0.9</v>
      </c>
      <c r="AT22" s="201">
        <f t="shared" si="49"/>
        <v>181</v>
      </c>
      <c r="AU22" s="408">
        <f t="shared" si="43"/>
        <v>1.1000000000000001</v>
      </c>
      <c r="AV22" s="201">
        <f t="shared" si="35"/>
        <v>127</v>
      </c>
      <c r="AW22" s="5">
        <v>2.9</v>
      </c>
      <c r="AX22" s="201">
        <f t="shared" si="36"/>
        <v>119</v>
      </c>
      <c r="AY22" s="409">
        <f t="shared" si="37"/>
        <v>162.9</v>
      </c>
      <c r="AZ22" s="409">
        <f t="shared" si="38"/>
        <v>139.70000000000002</v>
      </c>
      <c r="BA22" s="409">
        <f t="shared" si="39"/>
        <v>345.09999999999997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32"/>
        <v>626427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154481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49"/>
        <v>0.9</v>
      </c>
      <c r="AT23" s="201">
        <f t="shared" si="49"/>
        <v>181</v>
      </c>
      <c r="AU23" s="408">
        <f t="shared" si="43"/>
        <v>1.1000000000000001</v>
      </c>
      <c r="AV23" s="201">
        <f t="shared" si="35"/>
        <v>127</v>
      </c>
      <c r="AW23" s="5">
        <v>2.9</v>
      </c>
      <c r="AX23" s="201">
        <f t="shared" si="36"/>
        <v>119</v>
      </c>
      <c r="AY23" s="409">
        <f t="shared" si="37"/>
        <v>162.9</v>
      </c>
      <c r="AZ23" s="409">
        <f t="shared" si="38"/>
        <v>139.70000000000002</v>
      </c>
      <c r="BA23" s="409">
        <f t="shared" si="39"/>
        <v>345.09999999999997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32"/>
        <v>626427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154481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16.5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49"/>
        <v>0.9</v>
      </c>
      <c r="AT24" s="201">
        <f t="shared" si="49"/>
        <v>181</v>
      </c>
      <c r="AU24" s="408">
        <f t="shared" si="43"/>
        <v>1.1000000000000001</v>
      </c>
      <c r="AV24" s="201">
        <v>126</v>
      </c>
      <c r="AW24" s="5">
        <v>2.9</v>
      </c>
      <c r="AX24" s="201">
        <v>110</v>
      </c>
      <c r="AY24" s="409">
        <f t="shared" si="37"/>
        <v>162.9</v>
      </c>
      <c r="AZ24" s="409">
        <f t="shared" si="38"/>
        <v>138.60000000000002</v>
      </c>
      <c r="BA24" s="409">
        <f t="shared" si="39"/>
        <v>319</v>
      </c>
      <c r="BB24" s="21">
        <f t="shared" si="48"/>
        <v>0</v>
      </c>
      <c r="BC24" s="21">
        <f t="shared" si="48"/>
        <v>-1.0999999999999943</v>
      </c>
      <c r="BD24" s="21">
        <f t="shared" si="48"/>
        <v>-26.099999999999966</v>
      </c>
      <c r="BE24" s="24">
        <f t="shared" si="31"/>
        <v>-27.19999999999996</v>
      </c>
      <c r="BF24" s="96">
        <f t="shared" si="4"/>
        <v>27.19999999999996</v>
      </c>
      <c r="BG24" s="82">
        <f t="shared" si="5"/>
        <v>-27.19999999999996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32"/>
        <v>626427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6971</v>
      </c>
      <c r="L25" s="263">
        <f t="shared" si="41"/>
        <v>2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154481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-2</v>
      </c>
      <c r="AL25" s="312">
        <f t="shared" si="27"/>
        <v>0</v>
      </c>
      <c r="AM25" s="312">
        <f>'General information '!D24</f>
        <v>13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49"/>
        <v>0.9</v>
      </c>
      <c r="AT25" s="201">
        <f t="shared" si="49"/>
        <v>181</v>
      </c>
      <c r="AU25" s="408">
        <f t="shared" si="43"/>
        <v>1.1000000000000001</v>
      </c>
      <c r="AV25" s="201">
        <f t="shared" si="35"/>
        <v>126</v>
      </c>
      <c r="AW25" s="5">
        <v>2.9</v>
      </c>
      <c r="AX25" s="201">
        <v>109</v>
      </c>
      <c r="AY25" s="409">
        <f t="shared" si="37"/>
        <v>162.9</v>
      </c>
      <c r="AZ25" s="409">
        <f t="shared" si="38"/>
        <v>138.60000000000002</v>
      </c>
      <c r="BA25" s="409">
        <f t="shared" si="39"/>
        <v>316.09999999999997</v>
      </c>
      <c r="BB25" s="21">
        <f t="shared" si="48"/>
        <v>0</v>
      </c>
      <c r="BC25" s="21">
        <f t="shared" si="48"/>
        <v>0</v>
      </c>
      <c r="BD25" s="21">
        <f t="shared" si="48"/>
        <v>-2.9000000000000341</v>
      </c>
      <c r="BE25" s="24">
        <f t="shared" si="31"/>
        <v>-2.9000000000000341</v>
      </c>
      <c r="BF25" s="96">
        <f t="shared" si="4"/>
        <v>2.9000000000000341</v>
      </c>
      <c r="BG25" s="82">
        <f t="shared" si="5"/>
        <v>-2.9000000000000341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32"/>
        <v>626427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6971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154481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49"/>
        <v>0.9</v>
      </c>
      <c r="AT26" s="201">
        <f t="shared" si="49"/>
        <v>181</v>
      </c>
      <c r="AU26" s="408">
        <f t="shared" si="43"/>
        <v>1.1000000000000001</v>
      </c>
      <c r="AV26" s="201">
        <f t="shared" si="35"/>
        <v>126</v>
      </c>
      <c r="AW26" s="5">
        <v>2.9</v>
      </c>
      <c r="AX26" s="201">
        <f t="shared" si="36"/>
        <v>109</v>
      </c>
      <c r="AY26" s="409">
        <f t="shared" si="37"/>
        <v>162.9</v>
      </c>
      <c r="AZ26" s="409">
        <f t="shared" si="38"/>
        <v>138.60000000000002</v>
      </c>
      <c r="BA26" s="409">
        <f t="shared" si="39"/>
        <v>316.09999999999997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32"/>
        <v>626427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6971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154481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49"/>
        <v>0.9</v>
      </c>
      <c r="AT27" s="201">
        <f t="shared" si="49"/>
        <v>181</v>
      </c>
      <c r="AU27" s="408">
        <f t="shared" si="43"/>
        <v>1.1000000000000001</v>
      </c>
      <c r="AV27" s="201">
        <f t="shared" si="35"/>
        <v>126</v>
      </c>
      <c r="AW27" s="5">
        <v>2.9</v>
      </c>
      <c r="AX27" s="201">
        <f t="shared" si="36"/>
        <v>109</v>
      </c>
      <c r="AY27" s="409">
        <f t="shared" si="37"/>
        <v>162.9</v>
      </c>
      <c r="AZ27" s="409">
        <f t="shared" si="38"/>
        <v>138.60000000000002</v>
      </c>
      <c r="BA27" s="409">
        <f t="shared" si="39"/>
        <v>316.09999999999997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32"/>
        <v>626427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6971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154481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49"/>
        <v>0.9</v>
      </c>
      <c r="AT28" s="201">
        <f t="shared" si="49"/>
        <v>181</v>
      </c>
      <c r="AU28" s="408">
        <f t="shared" si="43"/>
        <v>1.1000000000000001</v>
      </c>
      <c r="AV28" s="201">
        <f t="shared" si="35"/>
        <v>126</v>
      </c>
      <c r="AW28" s="5">
        <v>2.9</v>
      </c>
      <c r="AX28" s="201">
        <f t="shared" si="36"/>
        <v>109</v>
      </c>
      <c r="AY28" s="409">
        <f t="shared" si="37"/>
        <v>162.9</v>
      </c>
      <c r="AZ28" s="409">
        <f t="shared" si="38"/>
        <v>138.60000000000002</v>
      </c>
      <c r="BA28" s="409">
        <f t="shared" si="39"/>
        <v>316.09999999999997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32"/>
        <v>626427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6971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154481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49"/>
        <v>0.9</v>
      </c>
      <c r="AT29" s="201">
        <f t="shared" si="49"/>
        <v>181</v>
      </c>
      <c r="AU29" s="408">
        <f t="shared" si="43"/>
        <v>1.1000000000000001</v>
      </c>
      <c r="AV29" s="201">
        <f t="shared" si="35"/>
        <v>126</v>
      </c>
      <c r="AW29" s="5">
        <v>2.9</v>
      </c>
      <c r="AX29" s="201">
        <f t="shared" si="36"/>
        <v>109</v>
      </c>
      <c r="AY29" s="409">
        <f t="shared" si="37"/>
        <v>162.9</v>
      </c>
      <c r="AZ29" s="409">
        <f t="shared" si="38"/>
        <v>138.60000000000002</v>
      </c>
      <c r="BA29" s="409">
        <f t="shared" si="39"/>
        <v>316.09999999999997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32"/>
        <v>626427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6971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154481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49"/>
        <v>0.9</v>
      </c>
      <c r="AT30" s="201">
        <f t="shared" si="49"/>
        <v>181</v>
      </c>
      <c r="AU30" s="408">
        <f t="shared" si="43"/>
        <v>1.1000000000000001</v>
      </c>
      <c r="AV30" s="201">
        <f t="shared" si="35"/>
        <v>126</v>
      </c>
      <c r="AW30" s="5">
        <v>2.9</v>
      </c>
      <c r="AX30" s="201">
        <f t="shared" si="36"/>
        <v>109</v>
      </c>
      <c r="AY30" s="409">
        <f t="shared" si="37"/>
        <v>162.9</v>
      </c>
      <c r="AZ30" s="409">
        <f t="shared" si="38"/>
        <v>138.60000000000002</v>
      </c>
      <c r="BA30" s="409">
        <f t="shared" si="39"/>
        <v>316.09999999999997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32"/>
        <v>626427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6971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154481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49"/>
        <v>0.9</v>
      </c>
      <c r="AT31" s="201">
        <f t="shared" si="49"/>
        <v>181</v>
      </c>
      <c r="AU31" s="408">
        <f t="shared" si="43"/>
        <v>1.1000000000000001</v>
      </c>
      <c r="AV31" s="201">
        <f t="shared" si="35"/>
        <v>126</v>
      </c>
      <c r="AW31" s="5">
        <v>2.9</v>
      </c>
      <c r="AX31" s="201">
        <f t="shared" si="36"/>
        <v>109</v>
      </c>
      <c r="AY31" s="409">
        <f t="shared" si="37"/>
        <v>162.9</v>
      </c>
      <c r="AZ31" s="409">
        <f>AU31*AV31</f>
        <v>138.60000000000002</v>
      </c>
      <c r="BA31" s="409">
        <f t="shared" si="39"/>
        <v>316.09999999999997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 t="shared" si="6"/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32"/>
        <v>626427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6971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154481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49"/>
        <v>0.9</v>
      </c>
      <c r="AT32" s="201">
        <f t="shared" si="49"/>
        <v>181</v>
      </c>
      <c r="AU32" s="408">
        <f t="shared" si="43"/>
        <v>1.1000000000000001</v>
      </c>
      <c r="AV32" s="201">
        <f t="shared" si="35"/>
        <v>126</v>
      </c>
      <c r="AW32" s="5">
        <v>2.9</v>
      </c>
      <c r="AX32" s="201">
        <f t="shared" si="36"/>
        <v>109</v>
      </c>
      <c r="AY32" s="409">
        <f t="shared" si="37"/>
        <v>162.9</v>
      </c>
      <c r="AZ32" s="409">
        <f t="shared" si="38"/>
        <v>138.60000000000002</v>
      </c>
      <c r="BA32" s="409">
        <f t="shared" si="39"/>
        <v>316.09999999999997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32"/>
        <v>626427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6971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154481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49"/>
        <v>0.9</v>
      </c>
      <c r="AT33" s="201">
        <f t="shared" si="49"/>
        <v>181</v>
      </c>
      <c r="AU33" s="408">
        <f t="shared" si="43"/>
        <v>1.1000000000000001</v>
      </c>
      <c r="AV33" s="201">
        <f t="shared" si="35"/>
        <v>126</v>
      </c>
      <c r="AW33" s="5">
        <v>2.9</v>
      </c>
      <c r="AX33" s="201">
        <f t="shared" si="36"/>
        <v>109</v>
      </c>
      <c r="AY33" s="409">
        <f t="shared" si="37"/>
        <v>162.9</v>
      </c>
      <c r="AZ33" s="409">
        <f t="shared" si="38"/>
        <v>138.60000000000002</v>
      </c>
      <c r="BA33" s="409">
        <f t="shared" si="39"/>
        <v>316.09999999999997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32"/>
        <v>626427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6971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154481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0">AT33</f>
        <v>181</v>
      </c>
      <c r="AU34" s="408">
        <f>AU33</f>
        <v>1.1000000000000001</v>
      </c>
      <c r="AV34" s="201">
        <f t="shared" si="35"/>
        <v>126</v>
      </c>
      <c r="AW34" s="5">
        <v>2.9</v>
      </c>
      <c r="AX34" s="201">
        <f t="shared" si="36"/>
        <v>109</v>
      </c>
      <c r="AY34" s="409">
        <f t="shared" si="37"/>
        <v>162.9</v>
      </c>
      <c r="AZ34" s="409">
        <f>AU34*AV34</f>
        <v>138.60000000000002</v>
      </c>
      <c r="BA34" s="409">
        <f>AW34*AX34</f>
        <v>316.09999999999997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32"/>
        <v>626427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6971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154481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0"/>
        <v>181</v>
      </c>
      <c r="AU35" s="408">
        <f>AU34</f>
        <v>1.1000000000000001</v>
      </c>
      <c r="AV35" s="201">
        <f t="shared" si="35"/>
        <v>126</v>
      </c>
      <c r="AW35" s="5">
        <v>2.9</v>
      </c>
      <c r="AX35" s="201">
        <f t="shared" si="36"/>
        <v>109</v>
      </c>
      <c r="AY35" s="409">
        <f t="shared" si="37"/>
        <v>162.9</v>
      </c>
      <c r="AZ35" s="409">
        <f>AU35*AV35</f>
        <v>138.60000000000002</v>
      </c>
      <c r="BA35" s="409">
        <f>AW35*AX35</f>
        <v>316.09999999999997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32"/>
        <v>626427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6971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154481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0"/>
        <v>181</v>
      </c>
      <c r="AU36" s="408">
        <f>AU35</f>
        <v>1.1000000000000001</v>
      </c>
      <c r="AV36" s="201">
        <f t="shared" si="35"/>
        <v>126</v>
      </c>
      <c r="AW36" s="5">
        <v>2.9</v>
      </c>
      <c r="AX36" s="201">
        <f t="shared" si="36"/>
        <v>109</v>
      </c>
      <c r="AY36" s="409">
        <f t="shared" ref="AY36" si="54">AS36*AT36</f>
        <v>162.9</v>
      </c>
      <c r="AZ36" s="409">
        <f>AU36*AV36</f>
        <v>138.60000000000002</v>
      </c>
      <c r="BA36" s="409">
        <f>AW36*AX36</f>
        <v>316.09999999999997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449</v>
      </c>
      <c r="I37" s="395">
        <f>SUM(I6:I36)</f>
        <v>449</v>
      </c>
      <c r="L37" s="258">
        <f>SUM(L7:L36)</f>
        <v>17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-17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449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449</v>
      </c>
      <c r="H39" s="1">
        <f>SUM(H38+C38)</f>
        <v>7500</v>
      </c>
      <c r="K39" s="1">
        <f>SUM(H39/G39)</f>
        <v>16.70378619153675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C1" zoomScale="70" zoomScaleNormal="70" workbookViewId="0">
      <pane ySplit="1" topLeftCell="A2" activePane="bottomLeft" state="frozen"/>
      <selection pane="bottomLeft" activeCell="S22" sqref="S22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4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4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4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4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v>11216</v>
      </c>
      <c r="C8" s="276">
        <f t="shared" si="9"/>
        <v>2</v>
      </c>
      <c r="D8" s="503">
        <f t="shared" si="10"/>
        <v>567016</v>
      </c>
      <c r="E8" s="276">
        <f t="shared" si="11"/>
        <v>500</v>
      </c>
      <c r="F8" s="276">
        <f t="shared" si="0"/>
        <v>250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13336</v>
      </c>
      <c r="S8" s="276">
        <f t="shared" si="4"/>
        <v>7</v>
      </c>
      <c r="T8" s="503">
        <f>T7+U8</f>
        <v>273496</v>
      </c>
      <c r="U8" s="276">
        <f>V8*S8</f>
        <v>1750</v>
      </c>
      <c r="V8" s="276">
        <v>250</v>
      </c>
      <c r="W8" s="196"/>
      <c r="X8" s="584">
        <f t="shared" si="20"/>
        <v>13429</v>
      </c>
      <c r="Y8" s="276" t="str">
        <f t="shared" si="5"/>
        <v>ok</v>
      </c>
      <c r="Z8" s="276">
        <f t="shared" si="6"/>
        <v>9</v>
      </c>
      <c r="AA8" s="276">
        <f t="shared" si="21"/>
        <v>2250</v>
      </c>
      <c r="AB8" s="276">
        <f t="shared" si="22"/>
        <v>500</v>
      </c>
      <c r="AC8" s="276">
        <f t="shared" si="23"/>
        <v>250</v>
      </c>
      <c r="AD8" s="73">
        <f>ELEC!Q9</f>
        <v>4929.0000000000873</v>
      </c>
      <c r="AE8" s="73">
        <f>SUM(AD8/Z8)</f>
        <v>547.66666666667641</v>
      </c>
      <c r="AF8" s="387">
        <f t="shared" si="29"/>
        <v>0.34229166666667277</v>
      </c>
      <c r="AG8" s="387">
        <f t="shared" si="29"/>
        <v>2.1393229166667048E-4</v>
      </c>
      <c r="AH8" s="388">
        <f t="shared" si="24"/>
        <v>249.99978606770833</v>
      </c>
      <c r="AI8" s="73">
        <f t="shared" si="31"/>
        <v>1268.6455696202756</v>
      </c>
      <c r="AJ8" s="278">
        <f t="shared" si="7"/>
        <v>0.25738396624472576</v>
      </c>
      <c r="AK8" s="278">
        <f t="shared" si="8"/>
        <v>140.96061884669729</v>
      </c>
      <c r="AL8">
        <f t="shared" si="25"/>
        <v>1</v>
      </c>
    </row>
    <row r="9" spans="1:38" ht="16.5" thickBot="1">
      <c r="A9" s="4">
        <f>ELEC!C10</f>
        <v>44537</v>
      </c>
      <c r="B9" s="502">
        <v>11224</v>
      </c>
      <c r="C9" s="276">
        <f t="shared" si="9"/>
        <v>8</v>
      </c>
      <c r="D9" s="503">
        <f t="shared" si="10"/>
        <v>569016</v>
      </c>
      <c r="E9" s="276">
        <f t="shared" si="11"/>
        <v>2000</v>
      </c>
      <c r="F9" s="276">
        <f t="shared" si="0"/>
        <v>250</v>
      </c>
      <c r="G9" s="196"/>
      <c r="H9" s="260">
        <f t="shared" si="12"/>
        <v>11218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13338</v>
      </c>
      <c r="S9" s="276">
        <f t="shared" si="4"/>
        <v>2</v>
      </c>
      <c r="T9" s="503">
        <f t="shared" si="18"/>
        <v>273996</v>
      </c>
      <c r="U9" s="276">
        <f t="shared" si="19"/>
        <v>500</v>
      </c>
      <c r="V9" s="276">
        <v>250</v>
      </c>
      <c r="W9" s="196"/>
      <c r="X9" s="584">
        <f t="shared" si="20"/>
        <v>13429</v>
      </c>
      <c r="Y9" s="276" t="str">
        <f t="shared" si="5"/>
        <v>ok</v>
      </c>
      <c r="Z9" s="276">
        <f t="shared" si="6"/>
        <v>10</v>
      </c>
      <c r="AA9" s="276">
        <f t="shared" si="21"/>
        <v>2500</v>
      </c>
      <c r="AB9" s="276">
        <f t="shared" si="22"/>
        <v>500</v>
      </c>
      <c r="AC9" s="276">
        <f t="shared" si="23"/>
        <v>250</v>
      </c>
      <c r="AD9" s="73">
        <f>ELEC!Q10</f>
        <v>5243.9999999987776</v>
      </c>
      <c r="AE9" s="73">
        <f t="shared" si="28"/>
        <v>524.39999999987776</v>
      </c>
      <c r="AF9" s="387">
        <f t="shared" si="29"/>
        <v>0.3277499999999236</v>
      </c>
      <c r="AG9" s="387">
        <f t="shared" si="29"/>
        <v>2.0484374999995224E-4</v>
      </c>
      <c r="AH9" s="388">
        <f t="shared" si="24"/>
        <v>249.99979515625</v>
      </c>
      <c r="AI9" s="73">
        <f t="shared" si="31"/>
        <v>1349.7215189870274</v>
      </c>
      <c r="AJ9" s="278">
        <f t="shared" si="7"/>
        <v>0.25738396624472576</v>
      </c>
      <c r="AK9" s="278">
        <f t="shared" si="8"/>
        <v>134.97215189870275</v>
      </c>
      <c r="AL9">
        <f t="shared" si="25"/>
        <v>1</v>
      </c>
    </row>
    <row r="10" spans="1:38" ht="16.5" thickBot="1">
      <c r="A10" s="4">
        <f>ELEC!C11</f>
        <v>44538</v>
      </c>
      <c r="B10" s="502">
        <v>11224</v>
      </c>
      <c r="C10" s="276">
        <f t="shared" si="9"/>
        <v>0</v>
      </c>
      <c r="D10" s="503">
        <f t="shared" si="10"/>
        <v>569016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oil change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13349</v>
      </c>
      <c r="S10" s="276">
        <f t="shared" si="4"/>
        <v>11</v>
      </c>
      <c r="T10" s="503">
        <f t="shared" si="18"/>
        <v>276746</v>
      </c>
      <c r="U10" s="276">
        <f t="shared" si="19"/>
        <v>2750</v>
      </c>
      <c r="V10" s="276">
        <v>250</v>
      </c>
      <c r="W10" s="323"/>
      <c r="X10" s="584">
        <f t="shared" si="20"/>
        <v>13429</v>
      </c>
      <c r="Y10" s="276" t="str">
        <f t="shared" si="5"/>
        <v>ok</v>
      </c>
      <c r="Z10" s="276">
        <f t="shared" si="6"/>
        <v>11</v>
      </c>
      <c r="AA10" s="276">
        <f t="shared" si="21"/>
        <v>2750</v>
      </c>
      <c r="AB10" s="276">
        <f t="shared" si="22"/>
        <v>250</v>
      </c>
      <c r="AC10" s="276">
        <f t="shared" si="23"/>
        <v>250</v>
      </c>
      <c r="AD10" s="73">
        <f>ELEC!Q11</f>
        <v>5962.9999999997381</v>
      </c>
      <c r="AE10" s="73">
        <f t="shared" si="28"/>
        <v>542.09090909088525</v>
      </c>
      <c r="AF10" s="387">
        <f t="shared" si="29"/>
        <v>0.3388068181818033</v>
      </c>
      <c r="AG10" s="387">
        <f t="shared" si="29"/>
        <v>2.1175426136362706E-4</v>
      </c>
      <c r="AH10" s="388">
        <f t="shared" si="24"/>
        <v>249.99978824573864</v>
      </c>
      <c r="AI10" s="73">
        <f t="shared" si="31"/>
        <v>1534.7805907172324</v>
      </c>
      <c r="AJ10" s="278">
        <f t="shared" si="7"/>
        <v>0.25738396624472576</v>
      </c>
      <c r="AK10" s="278">
        <f t="shared" si="8"/>
        <v>139.52550824702112</v>
      </c>
      <c r="AL10">
        <f t="shared" si="25"/>
        <v>1</v>
      </c>
    </row>
    <row r="11" spans="1:38" ht="16.5" thickBot="1">
      <c r="A11" s="4">
        <f>ELEC!C12</f>
        <v>44539</v>
      </c>
      <c r="B11" s="502">
        <v>11225</v>
      </c>
      <c r="C11" s="276">
        <f t="shared" si="9"/>
        <v>1</v>
      </c>
      <c r="D11" s="503">
        <f t="shared" si="10"/>
        <v>569266</v>
      </c>
      <c r="E11" s="276">
        <f t="shared" si="11"/>
        <v>250</v>
      </c>
      <c r="F11" s="276">
        <f t="shared" si="0"/>
        <v>250</v>
      </c>
      <c r="G11" s="196"/>
      <c r="H11" s="260">
        <f t="shared" si="12"/>
        <v>11218</v>
      </c>
      <c r="I11" s="276" t="str">
        <f t="shared" si="1"/>
        <v>oil change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13357</v>
      </c>
      <c r="S11" s="276">
        <f t="shared" si="4"/>
        <v>8</v>
      </c>
      <c r="T11" s="503">
        <f t="shared" si="18"/>
        <v>278746</v>
      </c>
      <c r="U11" s="276">
        <f t="shared" si="19"/>
        <v>2000</v>
      </c>
      <c r="V11" s="276">
        <v>250</v>
      </c>
      <c r="W11" s="323"/>
      <c r="X11" s="584">
        <f t="shared" si="20"/>
        <v>13429</v>
      </c>
      <c r="Y11" s="276" t="str">
        <f t="shared" si="5"/>
        <v>ok</v>
      </c>
      <c r="Z11" s="276">
        <f t="shared" si="6"/>
        <v>9</v>
      </c>
      <c r="AA11" s="276">
        <f t="shared" si="21"/>
        <v>2250</v>
      </c>
      <c r="AB11" s="276">
        <f t="shared" si="22"/>
        <v>500</v>
      </c>
      <c r="AC11" s="276">
        <f t="shared" si="23"/>
        <v>250</v>
      </c>
      <c r="AD11" s="73">
        <f>ELEC!Q12</f>
        <v>4836.0000000029686</v>
      </c>
      <c r="AE11" s="73">
        <f t="shared" si="28"/>
        <v>537.33333333366318</v>
      </c>
      <c r="AF11" s="387">
        <f t="shared" si="29"/>
        <v>0.33583333333353949</v>
      </c>
      <c r="AG11" s="387">
        <f t="shared" si="29"/>
        <v>2.0989583333346217E-4</v>
      </c>
      <c r="AH11" s="388">
        <f t="shared" si="24"/>
        <v>249.99979010416666</v>
      </c>
      <c r="AI11" s="73">
        <f t="shared" si="31"/>
        <v>1244.7088607602579</v>
      </c>
      <c r="AJ11" s="278">
        <f t="shared" si="7"/>
        <v>0.25738396624472576</v>
      </c>
      <c r="AK11" s="278">
        <f t="shared" si="8"/>
        <v>138.30098452891755</v>
      </c>
      <c r="AL11">
        <f t="shared" si="25"/>
        <v>1</v>
      </c>
    </row>
    <row r="12" spans="1:38" ht="16.5" thickBot="1">
      <c r="A12" s="4">
        <f>ELEC!C13</f>
        <v>44540</v>
      </c>
      <c r="B12" s="502">
        <f t="shared" si="26"/>
        <v>11225</v>
      </c>
      <c r="C12" s="276">
        <f t="shared" si="9"/>
        <v>0</v>
      </c>
      <c r="D12" s="503">
        <f t="shared" si="10"/>
        <v>569266</v>
      </c>
      <c r="E12" s="276">
        <f t="shared" si="11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13357</v>
      </c>
      <c r="S12" s="276">
        <f t="shared" si="4"/>
        <v>0</v>
      </c>
      <c r="T12" s="503">
        <f t="shared" si="18"/>
        <v>278746</v>
      </c>
      <c r="U12" s="276">
        <f t="shared" si="19"/>
        <v>0</v>
      </c>
      <c r="V12" s="276">
        <v>250</v>
      </c>
      <c r="W12" s="323"/>
      <c r="X12" s="584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11225</v>
      </c>
      <c r="C13" s="276">
        <f t="shared" si="9"/>
        <v>0</v>
      </c>
      <c r="D13" s="503">
        <f t="shared" si="10"/>
        <v>569266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11374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13357</v>
      </c>
      <c r="S13" s="276">
        <f t="shared" si="4"/>
        <v>0</v>
      </c>
      <c r="T13" s="503">
        <f t="shared" si="18"/>
        <v>278746</v>
      </c>
      <c r="U13" s="276">
        <f t="shared" si="19"/>
        <v>0</v>
      </c>
      <c r="V13" s="276">
        <v>250</v>
      </c>
      <c r="W13" s="323"/>
      <c r="X13" s="584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v>11234</v>
      </c>
      <c r="C14" s="276">
        <f t="shared" si="9"/>
        <v>9</v>
      </c>
      <c r="D14" s="503">
        <f t="shared" si="10"/>
        <v>571516</v>
      </c>
      <c r="E14" s="276">
        <f t="shared" si="11"/>
        <v>2250</v>
      </c>
      <c r="F14" s="276">
        <f t="shared" si="0"/>
        <v>250</v>
      </c>
      <c r="G14" s="196"/>
      <c r="H14" s="260">
        <f t="shared" si="12"/>
        <v>11374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v>13359</v>
      </c>
      <c r="S14" s="276">
        <f t="shared" si="4"/>
        <v>2</v>
      </c>
      <c r="T14" s="503">
        <f t="shared" si="18"/>
        <v>279246</v>
      </c>
      <c r="U14" s="276">
        <f t="shared" si="19"/>
        <v>500</v>
      </c>
      <c r="V14" s="276">
        <v>250</v>
      </c>
      <c r="W14" s="323"/>
      <c r="X14" s="584">
        <f t="shared" si="20"/>
        <v>13429</v>
      </c>
      <c r="Y14" s="276" t="str">
        <f t="shared" si="5"/>
        <v>ok</v>
      </c>
      <c r="Z14" s="276">
        <f t="shared" si="6"/>
        <v>11</v>
      </c>
      <c r="AA14" s="276">
        <f t="shared" si="21"/>
        <v>2750</v>
      </c>
      <c r="AB14" s="276">
        <f t="shared" si="22"/>
        <v>500</v>
      </c>
      <c r="AC14" s="276">
        <f t="shared" si="23"/>
        <v>250</v>
      </c>
      <c r="AD14" s="73">
        <f>ELEC!Q15</f>
        <v>6721.9999999979336</v>
      </c>
      <c r="AE14" s="73">
        <f t="shared" si="28"/>
        <v>611.0909090907212</v>
      </c>
      <c r="AF14" s="387">
        <f t="shared" si="29"/>
        <v>0.38193181818170074</v>
      </c>
      <c r="AG14" s="387">
        <f t="shared" si="29"/>
        <v>2.3870738636356297E-4</v>
      </c>
      <c r="AH14" s="388">
        <f t="shared" si="24"/>
        <v>249.99976129261364</v>
      </c>
      <c r="AI14" s="73">
        <f t="shared" si="31"/>
        <v>1730.1350210965147</v>
      </c>
      <c r="AJ14" s="278">
        <f t="shared" si="7"/>
        <v>0.25738396624472576</v>
      </c>
      <c r="AK14" s="278">
        <f t="shared" si="8"/>
        <v>157.28500191786497</v>
      </c>
      <c r="AL14">
        <f t="shared" si="25"/>
        <v>1</v>
      </c>
    </row>
    <row r="15" spans="1:38" ht="16.5" thickBot="1">
      <c r="A15" s="4">
        <f>ELEC!C16</f>
        <v>44543</v>
      </c>
      <c r="B15" s="502">
        <v>11236</v>
      </c>
      <c r="C15" s="276">
        <f t="shared" si="9"/>
        <v>2</v>
      </c>
      <c r="D15" s="503">
        <f t="shared" si="10"/>
        <v>572016</v>
      </c>
      <c r="E15" s="276">
        <f t="shared" si="11"/>
        <v>500</v>
      </c>
      <c r="F15" s="276">
        <f t="shared" si="0"/>
        <v>250</v>
      </c>
      <c r="G15" s="196"/>
      <c r="H15" s="260">
        <f t="shared" si="12"/>
        <v>11374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13367</v>
      </c>
      <c r="S15" s="276">
        <f t="shared" si="4"/>
        <v>8</v>
      </c>
      <c r="T15" s="503">
        <f t="shared" si="18"/>
        <v>281246</v>
      </c>
      <c r="U15" s="276">
        <f t="shared" si="19"/>
        <v>2000</v>
      </c>
      <c r="V15" s="276">
        <v>250</v>
      </c>
      <c r="W15" s="323"/>
      <c r="X15" s="584">
        <f t="shared" si="20"/>
        <v>13429</v>
      </c>
      <c r="Y15" s="276" t="str">
        <f t="shared" si="5"/>
        <v>ok</v>
      </c>
      <c r="Z15" s="276">
        <f t="shared" si="6"/>
        <v>10</v>
      </c>
      <c r="AA15" s="276">
        <f t="shared" si="21"/>
        <v>2500</v>
      </c>
      <c r="AB15" s="276">
        <f t="shared" si="22"/>
        <v>500</v>
      </c>
      <c r="AC15" s="276">
        <f t="shared" si="23"/>
        <v>250</v>
      </c>
      <c r="AD15" s="73">
        <f>ELEC!Q16</f>
        <v>5125</v>
      </c>
      <c r="AE15" s="73">
        <f t="shared" si="28"/>
        <v>512.5</v>
      </c>
      <c r="AF15" s="387">
        <f t="shared" si="29"/>
        <v>0.3203125</v>
      </c>
      <c r="AG15" s="387">
        <f t="shared" si="29"/>
        <v>2.0019531249999999E-4</v>
      </c>
      <c r="AH15" s="388">
        <f t="shared" si="24"/>
        <v>249.99979980468751</v>
      </c>
      <c r="AI15" s="73">
        <f t="shared" si="31"/>
        <v>1319.0928270042195</v>
      </c>
      <c r="AJ15" s="278">
        <f t="shared" si="7"/>
        <v>0.25738396624472576</v>
      </c>
      <c r="AK15" s="278">
        <f t="shared" si="8"/>
        <v>131.90928270042195</v>
      </c>
      <c r="AL15">
        <f t="shared" si="25"/>
        <v>1</v>
      </c>
    </row>
    <row r="16" spans="1:38" ht="16.5" thickBot="1">
      <c r="A16" s="4">
        <f>ELEC!C17</f>
        <v>44544</v>
      </c>
      <c r="B16" s="502">
        <v>11243</v>
      </c>
      <c r="C16" s="276">
        <f t="shared" si="9"/>
        <v>7</v>
      </c>
      <c r="D16" s="503">
        <f t="shared" si="10"/>
        <v>573766</v>
      </c>
      <c r="E16" s="276">
        <f t="shared" si="11"/>
        <v>1750</v>
      </c>
      <c r="F16" s="276">
        <f t="shared" si="0"/>
        <v>250</v>
      </c>
      <c r="G16" s="196"/>
      <c r="H16" s="260">
        <f t="shared" si="12"/>
        <v>11374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13369</v>
      </c>
      <c r="S16" s="276">
        <f t="shared" si="4"/>
        <v>2</v>
      </c>
      <c r="T16" s="503">
        <f t="shared" si="18"/>
        <v>281746</v>
      </c>
      <c r="U16" s="276">
        <f t="shared" si="19"/>
        <v>500</v>
      </c>
      <c r="V16" s="276">
        <v>250</v>
      </c>
      <c r="W16" s="323"/>
      <c r="X16" s="584">
        <f t="shared" si="20"/>
        <v>13429</v>
      </c>
      <c r="Y16" s="276" t="str">
        <f t="shared" si="5"/>
        <v>ok</v>
      </c>
      <c r="Z16" s="276">
        <f t="shared" si="6"/>
        <v>9</v>
      </c>
      <c r="AA16" s="276">
        <f t="shared" si="21"/>
        <v>2250</v>
      </c>
      <c r="AB16" s="276">
        <f t="shared" si="22"/>
        <v>500</v>
      </c>
      <c r="AC16" s="276">
        <f t="shared" si="23"/>
        <v>250</v>
      </c>
      <c r="AD16" s="73">
        <f>ELEC!Q17</f>
        <v>5146.0000000006403</v>
      </c>
      <c r="AE16" s="73">
        <f t="shared" si="28"/>
        <v>571.77777777784888</v>
      </c>
      <c r="AF16" s="387">
        <f t="shared" si="29"/>
        <v>0.35736111111115554</v>
      </c>
      <c r="AG16" s="387">
        <f t="shared" si="29"/>
        <v>2.233506944444722E-4</v>
      </c>
      <c r="AH16" s="388">
        <f t="shared" si="24"/>
        <v>249.99977664930555</v>
      </c>
      <c r="AI16" s="73">
        <f t="shared" si="31"/>
        <v>1324.4978902955236</v>
      </c>
      <c r="AJ16" s="278">
        <f t="shared" si="7"/>
        <v>0.25738396624472576</v>
      </c>
      <c r="AK16" s="278">
        <f t="shared" si="8"/>
        <v>147.16643225505817</v>
      </c>
      <c r="AL16">
        <f t="shared" si="25"/>
        <v>1</v>
      </c>
    </row>
    <row r="17" spans="1:38" ht="16.5" thickBot="1">
      <c r="A17" s="4">
        <f>ELEC!C18</f>
        <v>44545</v>
      </c>
      <c r="B17" s="502">
        <v>11245</v>
      </c>
      <c r="C17" s="276">
        <f t="shared" si="9"/>
        <v>2</v>
      </c>
      <c r="D17" s="503">
        <f t="shared" si="10"/>
        <v>574266</v>
      </c>
      <c r="E17" s="276">
        <f t="shared" si="11"/>
        <v>500</v>
      </c>
      <c r="F17" s="276">
        <f t="shared" si="0"/>
        <v>250</v>
      </c>
      <c r="G17" s="196"/>
      <c r="H17" s="260">
        <f t="shared" si="12"/>
        <v>11374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13377</v>
      </c>
      <c r="S17" s="276">
        <f t="shared" si="4"/>
        <v>8</v>
      </c>
      <c r="T17" s="503">
        <f t="shared" si="18"/>
        <v>283746</v>
      </c>
      <c r="U17" s="276">
        <f t="shared" si="19"/>
        <v>2000</v>
      </c>
      <c r="V17" s="276">
        <v>250</v>
      </c>
      <c r="W17" s="323"/>
      <c r="X17" s="584">
        <f t="shared" si="20"/>
        <v>13429</v>
      </c>
      <c r="Y17" s="276" t="str">
        <f t="shared" si="5"/>
        <v>ok</v>
      </c>
      <c r="Z17" s="276">
        <f t="shared" si="6"/>
        <v>10</v>
      </c>
      <c r="AA17" s="276">
        <f t="shared" si="21"/>
        <v>2500</v>
      </c>
      <c r="AB17" s="276">
        <f t="shared" si="22"/>
        <v>500</v>
      </c>
      <c r="AC17" s="276">
        <f t="shared" si="23"/>
        <v>250</v>
      </c>
      <c r="AD17" s="73">
        <f>ELEC!Q18</f>
        <v>5173.9999999990687</v>
      </c>
      <c r="AE17" s="73">
        <f t="shared" si="28"/>
        <v>517.39999999990687</v>
      </c>
      <c r="AF17" s="387">
        <f t="shared" si="29"/>
        <v>0.32337499999994179</v>
      </c>
      <c r="AG17" s="387">
        <f t="shared" si="29"/>
        <v>2.0210937499996363E-4</v>
      </c>
      <c r="AH17" s="388">
        <f t="shared" si="24"/>
        <v>249.99979789062499</v>
      </c>
      <c r="AI17" s="73">
        <f t="shared" si="31"/>
        <v>1331.7046413499713</v>
      </c>
      <c r="AJ17" s="278">
        <f t="shared" si="7"/>
        <v>0.25738396624472576</v>
      </c>
      <c r="AK17" s="278">
        <f t="shared" si="8"/>
        <v>133.17046413499713</v>
      </c>
      <c r="AL17">
        <f t="shared" si="25"/>
        <v>1</v>
      </c>
    </row>
    <row r="18" spans="1:38" ht="16.5" thickBot="1">
      <c r="A18" s="4">
        <f>ELEC!C19</f>
        <v>44546</v>
      </c>
      <c r="B18" s="502">
        <v>11265</v>
      </c>
      <c r="C18" s="276">
        <f t="shared" si="9"/>
        <v>20</v>
      </c>
      <c r="D18" s="503">
        <f t="shared" si="10"/>
        <v>579266</v>
      </c>
      <c r="E18" s="276">
        <f t="shared" si="11"/>
        <v>5000</v>
      </c>
      <c r="F18" s="276">
        <f t="shared" si="0"/>
        <v>250</v>
      </c>
      <c r="G18" s="196"/>
      <c r="H18" s="260">
        <f t="shared" si="12"/>
        <v>11374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13377</v>
      </c>
      <c r="S18" s="276">
        <f t="shared" si="4"/>
        <v>0</v>
      </c>
      <c r="T18" s="503">
        <f t="shared" si="18"/>
        <v>283746</v>
      </c>
      <c r="U18" s="276">
        <f t="shared" si="19"/>
        <v>0</v>
      </c>
      <c r="V18" s="276">
        <v>250</v>
      </c>
      <c r="W18" s="323"/>
      <c r="X18" s="584">
        <f t="shared" si="20"/>
        <v>13429</v>
      </c>
      <c r="Y18" s="276" t="str">
        <f t="shared" si="5"/>
        <v>ok</v>
      </c>
      <c r="Z18" s="276">
        <f t="shared" si="6"/>
        <v>20</v>
      </c>
      <c r="AA18" s="276">
        <f t="shared" si="21"/>
        <v>5000</v>
      </c>
      <c r="AB18" s="276">
        <f t="shared" si="22"/>
        <v>500</v>
      </c>
      <c r="AC18" s="276">
        <f t="shared" si="23"/>
        <v>250</v>
      </c>
      <c r="AD18" s="73">
        <f>ELEC!Q19</f>
        <v>9922.0000000022992</v>
      </c>
      <c r="AE18" s="73">
        <f t="shared" si="28"/>
        <v>496.10000000011496</v>
      </c>
      <c r="AF18" s="387">
        <f t="shared" si="29"/>
        <v>0.31006250000007185</v>
      </c>
      <c r="AG18" s="387">
        <f t="shared" si="29"/>
        <v>1.9378906250004492E-4</v>
      </c>
      <c r="AH18" s="388">
        <f t="shared" si="24"/>
        <v>249.99980621093749</v>
      </c>
      <c r="AI18" s="73">
        <f t="shared" si="31"/>
        <v>2553.7637130807607</v>
      </c>
      <c r="AJ18" s="278">
        <f t="shared" si="7"/>
        <v>0.25738396624472576</v>
      </c>
      <c r="AK18" s="278">
        <f t="shared" si="8"/>
        <v>127.68818565403804</v>
      </c>
      <c r="AL18">
        <f t="shared" si="25"/>
        <v>1</v>
      </c>
    </row>
    <row r="19" spans="1:38" ht="16.5" thickBot="1">
      <c r="A19" s="4">
        <f>ELEC!C20</f>
        <v>44547</v>
      </c>
      <c r="B19" s="502">
        <f t="shared" si="26"/>
        <v>11265</v>
      </c>
      <c r="C19" s="276">
        <f t="shared" si="9"/>
        <v>0</v>
      </c>
      <c r="D19" s="503">
        <f t="shared" si="10"/>
        <v>579266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11374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13377</v>
      </c>
      <c r="S19" s="276">
        <f t="shared" si="4"/>
        <v>0</v>
      </c>
      <c r="T19" s="503">
        <f t="shared" si="18"/>
        <v>283746</v>
      </c>
      <c r="U19" s="276">
        <f t="shared" si="19"/>
        <v>0</v>
      </c>
      <c r="V19" s="276">
        <v>250</v>
      </c>
      <c r="W19" s="323"/>
      <c r="X19" s="584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11265</v>
      </c>
      <c r="C20" s="276">
        <f>B20-B19</f>
        <v>0</v>
      </c>
      <c r="D20" s="503">
        <f t="shared" si="10"/>
        <v>579266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11374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13377</v>
      </c>
      <c r="S20" s="276">
        <f t="shared" si="4"/>
        <v>0</v>
      </c>
      <c r="T20" s="503">
        <f t="shared" si="18"/>
        <v>283746</v>
      </c>
      <c r="U20" s="276">
        <f t="shared" si="19"/>
        <v>0</v>
      </c>
      <c r="V20" s="276">
        <v>250</v>
      </c>
      <c r="W20" s="323"/>
      <c r="X20" s="584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v>11275</v>
      </c>
      <c r="C21" s="276">
        <f>B21-B20</f>
        <v>10</v>
      </c>
      <c r="D21" s="503">
        <f t="shared" si="10"/>
        <v>581766</v>
      </c>
      <c r="E21" s="276">
        <f t="shared" si="11"/>
        <v>2500</v>
      </c>
      <c r="F21" s="276">
        <f t="shared" si="0"/>
        <v>250</v>
      </c>
      <c r="G21" s="196"/>
      <c r="H21" s="260">
        <f t="shared" si="12"/>
        <v>11374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v>13379</v>
      </c>
      <c r="S21" s="276">
        <f t="shared" si="4"/>
        <v>2</v>
      </c>
      <c r="T21" s="503">
        <f t="shared" si="18"/>
        <v>284246</v>
      </c>
      <c r="U21" s="276">
        <f t="shared" si="19"/>
        <v>500</v>
      </c>
      <c r="V21" s="276">
        <v>250</v>
      </c>
      <c r="W21" s="196"/>
      <c r="X21" s="584">
        <f t="shared" si="20"/>
        <v>13429</v>
      </c>
      <c r="Y21" s="276" t="str">
        <f>Y20</f>
        <v>ok</v>
      </c>
      <c r="Z21" s="276">
        <f t="shared" si="6"/>
        <v>12</v>
      </c>
      <c r="AA21" s="276">
        <f t="shared" si="21"/>
        <v>3000</v>
      </c>
      <c r="AB21" s="276">
        <f t="shared" si="22"/>
        <v>500</v>
      </c>
      <c r="AC21" s="276">
        <f t="shared" si="23"/>
        <v>250</v>
      </c>
      <c r="AD21" s="73">
        <f>ELEC!Q22</f>
        <v>5358.0000000001746</v>
      </c>
      <c r="AE21" s="73">
        <f t="shared" si="28"/>
        <v>446.50000000001455</v>
      </c>
      <c r="AF21" s="387">
        <f t="shared" si="29"/>
        <v>0.27906250000000909</v>
      </c>
      <c r="AG21" s="387">
        <f t="shared" si="29"/>
        <v>1.7441406250000567E-4</v>
      </c>
      <c r="AH21" s="388">
        <f t="shared" si="24"/>
        <v>249.99982558593749</v>
      </c>
      <c r="AI21" s="73">
        <f t="shared" si="31"/>
        <v>1379.0632911392856</v>
      </c>
      <c r="AJ21" s="278">
        <f t="shared" si="7"/>
        <v>0.25738396624472576</v>
      </c>
      <c r="AK21" s="278">
        <f t="shared" si="8"/>
        <v>114.9219409282738</v>
      </c>
      <c r="AL21">
        <f t="shared" si="25"/>
        <v>1</v>
      </c>
    </row>
    <row r="22" spans="1:38" ht="16.5" thickBot="1">
      <c r="A22" s="4">
        <f>ELEC!C23</f>
        <v>44550</v>
      </c>
      <c r="B22" s="502">
        <v>11278</v>
      </c>
      <c r="C22" s="276">
        <f t="shared" si="9"/>
        <v>3</v>
      </c>
      <c r="D22" s="503">
        <f t="shared" si="10"/>
        <v>582516</v>
      </c>
      <c r="E22" s="276">
        <f>150*C22</f>
        <v>450</v>
      </c>
      <c r="F22" s="276">
        <f t="shared" si="0"/>
        <v>150</v>
      </c>
      <c r="G22" s="196"/>
      <c r="H22" s="260">
        <f t="shared" si="12"/>
        <v>11374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v>13387</v>
      </c>
      <c r="S22" s="276">
        <f t="shared" si="4"/>
        <v>8</v>
      </c>
      <c r="T22" s="503">
        <f t="shared" si="18"/>
        <v>286246</v>
      </c>
      <c r="U22" s="276">
        <f t="shared" si="19"/>
        <v>2000</v>
      </c>
      <c r="V22" s="276">
        <v>250</v>
      </c>
      <c r="W22" s="196"/>
      <c r="X22" s="584">
        <f t="shared" si="20"/>
        <v>13429</v>
      </c>
      <c r="Y22" s="276" t="str">
        <f t="shared" ref="Y22:Y33" si="34">Y21</f>
        <v>ok</v>
      </c>
      <c r="Z22" s="276">
        <f t="shared" si="6"/>
        <v>11</v>
      </c>
      <c r="AA22" s="276">
        <f t="shared" si="21"/>
        <v>2450</v>
      </c>
      <c r="AB22" s="276">
        <f t="shared" si="22"/>
        <v>400</v>
      </c>
      <c r="AC22" s="276">
        <f t="shared" si="23"/>
        <v>222.72727272727272</v>
      </c>
      <c r="AD22" s="73">
        <f>ELEC!Q23</f>
        <v>5701.9999999974971</v>
      </c>
      <c r="AE22" s="73">
        <f t="shared" si="28"/>
        <v>518.36363636340877</v>
      </c>
      <c r="AF22" s="387">
        <f t="shared" si="29"/>
        <v>0.32397727272713051</v>
      </c>
      <c r="AG22" s="387">
        <f t="shared" si="29"/>
        <v>2.0248579545445656E-4</v>
      </c>
      <c r="AH22" s="388">
        <f t="shared" si="24"/>
        <v>222.72707024147726</v>
      </c>
      <c r="AI22" s="73">
        <f t="shared" si="31"/>
        <v>1467.603375526782</v>
      </c>
      <c r="AJ22" s="278">
        <f t="shared" si="7"/>
        <v>0.25738396624472576</v>
      </c>
      <c r="AK22" s="278">
        <f t="shared" si="8"/>
        <v>133.41848868425291</v>
      </c>
      <c r="AL22">
        <f t="shared" si="25"/>
        <v>1</v>
      </c>
    </row>
    <row r="23" spans="1:38" ht="16.5" thickBot="1">
      <c r="A23" s="4">
        <f>ELEC!C24</f>
        <v>44551</v>
      </c>
      <c r="B23" s="502">
        <f t="shared" si="26"/>
        <v>11278</v>
      </c>
      <c r="C23" s="276">
        <f t="shared" si="9"/>
        <v>0</v>
      </c>
      <c r="D23" s="503">
        <f t="shared" si="10"/>
        <v>582516</v>
      </c>
      <c r="E23" s="276">
        <f>150*C23</f>
        <v>0</v>
      </c>
      <c r="F23" s="276">
        <f t="shared" si="0"/>
        <v>0</v>
      </c>
      <c r="G23" s="196"/>
      <c r="H23" s="260">
        <f t="shared" si="12"/>
        <v>11374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13387</v>
      </c>
      <c r="S23" s="276">
        <f>R23-R22</f>
        <v>0</v>
      </c>
      <c r="T23" s="503">
        <f t="shared" si="18"/>
        <v>286246</v>
      </c>
      <c r="U23" s="276">
        <f>V23*S23</f>
        <v>0</v>
      </c>
      <c r="V23" s="276">
        <v>250</v>
      </c>
      <c r="W23" s="196"/>
      <c r="X23" s="584">
        <f t="shared" si="20"/>
        <v>13429</v>
      </c>
      <c r="Y23" s="276" t="str">
        <f t="shared" si="34"/>
        <v>ok</v>
      </c>
      <c r="Z23" s="276">
        <f t="shared" si="6"/>
        <v>0</v>
      </c>
      <c r="AA23" s="276">
        <f t="shared" si="21"/>
        <v>0</v>
      </c>
      <c r="AB23" s="276">
        <f t="shared" si="22"/>
        <v>250</v>
      </c>
      <c r="AC23" s="276">
        <f t="shared" si="23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4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5"/>
        <v>0</v>
      </c>
    </row>
    <row r="24" spans="1:38" ht="16.5" thickBot="1">
      <c r="A24" s="4">
        <f>ELEC!C25</f>
        <v>44552</v>
      </c>
      <c r="B24" s="502">
        <f t="shared" si="26"/>
        <v>11278</v>
      </c>
      <c r="C24" s="276">
        <f t="shared" si="9"/>
        <v>0</v>
      </c>
      <c r="D24" s="503">
        <f t="shared" si="10"/>
        <v>582516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11374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7"/>
        <v>13387</v>
      </c>
      <c r="S24" s="276">
        <f t="shared" si="4"/>
        <v>0</v>
      </c>
      <c r="T24" s="503">
        <f t="shared" si="18"/>
        <v>286246</v>
      </c>
      <c r="U24" s="276">
        <f t="shared" si="19"/>
        <v>0</v>
      </c>
      <c r="V24" s="276">
        <v>250</v>
      </c>
      <c r="W24" s="196"/>
      <c r="X24" s="584">
        <f t="shared" si="20"/>
        <v>13429</v>
      </c>
      <c r="Y24" s="276" t="str">
        <f t="shared" si="34"/>
        <v>ok</v>
      </c>
      <c r="Z24" s="276">
        <f t="shared" si="6"/>
        <v>0</v>
      </c>
      <c r="AA24" s="276">
        <f t="shared" si="21"/>
        <v>0</v>
      </c>
      <c r="AB24" s="276">
        <f t="shared" si="22"/>
        <v>250</v>
      </c>
      <c r="AC24" s="276">
        <f t="shared" si="23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4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5"/>
        <v>0</v>
      </c>
    </row>
    <row r="25" spans="1:38" ht="16.5" thickBot="1">
      <c r="A25" s="4">
        <f>ELEC!C26</f>
        <v>44553</v>
      </c>
      <c r="B25" s="502">
        <f t="shared" si="26"/>
        <v>11278</v>
      </c>
      <c r="C25" s="276">
        <f t="shared" si="9"/>
        <v>0</v>
      </c>
      <c r="D25" s="503">
        <f t="shared" si="10"/>
        <v>582516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11374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7"/>
        <v>13387</v>
      </c>
      <c r="S25" s="276">
        <f t="shared" si="4"/>
        <v>0</v>
      </c>
      <c r="T25" s="503">
        <f t="shared" si="18"/>
        <v>286246</v>
      </c>
      <c r="U25" s="276">
        <f t="shared" si="19"/>
        <v>0</v>
      </c>
      <c r="V25" s="276">
        <v>250</v>
      </c>
      <c r="W25" s="196"/>
      <c r="X25" s="584">
        <f t="shared" si="20"/>
        <v>13429</v>
      </c>
      <c r="Y25" s="276" t="str">
        <f t="shared" si="34"/>
        <v>ok</v>
      </c>
      <c r="Z25" s="276">
        <f t="shared" si="6"/>
        <v>0</v>
      </c>
      <c r="AA25" s="276">
        <f t="shared" si="21"/>
        <v>0</v>
      </c>
      <c r="AB25" s="276">
        <f t="shared" si="22"/>
        <v>250</v>
      </c>
      <c r="AC25" s="276">
        <f t="shared" si="23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4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5"/>
        <v>0</v>
      </c>
    </row>
    <row r="26" spans="1:38" ht="16.5" thickBot="1">
      <c r="A26" s="4">
        <f>ELEC!C27</f>
        <v>44554</v>
      </c>
      <c r="B26" s="502">
        <f t="shared" si="26"/>
        <v>11278</v>
      </c>
      <c r="C26" s="276">
        <f>B26-B25</f>
        <v>0</v>
      </c>
      <c r="D26" s="503">
        <f t="shared" si="10"/>
        <v>582516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11374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13387</v>
      </c>
      <c r="S26" s="276">
        <f t="shared" ref="S26" si="35">R26-R25</f>
        <v>0</v>
      </c>
      <c r="T26" s="503">
        <f t="shared" si="18"/>
        <v>286246</v>
      </c>
      <c r="U26" s="276">
        <f t="shared" si="19"/>
        <v>0</v>
      </c>
      <c r="V26" s="276">
        <v>250</v>
      </c>
      <c r="W26" s="196"/>
      <c r="X26" s="584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11278</v>
      </c>
      <c r="C27" s="276">
        <f>B27-B26</f>
        <v>0</v>
      </c>
      <c r="D27" s="503">
        <f t="shared" si="10"/>
        <v>582516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11374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13387</v>
      </c>
      <c r="S27" s="276">
        <f t="shared" si="4"/>
        <v>0</v>
      </c>
      <c r="T27" s="503">
        <f t="shared" si="18"/>
        <v>286246</v>
      </c>
      <c r="U27" s="276">
        <f t="shared" si="19"/>
        <v>0</v>
      </c>
      <c r="V27" s="276">
        <v>250</v>
      </c>
      <c r="W27" s="196"/>
      <c r="X27" s="584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11278</v>
      </c>
      <c r="C28" s="276">
        <f t="shared" si="9"/>
        <v>0</v>
      </c>
      <c r="D28" s="503">
        <f t="shared" si="10"/>
        <v>582516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11374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13387</v>
      </c>
      <c r="S28" s="276">
        <f t="shared" si="4"/>
        <v>0</v>
      </c>
      <c r="T28" s="503">
        <f t="shared" si="18"/>
        <v>286246</v>
      </c>
      <c r="U28" s="276">
        <f t="shared" si="19"/>
        <v>0</v>
      </c>
      <c r="V28" s="276">
        <v>250</v>
      </c>
      <c r="W28" s="196"/>
      <c r="X28" s="584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f t="shared" si="26"/>
        <v>11278</v>
      </c>
      <c r="C29" s="276">
        <f t="shared" si="9"/>
        <v>0</v>
      </c>
      <c r="D29" s="503">
        <f t="shared" si="10"/>
        <v>582516</v>
      </c>
      <c r="E29" s="276">
        <f t="shared" si="36"/>
        <v>0</v>
      </c>
      <c r="F29" s="276">
        <f t="shared" si="0"/>
        <v>0</v>
      </c>
      <c r="G29" s="196"/>
      <c r="H29" s="260">
        <f t="shared" si="12"/>
        <v>11374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7"/>
        <v>13387</v>
      </c>
      <c r="S29" s="276">
        <f t="shared" si="4"/>
        <v>0</v>
      </c>
      <c r="T29" s="503">
        <f>T28+U29</f>
        <v>286246</v>
      </c>
      <c r="U29" s="276">
        <f>V29*S29</f>
        <v>0</v>
      </c>
      <c r="V29" s="276">
        <v>250</v>
      </c>
      <c r="W29" s="196"/>
      <c r="X29" s="584">
        <f t="shared" si="20"/>
        <v>13429</v>
      </c>
      <c r="Y29" s="276" t="str">
        <f t="shared" si="34"/>
        <v>ok</v>
      </c>
      <c r="Z29" s="276">
        <f t="shared" si="6"/>
        <v>0</v>
      </c>
      <c r="AA29" s="276">
        <f t="shared" si="21"/>
        <v>0</v>
      </c>
      <c r="AB29" s="276">
        <f t="shared" si="22"/>
        <v>250</v>
      </c>
      <c r="AC29" s="276">
        <f t="shared" si="23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4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5"/>
        <v>0</v>
      </c>
    </row>
    <row r="30" spans="1:38" ht="16.5" thickBot="1">
      <c r="A30" s="4">
        <f>ELEC!C31</f>
        <v>44558</v>
      </c>
      <c r="B30" s="502">
        <f t="shared" si="26"/>
        <v>11278</v>
      </c>
      <c r="C30" s="276">
        <f t="shared" si="9"/>
        <v>0</v>
      </c>
      <c r="D30" s="503">
        <f t="shared" si="10"/>
        <v>582516</v>
      </c>
      <c r="E30" s="276">
        <f t="shared" si="36"/>
        <v>0</v>
      </c>
      <c r="F30" s="276">
        <f t="shared" si="0"/>
        <v>0</v>
      </c>
      <c r="G30" s="196"/>
      <c r="H30" s="260">
        <f t="shared" si="12"/>
        <v>11374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13387</v>
      </c>
      <c r="S30" s="276">
        <f t="shared" si="4"/>
        <v>0</v>
      </c>
      <c r="T30" s="503">
        <f t="shared" si="18"/>
        <v>286246</v>
      </c>
      <c r="U30" s="276">
        <f t="shared" si="19"/>
        <v>0</v>
      </c>
      <c r="V30" s="276">
        <v>250</v>
      </c>
      <c r="W30" s="274"/>
      <c r="X30" s="584">
        <f t="shared" si="20"/>
        <v>13429</v>
      </c>
      <c r="Y30" s="276" t="str">
        <f t="shared" si="34"/>
        <v>ok</v>
      </c>
      <c r="Z30" s="276">
        <f t="shared" si="6"/>
        <v>0</v>
      </c>
      <c r="AA30" s="276">
        <f t="shared" si="21"/>
        <v>0</v>
      </c>
      <c r="AB30" s="276">
        <f t="shared" si="22"/>
        <v>250</v>
      </c>
      <c r="AC30" s="276">
        <f t="shared" si="23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4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5"/>
        <v>0</v>
      </c>
    </row>
    <row r="31" spans="1:38" ht="16.5" thickBot="1">
      <c r="A31" s="4">
        <f>ELEC!C32</f>
        <v>44559</v>
      </c>
      <c r="B31" s="502">
        <f t="shared" si="26"/>
        <v>11278</v>
      </c>
      <c r="C31" s="276">
        <f>B31-B30</f>
        <v>0</v>
      </c>
      <c r="D31" s="503">
        <f t="shared" si="10"/>
        <v>582516</v>
      </c>
      <c r="E31" s="276">
        <f t="shared" si="36"/>
        <v>0</v>
      </c>
      <c r="F31" s="276">
        <f>IF(C31&gt;0,E31/C31,0)</f>
        <v>0</v>
      </c>
      <c r="G31" s="323"/>
      <c r="H31" s="260">
        <f t="shared" si="12"/>
        <v>11374</v>
      </c>
      <c r="I31" s="276" t="str">
        <f>IF(B31-H31&lt;=0,"ok","oil change")</f>
        <v>ok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f t="shared" si="27"/>
        <v>13387</v>
      </c>
      <c r="S31" s="276">
        <f>R31-R30</f>
        <v>0</v>
      </c>
      <c r="T31" s="503">
        <f t="shared" si="18"/>
        <v>286246</v>
      </c>
      <c r="U31" s="276">
        <f t="shared" si="19"/>
        <v>0</v>
      </c>
      <c r="V31" s="276">
        <v>250</v>
      </c>
      <c r="W31" s="323"/>
      <c r="X31" s="584">
        <f t="shared" si="20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5"/>
        <v>0</v>
      </c>
    </row>
    <row r="32" spans="1:38" ht="16.5" thickBot="1">
      <c r="A32" s="4">
        <f>ELEC!C33</f>
        <v>44560</v>
      </c>
      <c r="B32" s="502">
        <f t="shared" si="26"/>
        <v>11278</v>
      </c>
      <c r="C32" s="276">
        <f>B32-B31</f>
        <v>0</v>
      </c>
      <c r="D32" s="503">
        <f t="shared" si="10"/>
        <v>582516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11374</v>
      </c>
      <c r="I32" s="276" t="str">
        <f>IF(B32-H32&lt;=0,"ok","oil change")</f>
        <v>ok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13387</v>
      </c>
      <c r="S32" s="276">
        <f>R32-R31</f>
        <v>0</v>
      </c>
      <c r="T32" s="503">
        <f t="shared" si="18"/>
        <v>286246</v>
      </c>
      <c r="U32" s="276">
        <f t="shared" si="19"/>
        <v>0</v>
      </c>
      <c r="V32" s="276">
        <v>250</v>
      </c>
      <c r="W32" s="323"/>
      <c r="X32" s="584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11278</v>
      </c>
      <c r="C33" s="276">
        <f>B33-B32</f>
        <v>0</v>
      </c>
      <c r="D33" s="503">
        <f t="shared" si="10"/>
        <v>582516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11374</v>
      </c>
      <c r="I33" s="276" t="str">
        <f>IF(B33-H33&lt;=0,"ok","oil change")</f>
        <v>ok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13387</v>
      </c>
      <c r="S33" s="276">
        <f>R33-R32</f>
        <v>0</v>
      </c>
      <c r="T33" s="503">
        <f t="shared" si="18"/>
        <v>286246</v>
      </c>
      <c r="U33" s="276">
        <f t="shared" si="19"/>
        <v>0</v>
      </c>
      <c r="V33" s="276">
        <v>251</v>
      </c>
      <c r="W33" s="323"/>
      <c r="X33" s="584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155</v>
      </c>
      <c r="V34" s="40"/>
      <c r="X34">
        <v>341</v>
      </c>
      <c r="Z34" s="404">
        <f>SUM(Z3:Z33)</f>
        <v>155</v>
      </c>
      <c r="AF34" s="387">
        <f t="shared" si="38"/>
        <v>0</v>
      </c>
      <c r="AL34">
        <f>SUM(AL3:AL33)</f>
        <v>14</v>
      </c>
    </row>
    <row r="35" spans="1:38">
      <c r="C35" s="40">
        <f>SUM(C3:C33)</f>
        <v>80</v>
      </c>
      <c r="K35" s="40">
        <f>SUM(K3:K33)</f>
        <v>0</v>
      </c>
      <c r="S35" s="40">
        <f>SUM(S3:S33)</f>
        <v>75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10" zoomScale="85" zoomScaleNormal="85" workbookViewId="0">
      <pane xSplit="1" topLeftCell="AQ1" activePane="topRight" state="frozen"/>
      <selection pane="topRight" activeCell="AW21" sqref="AW2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5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1268.6455696202756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41"/>
        <v>16730</v>
      </c>
      <c r="AP11" s="525"/>
      <c r="AQ11" s="223">
        <f t="shared" si="37"/>
        <v>0.76292491160867026</v>
      </c>
      <c r="AR11" s="38">
        <f t="shared" si="38"/>
        <v>70929.129032258075</v>
      </c>
      <c r="AS11" s="197">
        <f t="shared" si="42"/>
        <v>-1796.7419354838494</v>
      </c>
      <c r="AT11" s="340"/>
      <c r="AU11" s="549"/>
      <c r="AV11" s="485">
        <f>IF(AT11&gt;0,AU11,AV10)</f>
        <v>0.63400000000000001</v>
      </c>
      <c r="AW11" s="279">
        <f>-SUM('B5'!AI10)</f>
        <v>-110</v>
      </c>
      <c r="AX11" s="279">
        <f t="shared" si="17"/>
        <v>-1686.7419354838494</v>
      </c>
      <c r="AY11" s="37">
        <f t="shared" si="39"/>
        <v>-1796.7419354838494</v>
      </c>
      <c r="AZ11" s="100">
        <f>ELEC!A9</f>
        <v>0</v>
      </c>
      <c r="BA11" s="118">
        <f>'General information '!D10</f>
        <v>19</v>
      </c>
      <c r="BB11" s="378">
        <f>SUM('General information '!E10)</f>
        <v>0.59</v>
      </c>
      <c r="BC11" s="3">
        <f t="shared" si="44"/>
        <v>0</v>
      </c>
      <c r="BD11" s="102">
        <v>19222</v>
      </c>
      <c r="BE11" s="14">
        <f>(305/1185)*ELEC!Q10</f>
        <v>1349.7215189870274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-181.37010058967542</v>
      </c>
      <c r="BK11" s="538">
        <f>GEN!AF8</f>
        <v>0.34229166666667277</v>
      </c>
    </row>
    <row r="12" spans="1:63">
      <c r="A12" s="425">
        <f>ELEC!C10</f>
        <v>44537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41"/>
        <v>15820</v>
      </c>
      <c r="AP12" s="525"/>
      <c r="AQ12" s="223">
        <f t="shared" si="37"/>
        <v>0.73277089036699294</v>
      </c>
      <c r="AR12" s="38">
        <f t="shared" si="38"/>
        <v>68125.709677419334</v>
      </c>
      <c r="AS12" s="197">
        <f t="shared" si="42"/>
        <v>-2803.4193548387411</v>
      </c>
      <c r="AT12" s="340"/>
      <c r="AU12" s="549"/>
      <c r="AV12" s="485">
        <f t="shared" si="43"/>
        <v>0.63400000000000001</v>
      </c>
      <c r="AW12" s="279">
        <f>-SUM('B5'!AI11)</f>
        <v>-119</v>
      </c>
      <c r="AX12" s="279">
        <f t="shared" si="17"/>
        <v>-2684.4193548387411</v>
      </c>
      <c r="AY12" s="37">
        <f t="shared" si="39"/>
        <v>-2803.4193548387411</v>
      </c>
      <c r="AZ12" s="100">
        <f>ELEC!A10</f>
        <v>0</v>
      </c>
      <c r="BA12" s="118">
        <f>'General information '!D11</f>
        <v>19.5</v>
      </c>
      <c r="BB12" s="378">
        <f>SUM('General information '!E11)</f>
        <v>0.44</v>
      </c>
      <c r="BC12" s="3">
        <f t="shared" si="44"/>
        <v>0</v>
      </c>
      <c r="BD12" s="102">
        <v>19222</v>
      </c>
      <c r="BE12" s="14">
        <f>(305/1185)*ELEC!Q11</f>
        <v>1534.7805907172324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-725.5187445508684</v>
      </c>
      <c r="BK12" s="538">
        <f>GEN!AF9</f>
        <v>0.3277499999999236</v>
      </c>
    </row>
    <row r="13" spans="1:63">
      <c r="A13" s="425">
        <f>ELEC!C11</f>
        <v>44538</v>
      </c>
      <c r="B13">
        <f>'B5'!B12</f>
        <v>214</v>
      </c>
      <c r="C13" s="203">
        <f t="shared" si="18"/>
        <v>4604.4516129032254</v>
      </c>
      <c r="D13">
        <f t="shared" si="19"/>
        <v>214</v>
      </c>
      <c r="E13" s="203">
        <f t="shared" si="18"/>
        <v>4604.4516129032254</v>
      </c>
      <c r="F13">
        <f t="shared" si="20"/>
        <v>214</v>
      </c>
      <c r="G13" s="203">
        <f t="shared" si="1"/>
        <v>4604.4516129032254</v>
      </c>
      <c r="H13" s="203">
        <f t="shared" si="21"/>
        <v>214</v>
      </c>
      <c r="I13" s="203">
        <f t="shared" si="2"/>
        <v>4604.4516129032254</v>
      </c>
      <c r="J13" s="203">
        <f t="shared" si="22"/>
        <v>214</v>
      </c>
      <c r="K13" s="203">
        <f t="shared" si="3"/>
        <v>4604.4516129032254</v>
      </c>
      <c r="L13" s="203">
        <f t="shared" si="23"/>
        <v>214</v>
      </c>
      <c r="M13" s="203">
        <f t="shared" si="4"/>
        <v>4604.4516129032254</v>
      </c>
      <c r="N13" s="203">
        <f t="shared" si="24"/>
        <v>214</v>
      </c>
      <c r="O13" s="203">
        <f t="shared" si="5"/>
        <v>4604.4516129032254</v>
      </c>
      <c r="P13" s="203">
        <f t="shared" si="25"/>
        <v>214</v>
      </c>
      <c r="Q13" s="203">
        <f t="shared" si="6"/>
        <v>4604.4516129032254</v>
      </c>
      <c r="R13" s="203">
        <f t="shared" si="26"/>
        <v>214</v>
      </c>
      <c r="S13" s="203">
        <f t="shared" si="7"/>
        <v>4604.4516129032254</v>
      </c>
      <c r="T13" s="203">
        <f t="shared" si="27"/>
        <v>214</v>
      </c>
      <c r="U13" s="203">
        <f t="shared" si="8"/>
        <v>4604.4516129032254</v>
      </c>
      <c r="V13" s="203">
        <f t="shared" si="28"/>
        <v>214</v>
      </c>
      <c r="W13" s="203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3">
        <f>'B5'!C12</f>
        <v>221</v>
      </c>
      <c r="AA13" s="203">
        <f t="shared" si="30"/>
        <v>2210</v>
      </c>
      <c r="AB13" s="203">
        <f t="shared" si="31"/>
        <v>221</v>
      </c>
      <c r="AC13" s="203">
        <f t="shared" si="30"/>
        <v>2210</v>
      </c>
      <c r="AD13" s="203">
        <f t="shared" si="32"/>
        <v>221</v>
      </c>
      <c r="AE13" s="203">
        <f t="shared" si="11"/>
        <v>2210</v>
      </c>
      <c r="AF13" s="203">
        <f t="shared" si="33"/>
        <v>221</v>
      </c>
      <c r="AG13" s="203">
        <f t="shared" si="12"/>
        <v>2210</v>
      </c>
      <c r="AH13" s="203">
        <f t="shared" si="34"/>
        <v>221</v>
      </c>
      <c r="AI13" s="203">
        <f t="shared" si="13"/>
        <v>2210</v>
      </c>
      <c r="AJ13" s="203">
        <f t="shared" si="35"/>
        <v>221</v>
      </c>
      <c r="AK13" s="203">
        <f t="shared" si="14"/>
        <v>2210</v>
      </c>
      <c r="AL13" s="203">
        <f t="shared" si="36"/>
        <v>221</v>
      </c>
      <c r="AM13" s="203">
        <f t="shared" si="15"/>
        <v>2210</v>
      </c>
      <c r="AN13" s="35">
        <f t="shared" si="16"/>
        <v>0.78928571428571426</v>
      </c>
      <c r="AO13" s="36">
        <f t="shared" si="41"/>
        <v>15470</v>
      </c>
      <c r="AP13" s="525"/>
      <c r="AQ13" s="223">
        <f t="shared" si="37"/>
        <v>0.71118605724357842</v>
      </c>
      <c r="AR13" s="38">
        <f t="shared" si="38"/>
        <v>66118.967741935485</v>
      </c>
      <c r="AS13" s="197">
        <f t="shared" si="42"/>
        <v>-2006.7419354838494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-2006.7419354838494</v>
      </c>
      <c r="AY13" s="37">
        <f t="shared" si="39"/>
        <v>-2006.7419354838494</v>
      </c>
      <c r="AZ13" s="100">
        <f>ELEC!A11</f>
        <v>0</v>
      </c>
      <c r="BA13" s="118">
        <f>'General information '!D12</f>
        <v>16.5</v>
      </c>
      <c r="BB13" s="378">
        <f>SUM('General information '!E12)</f>
        <v>0.63</v>
      </c>
      <c r="BC13" s="3">
        <f t="shared" si="44"/>
        <v>0</v>
      </c>
      <c r="BD13" s="102">
        <v>19222</v>
      </c>
      <c r="BE13" s="14">
        <f>(305/1185)*ELEC!Q12</f>
        <v>1244.7088607602579</v>
      </c>
      <c r="BF13" s="14"/>
      <c r="BG13" s="14" t="e">
        <f>#REF!-BE13</f>
        <v>#REF!</v>
      </c>
      <c r="BH13" s="11"/>
      <c r="BI13">
        <v>5</v>
      </c>
      <c r="BJ13">
        <f t="shared" si="40"/>
        <v>-401.3483870967699</v>
      </c>
      <c r="BK13" s="538">
        <f>GEN!AF10</f>
        <v>0.3388068181818033</v>
      </c>
    </row>
    <row r="14" spans="1:63">
      <c r="A14" s="425">
        <f>ELEC!C12</f>
        <v>44539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214</v>
      </c>
      <c r="AA14" s="203">
        <f t="shared" si="30"/>
        <v>2140</v>
      </c>
      <c r="AB14" s="203">
        <f t="shared" si="31"/>
        <v>214</v>
      </c>
      <c r="AC14" s="203">
        <f t="shared" si="30"/>
        <v>2140</v>
      </c>
      <c r="AD14" s="203">
        <f t="shared" si="32"/>
        <v>214</v>
      </c>
      <c r="AE14" s="203">
        <f t="shared" si="11"/>
        <v>2140</v>
      </c>
      <c r="AF14" s="203">
        <f t="shared" si="33"/>
        <v>214</v>
      </c>
      <c r="AG14" s="203">
        <f t="shared" si="12"/>
        <v>2140</v>
      </c>
      <c r="AH14" s="203">
        <f t="shared" si="34"/>
        <v>214</v>
      </c>
      <c r="AI14" s="203">
        <f t="shared" si="13"/>
        <v>2140</v>
      </c>
      <c r="AJ14" s="203">
        <f t="shared" si="35"/>
        <v>214</v>
      </c>
      <c r="AK14" s="203">
        <f t="shared" si="14"/>
        <v>2140</v>
      </c>
      <c r="AL14" s="203">
        <f t="shared" si="36"/>
        <v>214</v>
      </c>
      <c r="AM14" s="203">
        <f t="shared" si="15"/>
        <v>2140</v>
      </c>
      <c r="AN14" s="35">
        <f t="shared" si="16"/>
        <v>0.76428571428571423</v>
      </c>
      <c r="AO14" s="36">
        <f t="shared" si="41"/>
        <v>14980</v>
      </c>
      <c r="AQ14" s="223">
        <f t="shared" si="37"/>
        <v>0.68809536201410781</v>
      </c>
      <c r="AR14" s="38">
        <f t="shared" si="38"/>
        <v>63972.225806451606</v>
      </c>
      <c r="AS14" s="197">
        <f t="shared" si="42"/>
        <v>-2146.7419354838785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-2146.7419354838785</v>
      </c>
      <c r="AY14" s="37">
        <f t="shared" si="39"/>
        <v>-2146.7419354838785</v>
      </c>
      <c r="AZ14" s="100">
        <f>ELEC!A12</f>
        <v>0</v>
      </c>
      <c r="BA14" s="118">
        <f>'General information '!D13</f>
        <v>17</v>
      </c>
      <c r="BB14" s="378">
        <f>SUM('General information '!E13)</f>
        <v>0.73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-715.58064516129286</v>
      </c>
      <c r="BK14" s="538">
        <f>GEN!AF11</f>
        <v>0.33583333333353949</v>
      </c>
    </row>
    <row r="15" spans="1:63" ht="13.5" customHeight="1">
      <c r="A15" s="425">
        <f>ELEC!C13</f>
        <v>44540</v>
      </c>
      <c r="B15">
        <f>'B5'!B14</f>
        <v>207</v>
      </c>
      <c r="C15" s="203">
        <f>B15*$B$4</f>
        <v>4453.8387096774195</v>
      </c>
      <c r="D15">
        <f t="shared" si="19"/>
        <v>207</v>
      </c>
      <c r="E15" s="203">
        <f t="shared" si="18"/>
        <v>4453.8387096774195</v>
      </c>
      <c r="F15">
        <f t="shared" si="20"/>
        <v>207</v>
      </c>
      <c r="G15" s="203">
        <f t="shared" si="1"/>
        <v>4453.8387096774195</v>
      </c>
      <c r="H15" s="203">
        <f t="shared" si="21"/>
        <v>207</v>
      </c>
      <c r="I15" s="203">
        <f t="shared" si="2"/>
        <v>4453.8387096774195</v>
      </c>
      <c r="J15" s="203">
        <f t="shared" si="22"/>
        <v>207</v>
      </c>
      <c r="K15" s="203">
        <f t="shared" si="3"/>
        <v>4453.8387096774195</v>
      </c>
      <c r="L15" s="203">
        <f t="shared" si="23"/>
        <v>207</v>
      </c>
      <c r="M15" s="203">
        <f t="shared" si="4"/>
        <v>4453.8387096774195</v>
      </c>
      <c r="N15" s="203">
        <f t="shared" si="24"/>
        <v>207</v>
      </c>
      <c r="O15" s="203">
        <f t="shared" si="5"/>
        <v>4453.8387096774195</v>
      </c>
      <c r="P15" s="203">
        <f t="shared" si="25"/>
        <v>207</v>
      </c>
      <c r="Q15" s="203">
        <f t="shared" si="6"/>
        <v>4453.8387096774195</v>
      </c>
      <c r="R15" s="203">
        <f t="shared" si="26"/>
        <v>207</v>
      </c>
      <c r="S15" s="203">
        <f t="shared" si="7"/>
        <v>4453.8387096774195</v>
      </c>
      <c r="T15" s="203">
        <f t="shared" si="27"/>
        <v>207</v>
      </c>
      <c r="U15" s="203">
        <f t="shared" si="8"/>
        <v>4453.8387096774195</v>
      </c>
      <c r="V15" s="203">
        <f t="shared" si="28"/>
        <v>207</v>
      </c>
      <c r="W15" s="203">
        <f t="shared" si="9"/>
        <v>4453.8387096774195</v>
      </c>
      <c r="X15" s="35">
        <f t="shared" si="10"/>
        <v>0.66774193548387084</v>
      </c>
      <c r="Y15" s="36">
        <f t="shared" si="29"/>
        <v>48992.225806451606</v>
      </c>
      <c r="Z15" s="203">
        <f>'B5'!C14</f>
        <v>214</v>
      </c>
      <c r="AA15" s="203">
        <f t="shared" si="30"/>
        <v>2140</v>
      </c>
      <c r="AB15" s="203">
        <f t="shared" si="31"/>
        <v>214</v>
      </c>
      <c r="AC15" s="203">
        <f t="shared" si="30"/>
        <v>2140</v>
      </c>
      <c r="AD15" s="203">
        <f t="shared" si="32"/>
        <v>214</v>
      </c>
      <c r="AE15" s="203">
        <f t="shared" si="11"/>
        <v>2140</v>
      </c>
      <c r="AF15" s="203">
        <f t="shared" si="33"/>
        <v>214</v>
      </c>
      <c r="AG15" s="203">
        <f t="shared" si="12"/>
        <v>2140</v>
      </c>
      <c r="AH15" s="203">
        <f t="shared" si="34"/>
        <v>214</v>
      </c>
      <c r="AI15" s="203">
        <f t="shared" si="13"/>
        <v>2140</v>
      </c>
      <c r="AJ15" s="203">
        <f t="shared" si="35"/>
        <v>214</v>
      </c>
      <c r="AK15" s="203">
        <f t="shared" si="14"/>
        <v>2140</v>
      </c>
      <c r="AL15" s="203">
        <f t="shared" si="36"/>
        <v>214</v>
      </c>
      <c r="AM15" s="203">
        <f t="shared" si="15"/>
        <v>2140</v>
      </c>
      <c r="AN15" s="35">
        <f t="shared" si="16"/>
        <v>0.76428571428571423</v>
      </c>
      <c r="AO15" s="36">
        <f t="shared" si="41"/>
        <v>14980</v>
      </c>
      <c r="AQ15" s="223">
        <f t="shared" si="37"/>
        <v>0.68809536201410781</v>
      </c>
      <c r="AR15" s="38">
        <f t="shared" si="38"/>
        <v>63972.225806451606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214</v>
      </c>
      <c r="AA16" s="203">
        <f t="shared" si="30"/>
        <v>2140</v>
      </c>
      <c r="AB16" s="203">
        <f t="shared" si="31"/>
        <v>214</v>
      </c>
      <c r="AC16" s="203">
        <f t="shared" si="30"/>
        <v>2140</v>
      </c>
      <c r="AD16" s="203">
        <f t="shared" si="32"/>
        <v>214</v>
      </c>
      <c r="AE16" s="203">
        <f t="shared" si="11"/>
        <v>2140</v>
      </c>
      <c r="AF16" s="203">
        <f t="shared" si="33"/>
        <v>214</v>
      </c>
      <c r="AG16" s="203">
        <f t="shared" si="12"/>
        <v>2140</v>
      </c>
      <c r="AH16" s="203">
        <f t="shared" si="34"/>
        <v>214</v>
      </c>
      <c r="AI16" s="203">
        <f t="shared" si="13"/>
        <v>2140</v>
      </c>
      <c r="AJ16" s="203">
        <f t="shared" si="35"/>
        <v>214</v>
      </c>
      <c r="AK16" s="203">
        <f t="shared" si="14"/>
        <v>2140</v>
      </c>
      <c r="AL16" s="203">
        <f t="shared" si="36"/>
        <v>214</v>
      </c>
      <c r="AM16" s="203">
        <f t="shared" si="15"/>
        <v>2140</v>
      </c>
      <c r="AN16" s="35">
        <f t="shared" si="16"/>
        <v>0.76428571428571423</v>
      </c>
      <c r="AO16" s="36">
        <f t="shared" si="41"/>
        <v>14980</v>
      </c>
      <c r="AQ16" s="223">
        <f t="shared" si="37"/>
        <v>0.68809536201410781</v>
      </c>
      <c r="AR16" s="38">
        <f t="shared" si="38"/>
        <v>63972.225806451606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1730.1350210965147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202</v>
      </c>
      <c r="C17" s="203">
        <f t="shared" si="18"/>
        <v>4346.2580645161288</v>
      </c>
      <c r="D17">
        <f t="shared" si="19"/>
        <v>202</v>
      </c>
      <c r="E17" s="203">
        <f t="shared" si="18"/>
        <v>4346.2580645161288</v>
      </c>
      <c r="F17">
        <f t="shared" si="20"/>
        <v>202</v>
      </c>
      <c r="G17" s="203">
        <f t="shared" si="1"/>
        <v>4346.2580645161288</v>
      </c>
      <c r="H17" s="203">
        <f t="shared" si="21"/>
        <v>202</v>
      </c>
      <c r="I17" s="203">
        <f t="shared" si="2"/>
        <v>4346.2580645161288</v>
      </c>
      <c r="J17" s="203">
        <f t="shared" si="22"/>
        <v>202</v>
      </c>
      <c r="K17" s="203">
        <f t="shared" si="3"/>
        <v>4346.2580645161288</v>
      </c>
      <c r="L17" s="203">
        <f t="shared" si="23"/>
        <v>202</v>
      </c>
      <c r="M17" s="203">
        <f t="shared" si="4"/>
        <v>4346.2580645161288</v>
      </c>
      <c r="N17" s="203">
        <f t="shared" si="24"/>
        <v>202</v>
      </c>
      <c r="O17" s="203">
        <f t="shared" si="5"/>
        <v>4346.2580645161288</v>
      </c>
      <c r="P17" s="203">
        <f t="shared" si="25"/>
        <v>202</v>
      </c>
      <c r="Q17" s="203">
        <f t="shared" si="6"/>
        <v>4346.2580645161288</v>
      </c>
      <c r="R17" s="203">
        <f t="shared" si="26"/>
        <v>202</v>
      </c>
      <c r="S17" s="203">
        <f t="shared" si="7"/>
        <v>4346.2580645161288</v>
      </c>
      <c r="T17" s="203">
        <f t="shared" si="27"/>
        <v>202</v>
      </c>
      <c r="U17" s="203">
        <f t="shared" si="8"/>
        <v>4346.2580645161288</v>
      </c>
      <c r="V17" s="203">
        <f t="shared" si="28"/>
        <v>202</v>
      </c>
      <c r="W17" s="203">
        <f t="shared" si="9"/>
        <v>4346.2580645161288</v>
      </c>
      <c r="X17" s="35">
        <f t="shared" si="10"/>
        <v>0.65161290322580645</v>
      </c>
      <c r="Y17" s="36">
        <f t="shared" si="29"/>
        <v>47808.838709677417</v>
      </c>
      <c r="Z17" s="203">
        <f>'B5'!C16</f>
        <v>208</v>
      </c>
      <c r="AA17" s="203">
        <f t="shared" si="30"/>
        <v>2080</v>
      </c>
      <c r="AB17" s="203">
        <f t="shared" si="31"/>
        <v>208</v>
      </c>
      <c r="AC17" s="203">
        <f t="shared" si="30"/>
        <v>2080</v>
      </c>
      <c r="AD17" s="203">
        <f t="shared" si="32"/>
        <v>208</v>
      </c>
      <c r="AE17" s="203">
        <f t="shared" si="11"/>
        <v>2080</v>
      </c>
      <c r="AF17" s="203">
        <f t="shared" si="33"/>
        <v>208</v>
      </c>
      <c r="AG17" s="203">
        <f t="shared" si="12"/>
        <v>2080</v>
      </c>
      <c r="AH17" s="203">
        <f t="shared" si="34"/>
        <v>208</v>
      </c>
      <c r="AI17" s="203">
        <f t="shared" si="13"/>
        <v>2080</v>
      </c>
      <c r="AJ17" s="203">
        <f t="shared" si="35"/>
        <v>208</v>
      </c>
      <c r="AK17" s="203">
        <f t="shared" si="14"/>
        <v>2080</v>
      </c>
      <c r="AL17" s="203">
        <f t="shared" si="36"/>
        <v>208</v>
      </c>
      <c r="AM17" s="203">
        <f t="shared" si="15"/>
        <v>2080</v>
      </c>
      <c r="AN17" s="35">
        <f t="shared" si="16"/>
        <v>0.74285714285714288</v>
      </c>
      <c r="AO17" s="36">
        <f>SUM(AA17+AC17+AE17+AG17+AI17+AK17+AM17)</f>
        <v>14560</v>
      </c>
      <c r="AQ17" s="223">
        <f t="shared" si="37"/>
        <v>0.67084907722574394</v>
      </c>
      <c r="AR17" s="38">
        <f t="shared" si="38"/>
        <v>62368.838709677417</v>
      </c>
      <c r="AS17" s="197">
        <f t="shared" si="42"/>
        <v>-1603.3870967741896</v>
      </c>
      <c r="AU17" s="3"/>
      <c r="AV17" s="485">
        <f t="shared" si="45"/>
        <v>0.63400000000000001</v>
      </c>
      <c r="AW17" s="279">
        <f>-SUM('B5'!AI16)</f>
        <v>-118</v>
      </c>
      <c r="AX17" s="279">
        <f t="shared" si="17"/>
        <v>-1485.3870967741896</v>
      </c>
      <c r="AY17" s="37">
        <f t="shared" si="39"/>
        <v>-1603.3870967741896</v>
      </c>
      <c r="AZ17" s="100">
        <f>ELEC!A15</f>
        <v>0</v>
      </c>
      <c r="BA17" s="118">
        <f>'General information '!D16</f>
        <v>18.5</v>
      </c>
      <c r="BB17" s="378">
        <f>SUM('General information '!E16)</f>
        <v>0.54</v>
      </c>
      <c r="BC17" s="3">
        <f t="shared" si="44"/>
        <v>0</v>
      </c>
      <c r="BD17" s="102">
        <v>19222</v>
      </c>
      <c r="BE17" s="14">
        <f>(305/1185)*ELEC!Q16</f>
        <v>1319.0928270042195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-371.34677419354739</v>
      </c>
      <c r="BK17" s="538">
        <f>GEN!AF14</f>
        <v>0.38193181818170074</v>
      </c>
    </row>
    <row r="18" spans="1:64">
      <c r="A18" s="425">
        <f>ELEC!C16</f>
        <v>44543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41"/>
        <v>14140</v>
      </c>
      <c r="AQ18" s="223">
        <f t="shared" si="37"/>
        <v>0.64851131304930154</v>
      </c>
      <c r="AR18" s="38">
        <f t="shared" si="38"/>
        <v>60292.09677419356</v>
      </c>
      <c r="AS18" s="197">
        <f>SUM(AR18-AR17-AT18)</f>
        <v>-2076.7419354838567</v>
      </c>
      <c r="AT18" s="340"/>
      <c r="AU18" s="549"/>
      <c r="AV18" s="485">
        <f t="shared" si="45"/>
        <v>0.63400000000000001</v>
      </c>
      <c r="AW18" s="279">
        <f>-SUM('B5'!AI17)</f>
        <v>-169</v>
      </c>
      <c r="AX18" s="279">
        <f t="shared" si="17"/>
        <v>-1907.7419354838567</v>
      </c>
      <c r="AY18" s="37">
        <f t="shared" si="39"/>
        <v>-2076.7419354838567</v>
      </c>
      <c r="AZ18" s="100">
        <f>ELEC!A16</f>
        <v>0</v>
      </c>
      <c r="BA18" s="118">
        <f>'General information '!D17</f>
        <v>20</v>
      </c>
      <c r="BB18" s="378">
        <f>SUM('General information '!E17)</f>
        <v>0.54</v>
      </c>
      <c r="BC18" s="3">
        <f t="shared" si="44"/>
        <v>0</v>
      </c>
      <c r="BD18" s="102">
        <v>19222</v>
      </c>
      <c r="BE18" s="14">
        <f>(305/1185)*ELEC!Q17</f>
        <v>1324.4978902955236</v>
      </c>
      <c r="BF18" s="14"/>
      <c r="BG18" s="14" t="e">
        <f>#REF!-BE18</f>
        <v>#REF!</v>
      </c>
      <c r="BH18" s="11"/>
      <c r="BI18">
        <v>5</v>
      </c>
      <c r="BJ18">
        <f t="shared" si="46"/>
        <v>-381.54838709677131</v>
      </c>
      <c r="BK18" s="538">
        <f>GEN!AF15</f>
        <v>0.3203125</v>
      </c>
    </row>
    <row r="19" spans="1:64">
      <c r="A19" s="425">
        <f>ELEC!C17</f>
        <v>44544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233</v>
      </c>
      <c r="AA19" s="203">
        <f t="shared" si="30"/>
        <v>2330</v>
      </c>
      <c r="AB19" s="203">
        <f t="shared" si="31"/>
        <v>233</v>
      </c>
      <c r="AC19" s="203">
        <f t="shared" si="30"/>
        <v>2330</v>
      </c>
      <c r="AD19" s="203">
        <f t="shared" si="32"/>
        <v>233</v>
      </c>
      <c r="AE19" s="203">
        <f t="shared" si="11"/>
        <v>2330</v>
      </c>
      <c r="AF19" s="203">
        <f t="shared" si="33"/>
        <v>233</v>
      </c>
      <c r="AG19" s="203">
        <f t="shared" si="12"/>
        <v>2330</v>
      </c>
      <c r="AH19" s="203">
        <f t="shared" si="34"/>
        <v>233</v>
      </c>
      <c r="AI19" s="203">
        <f t="shared" si="13"/>
        <v>2330</v>
      </c>
      <c r="AJ19" s="203">
        <f t="shared" si="35"/>
        <v>233</v>
      </c>
      <c r="AK19" s="203">
        <f t="shared" si="14"/>
        <v>2330</v>
      </c>
      <c r="AL19" s="203">
        <f t="shared" si="36"/>
        <v>233</v>
      </c>
      <c r="AM19" s="203">
        <f t="shared" si="15"/>
        <v>2330</v>
      </c>
      <c r="AN19" s="35">
        <f t="shared" si="16"/>
        <v>0.83214285714285718</v>
      </c>
      <c r="AO19" s="36">
        <f t="shared" si="41"/>
        <v>16310</v>
      </c>
      <c r="AQ19" s="223">
        <f t="shared" si="37"/>
        <v>0.75077010620838502</v>
      </c>
      <c r="AR19" s="38">
        <f t="shared" si="38"/>
        <v>69799.09677419356</v>
      </c>
      <c r="AS19" s="197">
        <f t="shared" ref="AS19:AS36" si="47">SUM(AR19-AR18-AT19)</f>
        <v>-493</v>
      </c>
      <c r="AT19" s="340">
        <v>10000</v>
      </c>
      <c r="AU19" s="549">
        <v>0.60699999999999998</v>
      </c>
      <c r="AV19" s="485">
        <f t="shared" si="45"/>
        <v>0.60699999999999998</v>
      </c>
      <c r="AW19" s="279">
        <f>-SUM('B5'!AI18)</f>
        <v>-117</v>
      </c>
      <c r="AX19" s="279">
        <f t="shared" si="17"/>
        <v>-376</v>
      </c>
      <c r="AY19" s="37">
        <f t="shared" si="39"/>
        <v>-493</v>
      </c>
      <c r="AZ19" s="100">
        <f>ELEC!A17</f>
        <v>0</v>
      </c>
      <c r="BA19" s="118">
        <f>'General information '!D18</f>
        <v>19</v>
      </c>
      <c r="BB19" s="378">
        <f>SUM('General information '!E18)</f>
        <v>0.63</v>
      </c>
      <c r="BC19" s="3">
        <f t="shared" si="44"/>
        <v>1</v>
      </c>
      <c r="BD19" s="102">
        <v>19222</v>
      </c>
      <c r="BE19" s="14">
        <f>(305/1185)*ELEC!Q18</f>
        <v>1331.7046413499713</v>
      </c>
      <c r="BF19" s="14"/>
      <c r="BG19" s="14" t="e">
        <f>#REF!-BE19</f>
        <v>#REF!</v>
      </c>
      <c r="BH19" s="11"/>
      <c r="BI19">
        <v>6</v>
      </c>
      <c r="BJ19">
        <f t="shared" si="46"/>
        <v>-62.666666666666664</v>
      </c>
      <c r="BK19" s="538">
        <f>GEN!AF16</f>
        <v>0.35736111111115554</v>
      </c>
    </row>
    <row r="20" spans="1:64">
      <c r="A20" s="425">
        <f>ELEC!C18</f>
        <v>44545</v>
      </c>
      <c r="B20">
        <f>'B5'!B19</f>
        <v>219</v>
      </c>
      <c r="C20" s="203">
        <f t="shared" si="18"/>
        <v>4712.0322580645161</v>
      </c>
      <c r="D20">
        <f t="shared" si="19"/>
        <v>219</v>
      </c>
      <c r="E20" s="203">
        <f t="shared" si="18"/>
        <v>4712.0322580645161</v>
      </c>
      <c r="F20">
        <f t="shared" si="20"/>
        <v>219</v>
      </c>
      <c r="G20" s="203">
        <f t="shared" si="1"/>
        <v>4712.0322580645161</v>
      </c>
      <c r="H20" s="203">
        <f t="shared" si="21"/>
        <v>219</v>
      </c>
      <c r="I20" s="203">
        <f t="shared" si="2"/>
        <v>4712.0322580645161</v>
      </c>
      <c r="J20" s="203">
        <f t="shared" si="22"/>
        <v>219</v>
      </c>
      <c r="K20" s="203">
        <f t="shared" si="3"/>
        <v>4712.0322580645161</v>
      </c>
      <c r="L20" s="203">
        <f t="shared" si="23"/>
        <v>219</v>
      </c>
      <c r="M20" s="203">
        <f t="shared" si="4"/>
        <v>4712.0322580645161</v>
      </c>
      <c r="N20" s="203">
        <f t="shared" si="24"/>
        <v>219</v>
      </c>
      <c r="O20" s="203">
        <f t="shared" si="5"/>
        <v>4712.0322580645161</v>
      </c>
      <c r="P20" s="203">
        <f t="shared" si="25"/>
        <v>219</v>
      </c>
      <c r="Q20" s="203">
        <f t="shared" si="6"/>
        <v>4712.0322580645161</v>
      </c>
      <c r="R20" s="203">
        <f t="shared" si="26"/>
        <v>219</v>
      </c>
      <c r="S20" s="203">
        <f t="shared" si="7"/>
        <v>4712.0322580645161</v>
      </c>
      <c r="T20" s="203">
        <f t="shared" si="27"/>
        <v>219</v>
      </c>
      <c r="U20" s="203">
        <f t="shared" si="8"/>
        <v>4712.0322580645161</v>
      </c>
      <c r="V20" s="203">
        <f t="shared" si="28"/>
        <v>219</v>
      </c>
      <c r="W20" s="203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3">
        <f>'B5'!C19</f>
        <v>227</v>
      </c>
      <c r="AA20" s="203">
        <f t="shared" si="30"/>
        <v>2270</v>
      </c>
      <c r="AB20" s="203">
        <f t="shared" si="31"/>
        <v>227</v>
      </c>
      <c r="AC20" s="203">
        <f t="shared" si="30"/>
        <v>2270</v>
      </c>
      <c r="AD20" s="203">
        <f t="shared" si="32"/>
        <v>227</v>
      </c>
      <c r="AE20" s="203">
        <f t="shared" si="11"/>
        <v>2270</v>
      </c>
      <c r="AF20" s="203">
        <f t="shared" si="33"/>
        <v>227</v>
      </c>
      <c r="AG20" s="203">
        <f t="shared" si="12"/>
        <v>2270</v>
      </c>
      <c r="AH20" s="203">
        <f t="shared" si="34"/>
        <v>227</v>
      </c>
      <c r="AI20" s="203">
        <f t="shared" si="13"/>
        <v>2270</v>
      </c>
      <c r="AJ20" s="203">
        <f t="shared" si="35"/>
        <v>227</v>
      </c>
      <c r="AK20" s="203">
        <f t="shared" si="14"/>
        <v>2270</v>
      </c>
      <c r="AL20" s="203">
        <f t="shared" si="36"/>
        <v>227</v>
      </c>
      <c r="AM20" s="203">
        <f t="shared" si="15"/>
        <v>2270</v>
      </c>
      <c r="AN20" s="35">
        <f t="shared" si="16"/>
        <v>0.81071428571428572</v>
      </c>
      <c r="AO20" s="36">
        <f t="shared" si="41"/>
        <v>15890</v>
      </c>
      <c r="AQ20" s="223">
        <f t="shared" si="37"/>
        <v>0.72843234203194218</v>
      </c>
      <c r="AR20" s="38">
        <f t="shared" si="38"/>
        <v>67722.354838709667</v>
      </c>
      <c r="AS20" s="197">
        <f t="shared" si="47"/>
        <v>-2076.741935483893</v>
      </c>
      <c r="AT20" s="340"/>
      <c r="AU20" s="549"/>
      <c r="AV20" s="485">
        <f t="shared" si="45"/>
        <v>0.60699999999999998</v>
      </c>
      <c r="AW20" s="279">
        <f>-SUM('B5'!AI19)</f>
        <v>-112</v>
      </c>
      <c r="AX20" s="279">
        <f t="shared" si="17"/>
        <v>-1964.741935483893</v>
      </c>
      <c r="AY20" s="37">
        <f t="shared" si="39"/>
        <v>-2076.741935483893</v>
      </c>
      <c r="AZ20" s="100">
        <f>ELEC!A18</f>
        <v>0</v>
      </c>
      <c r="BA20" s="118">
        <f>'General information '!D19</f>
        <v>18</v>
      </c>
      <c r="BB20" s="378">
        <f>SUM('General information '!E19)</f>
        <v>0.7</v>
      </c>
      <c r="BC20" s="3">
        <f t="shared" si="44"/>
        <v>0</v>
      </c>
      <c r="BD20" s="102">
        <v>19222</v>
      </c>
      <c r="BE20" s="14">
        <f>(305/1185)*ELEC!Q19</f>
        <v>2553.7637130807607</v>
      </c>
      <c r="BF20" s="14"/>
      <c r="BG20" s="14" t="e">
        <f>#REF!-BE20</f>
        <v>#REF!</v>
      </c>
      <c r="BH20" s="11"/>
      <c r="BI20">
        <v>7</v>
      </c>
      <c r="BJ20">
        <f t="shared" si="46"/>
        <v>-280.67741935484185</v>
      </c>
      <c r="BK20" s="538">
        <f>GEN!AF17</f>
        <v>0.32337499999994179</v>
      </c>
      <c r="BL20" s="203"/>
    </row>
    <row r="21" spans="1:64">
      <c r="A21" s="425">
        <f>ELEC!C19</f>
        <v>44546</v>
      </c>
      <c r="B21">
        <f>'B5'!B20</f>
        <v>211</v>
      </c>
      <c r="C21" s="203">
        <f t="shared" si="18"/>
        <v>4539.9032258064517</v>
      </c>
      <c r="D21">
        <f t="shared" si="19"/>
        <v>211</v>
      </c>
      <c r="E21" s="203">
        <f t="shared" si="18"/>
        <v>4539.9032258064517</v>
      </c>
      <c r="F21">
        <f t="shared" si="20"/>
        <v>211</v>
      </c>
      <c r="G21" s="203">
        <f t="shared" si="1"/>
        <v>4539.9032258064517</v>
      </c>
      <c r="H21" s="203">
        <f t="shared" si="21"/>
        <v>211</v>
      </c>
      <c r="I21" s="203">
        <f t="shared" si="2"/>
        <v>4539.9032258064517</v>
      </c>
      <c r="J21" s="203">
        <f t="shared" si="22"/>
        <v>211</v>
      </c>
      <c r="K21" s="203">
        <f t="shared" si="3"/>
        <v>4539.9032258064517</v>
      </c>
      <c r="L21" s="203">
        <f t="shared" si="23"/>
        <v>211</v>
      </c>
      <c r="M21" s="203">
        <f t="shared" si="4"/>
        <v>4539.9032258064517</v>
      </c>
      <c r="N21" s="203">
        <f t="shared" si="24"/>
        <v>211</v>
      </c>
      <c r="O21" s="203">
        <f t="shared" si="5"/>
        <v>4539.9032258064517</v>
      </c>
      <c r="P21" s="203">
        <f t="shared" si="25"/>
        <v>211</v>
      </c>
      <c r="Q21" s="203">
        <f t="shared" si="6"/>
        <v>4539.9032258064517</v>
      </c>
      <c r="R21" s="203">
        <f t="shared" si="26"/>
        <v>211</v>
      </c>
      <c r="S21" s="203">
        <f t="shared" si="7"/>
        <v>4539.9032258064517</v>
      </c>
      <c r="T21" s="203">
        <f t="shared" si="27"/>
        <v>211</v>
      </c>
      <c r="U21" s="203">
        <f t="shared" si="8"/>
        <v>4539.9032258064517</v>
      </c>
      <c r="V21" s="203">
        <f t="shared" si="28"/>
        <v>211</v>
      </c>
      <c r="W21" s="203">
        <f t="shared" si="9"/>
        <v>4539.9032258064517</v>
      </c>
      <c r="X21" s="35">
        <f t="shared" si="10"/>
        <v>0.68064516129032271</v>
      </c>
      <c r="Y21" s="36">
        <f t="shared" si="29"/>
        <v>49938.935483870977</v>
      </c>
      <c r="Z21" s="203">
        <f>'B5'!C20</f>
        <v>218</v>
      </c>
      <c r="AA21" s="203">
        <f t="shared" si="30"/>
        <v>2180</v>
      </c>
      <c r="AB21" s="203">
        <f t="shared" si="31"/>
        <v>218</v>
      </c>
      <c r="AC21" s="203">
        <f t="shared" si="30"/>
        <v>2180</v>
      </c>
      <c r="AD21" s="203">
        <f t="shared" si="32"/>
        <v>218</v>
      </c>
      <c r="AE21" s="203">
        <f t="shared" si="11"/>
        <v>2180</v>
      </c>
      <c r="AF21" s="203">
        <f t="shared" si="33"/>
        <v>218</v>
      </c>
      <c r="AG21" s="203">
        <f t="shared" si="12"/>
        <v>2180</v>
      </c>
      <c r="AH21" s="203">
        <f t="shared" si="34"/>
        <v>218</v>
      </c>
      <c r="AI21" s="203">
        <f t="shared" si="13"/>
        <v>2180</v>
      </c>
      <c r="AJ21" s="203">
        <f t="shared" si="35"/>
        <v>218</v>
      </c>
      <c r="AK21" s="203">
        <f t="shared" si="14"/>
        <v>2180</v>
      </c>
      <c r="AL21" s="203">
        <f t="shared" si="36"/>
        <v>218</v>
      </c>
      <c r="AM21" s="203">
        <f t="shared" si="15"/>
        <v>2180</v>
      </c>
      <c r="AN21" s="35">
        <f t="shared" si="16"/>
        <v>0.77857142857142858</v>
      </c>
      <c r="AO21" s="36">
        <f t="shared" si="41"/>
        <v>15260</v>
      </c>
      <c r="AQ21" s="223">
        <f t="shared" si="37"/>
        <v>0.70129004500237691</v>
      </c>
      <c r="AR21" s="38">
        <f t="shared" si="38"/>
        <v>65198.935483870977</v>
      </c>
      <c r="AS21" s="197">
        <f t="shared" si="47"/>
        <v>-2523.4193548386902</v>
      </c>
      <c r="AT21" s="340"/>
      <c r="AU21" s="549"/>
      <c r="AV21" s="485">
        <f t="shared" si="45"/>
        <v>0.60699999999999998</v>
      </c>
      <c r="AW21" s="279">
        <f>-SUM('B5'!AI20)</f>
        <v>0</v>
      </c>
      <c r="AX21" s="279">
        <f t="shared" si="17"/>
        <v>-2523.4193548386902</v>
      </c>
      <c r="AY21" s="37">
        <f t="shared" si="39"/>
        <v>-2523.4193548386902</v>
      </c>
      <c r="AZ21" s="100">
        <f>ELEC!A19</f>
        <v>0</v>
      </c>
      <c r="BA21" s="118">
        <f>'General information '!D20</f>
        <v>15.5</v>
      </c>
      <c r="BB21" s="378">
        <f>SUM('General information '!E20)</f>
        <v>0.72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-315.42741935483627</v>
      </c>
      <c r="BK21" s="538">
        <f>GEN!AF18</f>
        <v>0.31006250000007185</v>
      </c>
    </row>
    <row r="22" spans="1:64">
      <c r="A22" s="425">
        <f>ELEC!C20</f>
        <v>44547</v>
      </c>
      <c r="B22">
        <f>'B5'!B21</f>
        <v>211</v>
      </c>
      <c r="C22" s="203">
        <f t="shared" si="18"/>
        <v>4539.9032258064517</v>
      </c>
      <c r="D22">
        <f t="shared" si="19"/>
        <v>211</v>
      </c>
      <c r="E22" s="203">
        <f t="shared" si="18"/>
        <v>4539.9032258064517</v>
      </c>
      <c r="F22">
        <f t="shared" si="20"/>
        <v>211</v>
      </c>
      <c r="G22" s="203">
        <f t="shared" si="1"/>
        <v>4539.9032258064517</v>
      </c>
      <c r="H22" s="203">
        <f t="shared" si="21"/>
        <v>211</v>
      </c>
      <c r="I22" s="203">
        <f t="shared" si="2"/>
        <v>4539.9032258064517</v>
      </c>
      <c r="J22" s="203">
        <f t="shared" si="22"/>
        <v>211</v>
      </c>
      <c r="K22" s="203">
        <f t="shared" si="3"/>
        <v>4539.9032258064517</v>
      </c>
      <c r="L22" s="203">
        <f t="shared" si="23"/>
        <v>211</v>
      </c>
      <c r="M22" s="203">
        <f t="shared" si="4"/>
        <v>4539.9032258064517</v>
      </c>
      <c r="N22" s="203">
        <f t="shared" si="24"/>
        <v>211</v>
      </c>
      <c r="O22" s="203">
        <f t="shared" si="5"/>
        <v>4539.9032258064517</v>
      </c>
      <c r="P22" s="203">
        <f t="shared" si="25"/>
        <v>211</v>
      </c>
      <c r="Q22" s="203">
        <f t="shared" si="6"/>
        <v>4539.9032258064517</v>
      </c>
      <c r="R22" s="203">
        <f t="shared" si="26"/>
        <v>211</v>
      </c>
      <c r="S22" s="203">
        <f t="shared" si="7"/>
        <v>4539.9032258064517</v>
      </c>
      <c r="T22" s="203">
        <f t="shared" si="27"/>
        <v>211</v>
      </c>
      <c r="U22" s="203">
        <f t="shared" si="8"/>
        <v>4539.9032258064517</v>
      </c>
      <c r="V22" s="203">
        <f t="shared" si="28"/>
        <v>211</v>
      </c>
      <c r="W22" s="203">
        <f t="shared" si="9"/>
        <v>4539.9032258064517</v>
      </c>
      <c r="X22" s="35">
        <f t="shared" si="10"/>
        <v>0.68064516129032271</v>
      </c>
      <c r="Y22" s="36">
        <f t="shared" si="29"/>
        <v>49938.935483870977</v>
      </c>
      <c r="Z22" s="203">
        <f>'B5'!C21</f>
        <v>218</v>
      </c>
      <c r="AA22" s="203">
        <f t="shared" si="30"/>
        <v>2180</v>
      </c>
      <c r="AB22" s="203">
        <f t="shared" si="31"/>
        <v>218</v>
      </c>
      <c r="AC22" s="203">
        <f t="shared" si="30"/>
        <v>2180</v>
      </c>
      <c r="AD22" s="203">
        <f t="shared" si="32"/>
        <v>218</v>
      </c>
      <c r="AE22" s="203">
        <f t="shared" si="11"/>
        <v>2180</v>
      </c>
      <c r="AF22" s="203">
        <f t="shared" si="33"/>
        <v>218</v>
      </c>
      <c r="AG22" s="203">
        <f t="shared" si="12"/>
        <v>2180</v>
      </c>
      <c r="AH22" s="203">
        <f t="shared" si="34"/>
        <v>218</v>
      </c>
      <c r="AI22" s="203">
        <f t="shared" si="13"/>
        <v>2180</v>
      </c>
      <c r="AJ22" s="203">
        <f t="shared" si="35"/>
        <v>218</v>
      </c>
      <c r="AK22" s="203">
        <f t="shared" si="14"/>
        <v>2180</v>
      </c>
      <c r="AL22" s="203">
        <f t="shared" si="36"/>
        <v>218</v>
      </c>
      <c r="AM22" s="203">
        <f t="shared" si="15"/>
        <v>2180</v>
      </c>
      <c r="AN22" s="35">
        <f t="shared" si="16"/>
        <v>0.77857142857142858</v>
      </c>
      <c r="AO22" s="36">
        <f t="shared" si="41"/>
        <v>15260</v>
      </c>
      <c r="AQ22" s="223">
        <f t="shared" si="37"/>
        <v>0.70129004500237691</v>
      </c>
      <c r="AR22" s="38">
        <f t="shared" si="38"/>
        <v>65198.935483870977</v>
      </c>
      <c r="AS22" s="197">
        <f t="shared" si="47"/>
        <v>0</v>
      </c>
      <c r="AT22" s="340"/>
      <c r="AU22" s="549"/>
      <c r="AV22" s="485">
        <f t="shared" si="43"/>
        <v>0.60699999999999998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211</v>
      </c>
      <c r="C23" s="203">
        <f t="shared" si="18"/>
        <v>4539.9032258064517</v>
      </c>
      <c r="D23">
        <f t="shared" si="19"/>
        <v>211</v>
      </c>
      <c r="E23" s="203">
        <f t="shared" si="18"/>
        <v>4539.9032258064517</v>
      </c>
      <c r="F23">
        <f t="shared" si="20"/>
        <v>211</v>
      </c>
      <c r="G23" s="203">
        <f t="shared" si="1"/>
        <v>4539.9032258064517</v>
      </c>
      <c r="H23" s="203">
        <f t="shared" si="21"/>
        <v>211</v>
      </c>
      <c r="I23" s="203">
        <f t="shared" si="2"/>
        <v>4539.9032258064517</v>
      </c>
      <c r="J23" s="203">
        <f t="shared" si="22"/>
        <v>211</v>
      </c>
      <c r="K23" s="203">
        <f t="shared" si="3"/>
        <v>4539.9032258064517</v>
      </c>
      <c r="L23" s="203">
        <f t="shared" si="23"/>
        <v>211</v>
      </c>
      <c r="M23" s="203">
        <f t="shared" si="4"/>
        <v>4539.9032258064517</v>
      </c>
      <c r="N23" s="203">
        <f t="shared" si="24"/>
        <v>211</v>
      </c>
      <c r="O23" s="203">
        <f t="shared" si="5"/>
        <v>4539.9032258064517</v>
      </c>
      <c r="P23" s="203">
        <f t="shared" si="25"/>
        <v>211</v>
      </c>
      <c r="Q23" s="203">
        <f t="shared" si="6"/>
        <v>4539.9032258064517</v>
      </c>
      <c r="R23" s="203">
        <f t="shared" si="26"/>
        <v>211</v>
      </c>
      <c r="S23" s="203">
        <f t="shared" si="7"/>
        <v>4539.9032258064517</v>
      </c>
      <c r="T23" s="203">
        <f t="shared" si="27"/>
        <v>211</v>
      </c>
      <c r="U23" s="203">
        <f t="shared" si="8"/>
        <v>4539.9032258064517</v>
      </c>
      <c r="V23" s="203">
        <f t="shared" si="28"/>
        <v>211</v>
      </c>
      <c r="W23" s="203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3">
        <f>'B5'!C22</f>
        <v>218</v>
      </c>
      <c r="AA23" s="203">
        <f t="shared" si="30"/>
        <v>2180</v>
      </c>
      <c r="AB23" s="203">
        <f t="shared" si="31"/>
        <v>218</v>
      </c>
      <c r="AC23" s="203">
        <f t="shared" si="30"/>
        <v>2180</v>
      </c>
      <c r="AD23" s="203">
        <f t="shared" si="32"/>
        <v>218</v>
      </c>
      <c r="AE23" s="203">
        <f t="shared" si="11"/>
        <v>2180</v>
      </c>
      <c r="AF23" s="203">
        <f t="shared" si="33"/>
        <v>218</v>
      </c>
      <c r="AG23" s="203">
        <f t="shared" si="12"/>
        <v>2180</v>
      </c>
      <c r="AH23" s="203">
        <f t="shared" si="34"/>
        <v>218</v>
      </c>
      <c r="AI23" s="203">
        <f t="shared" si="13"/>
        <v>2180</v>
      </c>
      <c r="AJ23" s="203">
        <f t="shared" si="35"/>
        <v>218</v>
      </c>
      <c r="AK23" s="203">
        <f t="shared" si="14"/>
        <v>2180</v>
      </c>
      <c r="AL23" s="203">
        <f t="shared" si="36"/>
        <v>218</v>
      </c>
      <c r="AM23" s="203">
        <f t="shared" si="15"/>
        <v>2180</v>
      </c>
      <c r="AN23" s="35">
        <f t="shared" si="16"/>
        <v>0.77857142857142858</v>
      </c>
      <c r="AO23" s="36">
        <f t="shared" si="41"/>
        <v>15260</v>
      </c>
      <c r="AQ23" s="223">
        <f t="shared" si="37"/>
        <v>0.70129004500237691</v>
      </c>
      <c r="AR23" s="38">
        <f t="shared" si="38"/>
        <v>65198.935483870977</v>
      </c>
      <c r="AS23" s="197">
        <f t="shared" si="47"/>
        <v>0</v>
      </c>
      <c r="AT23" s="340"/>
      <c r="AU23" s="549"/>
      <c r="AV23" s="485">
        <f t="shared" si="43"/>
        <v>0.60699999999999998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1379.0632911392856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200</v>
      </c>
      <c r="C24" s="203">
        <f t="shared" si="18"/>
        <v>4303.2258064516127</v>
      </c>
      <c r="D24">
        <f t="shared" si="19"/>
        <v>200</v>
      </c>
      <c r="E24" s="203">
        <f t="shared" si="18"/>
        <v>4303.2258064516127</v>
      </c>
      <c r="F24">
        <f t="shared" si="20"/>
        <v>200</v>
      </c>
      <c r="G24" s="203">
        <f t="shared" si="1"/>
        <v>4303.2258064516127</v>
      </c>
      <c r="H24" s="203">
        <f t="shared" si="21"/>
        <v>200</v>
      </c>
      <c r="I24" s="203">
        <f t="shared" si="2"/>
        <v>4303.2258064516127</v>
      </c>
      <c r="J24" s="203">
        <f t="shared" si="22"/>
        <v>200</v>
      </c>
      <c r="K24" s="203">
        <f t="shared" si="3"/>
        <v>4303.2258064516127</v>
      </c>
      <c r="L24" s="203">
        <f t="shared" si="23"/>
        <v>200</v>
      </c>
      <c r="M24" s="203">
        <f t="shared" si="4"/>
        <v>4303.2258064516127</v>
      </c>
      <c r="N24" s="203">
        <f t="shared" si="24"/>
        <v>200</v>
      </c>
      <c r="O24" s="203">
        <f t="shared" si="5"/>
        <v>4303.2258064516127</v>
      </c>
      <c r="P24" s="203">
        <f t="shared" si="25"/>
        <v>200</v>
      </c>
      <c r="Q24" s="203">
        <f t="shared" si="6"/>
        <v>4303.2258064516127</v>
      </c>
      <c r="R24" s="203">
        <f t="shared" si="26"/>
        <v>200</v>
      </c>
      <c r="S24" s="203">
        <f t="shared" si="7"/>
        <v>4303.2258064516127</v>
      </c>
      <c r="T24" s="203">
        <f t="shared" si="27"/>
        <v>200</v>
      </c>
      <c r="U24" s="203">
        <f t="shared" si="8"/>
        <v>4303.2258064516127</v>
      </c>
      <c r="V24" s="203">
        <f t="shared" si="28"/>
        <v>200</v>
      </c>
      <c r="W24" s="203">
        <f t="shared" si="9"/>
        <v>4303.2258064516127</v>
      </c>
      <c r="X24" s="35">
        <f t="shared" si="10"/>
        <v>0.64516129032258063</v>
      </c>
      <c r="Y24" s="36">
        <f t="shared" si="29"/>
        <v>47335.483870967742</v>
      </c>
      <c r="Z24" s="203">
        <f>'B5'!C23</f>
        <v>208</v>
      </c>
      <c r="AA24" s="203">
        <f t="shared" si="30"/>
        <v>2080</v>
      </c>
      <c r="AB24" s="203">
        <f t="shared" si="31"/>
        <v>208</v>
      </c>
      <c r="AC24" s="203">
        <f t="shared" si="30"/>
        <v>2080</v>
      </c>
      <c r="AD24" s="203">
        <f t="shared" si="32"/>
        <v>208</v>
      </c>
      <c r="AE24" s="203">
        <f t="shared" si="11"/>
        <v>2080</v>
      </c>
      <c r="AF24" s="203">
        <f t="shared" si="33"/>
        <v>208</v>
      </c>
      <c r="AG24" s="203">
        <f t="shared" si="12"/>
        <v>2080</v>
      </c>
      <c r="AH24" s="203">
        <f t="shared" si="34"/>
        <v>208</v>
      </c>
      <c r="AI24" s="203">
        <f t="shared" si="13"/>
        <v>2080</v>
      </c>
      <c r="AJ24" s="203">
        <f t="shared" si="35"/>
        <v>208</v>
      </c>
      <c r="AK24" s="203">
        <f t="shared" si="14"/>
        <v>2080</v>
      </c>
      <c r="AL24" s="203">
        <f t="shared" si="36"/>
        <v>208</v>
      </c>
      <c r="AM24" s="203">
        <f t="shared" si="15"/>
        <v>2080</v>
      </c>
      <c r="AN24" s="35">
        <f t="shared" si="16"/>
        <v>0.74285714285714288</v>
      </c>
      <c r="AO24" s="36">
        <f t="shared" si="41"/>
        <v>14560</v>
      </c>
      <c r="AQ24" s="223">
        <f t="shared" si="37"/>
        <v>0.6657575978376653</v>
      </c>
      <c r="AR24" s="38">
        <f t="shared" si="38"/>
        <v>61895.483870967742</v>
      </c>
      <c r="AS24" s="197">
        <f t="shared" si="47"/>
        <v>-3303.4516129032345</v>
      </c>
      <c r="AT24" s="340"/>
      <c r="AU24" s="549"/>
      <c r="AV24" s="485">
        <f t="shared" si="43"/>
        <v>0.60699999999999998</v>
      </c>
      <c r="AW24" s="279">
        <f>-SUM('B5'!AI23)</f>
        <v>-285</v>
      </c>
      <c r="AX24" s="279">
        <f t="shared" si="17"/>
        <v>-3018.4516129032345</v>
      </c>
      <c r="AY24" s="37">
        <f t="shared" si="39"/>
        <v>-3303.4516129032345</v>
      </c>
      <c r="AZ24" s="100">
        <f>ELEC!A22</f>
        <v>0</v>
      </c>
      <c r="BA24" s="118">
        <f>'General information '!D23</f>
        <v>16.5</v>
      </c>
      <c r="BB24" s="378">
        <f>SUM('General information '!E23)</f>
        <v>0.5</v>
      </c>
      <c r="BC24" s="3">
        <f t="shared" si="44"/>
        <v>0</v>
      </c>
      <c r="BD24" s="102">
        <v>19222</v>
      </c>
      <c r="BE24" s="14">
        <f>(305/1185)*ELEC!Q23</f>
        <v>1467.603375526782</v>
      </c>
      <c r="BF24" s="14"/>
      <c r="BG24" s="14" t="e">
        <f>#REF!-BE24</f>
        <v>#REF!</v>
      </c>
      <c r="BH24" s="11"/>
      <c r="BI24">
        <v>11</v>
      </c>
      <c r="BJ24">
        <f t="shared" si="46"/>
        <v>-274.40469208211221</v>
      </c>
      <c r="BK24" s="538">
        <f>GEN!AF21</f>
        <v>0.27906250000000909</v>
      </c>
    </row>
    <row r="25" spans="1:64">
      <c r="A25" s="425">
        <f>ELEC!C23</f>
        <v>44550</v>
      </c>
      <c r="B25">
        <f>'B5'!B24</f>
        <v>194</v>
      </c>
      <c r="C25" s="203">
        <f t="shared" si="18"/>
        <v>4174.1290322580644</v>
      </c>
      <c r="D25">
        <f t="shared" si="19"/>
        <v>194</v>
      </c>
      <c r="E25" s="203">
        <f t="shared" si="18"/>
        <v>4174.1290322580644</v>
      </c>
      <c r="F25">
        <f t="shared" si="20"/>
        <v>194</v>
      </c>
      <c r="G25" s="203">
        <f t="shared" si="1"/>
        <v>4174.1290322580644</v>
      </c>
      <c r="H25" s="203">
        <f t="shared" si="21"/>
        <v>194</v>
      </c>
      <c r="I25" s="203">
        <f t="shared" si="2"/>
        <v>4174.1290322580644</v>
      </c>
      <c r="J25" s="203">
        <f t="shared" si="22"/>
        <v>194</v>
      </c>
      <c r="K25" s="203">
        <f t="shared" si="3"/>
        <v>4174.1290322580644</v>
      </c>
      <c r="L25" s="203">
        <f t="shared" si="23"/>
        <v>194</v>
      </c>
      <c r="M25" s="203">
        <f t="shared" si="4"/>
        <v>4174.1290322580644</v>
      </c>
      <c r="N25" s="203">
        <f t="shared" si="24"/>
        <v>194</v>
      </c>
      <c r="O25" s="203">
        <f t="shared" si="5"/>
        <v>4174.1290322580644</v>
      </c>
      <c r="P25" s="203">
        <f t="shared" si="25"/>
        <v>194</v>
      </c>
      <c r="Q25" s="203">
        <f t="shared" si="6"/>
        <v>4174.1290322580644</v>
      </c>
      <c r="R25" s="203">
        <f t="shared" si="26"/>
        <v>194</v>
      </c>
      <c r="S25" s="203">
        <f t="shared" si="7"/>
        <v>4174.1290322580644</v>
      </c>
      <c r="T25" s="203">
        <f t="shared" si="27"/>
        <v>194</v>
      </c>
      <c r="U25" s="203">
        <f t="shared" si="8"/>
        <v>4174.1290322580644</v>
      </c>
      <c r="V25" s="203">
        <f t="shared" si="28"/>
        <v>194</v>
      </c>
      <c r="W25" s="203">
        <f t="shared" si="9"/>
        <v>4174.1290322580644</v>
      </c>
      <c r="X25" s="35">
        <f t="shared" si="10"/>
        <v>0.62580645161290305</v>
      </c>
      <c r="Y25" s="36">
        <f t="shared" si="29"/>
        <v>45915.419354838697</v>
      </c>
      <c r="Z25" s="203">
        <f>'B5'!C24</f>
        <v>200</v>
      </c>
      <c r="AA25" s="203">
        <f t="shared" si="30"/>
        <v>2000</v>
      </c>
      <c r="AB25" s="203">
        <f t="shared" si="31"/>
        <v>200</v>
      </c>
      <c r="AC25" s="203">
        <f t="shared" si="30"/>
        <v>2000</v>
      </c>
      <c r="AD25" s="203">
        <f t="shared" si="32"/>
        <v>200</v>
      </c>
      <c r="AE25" s="203">
        <f t="shared" si="11"/>
        <v>2000</v>
      </c>
      <c r="AF25" s="203">
        <f t="shared" si="33"/>
        <v>200</v>
      </c>
      <c r="AG25" s="203">
        <f t="shared" si="12"/>
        <v>2000</v>
      </c>
      <c r="AH25" s="203">
        <f t="shared" si="34"/>
        <v>200</v>
      </c>
      <c r="AI25" s="203">
        <f t="shared" si="13"/>
        <v>2000</v>
      </c>
      <c r="AJ25" s="203">
        <f t="shared" si="35"/>
        <v>200</v>
      </c>
      <c r="AK25" s="203">
        <f t="shared" si="14"/>
        <v>2000</v>
      </c>
      <c r="AL25" s="203">
        <f t="shared" si="36"/>
        <v>200</v>
      </c>
      <c r="AM25" s="203">
        <f t="shared" si="15"/>
        <v>2000</v>
      </c>
      <c r="AN25" s="35">
        <f t="shared" si="16"/>
        <v>0.7142857142857143</v>
      </c>
      <c r="AO25" s="36">
        <f t="shared" si="41"/>
        <v>14000</v>
      </c>
      <c r="AQ25" s="223">
        <f t="shared" si="37"/>
        <v>0.6444597112492062</v>
      </c>
      <c r="AR25" s="38">
        <f t="shared" si="38"/>
        <v>59915.419354838697</v>
      </c>
      <c r="AS25" s="197">
        <f t="shared" si="47"/>
        <v>-1980.0645161290449</v>
      </c>
      <c r="AT25" s="340"/>
      <c r="AU25" s="550"/>
      <c r="AV25" s="485">
        <f t="shared" si="43"/>
        <v>0.60699999999999998</v>
      </c>
      <c r="AW25" s="279">
        <f>-SUM('B5'!AI24)</f>
        <v>-199</v>
      </c>
      <c r="AX25" s="279">
        <f t="shared" si="17"/>
        <v>-1781.0645161290449</v>
      </c>
      <c r="AY25" s="37">
        <f t="shared" si="39"/>
        <v>-1980.0645161290449</v>
      </c>
      <c r="AZ25" s="100">
        <f>ELEC!A23</f>
        <v>0</v>
      </c>
      <c r="BA25" s="118">
        <f>'General information '!D24</f>
        <v>13</v>
      </c>
      <c r="BB25" s="378">
        <f>SUM('General information '!E24)</f>
        <v>0.61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-148.42204301075375</v>
      </c>
      <c r="BK25" s="538">
        <f>GEN!AF22</f>
        <v>0.32397727272713051</v>
      </c>
    </row>
    <row r="26" spans="1:64">
      <c r="A26" s="425">
        <f>ELEC!C24</f>
        <v>44551</v>
      </c>
      <c r="B26">
        <f>'B5'!B25</f>
        <v>194</v>
      </c>
      <c r="C26" s="203">
        <f t="shared" si="18"/>
        <v>4174.1290322580644</v>
      </c>
      <c r="D26">
        <f t="shared" si="19"/>
        <v>194</v>
      </c>
      <c r="E26" s="203">
        <f t="shared" si="18"/>
        <v>4174.1290322580644</v>
      </c>
      <c r="F26">
        <f t="shared" si="20"/>
        <v>194</v>
      </c>
      <c r="G26" s="203">
        <f t="shared" si="1"/>
        <v>4174.1290322580644</v>
      </c>
      <c r="H26" s="203">
        <f t="shared" si="21"/>
        <v>194</v>
      </c>
      <c r="I26" s="203">
        <f t="shared" si="2"/>
        <v>4174.1290322580644</v>
      </c>
      <c r="J26" s="203">
        <f t="shared" si="22"/>
        <v>194</v>
      </c>
      <c r="K26" s="203">
        <f t="shared" si="3"/>
        <v>4174.1290322580644</v>
      </c>
      <c r="L26" s="203">
        <f t="shared" si="23"/>
        <v>194</v>
      </c>
      <c r="M26" s="203">
        <f t="shared" si="4"/>
        <v>4174.1290322580644</v>
      </c>
      <c r="N26" s="203">
        <f t="shared" si="24"/>
        <v>194</v>
      </c>
      <c r="O26" s="203">
        <f t="shared" si="5"/>
        <v>4174.1290322580644</v>
      </c>
      <c r="P26" s="203">
        <f t="shared" si="25"/>
        <v>194</v>
      </c>
      <c r="Q26" s="203">
        <f t="shared" si="6"/>
        <v>4174.1290322580644</v>
      </c>
      <c r="R26" s="203">
        <f t="shared" si="26"/>
        <v>194</v>
      </c>
      <c r="S26" s="203">
        <f t="shared" si="7"/>
        <v>4174.1290322580644</v>
      </c>
      <c r="T26" s="203">
        <f t="shared" si="27"/>
        <v>194</v>
      </c>
      <c r="U26" s="203">
        <f t="shared" si="8"/>
        <v>4174.1290322580644</v>
      </c>
      <c r="V26" s="203">
        <f t="shared" si="28"/>
        <v>194</v>
      </c>
      <c r="W26" s="203">
        <f t="shared" si="9"/>
        <v>4174.1290322580644</v>
      </c>
      <c r="X26" s="35">
        <f t="shared" si="10"/>
        <v>0.62580645161290305</v>
      </c>
      <c r="Y26" s="36">
        <f t="shared" si="29"/>
        <v>45915.419354838697</v>
      </c>
      <c r="Z26" s="203">
        <f>'B5'!C25</f>
        <v>200</v>
      </c>
      <c r="AA26" s="203">
        <f t="shared" si="30"/>
        <v>2000</v>
      </c>
      <c r="AB26" s="203">
        <f t="shared" si="31"/>
        <v>200</v>
      </c>
      <c r="AC26" s="203">
        <f t="shared" si="30"/>
        <v>2000</v>
      </c>
      <c r="AD26" s="203">
        <f t="shared" si="32"/>
        <v>200</v>
      </c>
      <c r="AE26" s="203">
        <f t="shared" si="11"/>
        <v>2000</v>
      </c>
      <c r="AF26" s="203">
        <f t="shared" si="33"/>
        <v>200</v>
      </c>
      <c r="AG26" s="203">
        <f t="shared" si="12"/>
        <v>2000</v>
      </c>
      <c r="AH26" s="203">
        <f t="shared" si="34"/>
        <v>200</v>
      </c>
      <c r="AI26" s="203">
        <f t="shared" si="13"/>
        <v>2000</v>
      </c>
      <c r="AJ26" s="203">
        <f t="shared" si="35"/>
        <v>200</v>
      </c>
      <c r="AK26" s="203">
        <f t="shared" si="14"/>
        <v>2000</v>
      </c>
      <c r="AL26" s="203">
        <f t="shared" si="36"/>
        <v>200</v>
      </c>
      <c r="AM26" s="203">
        <f t="shared" si="15"/>
        <v>2000</v>
      </c>
      <c r="AN26" s="35">
        <f t="shared" si="16"/>
        <v>0.7142857142857143</v>
      </c>
      <c r="AO26" s="36">
        <f t="shared" si="41"/>
        <v>14000</v>
      </c>
      <c r="AQ26" s="223">
        <f t="shared" si="37"/>
        <v>0.6444597112492062</v>
      </c>
      <c r="AR26" s="38">
        <f t="shared" si="38"/>
        <v>59915.419354838697</v>
      </c>
      <c r="AS26" s="197">
        <f t="shared" si="47"/>
        <v>0</v>
      </c>
      <c r="AT26" s="340"/>
      <c r="AU26" s="549"/>
      <c r="AV26" s="485">
        <f t="shared" si="43"/>
        <v>0.60699999999999998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44552</v>
      </c>
      <c r="B27">
        <f>'B5'!B26</f>
        <v>194</v>
      </c>
      <c r="C27" s="203">
        <f t="shared" si="18"/>
        <v>4174.1290322580644</v>
      </c>
      <c r="D27">
        <f t="shared" si="19"/>
        <v>194</v>
      </c>
      <c r="E27" s="203">
        <f t="shared" si="18"/>
        <v>4174.1290322580644</v>
      </c>
      <c r="F27">
        <f t="shared" si="20"/>
        <v>194</v>
      </c>
      <c r="G27" s="203">
        <f t="shared" si="1"/>
        <v>4174.1290322580644</v>
      </c>
      <c r="H27" s="203">
        <f t="shared" si="21"/>
        <v>194</v>
      </c>
      <c r="I27" s="203">
        <f t="shared" si="2"/>
        <v>4174.1290322580644</v>
      </c>
      <c r="J27" s="203">
        <f t="shared" si="22"/>
        <v>194</v>
      </c>
      <c r="K27" s="203">
        <f t="shared" si="3"/>
        <v>4174.1290322580644</v>
      </c>
      <c r="L27" s="203">
        <f t="shared" si="23"/>
        <v>194</v>
      </c>
      <c r="M27" s="203">
        <f t="shared" si="4"/>
        <v>4174.1290322580644</v>
      </c>
      <c r="N27" s="203">
        <f t="shared" si="24"/>
        <v>194</v>
      </c>
      <c r="O27" s="203">
        <f t="shared" si="5"/>
        <v>4174.1290322580644</v>
      </c>
      <c r="P27" s="203">
        <f t="shared" si="25"/>
        <v>194</v>
      </c>
      <c r="Q27" s="203">
        <f t="shared" si="6"/>
        <v>4174.1290322580644</v>
      </c>
      <c r="R27" s="203">
        <f t="shared" si="26"/>
        <v>194</v>
      </c>
      <c r="S27" s="203">
        <f t="shared" si="7"/>
        <v>4174.1290322580644</v>
      </c>
      <c r="T27" s="203">
        <f t="shared" si="27"/>
        <v>194</v>
      </c>
      <c r="U27" s="203">
        <f t="shared" si="8"/>
        <v>4174.1290322580644</v>
      </c>
      <c r="V27" s="203">
        <f t="shared" si="28"/>
        <v>194</v>
      </c>
      <c r="W27" s="203">
        <f t="shared" si="9"/>
        <v>4174.1290322580644</v>
      </c>
      <c r="X27" s="35">
        <f t="shared" si="10"/>
        <v>0.62580645161290305</v>
      </c>
      <c r="Y27" s="36">
        <f t="shared" si="29"/>
        <v>45915.419354838697</v>
      </c>
      <c r="Z27" s="203">
        <f>'B5'!C26</f>
        <v>200</v>
      </c>
      <c r="AA27" s="203">
        <f t="shared" si="30"/>
        <v>2000</v>
      </c>
      <c r="AB27" s="203">
        <f t="shared" si="31"/>
        <v>200</v>
      </c>
      <c r="AC27" s="203">
        <f t="shared" si="30"/>
        <v>2000</v>
      </c>
      <c r="AD27" s="203">
        <f t="shared" si="32"/>
        <v>200</v>
      </c>
      <c r="AE27" s="203">
        <f t="shared" si="11"/>
        <v>2000</v>
      </c>
      <c r="AF27" s="203">
        <f t="shared" si="33"/>
        <v>200</v>
      </c>
      <c r="AG27" s="203">
        <f t="shared" si="12"/>
        <v>2000</v>
      </c>
      <c r="AH27" s="203">
        <f t="shared" si="34"/>
        <v>200</v>
      </c>
      <c r="AI27" s="203">
        <f t="shared" si="13"/>
        <v>2000</v>
      </c>
      <c r="AJ27" s="203">
        <f t="shared" si="35"/>
        <v>200</v>
      </c>
      <c r="AK27" s="203">
        <f t="shared" si="14"/>
        <v>2000</v>
      </c>
      <c r="AL27" s="203">
        <f t="shared" si="36"/>
        <v>200</v>
      </c>
      <c r="AM27" s="203">
        <f t="shared" si="15"/>
        <v>2000</v>
      </c>
      <c r="AN27" s="35">
        <f t="shared" si="16"/>
        <v>0.7142857142857143</v>
      </c>
      <c r="AO27" s="36">
        <f t="shared" si="41"/>
        <v>14000</v>
      </c>
      <c r="AQ27" s="223">
        <f t="shared" si="37"/>
        <v>0.6444597112492062</v>
      </c>
      <c r="AR27" s="38">
        <f t="shared" si="38"/>
        <v>59915.419354838697</v>
      </c>
      <c r="AS27" s="197">
        <f t="shared" si="47"/>
        <v>0</v>
      </c>
      <c r="AT27" s="340"/>
      <c r="AU27" s="549"/>
      <c r="AV27" s="485">
        <f t="shared" si="43"/>
        <v>0.60699999999999998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44553</v>
      </c>
      <c r="B28">
        <f>'B5'!B27</f>
        <v>194</v>
      </c>
      <c r="C28" s="203">
        <f t="shared" si="18"/>
        <v>4174.1290322580644</v>
      </c>
      <c r="D28">
        <f t="shared" si="19"/>
        <v>194</v>
      </c>
      <c r="E28" s="203">
        <f t="shared" si="18"/>
        <v>4174.1290322580644</v>
      </c>
      <c r="F28">
        <f t="shared" si="20"/>
        <v>194</v>
      </c>
      <c r="G28" s="203">
        <f t="shared" si="1"/>
        <v>4174.1290322580644</v>
      </c>
      <c r="H28" s="203">
        <f t="shared" si="21"/>
        <v>194</v>
      </c>
      <c r="I28" s="203">
        <f t="shared" si="2"/>
        <v>4174.1290322580644</v>
      </c>
      <c r="J28" s="203">
        <f t="shared" si="22"/>
        <v>194</v>
      </c>
      <c r="K28" s="203">
        <f t="shared" si="3"/>
        <v>4174.1290322580644</v>
      </c>
      <c r="L28" s="203">
        <f t="shared" si="23"/>
        <v>194</v>
      </c>
      <c r="M28" s="203">
        <f t="shared" si="4"/>
        <v>4174.1290322580644</v>
      </c>
      <c r="N28" s="203">
        <f t="shared" si="24"/>
        <v>194</v>
      </c>
      <c r="O28" s="203">
        <f t="shared" si="5"/>
        <v>4174.1290322580644</v>
      </c>
      <c r="P28" s="203">
        <f t="shared" si="25"/>
        <v>194</v>
      </c>
      <c r="Q28" s="203">
        <f t="shared" si="6"/>
        <v>4174.1290322580644</v>
      </c>
      <c r="R28" s="203">
        <f t="shared" si="26"/>
        <v>194</v>
      </c>
      <c r="S28" s="203">
        <f t="shared" si="7"/>
        <v>4174.1290322580644</v>
      </c>
      <c r="T28" s="203">
        <f t="shared" si="27"/>
        <v>194</v>
      </c>
      <c r="U28" s="203">
        <f t="shared" si="8"/>
        <v>4174.1290322580644</v>
      </c>
      <c r="V28" s="203">
        <f t="shared" si="28"/>
        <v>194</v>
      </c>
      <c r="W28" s="203">
        <f t="shared" si="9"/>
        <v>4174.1290322580644</v>
      </c>
      <c r="X28" s="35">
        <f t="shared" si="10"/>
        <v>0.62580645161290305</v>
      </c>
      <c r="Y28" s="36">
        <f t="shared" si="29"/>
        <v>45915.419354838697</v>
      </c>
      <c r="Z28" s="203">
        <f>'B5'!C27</f>
        <v>200</v>
      </c>
      <c r="AA28" s="203">
        <f t="shared" si="30"/>
        <v>2000</v>
      </c>
      <c r="AB28" s="203">
        <f t="shared" si="31"/>
        <v>200</v>
      </c>
      <c r="AC28" s="203">
        <f t="shared" si="30"/>
        <v>2000</v>
      </c>
      <c r="AD28" s="203">
        <f t="shared" si="32"/>
        <v>200</v>
      </c>
      <c r="AE28" s="203">
        <f t="shared" si="11"/>
        <v>2000</v>
      </c>
      <c r="AF28" s="203">
        <f t="shared" si="33"/>
        <v>200</v>
      </c>
      <c r="AG28" s="203">
        <f t="shared" si="12"/>
        <v>2000</v>
      </c>
      <c r="AH28" s="203">
        <f t="shared" si="34"/>
        <v>200</v>
      </c>
      <c r="AI28" s="203">
        <f t="shared" si="13"/>
        <v>2000</v>
      </c>
      <c r="AJ28" s="203">
        <f t="shared" si="35"/>
        <v>200</v>
      </c>
      <c r="AK28" s="203">
        <f t="shared" si="14"/>
        <v>2000</v>
      </c>
      <c r="AL28" s="203">
        <f t="shared" si="36"/>
        <v>200</v>
      </c>
      <c r="AM28" s="203">
        <f t="shared" si="15"/>
        <v>2000</v>
      </c>
      <c r="AN28" s="35">
        <f t="shared" si="16"/>
        <v>0.7142857142857143</v>
      </c>
      <c r="AO28" s="36">
        <f t="shared" si="41"/>
        <v>14000</v>
      </c>
      <c r="AQ28" s="223">
        <f t="shared" si="37"/>
        <v>0.6444597112492062</v>
      </c>
      <c r="AR28" s="38">
        <f t="shared" si="38"/>
        <v>59915.419354838697</v>
      </c>
      <c r="AS28" s="197">
        <f t="shared" si="47"/>
        <v>0</v>
      </c>
      <c r="AT28" s="340"/>
      <c r="AU28" s="550"/>
      <c r="AV28" s="485">
        <f t="shared" si="43"/>
        <v>0.60699999999999998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44554</v>
      </c>
      <c r="B29">
        <f>'B5'!B28</f>
        <v>194</v>
      </c>
      <c r="C29" s="203">
        <f t="shared" si="18"/>
        <v>4174.1290322580644</v>
      </c>
      <c r="D29">
        <f t="shared" si="19"/>
        <v>194</v>
      </c>
      <c r="E29" s="203">
        <f t="shared" si="18"/>
        <v>4174.1290322580644</v>
      </c>
      <c r="F29">
        <f t="shared" si="20"/>
        <v>194</v>
      </c>
      <c r="G29" s="203">
        <f t="shared" si="1"/>
        <v>4174.1290322580644</v>
      </c>
      <c r="H29" s="203">
        <f t="shared" si="21"/>
        <v>194</v>
      </c>
      <c r="I29" s="203">
        <f t="shared" si="2"/>
        <v>4174.1290322580644</v>
      </c>
      <c r="J29" s="203">
        <f t="shared" si="22"/>
        <v>194</v>
      </c>
      <c r="K29" s="203">
        <f t="shared" si="3"/>
        <v>4174.1290322580644</v>
      </c>
      <c r="L29" s="203">
        <f t="shared" si="23"/>
        <v>194</v>
      </c>
      <c r="M29" s="203">
        <f t="shared" si="4"/>
        <v>4174.1290322580644</v>
      </c>
      <c r="N29" s="203">
        <f t="shared" si="24"/>
        <v>194</v>
      </c>
      <c r="O29" s="203">
        <f t="shared" si="5"/>
        <v>4174.1290322580644</v>
      </c>
      <c r="P29" s="203">
        <f t="shared" si="25"/>
        <v>194</v>
      </c>
      <c r="Q29" s="203">
        <f t="shared" si="6"/>
        <v>4174.1290322580644</v>
      </c>
      <c r="R29" s="203">
        <f t="shared" si="26"/>
        <v>194</v>
      </c>
      <c r="S29" s="203">
        <f t="shared" si="7"/>
        <v>4174.1290322580644</v>
      </c>
      <c r="T29" s="203">
        <f t="shared" si="27"/>
        <v>194</v>
      </c>
      <c r="U29" s="203">
        <f t="shared" si="8"/>
        <v>4174.1290322580644</v>
      </c>
      <c r="V29" s="203">
        <f t="shared" si="28"/>
        <v>194</v>
      </c>
      <c r="W29" s="203">
        <f t="shared" si="9"/>
        <v>4174.1290322580644</v>
      </c>
      <c r="X29" s="35">
        <f t="shared" si="10"/>
        <v>0.62580645161290305</v>
      </c>
      <c r="Y29" s="36">
        <f t="shared" si="29"/>
        <v>45915.419354838697</v>
      </c>
      <c r="Z29" s="203">
        <f>'B5'!C28</f>
        <v>200</v>
      </c>
      <c r="AA29" s="203">
        <f t="shared" si="30"/>
        <v>2000</v>
      </c>
      <c r="AB29" s="203">
        <f t="shared" si="31"/>
        <v>200</v>
      </c>
      <c r="AC29" s="203">
        <f t="shared" si="30"/>
        <v>2000</v>
      </c>
      <c r="AD29" s="203">
        <f t="shared" si="32"/>
        <v>200</v>
      </c>
      <c r="AE29" s="203">
        <f t="shared" si="11"/>
        <v>2000</v>
      </c>
      <c r="AF29" s="203">
        <f t="shared" si="33"/>
        <v>200</v>
      </c>
      <c r="AG29" s="203">
        <f t="shared" si="12"/>
        <v>2000</v>
      </c>
      <c r="AH29" s="203">
        <f t="shared" si="34"/>
        <v>200</v>
      </c>
      <c r="AI29" s="203">
        <f t="shared" si="13"/>
        <v>2000</v>
      </c>
      <c r="AJ29" s="203">
        <f t="shared" si="35"/>
        <v>200</v>
      </c>
      <c r="AK29" s="203">
        <f t="shared" si="14"/>
        <v>2000</v>
      </c>
      <c r="AL29" s="203">
        <f t="shared" si="36"/>
        <v>200</v>
      </c>
      <c r="AM29" s="203">
        <f t="shared" si="15"/>
        <v>2000</v>
      </c>
      <c r="AN29" s="35">
        <f t="shared" si="16"/>
        <v>0.7142857142857143</v>
      </c>
      <c r="AO29" s="36">
        <f t="shared" si="41"/>
        <v>14000</v>
      </c>
      <c r="AQ29" s="223">
        <f t="shared" si="37"/>
        <v>0.6444597112492062</v>
      </c>
      <c r="AR29" s="38">
        <f t="shared" si="38"/>
        <v>59915.419354838697</v>
      </c>
      <c r="AS29" s="197">
        <f>SUM(AR29-AR28-AT29)</f>
        <v>0</v>
      </c>
      <c r="AT29" s="340"/>
      <c r="AU29" s="550"/>
      <c r="AV29" s="485">
        <f t="shared" si="43"/>
        <v>0.60699999999999998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194</v>
      </c>
      <c r="C30" s="203">
        <f t="shared" si="18"/>
        <v>4174.1290322580644</v>
      </c>
      <c r="D30">
        <f t="shared" ref="D30:D35" si="48">SUM(B30)</f>
        <v>194</v>
      </c>
      <c r="E30" s="203">
        <f t="shared" si="18"/>
        <v>4174.1290322580644</v>
      </c>
      <c r="F30">
        <f t="shared" ref="F30:F35" si="49">SUM(D30)</f>
        <v>194</v>
      </c>
      <c r="G30" s="203">
        <f t="shared" si="1"/>
        <v>4174.1290322580644</v>
      </c>
      <c r="H30" s="203">
        <f t="shared" ref="H30:H35" si="50">SUM(F30)</f>
        <v>194</v>
      </c>
      <c r="I30" s="203">
        <f t="shared" si="2"/>
        <v>4174.1290322580644</v>
      </c>
      <c r="J30" s="203">
        <f t="shared" ref="J30:J35" si="51">SUM(H30)</f>
        <v>194</v>
      </c>
      <c r="K30" s="203">
        <f t="shared" si="3"/>
        <v>4174.1290322580644</v>
      </c>
      <c r="L30" s="203">
        <f t="shared" ref="L30:L35" si="52">SUM(J30)</f>
        <v>194</v>
      </c>
      <c r="M30" s="203">
        <f t="shared" si="4"/>
        <v>4174.1290322580644</v>
      </c>
      <c r="N30" s="203">
        <f t="shared" ref="N30:N35" si="53">SUM(L30)</f>
        <v>194</v>
      </c>
      <c r="O30" s="203">
        <f t="shared" si="5"/>
        <v>4174.1290322580644</v>
      </c>
      <c r="P30" s="203">
        <f t="shared" ref="P30:P35" si="54">SUM(N30)</f>
        <v>194</v>
      </c>
      <c r="Q30" s="203">
        <f t="shared" si="6"/>
        <v>4174.1290322580644</v>
      </c>
      <c r="R30" s="203">
        <f t="shared" ref="R30:R35" si="55">SUM(P30)</f>
        <v>194</v>
      </c>
      <c r="S30" s="203">
        <f t="shared" si="7"/>
        <v>4174.1290322580644</v>
      </c>
      <c r="T30" s="203">
        <f t="shared" ref="T30:T35" si="56">SUM(R30)</f>
        <v>194</v>
      </c>
      <c r="U30" s="203">
        <f t="shared" si="8"/>
        <v>4174.1290322580644</v>
      </c>
      <c r="V30" s="203">
        <f t="shared" ref="V30:V35" si="57">SUM(T30)</f>
        <v>194</v>
      </c>
      <c r="W30" s="203">
        <f t="shared" si="9"/>
        <v>4174.1290322580644</v>
      </c>
      <c r="X30" s="35">
        <f t="shared" ref="X30:X35" si="58">SUM(Y30/73370)</f>
        <v>0.62580645161290305</v>
      </c>
      <c r="Y30" s="36">
        <f t="shared" ref="Y30:Y35" si="59">SUM(C30+E30+G30+I30+K30+M30+O30+Q30+S30+U30+W30)</f>
        <v>45915.419354838697</v>
      </c>
      <c r="Z30" s="203">
        <f>'B5'!C29</f>
        <v>200</v>
      </c>
      <c r="AA30" s="203">
        <f t="shared" si="30"/>
        <v>2000</v>
      </c>
      <c r="AB30" s="203">
        <f t="shared" ref="AB30:AB35" si="60">SUM(Z30)</f>
        <v>200</v>
      </c>
      <c r="AC30" s="203">
        <f t="shared" si="30"/>
        <v>2000</v>
      </c>
      <c r="AD30" s="203">
        <f t="shared" ref="AD30:AD35" si="61">SUM(AB30)</f>
        <v>200</v>
      </c>
      <c r="AE30" s="203">
        <f t="shared" si="11"/>
        <v>2000</v>
      </c>
      <c r="AF30" s="203">
        <f t="shared" ref="AF30:AF35" si="62">SUM(AD30)</f>
        <v>200</v>
      </c>
      <c r="AG30" s="203">
        <f t="shared" si="12"/>
        <v>2000</v>
      </c>
      <c r="AH30" s="203">
        <f t="shared" ref="AH30:AH35" si="63">SUM(AF30)</f>
        <v>200</v>
      </c>
      <c r="AI30" s="203">
        <f t="shared" si="13"/>
        <v>2000</v>
      </c>
      <c r="AJ30" s="203">
        <f t="shared" ref="AJ30:AJ35" si="64">SUM(AH30)</f>
        <v>200</v>
      </c>
      <c r="AK30" s="203">
        <f t="shared" si="14"/>
        <v>2000</v>
      </c>
      <c r="AL30" s="203">
        <f t="shared" ref="AL30:AL35" si="65">SUM(AJ30)</f>
        <v>200</v>
      </c>
      <c r="AM30" s="203">
        <f t="shared" si="15"/>
        <v>2000</v>
      </c>
      <c r="AN30" s="35">
        <f t="shared" ref="AN30:AN35" si="66">SUM(AO30/19600)</f>
        <v>0.7142857142857143</v>
      </c>
      <c r="AO30" s="36">
        <f t="shared" ref="AO30:AO35" si="67">SUM(AA30+AC30+AE30+AG30+AI30+AK30+AM30)</f>
        <v>14000</v>
      </c>
      <c r="AQ30" s="223">
        <f t="shared" si="37"/>
        <v>0.6444597112492062</v>
      </c>
      <c r="AR30" s="38">
        <f t="shared" si="38"/>
        <v>59915.419354838697</v>
      </c>
      <c r="AS30" s="197">
        <f>SUM(AR30-AR29-AT30)</f>
        <v>0</v>
      </c>
      <c r="AT30" s="340"/>
      <c r="AU30" s="550"/>
      <c r="AV30" s="485">
        <f t="shared" si="43"/>
        <v>0.60699999999999998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194</v>
      </c>
      <c r="C31" s="203">
        <f t="shared" si="18"/>
        <v>4174.1290322580644</v>
      </c>
      <c r="D31">
        <f t="shared" si="48"/>
        <v>194</v>
      </c>
      <c r="E31" s="203">
        <f t="shared" si="18"/>
        <v>4174.1290322580644</v>
      </c>
      <c r="F31">
        <f t="shared" si="49"/>
        <v>194</v>
      </c>
      <c r="G31" s="203">
        <f t="shared" si="1"/>
        <v>4174.1290322580644</v>
      </c>
      <c r="H31" s="203">
        <f t="shared" si="50"/>
        <v>194</v>
      </c>
      <c r="I31" s="203">
        <f t="shared" si="2"/>
        <v>4174.1290322580644</v>
      </c>
      <c r="J31" s="203">
        <f t="shared" si="51"/>
        <v>194</v>
      </c>
      <c r="K31" s="203">
        <f t="shared" si="3"/>
        <v>4174.1290322580644</v>
      </c>
      <c r="L31" s="203">
        <f t="shared" si="52"/>
        <v>194</v>
      </c>
      <c r="M31" s="203">
        <f t="shared" si="4"/>
        <v>4174.1290322580644</v>
      </c>
      <c r="N31" s="203">
        <f t="shared" si="53"/>
        <v>194</v>
      </c>
      <c r="O31" s="203">
        <f t="shared" si="5"/>
        <v>4174.1290322580644</v>
      </c>
      <c r="P31" s="203">
        <f t="shared" si="54"/>
        <v>194</v>
      </c>
      <c r="Q31" s="203">
        <f t="shared" si="6"/>
        <v>4174.1290322580644</v>
      </c>
      <c r="R31" s="203">
        <f t="shared" si="55"/>
        <v>194</v>
      </c>
      <c r="S31" s="203">
        <f t="shared" si="7"/>
        <v>4174.1290322580644</v>
      </c>
      <c r="T31" s="203">
        <f t="shared" si="56"/>
        <v>194</v>
      </c>
      <c r="U31" s="203">
        <f t="shared" si="8"/>
        <v>4174.1290322580644</v>
      </c>
      <c r="V31" s="203">
        <f t="shared" si="57"/>
        <v>194</v>
      </c>
      <c r="W31" s="203">
        <f t="shared" si="9"/>
        <v>4174.1290322580644</v>
      </c>
      <c r="X31" s="35">
        <f t="shared" si="58"/>
        <v>0.62580645161290305</v>
      </c>
      <c r="Y31" s="36">
        <f t="shared" si="59"/>
        <v>45915.419354838697</v>
      </c>
      <c r="Z31" s="203">
        <f>'B5'!C30</f>
        <v>200</v>
      </c>
      <c r="AA31" s="203">
        <f t="shared" si="30"/>
        <v>2000</v>
      </c>
      <c r="AB31" s="203">
        <f t="shared" si="60"/>
        <v>200</v>
      </c>
      <c r="AC31" s="203">
        <f t="shared" si="30"/>
        <v>2000</v>
      </c>
      <c r="AD31" s="203">
        <f t="shared" si="61"/>
        <v>200</v>
      </c>
      <c r="AE31" s="203">
        <f t="shared" si="11"/>
        <v>2000</v>
      </c>
      <c r="AF31" s="203">
        <f t="shared" si="62"/>
        <v>200</v>
      </c>
      <c r="AG31" s="203">
        <f t="shared" si="12"/>
        <v>2000</v>
      </c>
      <c r="AH31" s="203">
        <f t="shared" si="63"/>
        <v>200</v>
      </c>
      <c r="AI31" s="203">
        <f t="shared" si="13"/>
        <v>2000</v>
      </c>
      <c r="AJ31" s="203">
        <f t="shared" si="64"/>
        <v>200</v>
      </c>
      <c r="AK31" s="203">
        <f t="shared" si="14"/>
        <v>2000</v>
      </c>
      <c r="AL31" s="203">
        <f t="shared" si="65"/>
        <v>200</v>
      </c>
      <c r="AM31" s="203">
        <f t="shared" si="15"/>
        <v>2000</v>
      </c>
      <c r="AN31" s="35">
        <f t="shared" si="66"/>
        <v>0.7142857142857143</v>
      </c>
      <c r="AO31" s="36">
        <f t="shared" si="67"/>
        <v>14000</v>
      </c>
      <c r="AQ31" s="223">
        <f t="shared" si="37"/>
        <v>0.6444597112492062</v>
      </c>
      <c r="AR31" s="38">
        <f t="shared" si="38"/>
        <v>59915.419354838697</v>
      </c>
      <c r="AS31" s="197">
        <f t="shared" si="47"/>
        <v>0</v>
      </c>
      <c r="AT31" s="340"/>
      <c r="AU31" s="575"/>
      <c r="AV31" s="485">
        <f t="shared" si="43"/>
        <v>0.60699999999999998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194</v>
      </c>
      <c r="C32" s="203">
        <f t="shared" si="18"/>
        <v>4174.1290322580644</v>
      </c>
      <c r="D32">
        <f t="shared" si="48"/>
        <v>194</v>
      </c>
      <c r="E32" s="203">
        <f t="shared" si="18"/>
        <v>4174.1290322580644</v>
      </c>
      <c r="F32">
        <f t="shared" si="49"/>
        <v>194</v>
      </c>
      <c r="G32" s="203">
        <f t="shared" si="1"/>
        <v>4174.1290322580644</v>
      </c>
      <c r="H32" s="203">
        <f t="shared" si="50"/>
        <v>194</v>
      </c>
      <c r="I32" s="203">
        <f t="shared" si="2"/>
        <v>4174.1290322580644</v>
      </c>
      <c r="J32" s="203">
        <f t="shared" si="51"/>
        <v>194</v>
      </c>
      <c r="K32" s="203">
        <f t="shared" si="3"/>
        <v>4174.1290322580644</v>
      </c>
      <c r="L32" s="203">
        <f t="shared" si="52"/>
        <v>194</v>
      </c>
      <c r="M32" s="203">
        <f t="shared" si="4"/>
        <v>4174.1290322580644</v>
      </c>
      <c r="N32" s="203">
        <f t="shared" si="53"/>
        <v>194</v>
      </c>
      <c r="O32" s="203">
        <f t="shared" si="5"/>
        <v>4174.1290322580644</v>
      </c>
      <c r="P32" s="203">
        <f t="shared" si="54"/>
        <v>194</v>
      </c>
      <c r="Q32" s="203">
        <f t="shared" si="6"/>
        <v>4174.1290322580644</v>
      </c>
      <c r="R32" s="203">
        <f t="shared" si="55"/>
        <v>194</v>
      </c>
      <c r="S32" s="203">
        <f t="shared" si="7"/>
        <v>4174.1290322580644</v>
      </c>
      <c r="T32" s="203">
        <f t="shared" si="56"/>
        <v>194</v>
      </c>
      <c r="U32" s="203">
        <f t="shared" si="8"/>
        <v>4174.1290322580644</v>
      </c>
      <c r="V32" s="203">
        <f t="shared" si="57"/>
        <v>194</v>
      </c>
      <c r="W32" s="203">
        <f t="shared" si="9"/>
        <v>4174.1290322580644</v>
      </c>
      <c r="X32" s="35">
        <f t="shared" si="58"/>
        <v>0.62580645161290305</v>
      </c>
      <c r="Y32" s="36">
        <f t="shared" si="59"/>
        <v>45915.419354838697</v>
      </c>
      <c r="Z32" s="203">
        <f>'B5'!C31</f>
        <v>200</v>
      </c>
      <c r="AA32" s="203">
        <f t="shared" si="30"/>
        <v>2000</v>
      </c>
      <c r="AB32" s="203">
        <f t="shared" si="60"/>
        <v>200</v>
      </c>
      <c r="AC32" s="203">
        <f t="shared" si="30"/>
        <v>2000</v>
      </c>
      <c r="AD32" s="203">
        <f t="shared" si="61"/>
        <v>200</v>
      </c>
      <c r="AE32" s="203">
        <f t="shared" si="11"/>
        <v>2000</v>
      </c>
      <c r="AF32" s="203">
        <f t="shared" si="62"/>
        <v>200</v>
      </c>
      <c r="AG32" s="203">
        <f t="shared" si="12"/>
        <v>2000</v>
      </c>
      <c r="AH32" s="203">
        <f t="shared" si="63"/>
        <v>200</v>
      </c>
      <c r="AI32" s="203">
        <f t="shared" si="13"/>
        <v>2000</v>
      </c>
      <c r="AJ32" s="203">
        <f t="shared" si="64"/>
        <v>200</v>
      </c>
      <c r="AK32" s="203">
        <f t="shared" si="14"/>
        <v>2000</v>
      </c>
      <c r="AL32" s="203">
        <f t="shared" si="65"/>
        <v>200</v>
      </c>
      <c r="AM32" s="203">
        <f t="shared" si="15"/>
        <v>2000</v>
      </c>
      <c r="AN32" s="35">
        <f t="shared" si="66"/>
        <v>0.7142857142857143</v>
      </c>
      <c r="AO32" s="36">
        <f t="shared" si="67"/>
        <v>14000</v>
      </c>
      <c r="AQ32" s="223">
        <f t="shared" si="37"/>
        <v>0.6444597112492062</v>
      </c>
      <c r="AR32" s="38">
        <f t="shared" si="38"/>
        <v>59915.419354838697</v>
      </c>
      <c r="AS32" s="197">
        <f t="shared" si="47"/>
        <v>0</v>
      </c>
      <c r="AT32" s="340"/>
      <c r="AU32" s="549"/>
      <c r="AV32" s="485">
        <f>IF(AT32&gt;0,AU32,AV31)</f>
        <v>0.60699999999999998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44558</v>
      </c>
      <c r="B33">
        <f>'B5'!B32</f>
        <v>194</v>
      </c>
      <c r="C33" s="203">
        <f t="shared" si="18"/>
        <v>4174.1290322580644</v>
      </c>
      <c r="D33">
        <f t="shared" si="48"/>
        <v>194</v>
      </c>
      <c r="E33" s="203">
        <f t="shared" si="18"/>
        <v>4174.1290322580644</v>
      </c>
      <c r="F33">
        <f t="shared" si="49"/>
        <v>194</v>
      </c>
      <c r="G33" s="203">
        <f t="shared" si="1"/>
        <v>4174.1290322580644</v>
      </c>
      <c r="H33" s="203">
        <f t="shared" si="50"/>
        <v>194</v>
      </c>
      <c r="I33" s="203">
        <f t="shared" si="2"/>
        <v>4174.1290322580644</v>
      </c>
      <c r="J33" s="203">
        <f t="shared" si="51"/>
        <v>194</v>
      </c>
      <c r="K33" s="203">
        <f t="shared" si="3"/>
        <v>4174.1290322580644</v>
      </c>
      <c r="L33" s="203">
        <f t="shared" si="52"/>
        <v>194</v>
      </c>
      <c r="M33" s="203">
        <f t="shared" si="4"/>
        <v>4174.1290322580644</v>
      </c>
      <c r="N33" s="203">
        <f t="shared" si="53"/>
        <v>194</v>
      </c>
      <c r="O33" s="203">
        <f t="shared" si="5"/>
        <v>4174.1290322580644</v>
      </c>
      <c r="P33" s="203">
        <f t="shared" si="54"/>
        <v>194</v>
      </c>
      <c r="Q33" s="203">
        <f t="shared" si="6"/>
        <v>4174.1290322580644</v>
      </c>
      <c r="R33" s="203">
        <f t="shared" si="55"/>
        <v>194</v>
      </c>
      <c r="S33" s="203">
        <f t="shared" si="7"/>
        <v>4174.1290322580644</v>
      </c>
      <c r="T33" s="203">
        <f t="shared" si="56"/>
        <v>194</v>
      </c>
      <c r="U33" s="203">
        <f t="shared" si="8"/>
        <v>4174.1290322580644</v>
      </c>
      <c r="V33" s="203">
        <f t="shared" si="57"/>
        <v>194</v>
      </c>
      <c r="W33" s="203">
        <f t="shared" si="9"/>
        <v>4174.1290322580644</v>
      </c>
      <c r="X33" s="35">
        <f t="shared" si="58"/>
        <v>0.62580645161290305</v>
      </c>
      <c r="Y33" s="36">
        <f t="shared" si="59"/>
        <v>45915.419354838697</v>
      </c>
      <c r="Z33" s="203">
        <f>'B5'!C32</f>
        <v>200</v>
      </c>
      <c r="AA33" s="203">
        <f t="shared" si="30"/>
        <v>2000</v>
      </c>
      <c r="AB33" s="203">
        <f t="shared" si="60"/>
        <v>200</v>
      </c>
      <c r="AC33" s="203">
        <f t="shared" si="30"/>
        <v>2000</v>
      </c>
      <c r="AD33" s="203">
        <f t="shared" si="61"/>
        <v>200</v>
      </c>
      <c r="AE33" s="203">
        <f t="shared" si="11"/>
        <v>2000</v>
      </c>
      <c r="AF33" s="203">
        <f t="shared" si="62"/>
        <v>200</v>
      </c>
      <c r="AG33" s="203">
        <f t="shared" si="12"/>
        <v>2000</v>
      </c>
      <c r="AH33" s="203">
        <f t="shared" si="63"/>
        <v>200</v>
      </c>
      <c r="AI33" s="203">
        <f t="shared" si="13"/>
        <v>2000</v>
      </c>
      <c r="AJ33" s="203">
        <f t="shared" si="64"/>
        <v>200</v>
      </c>
      <c r="AK33" s="203">
        <f t="shared" si="14"/>
        <v>2000</v>
      </c>
      <c r="AL33" s="203">
        <f t="shared" si="65"/>
        <v>200</v>
      </c>
      <c r="AM33" s="203">
        <f t="shared" si="15"/>
        <v>2000</v>
      </c>
      <c r="AN33" s="35">
        <f t="shared" si="66"/>
        <v>0.7142857142857143</v>
      </c>
      <c r="AO33" s="36">
        <f t="shared" si="67"/>
        <v>14000</v>
      </c>
      <c r="AQ33" s="223">
        <f t="shared" si="37"/>
        <v>0.6444597112492062</v>
      </c>
      <c r="AR33" s="38">
        <f t="shared" si="38"/>
        <v>59915.419354838697</v>
      </c>
      <c r="AS33" s="197">
        <f>SUM(AR33-AR32-AT33)</f>
        <v>0</v>
      </c>
      <c r="AT33" s="340"/>
      <c r="AU33" s="549"/>
      <c r="AV33" s="485">
        <f>IF(AT33&gt;0,AU33,AV32)</f>
        <v>0.60699999999999998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44559</v>
      </c>
      <c r="B34">
        <f>'B5'!B33</f>
        <v>194</v>
      </c>
      <c r="C34" s="203">
        <f>B34*$B$4</f>
        <v>4174.1290322580644</v>
      </c>
      <c r="D34">
        <f t="shared" si="48"/>
        <v>194</v>
      </c>
      <c r="E34" s="203">
        <f>D34*$B$4</f>
        <v>4174.1290322580644</v>
      </c>
      <c r="F34">
        <f t="shared" si="49"/>
        <v>194</v>
      </c>
      <c r="G34" s="203">
        <f>F34*$B$4</f>
        <v>4174.1290322580644</v>
      </c>
      <c r="H34" s="203">
        <f t="shared" si="50"/>
        <v>194</v>
      </c>
      <c r="I34" s="203">
        <f>H34*$B$4</f>
        <v>4174.1290322580644</v>
      </c>
      <c r="J34" s="203">
        <f t="shared" si="51"/>
        <v>194</v>
      </c>
      <c r="K34" s="203">
        <f>J34*$B$4</f>
        <v>4174.1290322580644</v>
      </c>
      <c r="L34" s="203">
        <f t="shared" si="52"/>
        <v>194</v>
      </c>
      <c r="M34" s="203">
        <f>L34*$B$4</f>
        <v>4174.1290322580644</v>
      </c>
      <c r="N34" s="203">
        <f t="shared" si="53"/>
        <v>194</v>
      </c>
      <c r="O34" s="203">
        <f>N34*$B$4</f>
        <v>4174.1290322580644</v>
      </c>
      <c r="P34" s="203">
        <f t="shared" si="54"/>
        <v>194</v>
      </c>
      <c r="Q34" s="203">
        <f>P34*$B$4</f>
        <v>4174.1290322580644</v>
      </c>
      <c r="R34" s="203">
        <f t="shared" si="55"/>
        <v>194</v>
      </c>
      <c r="S34" s="203">
        <f>R34*$B$4</f>
        <v>4174.1290322580644</v>
      </c>
      <c r="T34" s="203">
        <f t="shared" si="56"/>
        <v>194</v>
      </c>
      <c r="U34" s="203">
        <f>T34*$B$4</f>
        <v>4174.1290322580644</v>
      </c>
      <c r="V34" s="203">
        <f t="shared" si="57"/>
        <v>194</v>
      </c>
      <c r="W34" s="203">
        <f>V34*$B$4</f>
        <v>4174.1290322580644</v>
      </c>
      <c r="X34" s="35">
        <f t="shared" si="58"/>
        <v>0.62580645161290305</v>
      </c>
      <c r="Y34" s="36">
        <f t="shared" si="59"/>
        <v>45915.419354838697</v>
      </c>
      <c r="Z34" s="203">
        <f>'B5'!C33</f>
        <v>200</v>
      </c>
      <c r="AA34" s="203">
        <f>SUM(Z34*$Z$4)</f>
        <v>2000</v>
      </c>
      <c r="AB34" s="203">
        <f t="shared" si="60"/>
        <v>200</v>
      </c>
      <c r="AC34" s="203">
        <f>SUM(AB34*$Z$4)</f>
        <v>2000</v>
      </c>
      <c r="AD34" s="203">
        <f t="shared" si="61"/>
        <v>200</v>
      </c>
      <c r="AE34" s="203">
        <f>SUM(AD34*$Z$4)</f>
        <v>2000</v>
      </c>
      <c r="AF34" s="203">
        <f t="shared" si="62"/>
        <v>200</v>
      </c>
      <c r="AG34" s="203">
        <f>SUM(AF34*$Z$4)</f>
        <v>2000</v>
      </c>
      <c r="AH34" s="203">
        <f t="shared" si="63"/>
        <v>200</v>
      </c>
      <c r="AI34" s="203">
        <f>SUM(AH34*$Z$4)</f>
        <v>2000</v>
      </c>
      <c r="AJ34" s="203">
        <f t="shared" si="64"/>
        <v>200</v>
      </c>
      <c r="AK34" s="203">
        <f>SUM(AJ34*$Z$4)</f>
        <v>2000</v>
      </c>
      <c r="AL34" s="203">
        <f t="shared" si="65"/>
        <v>200</v>
      </c>
      <c r="AM34" s="203">
        <f>SUM(AL34*$Z$4)</f>
        <v>2000</v>
      </c>
      <c r="AN34" s="35">
        <f t="shared" si="66"/>
        <v>0.7142857142857143</v>
      </c>
      <c r="AO34" s="36">
        <f t="shared" si="67"/>
        <v>14000</v>
      </c>
      <c r="AQ34" s="223">
        <f>SUM(AR34/92970)</f>
        <v>0.6444597112492062</v>
      </c>
      <c r="AR34" s="38">
        <f t="shared" si="38"/>
        <v>59915.419354838697</v>
      </c>
      <c r="AS34" s="197">
        <f t="shared" si="47"/>
        <v>0</v>
      </c>
      <c r="AT34" s="340"/>
      <c r="AU34" s="549"/>
      <c r="AV34" s="485">
        <f>IF(AT34&gt;0,AU34,AV33)</f>
        <v>0.60699999999999998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44560</v>
      </c>
      <c r="B35">
        <f>'B5'!B34</f>
        <v>194</v>
      </c>
      <c r="C35" s="203">
        <f>B35*$B$4</f>
        <v>4174.1290322580644</v>
      </c>
      <c r="D35">
        <f t="shared" si="48"/>
        <v>194</v>
      </c>
      <c r="E35" s="203">
        <f>D35*$B$4</f>
        <v>4174.1290322580644</v>
      </c>
      <c r="F35">
        <f t="shared" si="49"/>
        <v>194</v>
      </c>
      <c r="G35" s="203">
        <f>F35*$B$4</f>
        <v>4174.1290322580644</v>
      </c>
      <c r="H35" s="203">
        <f t="shared" si="50"/>
        <v>194</v>
      </c>
      <c r="I35" s="203">
        <f>H35*$B$4</f>
        <v>4174.1290322580644</v>
      </c>
      <c r="J35" s="203">
        <f t="shared" si="51"/>
        <v>194</v>
      </c>
      <c r="K35" s="203">
        <f>J35*$B$4</f>
        <v>4174.1290322580644</v>
      </c>
      <c r="L35" s="203">
        <f t="shared" si="52"/>
        <v>194</v>
      </c>
      <c r="M35" s="203">
        <f>L35*$B$4</f>
        <v>4174.1290322580644</v>
      </c>
      <c r="N35" s="203">
        <f t="shared" si="53"/>
        <v>194</v>
      </c>
      <c r="O35" s="203">
        <f>N35*$B$4</f>
        <v>4174.1290322580644</v>
      </c>
      <c r="P35" s="203">
        <f t="shared" si="54"/>
        <v>194</v>
      </c>
      <c r="Q35" s="203">
        <f>P35*$B$4</f>
        <v>4174.1290322580644</v>
      </c>
      <c r="R35" s="203">
        <f t="shared" si="55"/>
        <v>194</v>
      </c>
      <c r="S35" s="203">
        <f>R35*$B$4</f>
        <v>4174.1290322580644</v>
      </c>
      <c r="T35" s="203">
        <f t="shared" si="56"/>
        <v>194</v>
      </c>
      <c r="U35" s="203">
        <f>T35*$B$4</f>
        <v>4174.1290322580644</v>
      </c>
      <c r="V35" s="203">
        <f t="shared" si="57"/>
        <v>194</v>
      </c>
      <c r="W35" s="203">
        <f>V35*$B$4</f>
        <v>4174.1290322580644</v>
      </c>
      <c r="X35" s="35">
        <f t="shared" si="58"/>
        <v>0.62580645161290305</v>
      </c>
      <c r="Y35" s="36">
        <f t="shared" si="59"/>
        <v>45915.419354838697</v>
      </c>
      <c r="Z35" s="203">
        <f>'B5'!C34</f>
        <v>200</v>
      </c>
      <c r="AA35" s="203">
        <f>SUM(Z35*$Z$4)</f>
        <v>2000</v>
      </c>
      <c r="AB35" s="203">
        <f t="shared" si="60"/>
        <v>200</v>
      </c>
      <c r="AC35" s="203">
        <f>SUM(AB35*$Z$4)</f>
        <v>2000</v>
      </c>
      <c r="AD35" s="203">
        <f t="shared" si="61"/>
        <v>200</v>
      </c>
      <c r="AE35" s="203">
        <f>SUM(AD35*$Z$4)</f>
        <v>2000</v>
      </c>
      <c r="AF35" s="203">
        <f t="shared" si="62"/>
        <v>200</v>
      </c>
      <c r="AG35" s="203">
        <f>SUM(AF35*$Z$4)</f>
        <v>2000</v>
      </c>
      <c r="AH35" s="203">
        <f t="shared" si="63"/>
        <v>200</v>
      </c>
      <c r="AI35" s="203">
        <f>SUM(AH35*$Z$4)</f>
        <v>2000</v>
      </c>
      <c r="AJ35" s="203">
        <f t="shared" si="64"/>
        <v>200</v>
      </c>
      <c r="AK35" s="203">
        <f>SUM(AJ35*$Z$4)</f>
        <v>2000</v>
      </c>
      <c r="AL35" s="203">
        <f t="shared" si="65"/>
        <v>200</v>
      </c>
      <c r="AM35" s="203">
        <f>SUM(AL35*$Z$4)</f>
        <v>2000</v>
      </c>
      <c r="AN35" s="35">
        <f t="shared" si="66"/>
        <v>0.7142857142857143</v>
      </c>
      <c r="AO35" s="36">
        <f t="shared" si="67"/>
        <v>14000</v>
      </c>
      <c r="AQ35" s="223">
        <f>SUM(AR35/92970)</f>
        <v>0.6444597112492062</v>
      </c>
      <c r="AR35" s="38">
        <f t="shared" si="38"/>
        <v>59915.419354838697</v>
      </c>
      <c r="AS35" s="197">
        <f t="shared" si="47"/>
        <v>0</v>
      </c>
      <c r="AT35" s="340"/>
      <c r="AU35" s="549"/>
      <c r="AV35" s="539">
        <f>IF(AT35&gt;0,AU35,AV34)</f>
        <v>0.60699999999999998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194</v>
      </c>
      <c r="C36" s="203">
        <f>B36*$B$4</f>
        <v>4174.1290322580644</v>
      </c>
      <c r="D36">
        <f t="shared" ref="D36" si="68">SUM(B36)</f>
        <v>194</v>
      </c>
      <c r="E36" s="203">
        <f>D36*$B$4</f>
        <v>4174.1290322580644</v>
      </c>
      <c r="F36">
        <f t="shared" ref="F36" si="69">SUM(D36)</f>
        <v>194</v>
      </c>
      <c r="G36" s="203">
        <f>F36*$B$4</f>
        <v>4174.1290322580644</v>
      </c>
      <c r="H36" s="203">
        <f t="shared" ref="H36" si="70">SUM(F36)</f>
        <v>194</v>
      </c>
      <c r="I36" s="203">
        <f>H36*$B$4</f>
        <v>4174.1290322580644</v>
      </c>
      <c r="J36" s="203">
        <f t="shared" ref="J36" si="71">SUM(H36)</f>
        <v>194</v>
      </c>
      <c r="K36" s="203">
        <f>J36*$B$4</f>
        <v>4174.1290322580644</v>
      </c>
      <c r="L36" s="203">
        <f t="shared" ref="L36" si="72">SUM(J36)</f>
        <v>194</v>
      </c>
      <c r="M36" s="203">
        <f>L36*$B$4</f>
        <v>4174.1290322580644</v>
      </c>
      <c r="N36" s="203">
        <f t="shared" ref="N36" si="73">SUM(L36)</f>
        <v>194</v>
      </c>
      <c r="O36" s="203">
        <f>N36*$B$4</f>
        <v>4174.1290322580644</v>
      </c>
      <c r="P36" s="203">
        <f t="shared" ref="P36" si="74">SUM(N36)</f>
        <v>194</v>
      </c>
      <c r="Q36" s="203">
        <f>P36*$B$4</f>
        <v>4174.1290322580644</v>
      </c>
      <c r="R36" s="203">
        <f t="shared" ref="R36" si="75">SUM(P36)</f>
        <v>194</v>
      </c>
      <c r="S36" s="203">
        <f>R36*$B$4</f>
        <v>4174.1290322580644</v>
      </c>
      <c r="T36" s="203">
        <f t="shared" ref="T36" si="76">SUM(R36)</f>
        <v>194</v>
      </c>
      <c r="U36" s="203">
        <f>T36*$B$4</f>
        <v>4174.1290322580644</v>
      </c>
      <c r="V36" s="203">
        <f t="shared" ref="V36" si="77">SUM(T36)</f>
        <v>194</v>
      </c>
      <c r="W36" s="203">
        <f>V36*$B$4</f>
        <v>4174.1290322580644</v>
      </c>
      <c r="X36" s="35">
        <f t="shared" ref="X36" si="78">SUM(Y36/73370)</f>
        <v>0.62580645161290305</v>
      </c>
      <c r="Y36" s="36">
        <f t="shared" ref="Y36" si="79">SUM(C36+E36+G36+I36+K36+M36+O36+Q36+S36+U36+W36)</f>
        <v>45915.419354838697</v>
      </c>
      <c r="Z36" s="203">
        <f>'B5'!C35</f>
        <v>200</v>
      </c>
      <c r="AA36" s="203">
        <f>SUM(Z36*$Z$4)</f>
        <v>2000</v>
      </c>
      <c r="AB36" s="203">
        <f t="shared" ref="AB36" si="80">SUM(Z36)</f>
        <v>200</v>
      </c>
      <c r="AC36" s="203">
        <f>SUM(AB36*$Z$4)</f>
        <v>2000</v>
      </c>
      <c r="AD36" s="203">
        <f t="shared" ref="AD36" si="81">SUM(AB36)</f>
        <v>200</v>
      </c>
      <c r="AE36" s="203">
        <f>SUM(AD36*$Z$4)</f>
        <v>2000</v>
      </c>
      <c r="AF36" s="203">
        <f t="shared" ref="AF36" si="82">SUM(AD36)</f>
        <v>200</v>
      </c>
      <c r="AG36" s="203">
        <f>SUM(AF36*$Z$4)</f>
        <v>2000</v>
      </c>
      <c r="AH36" s="203">
        <f t="shared" ref="AH36" si="83">SUM(AF36)</f>
        <v>200</v>
      </c>
      <c r="AI36" s="203">
        <f>SUM(AH36*$Z$4)</f>
        <v>2000</v>
      </c>
      <c r="AJ36" s="203">
        <f t="shared" ref="AJ36" si="84">SUM(AH36)</f>
        <v>200</v>
      </c>
      <c r="AK36" s="203">
        <f>SUM(AJ36*$Z$4)</f>
        <v>2000</v>
      </c>
      <c r="AL36" s="203">
        <f t="shared" ref="AL36" si="85">SUM(AJ36)</f>
        <v>200</v>
      </c>
      <c r="AM36" s="203">
        <f>SUM(AL36*$Z$4)</f>
        <v>2000</v>
      </c>
      <c r="AN36" s="35">
        <f t="shared" ref="AN36" si="86">SUM(AO36/19600)</f>
        <v>0.7142857142857143</v>
      </c>
      <c r="AO36" s="36">
        <f t="shared" ref="AO36" si="87">SUM(AA36+AC36+AE36+AG36+AI36+AK36+AM36)</f>
        <v>14000</v>
      </c>
      <c r="AQ36" s="223">
        <f>SUM(AR36/92970)</f>
        <v>0.6444597112492062</v>
      </c>
      <c r="AR36" s="38">
        <f t="shared" si="38"/>
        <v>59915.419354838697</v>
      </c>
      <c r="AS36" s="197">
        <f t="shared" si="47"/>
        <v>0</v>
      </c>
      <c r="AT36" s="340"/>
      <c r="AU36" s="549"/>
      <c r="AV36" s="539">
        <f>IF(AT36&gt;0,AU36,AV35)</f>
        <v>0.60699999999999998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20000</v>
      </c>
      <c r="AU37" s="545">
        <f>SUM(AU6:AU36)/AS37</f>
        <v>0.62050000000000005</v>
      </c>
      <c r="AX37" s="203">
        <f>SUM(AX6:AX36)</f>
        <v>-25938.258064516136</v>
      </c>
      <c r="AY37" s="203">
        <f>SUM(AY6:AY36)</f>
        <v>-27360.258064516136</v>
      </c>
    </row>
    <row r="38" spans="1:63">
      <c r="AS38" s="206"/>
      <c r="AT38" s="82">
        <f>+AT37*AU37</f>
        <v>12410.000000000002</v>
      </c>
    </row>
    <row r="40" spans="1:63">
      <c r="AS40" s="165">
        <f>SUM(AS6:AS36)/'EDl log'!A35</f>
        <v>-3908.6082949308766</v>
      </c>
      <c r="AT40" s="203"/>
    </row>
    <row r="41" spans="1:63">
      <c r="AX41">
        <v>43309</v>
      </c>
    </row>
    <row r="42" spans="1:63">
      <c r="AR42" s="203">
        <f>AR36-22000</f>
        <v>37915.419354838697</v>
      </c>
      <c r="AU42" s="203"/>
      <c r="AX42">
        <f>AX37/AX41</f>
        <v>-0.59891149794537246</v>
      </c>
    </row>
    <row r="43" spans="1:63">
      <c r="AR43">
        <f>AR42/5500</f>
        <v>6.893712609970672</v>
      </c>
    </row>
    <row r="44" spans="1:63">
      <c r="AR44">
        <f>AR43*2</f>
        <v>13.787425219941344</v>
      </c>
    </row>
    <row r="45" spans="1:63">
      <c r="AR45" s="203"/>
    </row>
    <row r="46" spans="1:63">
      <c r="AT46" s="62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topLeftCell="A16" zoomScale="70" zoomScaleNormal="70" workbookViewId="0">
      <selection activeCell="J21" sqref="J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4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1435.4767096774119</v>
      </c>
      <c r="R4" s="285">
        <f>SUM(P4:Q4)</f>
        <v>1590.2797482479998</v>
      </c>
      <c r="S4" s="287">
        <f>SUM(ELEC!N4)</f>
        <v>6332</v>
      </c>
      <c r="T4" s="321">
        <f>IF(S4&gt;0,R4/S4,0)</f>
        <v>0.25114967597094123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60"/>
      <c r="AC4" s="661"/>
    </row>
    <row r="5" spans="1:32" ht="20.100000000000001" customHeight="1">
      <c r="A5" s="163">
        <f>ELEC!C5</f>
        <v>44532</v>
      </c>
      <c r="B5" s="607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7">
        <f t="shared" ref="F5:F34" si="8">F4</f>
        <v>159873</v>
      </c>
      <c r="G5" s="160">
        <f t="shared" si="1"/>
        <v>0</v>
      </c>
      <c r="H5" s="607">
        <f t="shared" ref="H5:H34" si="9">H4</f>
        <v>543471</v>
      </c>
      <c r="I5" s="161">
        <f t="shared" si="2"/>
        <v>0</v>
      </c>
      <c r="J5" s="607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1185.1950322580724</v>
      </c>
      <c r="R5" s="285">
        <f t="shared" ref="R5:R30" si="13">SUM(P5:Q5)</f>
        <v>1339.9980708286603</v>
      </c>
      <c r="S5" s="287">
        <f>SUM(ELEC!N5)</f>
        <v>5540</v>
      </c>
      <c r="T5" s="321">
        <f>IF(S5&gt;0,R5/S5,0)</f>
        <v>0.24187690809181595</v>
      </c>
      <c r="U5" s="245"/>
      <c r="V5" s="654"/>
      <c r="W5" s="655"/>
      <c r="X5" s="655"/>
      <c r="Y5" s="656"/>
      <c r="Z5" s="26" t="s">
        <v>202</v>
      </c>
      <c r="AA5" s="26">
        <v>5000</v>
      </c>
      <c r="AB5" s="662"/>
      <c r="AC5" s="663"/>
    </row>
    <row r="6" spans="1:32" ht="20.100000000000001" customHeight="1">
      <c r="A6" s="163">
        <f>ELEC!C6</f>
        <v>44533</v>
      </c>
      <c r="B6" s="607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7">
        <f t="shared" si="8"/>
        <v>159873</v>
      </c>
      <c r="G6" s="160">
        <f t="shared" si="1"/>
        <v>0</v>
      </c>
      <c r="H6" s="607">
        <f t="shared" si="9"/>
        <v>543471</v>
      </c>
      <c r="I6" s="161">
        <f t="shared" si="2"/>
        <v>0</v>
      </c>
      <c r="J6" s="607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7"/>
      <c r="W6" s="658"/>
      <c r="X6" s="658"/>
      <c r="Y6" s="659"/>
      <c r="Z6" s="666"/>
      <c r="AA6" s="667"/>
      <c r="AB6" s="662"/>
      <c r="AC6" s="663"/>
    </row>
    <row r="7" spans="1:32" ht="20.100000000000001" customHeight="1">
      <c r="A7" s="163">
        <f>ELEC!C7</f>
        <v>44534</v>
      </c>
      <c r="B7" s="607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7">
        <f t="shared" si="8"/>
        <v>159873</v>
      </c>
      <c r="G7" s="160">
        <f t="shared" si="1"/>
        <v>0</v>
      </c>
      <c r="H7" s="607">
        <f t="shared" si="9"/>
        <v>543471</v>
      </c>
      <c r="I7" s="161">
        <f t="shared" si="2"/>
        <v>0</v>
      </c>
      <c r="J7" s="607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49" t="s">
        <v>203</v>
      </c>
      <c r="W7" s="650"/>
      <c r="X7" s="651" t="s">
        <v>204</v>
      </c>
      <c r="Y7" s="652"/>
      <c r="Z7" s="653"/>
      <c r="AA7" s="170"/>
      <c r="AB7" s="664"/>
      <c r="AC7" s="665"/>
    </row>
    <row r="8" spans="1:32" ht="20.100000000000001" customHeight="1">
      <c r="A8" s="163">
        <f>ELEC!C8</f>
        <v>44535</v>
      </c>
      <c r="B8" s="607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7">
        <f t="shared" si="8"/>
        <v>159873</v>
      </c>
      <c r="G8" s="160">
        <f t="shared" si="1"/>
        <v>0</v>
      </c>
      <c r="H8" s="607">
        <f t="shared" si="9"/>
        <v>543471</v>
      </c>
      <c r="I8" s="161">
        <f t="shared" si="2"/>
        <v>0</v>
      </c>
      <c r="J8" s="607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82.726661290325794</v>
      </c>
      <c r="R8" s="285">
        <f t="shared" si="13"/>
        <v>237.52969986091369</v>
      </c>
      <c r="S8" s="287">
        <f>SUM(ELEC!N8)</f>
        <v>6729</v>
      </c>
      <c r="T8" s="321">
        <f>IF(S8&gt;0,R8/S8,0)</f>
        <v>3.5299405537362716E-2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7">
        <v>1103918</v>
      </c>
      <c r="C9" s="254">
        <f t="shared" si="0"/>
        <v>959</v>
      </c>
      <c r="D9" s="295">
        <f t="shared" si="14"/>
        <v>958</v>
      </c>
      <c r="E9" s="295">
        <f t="shared" si="15"/>
        <v>1103917</v>
      </c>
      <c r="F9" s="607">
        <v>159985</v>
      </c>
      <c r="G9" s="160">
        <f t="shared" si="1"/>
        <v>112</v>
      </c>
      <c r="H9" s="607">
        <v>544226</v>
      </c>
      <c r="I9" s="161">
        <f t="shared" si="2"/>
        <v>755</v>
      </c>
      <c r="J9" s="607">
        <v>399707</v>
      </c>
      <c r="K9" s="162">
        <f>J9-J8</f>
        <v>91</v>
      </c>
      <c r="L9" s="284">
        <f t="shared" si="3"/>
        <v>23.77446102819237</v>
      </c>
      <c r="M9" s="284">
        <f t="shared" si="4"/>
        <v>56.092868988391373</v>
      </c>
      <c r="N9" s="284">
        <f t="shared" si="5"/>
        <v>4.8291873963515757</v>
      </c>
      <c r="O9" s="284">
        <f t="shared" si="6"/>
        <v>154.80303857058792</v>
      </c>
      <c r="P9" s="285">
        <f t="shared" si="12"/>
        <v>239.49955598352324</v>
      </c>
      <c r="Q9" s="285">
        <f>SUM(-tanks!AX11*tanks!$AU$37)</f>
        <v>1046.6233709677285</v>
      </c>
      <c r="R9" s="285">
        <f>SUM(P9:Q9)</f>
        <v>1286.1229269512519</v>
      </c>
      <c r="S9" s="287">
        <f>SUM(ELEC!N9)</f>
        <v>4979</v>
      </c>
      <c r="T9" s="321">
        <f t="shared" si="16"/>
        <v>0.25830948522820885</v>
      </c>
      <c r="V9" s="246">
        <f>'[2]EDl log'!V26</f>
        <v>399615</v>
      </c>
      <c r="W9" s="246">
        <f>'[2]EDl log'!W26</f>
        <v>399616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7">
        <v>1104026</v>
      </c>
      <c r="C10" s="254">
        <f t="shared" si="0"/>
        <v>108</v>
      </c>
      <c r="D10" s="295">
        <f t="shared" si="14"/>
        <v>107</v>
      </c>
      <c r="E10" s="295">
        <f t="shared" si="15"/>
        <v>1104025</v>
      </c>
      <c r="F10" s="607">
        <v>159985</v>
      </c>
      <c r="G10" s="160">
        <f t="shared" si="1"/>
        <v>0</v>
      </c>
      <c r="H10" s="607">
        <v>544333</v>
      </c>
      <c r="I10" s="161">
        <f t="shared" si="2"/>
        <v>107</v>
      </c>
      <c r="J10" s="607">
        <f t="shared" si="10"/>
        <v>399707</v>
      </c>
      <c r="K10" s="162">
        <f t="shared" si="11"/>
        <v>0</v>
      </c>
      <c r="L10" s="284">
        <f t="shared" si="3"/>
        <v>0</v>
      </c>
      <c r="M10" s="284">
        <f t="shared" si="4"/>
        <v>7.9495854063018241</v>
      </c>
      <c r="N10" s="284">
        <f t="shared" si="5"/>
        <v>0</v>
      </c>
      <c r="O10" s="284">
        <f t="shared" si="6"/>
        <v>154.80303857058792</v>
      </c>
      <c r="P10" s="285">
        <f t="shared" si="12"/>
        <v>162.75262397688974</v>
      </c>
      <c r="Q10" s="285">
        <f>SUM(-tanks!AX12*tanks!$AU$37)</f>
        <v>1665.682209677439</v>
      </c>
      <c r="R10" s="285">
        <f t="shared" si="13"/>
        <v>1828.4348336543287</v>
      </c>
      <c r="S10" s="287">
        <f>SUM(ELEC!N10)</f>
        <v>5333</v>
      </c>
      <c r="T10" s="321">
        <f t="shared" si="16"/>
        <v>0.34285295962016288</v>
      </c>
      <c r="V10" s="246">
        <f>'[2]EDl log'!V27</f>
        <v>540744</v>
      </c>
      <c r="W10" s="246">
        <f>'[2]EDl log'!W27</f>
        <v>543471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7">
        <v>1104238</v>
      </c>
      <c r="C11" s="254">
        <f t="shared" si="0"/>
        <v>212</v>
      </c>
      <c r="D11" s="295">
        <f t="shared" si="14"/>
        <v>213</v>
      </c>
      <c r="E11" s="295">
        <f t="shared" si="15"/>
        <v>1104239</v>
      </c>
      <c r="F11" s="607">
        <v>160049</v>
      </c>
      <c r="G11" s="160">
        <f t="shared" si="1"/>
        <v>64</v>
      </c>
      <c r="H11" s="607">
        <v>544482</v>
      </c>
      <c r="I11" s="161">
        <f t="shared" si="2"/>
        <v>149</v>
      </c>
      <c r="J11" s="607">
        <f t="shared" si="10"/>
        <v>399707</v>
      </c>
      <c r="K11" s="162">
        <f t="shared" si="11"/>
        <v>0</v>
      </c>
      <c r="L11" s="284">
        <f t="shared" si="3"/>
        <v>13.585406301824213</v>
      </c>
      <c r="M11" s="284">
        <f t="shared" si="4"/>
        <v>11.069983416252073</v>
      </c>
      <c r="N11" s="284">
        <f t="shared" si="5"/>
        <v>0</v>
      </c>
      <c r="O11" s="284">
        <f t="shared" si="6"/>
        <v>154.80303857058792</v>
      </c>
      <c r="P11" s="285">
        <f t="shared" si="12"/>
        <v>179.45842828866421</v>
      </c>
      <c r="Q11" s="285">
        <f>SUM(-tanks!AX13*tanks!$AU$37)</f>
        <v>1245.1833709677287</v>
      </c>
      <c r="R11" s="285">
        <f t="shared" si="13"/>
        <v>1424.6417992563929</v>
      </c>
      <c r="S11" s="287">
        <f>SUM(ELEC!N11)</f>
        <v>5724</v>
      </c>
      <c r="T11" s="321">
        <f t="shared" si="16"/>
        <v>0.24888920322438729</v>
      </c>
      <c r="V11" s="246">
        <f>'[2]EDl log'!V28</f>
        <v>159573</v>
      </c>
      <c r="W11" s="246">
        <f>'[2]EDl log'!W28</f>
        <v>159873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7">
        <v>1104346</v>
      </c>
      <c r="C12" s="254">
        <f t="shared" si="0"/>
        <v>108</v>
      </c>
      <c r="D12" s="295">
        <f t="shared" si="14"/>
        <v>108</v>
      </c>
      <c r="E12" s="295">
        <f t="shared" si="15"/>
        <v>1104346</v>
      </c>
      <c r="F12" s="607">
        <v>160049</v>
      </c>
      <c r="G12" s="160">
        <f t="shared" si="1"/>
        <v>0</v>
      </c>
      <c r="H12" s="607">
        <v>544590</v>
      </c>
      <c r="I12" s="161">
        <f t="shared" si="2"/>
        <v>108</v>
      </c>
      <c r="J12" s="607">
        <f t="shared" si="10"/>
        <v>399707</v>
      </c>
      <c r="K12" s="162">
        <f t="shared" si="11"/>
        <v>0</v>
      </c>
      <c r="L12" s="284">
        <f t="shared" si="3"/>
        <v>0</v>
      </c>
      <c r="M12" s="284">
        <f t="shared" si="4"/>
        <v>8.0238805970149247</v>
      </c>
      <c r="N12" s="284">
        <f t="shared" si="5"/>
        <v>0</v>
      </c>
      <c r="O12" s="284">
        <f t="shared" si="6"/>
        <v>154.80303857058792</v>
      </c>
      <c r="P12" s="285">
        <f t="shared" si="12"/>
        <v>162.82691916760285</v>
      </c>
      <c r="Q12" s="285">
        <f>SUM(-tanks!AX14*tanks!$AU$37)</f>
        <v>1332.0533709677468</v>
      </c>
      <c r="R12" s="285">
        <f t="shared" si="13"/>
        <v>1494.8802901353497</v>
      </c>
      <c r="S12" s="287">
        <f>SUM(ELEC!N12)</f>
        <v>4995</v>
      </c>
      <c r="T12" s="321">
        <f t="shared" si="16"/>
        <v>0.29927533336043038</v>
      </c>
      <c r="V12" s="213"/>
      <c r="W12" s="214"/>
      <c r="X12" s="214"/>
      <c r="Y12" s="215"/>
      <c r="Z12" s="3"/>
      <c r="AA12" s="172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7">
        <f t="shared" si="7"/>
        <v>1104346</v>
      </c>
      <c r="C13" s="254">
        <f t="shared" si="0"/>
        <v>0</v>
      </c>
      <c r="D13" s="295">
        <f t="shared" si="14"/>
        <v>0</v>
      </c>
      <c r="E13" s="295">
        <f t="shared" si="15"/>
        <v>1104346</v>
      </c>
      <c r="F13" s="607">
        <f t="shared" si="8"/>
        <v>160049</v>
      </c>
      <c r="G13" s="160">
        <f t="shared" si="1"/>
        <v>0</v>
      </c>
      <c r="H13" s="607">
        <f t="shared" si="9"/>
        <v>544590</v>
      </c>
      <c r="I13" s="161">
        <f t="shared" si="2"/>
        <v>0</v>
      </c>
      <c r="J13" s="607">
        <f t="shared" si="10"/>
        <v>399707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7">
        <f t="shared" si="7"/>
        <v>1104346</v>
      </c>
      <c r="C14" s="254">
        <f t="shared" si="0"/>
        <v>0</v>
      </c>
      <c r="D14" s="295">
        <f t="shared" si="14"/>
        <v>0</v>
      </c>
      <c r="E14" s="295">
        <f t="shared" si="15"/>
        <v>1104346</v>
      </c>
      <c r="F14" s="607">
        <f t="shared" si="8"/>
        <v>160049</v>
      </c>
      <c r="G14" s="160">
        <f t="shared" si="1"/>
        <v>0</v>
      </c>
      <c r="H14" s="607">
        <f t="shared" si="9"/>
        <v>544590</v>
      </c>
      <c r="I14" s="161">
        <f t="shared" si="2"/>
        <v>0</v>
      </c>
      <c r="J14" s="607">
        <f t="shared" si="10"/>
        <v>399707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7">
        <f t="shared" si="7"/>
        <v>1104346</v>
      </c>
      <c r="C15" s="254">
        <f t="shared" si="0"/>
        <v>0</v>
      </c>
      <c r="D15" s="295">
        <f t="shared" si="14"/>
        <v>0</v>
      </c>
      <c r="E15" s="295">
        <f t="shared" si="15"/>
        <v>1104346</v>
      </c>
      <c r="F15" s="607">
        <f t="shared" si="8"/>
        <v>160049</v>
      </c>
      <c r="G15" s="160">
        <f t="shared" si="1"/>
        <v>0</v>
      </c>
      <c r="H15" s="607">
        <f t="shared" si="9"/>
        <v>544590</v>
      </c>
      <c r="I15" s="161">
        <f t="shared" si="2"/>
        <v>0</v>
      </c>
      <c r="J15" s="607">
        <f t="shared" si="10"/>
        <v>399707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921.68269354838469</v>
      </c>
      <c r="R15" s="285">
        <f>SUM(P15:Q15)</f>
        <v>1076.4857321189727</v>
      </c>
      <c r="S15" s="287">
        <f>SUM(ELEC!N15)</f>
        <v>6833</v>
      </c>
      <c r="T15" s="321">
        <f>IF(S15&gt;0,R15/S15,0)</f>
        <v>0.15754218236777004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7">
        <v>1104346</v>
      </c>
      <c r="C16" s="254">
        <f t="shared" si="0"/>
        <v>0</v>
      </c>
      <c r="D16" s="295">
        <f t="shared" si="14"/>
        <v>0</v>
      </c>
      <c r="E16" s="295">
        <f t="shared" si="15"/>
        <v>1104346</v>
      </c>
      <c r="F16" s="607">
        <v>160049</v>
      </c>
      <c r="G16" s="160">
        <f t="shared" si="1"/>
        <v>0</v>
      </c>
      <c r="H16" s="607">
        <v>544590</v>
      </c>
      <c r="I16" s="161">
        <f t="shared" si="2"/>
        <v>0</v>
      </c>
      <c r="J16" s="607">
        <f t="shared" si="10"/>
        <v>399707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1183.7538709677331</v>
      </c>
      <c r="R16" s="285">
        <f>SUM(P16:Q16)</f>
        <v>1338.556909538321</v>
      </c>
      <c r="S16" s="287">
        <f>SUM(ELEC!N16)</f>
        <v>5512.2000000001863</v>
      </c>
      <c r="T16" s="321">
        <f>IF(S16&gt;0,R16/S16,0)</f>
        <v>0.24283533063718221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7">
        <v>1104986</v>
      </c>
      <c r="C17" s="254">
        <f t="shared" si="0"/>
        <v>640</v>
      </c>
      <c r="D17" s="295">
        <f t="shared" si="14"/>
        <v>638</v>
      </c>
      <c r="E17" s="295">
        <f t="shared" si="15"/>
        <v>1104984</v>
      </c>
      <c r="F17" s="607">
        <v>160089</v>
      </c>
      <c r="G17" s="160">
        <f>F17-F16</f>
        <v>40</v>
      </c>
      <c r="H17" s="607">
        <v>545188</v>
      </c>
      <c r="I17" s="161">
        <f t="shared" si="2"/>
        <v>598</v>
      </c>
      <c r="J17" s="607">
        <v>399707</v>
      </c>
      <c r="K17" s="162">
        <f>J17-J16</f>
        <v>0</v>
      </c>
      <c r="L17" s="284">
        <f>SUM(G17*$Y$28)/1507.5</f>
        <v>8.4908789386401331</v>
      </c>
      <c r="M17" s="284">
        <f>SUM(I17*$Y$27)/1507.5</f>
        <v>44.428524046434497</v>
      </c>
      <c r="N17" s="284">
        <f>SUM(K17*$Y$26)/1507.5</f>
        <v>0</v>
      </c>
      <c r="O17" s="284">
        <f t="shared" si="6"/>
        <v>154.80303857058792</v>
      </c>
      <c r="P17" s="285">
        <f>SUM(L17:O17)</f>
        <v>207.72244155566256</v>
      </c>
      <c r="Q17" s="285">
        <f>SUM(-tanks!AX19*tanks!$AU$37)</f>
        <v>233.30800000000002</v>
      </c>
      <c r="R17" s="285">
        <f>SUM(P17:Q17)</f>
        <v>441.03044155566261</v>
      </c>
      <c r="S17" s="287">
        <f>SUM(ELEC!N17)</f>
        <v>5313.7999999998137</v>
      </c>
      <c r="T17" s="321">
        <f>IF(S17&gt;0,R17/S17,0)</f>
        <v>8.2997184981685054E-2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7">
        <f t="shared" si="7"/>
        <v>1104986</v>
      </c>
      <c r="C18" s="254">
        <f>SUM(B18-B17)</f>
        <v>0</v>
      </c>
      <c r="D18" s="295">
        <f>SUM(G18+I18+K18)</f>
        <v>0</v>
      </c>
      <c r="E18" s="295">
        <f t="shared" si="15"/>
        <v>1104986</v>
      </c>
      <c r="F18" s="607">
        <f t="shared" si="8"/>
        <v>160089</v>
      </c>
      <c r="G18" s="160">
        <f t="shared" si="1"/>
        <v>0</v>
      </c>
      <c r="H18" s="607">
        <f t="shared" si="9"/>
        <v>545188</v>
      </c>
      <c r="I18" s="161">
        <f t="shared" si="2"/>
        <v>0</v>
      </c>
      <c r="J18" s="607">
        <f t="shared" si="10"/>
        <v>399707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1219.1223709677556</v>
      </c>
      <c r="R18" s="285">
        <f t="shared" si="13"/>
        <v>1373.9254095383435</v>
      </c>
      <c r="S18" s="287">
        <f>SUM(ELEC!N18)</f>
        <v>5643</v>
      </c>
      <c r="T18" s="321">
        <f t="shared" si="16"/>
        <v>0.24347428841721486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7">
        <v>1105583</v>
      </c>
      <c r="C19" s="254">
        <f t="shared" si="0"/>
        <v>597</v>
      </c>
      <c r="D19" s="295">
        <f t="shared" si="14"/>
        <v>594</v>
      </c>
      <c r="E19" s="295">
        <f t="shared" si="15"/>
        <v>1105580</v>
      </c>
      <c r="F19" s="607">
        <v>160089</v>
      </c>
      <c r="G19" s="160">
        <f t="shared" si="1"/>
        <v>0</v>
      </c>
      <c r="H19" s="607">
        <v>545420</v>
      </c>
      <c r="I19" s="161">
        <f t="shared" si="2"/>
        <v>232</v>
      </c>
      <c r="J19" s="607">
        <v>400069</v>
      </c>
      <c r="K19" s="162">
        <f t="shared" si="11"/>
        <v>362</v>
      </c>
      <c r="L19" s="284">
        <f t="shared" si="17"/>
        <v>0</v>
      </c>
      <c r="M19" s="284">
        <f t="shared" si="18"/>
        <v>17.23648424543947</v>
      </c>
      <c r="N19" s="284">
        <f t="shared" si="19"/>
        <v>19.210613598673302</v>
      </c>
      <c r="O19" s="284">
        <f t="shared" si="6"/>
        <v>154.80303857058792</v>
      </c>
      <c r="P19" s="285">
        <f t="shared" si="12"/>
        <v>191.25013641470071</v>
      </c>
      <c r="Q19" s="285">
        <f>SUM(-tanks!AX21*tanks!$AU$37)</f>
        <v>1565.7817096774074</v>
      </c>
      <c r="R19" s="285">
        <f t="shared" si="13"/>
        <v>1757.031846092108</v>
      </c>
      <c r="S19" s="287">
        <f>SUM(ELEC!N19)</f>
        <v>9545</v>
      </c>
      <c r="T19" s="321">
        <f t="shared" si="16"/>
        <v>0.18407876857958178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7">
        <f t="shared" si="7"/>
        <v>1105583</v>
      </c>
      <c r="C20" s="254">
        <f t="shared" si="0"/>
        <v>0</v>
      </c>
      <c r="D20" s="295">
        <f t="shared" si="14"/>
        <v>0</v>
      </c>
      <c r="E20" s="295">
        <f t="shared" si="15"/>
        <v>1105583</v>
      </c>
      <c r="F20" s="607">
        <f t="shared" si="8"/>
        <v>160089</v>
      </c>
      <c r="G20" s="160">
        <f t="shared" si="1"/>
        <v>0</v>
      </c>
      <c r="H20" s="607">
        <f t="shared" si="9"/>
        <v>545420</v>
      </c>
      <c r="I20" s="161">
        <f t="shared" si="2"/>
        <v>0</v>
      </c>
      <c r="J20" s="624">
        <f>J19</f>
        <v>400069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7">
        <f t="shared" si="7"/>
        <v>1105583</v>
      </c>
      <c r="C21" s="254">
        <f t="shared" si="0"/>
        <v>0</v>
      </c>
      <c r="D21" s="295">
        <f t="shared" si="14"/>
        <v>0</v>
      </c>
      <c r="E21" s="295">
        <f t="shared" si="15"/>
        <v>1105583</v>
      </c>
      <c r="F21" s="607">
        <f t="shared" si="8"/>
        <v>160089</v>
      </c>
      <c r="G21" s="160">
        <f t="shared" si="1"/>
        <v>0</v>
      </c>
      <c r="H21" s="607">
        <f t="shared" si="9"/>
        <v>545420</v>
      </c>
      <c r="I21" s="161">
        <f t="shared" si="2"/>
        <v>0</v>
      </c>
      <c r="J21" s="607">
        <f t="shared" si="10"/>
        <v>400069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60"/>
      <c r="AC21" s="661"/>
    </row>
    <row r="22" spans="1:32" ht="20.100000000000001" customHeight="1">
      <c r="A22" s="163">
        <f>ELEC!C22</f>
        <v>44549</v>
      </c>
      <c r="B22" s="607">
        <f t="shared" si="7"/>
        <v>1105583</v>
      </c>
      <c r="C22" s="254">
        <f t="shared" si="0"/>
        <v>0</v>
      </c>
      <c r="D22" s="295">
        <f t="shared" si="14"/>
        <v>0</v>
      </c>
      <c r="E22" s="295">
        <f t="shared" si="15"/>
        <v>1105583</v>
      </c>
      <c r="F22" s="607">
        <f t="shared" si="8"/>
        <v>160089</v>
      </c>
      <c r="G22" s="160">
        <f t="shared" si="1"/>
        <v>0</v>
      </c>
      <c r="H22" s="607">
        <f t="shared" si="9"/>
        <v>545420</v>
      </c>
      <c r="I22" s="161">
        <f t="shared" si="2"/>
        <v>0</v>
      </c>
      <c r="J22" s="607">
        <f t="shared" si="10"/>
        <v>400069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1872.9492258064572</v>
      </c>
      <c r="R22" s="285">
        <f t="shared" si="13"/>
        <v>2027.7522643770451</v>
      </c>
      <c r="S22" s="287">
        <f>SUM(ELEC!N22)</f>
        <v>6388</v>
      </c>
      <c r="T22" s="321">
        <f t="shared" si="16"/>
        <v>0.31743147532514793</v>
      </c>
      <c r="V22" s="654"/>
      <c r="W22" s="655"/>
      <c r="X22" s="655"/>
      <c r="Y22" s="656"/>
      <c r="Z22" s="26" t="s">
        <v>202</v>
      </c>
      <c r="AA22" s="26">
        <v>5000</v>
      </c>
      <c r="AB22" s="662"/>
      <c r="AC22" s="663"/>
    </row>
    <row r="23" spans="1:32" ht="20.100000000000001" customHeight="1">
      <c r="A23" s="163">
        <f>ELEC!C23</f>
        <v>44550</v>
      </c>
      <c r="B23" s="607">
        <f t="shared" si="7"/>
        <v>1105583</v>
      </c>
      <c r="C23" s="254">
        <f t="shared" si="0"/>
        <v>0</v>
      </c>
      <c r="D23" s="295">
        <f t="shared" si="14"/>
        <v>0</v>
      </c>
      <c r="E23" s="295">
        <f t="shared" si="15"/>
        <v>1105583</v>
      </c>
      <c r="F23" s="607">
        <f t="shared" si="8"/>
        <v>160089</v>
      </c>
      <c r="G23" s="160">
        <f t="shared" si="1"/>
        <v>0</v>
      </c>
      <c r="H23" s="607">
        <f t="shared" si="9"/>
        <v>545420</v>
      </c>
      <c r="I23" s="161">
        <f t="shared" si="2"/>
        <v>0</v>
      </c>
      <c r="J23" s="607">
        <f t="shared" si="10"/>
        <v>400069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1105.1505322580724</v>
      </c>
      <c r="R23" s="285">
        <f t="shared" si="13"/>
        <v>1259.9535708286603</v>
      </c>
      <c r="S23" s="287">
        <f>SUM(ELEC!N23)</f>
        <v>5544</v>
      </c>
      <c r="T23" s="321">
        <f t="shared" si="16"/>
        <v>0.22726435260257222</v>
      </c>
      <c r="V23" s="657"/>
      <c r="W23" s="658"/>
      <c r="X23" s="658"/>
      <c r="Y23" s="659"/>
      <c r="Z23" s="666"/>
      <c r="AA23" s="667"/>
      <c r="AB23" s="662"/>
      <c r="AC23" s="663"/>
    </row>
    <row r="24" spans="1:32" ht="20.100000000000001" customHeight="1">
      <c r="A24" s="163">
        <f>ELEC!C24</f>
        <v>44551</v>
      </c>
      <c r="B24" s="607">
        <f t="shared" si="7"/>
        <v>1105583</v>
      </c>
      <c r="C24" s="254">
        <f t="shared" si="0"/>
        <v>0</v>
      </c>
      <c r="D24" s="295">
        <f t="shared" si="14"/>
        <v>0</v>
      </c>
      <c r="E24" s="295">
        <f t="shared" si="15"/>
        <v>1105583</v>
      </c>
      <c r="F24" s="607">
        <f t="shared" si="8"/>
        <v>160089</v>
      </c>
      <c r="G24" s="160">
        <f t="shared" si="1"/>
        <v>0</v>
      </c>
      <c r="H24" s="607">
        <f t="shared" si="9"/>
        <v>545420</v>
      </c>
      <c r="I24" s="161">
        <f t="shared" si="2"/>
        <v>0</v>
      </c>
      <c r="J24" s="607">
        <f t="shared" si="10"/>
        <v>400069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49" t="s">
        <v>203</v>
      </c>
      <c r="W24" s="650"/>
      <c r="X24" s="651" t="s">
        <v>204</v>
      </c>
      <c r="Y24" s="652"/>
      <c r="Z24" s="653"/>
      <c r="AA24" s="170"/>
      <c r="AB24" s="664"/>
      <c r="AC24" s="665"/>
    </row>
    <row r="25" spans="1:32" ht="20.100000000000001" customHeight="1">
      <c r="A25" s="163">
        <f>ELEC!C25</f>
        <v>44552</v>
      </c>
      <c r="B25" s="607">
        <f t="shared" si="7"/>
        <v>1105583</v>
      </c>
      <c r="C25" s="254">
        <f t="shared" si="0"/>
        <v>0</v>
      </c>
      <c r="D25" s="295">
        <f t="shared" si="14"/>
        <v>0</v>
      </c>
      <c r="E25" s="295">
        <f t="shared" si="15"/>
        <v>1105583</v>
      </c>
      <c r="F25" s="607">
        <f t="shared" si="8"/>
        <v>160089</v>
      </c>
      <c r="G25" s="160">
        <f t="shared" si="1"/>
        <v>0</v>
      </c>
      <c r="H25" s="607">
        <f t="shared" si="9"/>
        <v>545420</v>
      </c>
      <c r="I25" s="161">
        <f t="shared" si="2"/>
        <v>0</v>
      </c>
      <c r="J25" s="607">
        <f t="shared" si="10"/>
        <v>400069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7">
        <f t="shared" si="7"/>
        <v>1105583</v>
      </c>
      <c r="C26" s="254">
        <f t="shared" si="0"/>
        <v>0</v>
      </c>
      <c r="D26" s="295">
        <f t="shared" si="14"/>
        <v>0</v>
      </c>
      <c r="E26" s="295">
        <f t="shared" si="15"/>
        <v>1105583</v>
      </c>
      <c r="F26" s="607">
        <f t="shared" si="8"/>
        <v>160089</v>
      </c>
      <c r="G26" s="160">
        <f t="shared" si="1"/>
        <v>0</v>
      </c>
      <c r="H26" s="607">
        <f t="shared" si="9"/>
        <v>545420</v>
      </c>
      <c r="I26" s="161">
        <f t="shared" si="2"/>
        <v>0</v>
      </c>
      <c r="J26" s="607">
        <f t="shared" si="10"/>
        <v>400069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399616</v>
      </c>
      <c r="W26" s="170">
        <f>J34</f>
        <v>400069</v>
      </c>
      <c r="X26" s="172" t="s">
        <v>199</v>
      </c>
      <c r="Y26" s="172">
        <v>80</v>
      </c>
      <c r="Z26" s="172">
        <v>1</v>
      </c>
      <c r="AA26" s="323">
        <f>(W26-V26)*Z26</f>
        <v>453</v>
      </c>
      <c r="AB26" s="323">
        <f>AA26*Y26</f>
        <v>36240</v>
      </c>
      <c r="AC26" s="244">
        <f>AC9</f>
        <v>1033333</v>
      </c>
      <c r="AD26" s="476">
        <f>SUM(K36)</f>
        <v>0.17263719512195122</v>
      </c>
    </row>
    <row r="27" spans="1:32" ht="20.100000000000001" customHeight="1">
      <c r="A27" s="163">
        <f>ELEC!C27</f>
        <v>44554</v>
      </c>
      <c r="B27" s="607">
        <f t="shared" si="7"/>
        <v>1105583</v>
      </c>
      <c r="C27" s="254">
        <f t="shared" si="0"/>
        <v>0</v>
      </c>
      <c r="D27" s="295">
        <f t="shared" si="14"/>
        <v>0</v>
      </c>
      <c r="E27" s="295">
        <f t="shared" si="15"/>
        <v>1105583</v>
      </c>
      <c r="F27" s="607">
        <f t="shared" si="8"/>
        <v>160089</v>
      </c>
      <c r="G27" s="160">
        <f t="shared" si="1"/>
        <v>0</v>
      </c>
      <c r="H27" s="607">
        <f t="shared" si="9"/>
        <v>545420</v>
      </c>
      <c r="I27" s="161">
        <f t="shared" si="2"/>
        <v>0</v>
      </c>
      <c r="J27" s="607">
        <f t="shared" si="10"/>
        <v>400069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545420</v>
      </c>
      <c r="X27" s="172" t="s">
        <v>212</v>
      </c>
      <c r="Y27" s="172">
        <v>112</v>
      </c>
      <c r="Z27" s="172">
        <v>1</v>
      </c>
      <c r="AA27" s="323">
        <f>(W27-V27)*Z27</f>
        <v>1949</v>
      </c>
      <c r="AB27" s="323">
        <f>SUM(AA27*Y27)</f>
        <v>218288</v>
      </c>
      <c r="AC27" s="244">
        <f>AC10</f>
        <v>6200000</v>
      </c>
      <c r="AD27" s="476">
        <f>SUM(I36)</f>
        <v>0.74275914634146356</v>
      </c>
    </row>
    <row r="28" spans="1:32" ht="20.100000000000001" customHeight="1">
      <c r="A28" s="163">
        <f>ELEC!C28</f>
        <v>44555</v>
      </c>
      <c r="B28" s="607">
        <f t="shared" si="7"/>
        <v>1105583</v>
      </c>
      <c r="C28" s="254">
        <f t="shared" si="0"/>
        <v>0</v>
      </c>
      <c r="D28" s="295">
        <f t="shared" si="14"/>
        <v>0</v>
      </c>
      <c r="E28" s="295">
        <f>B27+D28</f>
        <v>1105583</v>
      </c>
      <c r="F28" s="607">
        <f t="shared" si="8"/>
        <v>160089</v>
      </c>
      <c r="G28" s="160">
        <f t="shared" si="1"/>
        <v>0</v>
      </c>
      <c r="H28" s="607">
        <f t="shared" si="9"/>
        <v>545420</v>
      </c>
      <c r="I28" s="161">
        <f t="shared" si="2"/>
        <v>0</v>
      </c>
      <c r="J28" s="607">
        <f t="shared" si="10"/>
        <v>400069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160089</v>
      </c>
      <c r="X28" s="172" t="s">
        <v>197</v>
      </c>
      <c r="Y28" s="172">
        <v>320</v>
      </c>
      <c r="Z28" s="172">
        <v>1</v>
      </c>
      <c r="AA28" s="323">
        <f>(W28-V28)*Z28</f>
        <v>216</v>
      </c>
      <c r="AB28" s="323">
        <f>SUM(AA28*Y28)</f>
        <v>69120</v>
      </c>
      <c r="AC28" s="244">
        <f>AC11</f>
        <v>1000</v>
      </c>
      <c r="AD28" s="476">
        <f>SUM(G36)</f>
        <v>8.2317073170731711E-2</v>
      </c>
      <c r="AE28" s="40">
        <f>SUM(AB28*5%)</f>
        <v>3456</v>
      </c>
      <c r="AF28" s="82">
        <f>SUM(AE28/7)*31</f>
        <v>15305.142857142857</v>
      </c>
    </row>
    <row r="29" spans="1:32" ht="20.100000000000001" customHeight="1">
      <c r="A29" s="163">
        <f>ELEC!C29</f>
        <v>44556</v>
      </c>
      <c r="B29" s="607">
        <f t="shared" si="7"/>
        <v>1105583</v>
      </c>
      <c r="C29" s="254">
        <f t="shared" si="0"/>
        <v>0</v>
      </c>
      <c r="D29" s="295">
        <f t="shared" si="14"/>
        <v>0</v>
      </c>
      <c r="E29" s="295">
        <f>B28+D29</f>
        <v>1105583</v>
      </c>
      <c r="F29" s="607">
        <f t="shared" si="8"/>
        <v>160089</v>
      </c>
      <c r="G29" s="160">
        <f t="shared" si="1"/>
        <v>0</v>
      </c>
      <c r="H29" s="607">
        <f t="shared" si="9"/>
        <v>545420</v>
      </c>
      <c r="I29" s="161">
        <f t="shared" si="2"/>
        <v>0</v>
      </c>
      <c r="J29" s="607">
        <f t="shared" si="10"/>
        <v>400069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2618</v>
      </c>
      <c r="AB29" s="323">
        <f>SUM(AB26:AB28)</f>
        <v>323648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7">
        <f t="shared" si="7"/>
        <v>1105583</v>
      </c>
      <c r="C30" s="254">
        <f t="shared" si="0"/>
        <v>0</v>
      </c>
      <c r="D30" s="295">
        <f t="shared" si="14"/>
        <v>0</v>
      </c>
      <c r="E30" s="295">
        <f t="shared" si="15"/>
        <v>1105583</v>
      </c>
      <c r="F30" s="607">
        <f t="shared" si="8"/>
        <v>160089</v>
      </c>
      <c r="G30" s="160">
        <f t="shared" si="1"/>
        <v>0</v>
      </c>
      <c r="H30" s="607">
        <f t="shared" si="9"/>
        <v>545420</v>
      </c>
      <c r="I30" s="161">
        <f t="shared" si="2"/>
        <v>0</v>
      </c>
      <c r="J30" s="607">
        <f t="shared" si="10"/>
        <v>400069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7557981</v>
      </c>
      <c r="AC30" s="244"/>
    </row>
    <row r="31" spans="1:32" ht="20.100000000000001" customHeight="1">
      <c r="A31" s="163">
        <f>ELEC!C31</f>
        <v>44558</v>
      </c>
      <c r="B31" s="607">
        <f t="shared" si="7"/>
        <v>1105583</v>
      </c>
      <c r="C31" s="254">
        <f>SUM(B31-B30)</f>
        <v>0</v>
      </c>
      <c r="D31" s="295">
        <f t="shared" si="14"/>
        <v>0</v>
      </c>
      <c r="E31" s="295">
        <f>B30+D31</f>
        <v>1105583</v>
      </c>
      <c r="F31" s="607">
        <f t="shared" si="8"/>
        <v>160089</v>
      </c>
      <c r="G31" s="160">
        <f>F31-F30</f>
        <v>0</v>
      </c>
      <c r="H31" s="607">
        <f t="shared" si="9"/>
        <v>545420</v>
      </c>
      <c r="I31" s="161">
        <f>H31-H30</f>
        <v>0</v>
      </c>
      <c r="J31" s="607">
        <f t="shared" si="10"/>
        <v>400069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7">
        <f t="shared" si="7"/>
        <v>1105583</v>
      </c>
      <c r="C32" s="254">
        <f>SUM(B32-B31)</f>
        <v>0</v>
      </c>
      <c r="D32" s="295">
        <f t="shared" si="14"/>
        <v>0</v>
      </c>
      <c r="E32" s="295">
        <f>B31+D32</f>
        <v>1105583</v>
      </c>
      <c r="F32" s="607">
        <f t="shared" si="8"/>
        <v>160089</v>
      </c>
      <c r="G32" s="160">
        <f>F32-F31</f>
        <v>0</v>
      </c>
      <c r="H32" s="607">
        <f t="shared" si="9"/>
        <v>545420</v>
      </c>
      <c r="I32" s="161">
        <f>H32-H31</f>
        <v>0</v>
      </c>
      <c r="J32" s="607">
        <f t="shared" si="10"/>
        <v>400069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155</v>
      </c>
      <c r="X32" s="222">
        <f>SUM(W32/A35)</f>
        <v>22.142857142857142</v>
      </c>
      <c r="Y32" s="250">
        <f>SUM(X32/1)</f>
        <v>22.142857142857142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7">
        <f t="shared" si="7"/>
        <v>1105583</v>
      </c>
      <c r="C33" s="254">
        <f>SUM(B33-B32)</f>
        <v>0</v>
      </c>
      <c r="D33" s="295">
        <f t="shared" si="14"/>
        <v>0</v>
      </c>
      <c r="E33" s="295">
        <f>B32+D33</f>
        <v>1105583</v>
      </c>
      <c r="F33" s="607">
        <f t="shared" si="8"/>
        <v>160089</v>
      </c>
      <c r="G33" s="160">
        <f>F33-F32</f>
        <v>0</v>
      </c>
      <c r="H33" s="607">
        <f t="shared" si="9"/>
        <v>545420</v>
      </c>
      <c r="I33" s="161">
        <f>H33-H32</f>
        <v>0</v>
      </c>
      <c r="J33" s="607">
        <f t="shared" si="10"/>
        <v>400069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831377.91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7">
        <f t="shared" si="7"/>
        <v>1105583</v>
      </c>
      <c r="C34" s="254">
        <f>SUM(B34-B33)</f>
        <v>0</v>
      </c>
      <c r="D34" s="295">
        <f t="shared" ref="D34" si="20">SUM(G34+I34+K34)</f>
        <v>0</v>
      </c>
      <c r="E34" s="295">
        <f>B33+D34</f>
        <v>1105583</v>
      </c>
      <c r="F34" s="607">
        <f t="shared" si="8"/>
        <v>160089</v>
      </c>
      <c r="G34" s="160">
        <f>F34-F33</f>
        <v>0</v>
      </c>
      <c r="H34" s="607">
        <f t="shared" si="9"/>
        <v>545420</v>
      </c>
      <c r="I34" s="161">
        <f>H34-H33</f>
        <v>0</v>
      </c>
      <c r="J34" s="607">
        <f t="shared" si="10"/>
        <v>400069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8389358.9100000001</v>
      </c>
      <c r="AC34" s="244">
        <f>SUM(AC30)</f>
        <v>0</v>
      </c>
    </row>
    <row r="35" spans="1:32" ht="15.75" thickBot="1">
      <c r="A35" s="501">
        <f>A37-COUNTIF(C4:C33,0)</f>
        <v>7</v>
      </c>
      <c r="C35" s="173">
        <f>SUM(C4:C34)/A35</f>
        <v>374.85714285714283</v>
      </c>
      <c r="D35" s="173"/>
      <c r="E35" s="173"/>
      <c r="F35" s="568"/>
      <c r="G35" s="568">
        <f>SUM(G4:G34)/A35</f>
        <v>30.857142857142858</v>
      </c>
      <c r="H35" s="173"/>
      <c r="I35" s="173">
        <f>SUM(I4:I34)/A35</f>
        <v>278.42857142857144</v>
      </c>
      <c r="K35" s="173">
        <f>SUM(K4:K34)/A35</f>
        <v>64.714285714285708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0.99771341463414642</v>
      </c>
      <c r="G36" s="225">
        <f>IF(C35&gt;0,G35/C35,0)</f>
        <v>8.2317073170731711E-2</v>
      </c>
      <c r="H36" s="212"/>
      <c r="I36" s="225">
        <f>SUM(I35/C35)</f>
        <v>0.74275914634146356</v>
      </c>
      <c r="J36" s="212"/>
      <c r="K36" s="225">
        <f>SUM(K35/C35)</f>
        <v>0.17263719512195122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5013.5860696517411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5013.5860696517411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8"/>
      <c r="AC45" s="668"/>
      <c r="AD45" s="543"/>
      <c r="AE45" s="17"/>
      <c r="AF45" s="17"/>
    </row>
    <row r="46" spans="1:32">
      <c r="V46" s="668"/>
      <c r="W46" s="668"/>
      <c r="X46" s="668"/>
      <c r="Y46" s="668"/>
      <c r="Z46" s="508"/>
      <c r="AA46" s="508"/>
      <c r="AB46" s="668"/>
      <c r="AC46" s="668"/>
      <c r="AD46" s="543"/>
      <c r="AE46" s="17"/>
      <c r="AF46" s="17"/>
    </row>
    <row r="47" spans="1:32">
      <c r="V47" s="668"/>
      <c r="W47" s="668"/>
      <c r="X47" s="668"/>
      <c r="Y47" s="668"/>
      <c r="Z47" s="668"/>
      <c r="AA47" s="668"/>
      <c r="AB47" s="668"/>
      <c r="AC47" s="668"/>
      <c r="AD47" s="543"/>
      <c r="AE47" s="17"/>
      <c r="AF47" s="17"/>
    </row>
    <row r="48" spans="1:32">
      <c r="V48" s="669"/>
      <c r="W48" s="669"/>
      <c r="X48" s="670"/>
      <c r="Y48" s="670"/>
      <c r="Z48" s="670"/>
      <c r="AA48" s="509"/>
      <c r="AB48" s="668"/>
      <c r="AC48" s="668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25" sqref="E2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>
        <v>22</v>
      </c>
      <c r="C10" s="37">
        <v>16</v>
      </c>
      <c r="D10" s="26">
        <f t="shared" si="0"/>
        <v>19</v>
      </c>
      <c r="E10" s="378">
        <v>0.59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>
        <v>23</v>
      </c>
      <c r="C11" s="37">
        <v>16</v>
      </c>
      <c r="D11" s="26">
        <f t="shared" si="0"/>
        <v>19.5</v>
      </c>
      <c r="E11" s="378">
        <v>0.44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>
        <v>20</v>
      </c>
      <c r="C12" s="37">
        <v>13</v>
      </c>
      <c r="D12" s="26">
        <f>(C12+B12)/2</f>
        <v>16.5</v>
      </c>
      <c r="E12" s="339">
        <v>0.63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>
        <v>19</v>
      </c>
      <c r="C13" s="37">
        <v>15</v>
      </c>
      <c r="D13" s="26">
        <f t="shared" ref="D13:D32" si="3">(C13+B13)/2</f>
        <v>17</v>
      </c>
      <c r="E13" s="325">
        <v>0.73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>
        <v>22</v>
      </c>
      <c r="C16" s="37">
        <v>15</v>
      </c>
      <c r="D16" s="26">
        <f t="shared" si="3"/>
        <v>18.5</v>
      </c>
      <c r="E16" s="325">
        <v>0.54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>
        <v>23</v>
      </c>
      <c r="C17" s="37">
        <v>17</v>
      </c>
      <c r="D17" s="26">
        <f t="shared" si="3"/>
        <v>20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>
        <v>21</v>
      </c>
      <c r="C18" s="37">
        <v>17</v>
      </c>
      <c r="D18" s="26">
        <f t="shared" si="3"/>
        <v>19</v>
      </c>
      <c r="E18" s="325">
        <v>0.63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>
        <v>20</v>
      </c>
      <c r="C19" s="37">
        <v>16</v>
      </c>
      <c r="D19" s="26">
        <f t="shared" si="3"/>
        <v>18</v>
      </c>
      <c r="E19" s="325">
        <v>0.7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>
        <v>18</v>
      </c>
      <c r="C20" s="37">
        <v>13</v>
      </c>
      <c r="D20" s="26">
        <f>(C20+B20)/2</f>
        <v>15.5</v>
      </c>
      <c r="E20" s="325">
        <v>0.72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>
        <v>19</v>
      </c>
      <c r="C23" s="37">
        <v>14</v>
      </c>
      <c r="D23" s="26">
        <f>(C23+B23)/2</f>
        <v>16.5</v>
      </c>
      <c r="E23" s="378">
        <v>0.5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>
        <v>17</v>
      </c>
      <c r="C24" s="37">
        <v>9</v>
      </c>
      <c r="D24" s="26">
        <f t="shared" si="3"/>
        <v>13</v>
      </c>
      <c r="E24" s="325">
        <v>0.61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35.571428571428569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6729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2</v>
      </c>
      <c r="B7" s="3">
        <f>ELEC!AF9</f>
        <v>492</v>
      </c>
      <c r="C7" s="3">
        <f>ELEC!N9</f>
        <v>4979</v>
      </c>
      <c r="D7" s="3">
        <f t="shared" si="0"/>
        <v>49.999999999912689</v>
      </c>
      <c r="E7" s="3">
        <f>ELEC!Q9</f>
        <v>4929.0000000000873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-5.8000000000000114</v>
      </c>
      <c r="J7" s="9">
        <f>'B5'!A9</f>
        <v>44535</v>
      </c>
    </row>
    <row r="8" spans="1:10">
      <c r="A8" s="3">
        <f>ELEC!T10+ELEC!X10+ELEC!AB10</f>
        <v>2</v>
      </c>
      <c r="B8" s="3">
        <f>ELEC!AF10</f>
        <v>384</v>
      </c>
      <c r="C8" s="3">
        <f>ELEC!N10</f>
        <v>5333</v>
      </c>
      <c r="D8" s="3">
        <f t="shared" si="0"/>
        <v>89.000000001222361</v>
      </c>
      <c r="E8" s="3">
        <f>ELEC!Q10</f>
        <v>5243.9999999987776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-11.600000000000051</v>
      </c>
      <c r="J8" s="9">
        <f>'B5'!A10</f>
        <v>44536</v>
      </c>
    </row>
    <row r="9" spans="1:10">
      <c r="A9" s="3">
        <f>ELEC!T11+ELEC!X11+ELEC!AB11</f>
        <v>1</v>
      </c>
      <c r="B9" s="3">
        <f>ELEC!AF11</f>
        <v>171</v>
      </c>
      <c r="C9" s="3">
        <f>ELEC!N11</f>
        <v>5724</v>
      </c>
      <c r="D9" s="3">
        <f t="shared" si="0"/>
        <v>-238.99999999973807</v>
      </c>
      <c r="E9" s="3">
        <f>ELEC!Q11</f>
        <v>5962.9999999997381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-35.899999999999977</v>
      </c>
      <c r="J9" s="9">
        <f>'B5'!A11</f>
        <v>44537</v>
      </c>
    </row>
    <row r="10" spans="1:10">
      <c r="A10" s="3">
        <f>ELEC!T12+ELEC!X12+ELEC!AB12</f>
        <v>1</v>
      </c>
      <c r="B10" s="3">
        <f>ELEC!AF12</f>
        <v>218</v>
      </c>
      <c r="C10" s="3">
        <f>ELEC!N12</f>
        <v>4995</v>
      </c>
      <c r="D10" s="3">
        <f t="shared" si="0"/>
        <v>158.99999999703141</v>
      </c>
      <c r="E10" s="3">
        <f>ELEC!Q12</f>
        <v>4836.0000000029686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21.800000000000026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9</v>
      </c>
      <c r="G11" s="3">
        <f>WATER!C14+WATER!H14</f>
        <v>170</v>
      </c>
      <c r="H11" s="3">
        <f>WATER!L14</f>
        <v>6</v>
      </c>
      <c r="I11" s="15">
        <f>WATER!BC14+WATER!BD14+WATER!BE15-Sheet1!G11</f>
        <v>-56.200000000000017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2</v>
      </c>
      <c r="B13" s="3">
        <f>ELEC!AF15</f>
        <v>474</v>
      </c>
      <c r="C13" s="3">
        <f>ELEC!N15</f>
        <v>6833</v>
      </c>
      <c r="D13" s="3">
        <f t="shared" si="0"/>
        <v>111.00000000206637</v>
      </c>
      <c r="E13" s="3">
        <f>ELEC!Q15</f>
        <v>6721.9999999979336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-4.1999999999999602</v>
      </c>
      <c r="J13" s="9">
        <f>'B5'!A15</f>
        <v>44541</v>
      </c>
    </row>
    <row r="14" spans="1:10">
      <c r="A14" s="3">
        <f>ELEC!T16+ELEC!X16+ELEC!AB16</f>
        <v>2</v>
      </c>
      <c r="B14" s="3">
        <f>ELEC!AF16</f>
        <v>593</v>
      </c>
      <c r="C14" s="3">
        <f>ELEC!N16</f>
        <v>5512.2000000001863</v>
      </c>
      <c r="D14" s="3">
        <f t="shared" si="0"/>
        <v>387.20000000018626</v>
      </c>
      <c r="E14" s="3">
        <f>ELEC!Q16</f>
        <v>5125</v>
      </c>
      <c r="F14" s="3">
        <f>GEN!Z14</f>
        <v>11</v>
      </c>
      <c r="G14" s="3">
        <f>WATER!C17+WATER!H17</f>
        <v>2</v>
      </c>
      <c r="H14" s="3">
        <f>WATER!L17</f>
        <v>1</v>
      </c>
      <c r="I14" s="15">
        <f>WATER!BC17+WATER!BD17+WATER!BE18-Sheet1!G14</f>
        <v>-15.799999999999983</v>
      </c>
      <c r="J14" s="9">
        <f>'B5'!A16</f>
        <v>44542</v>
      </c>
    </row>
    <row r="15" spans="1:10">
      <c r="A15" s="3">
        <f>ELEC!T17+ELEC!X17+ELEC!AB17</f>
        <v>1</v>
      </c>
      <c r="B15" s="3">
        <f>ELEC!AF17</f>
        <v>253</v>
      </c>
      <c r="C15" s="3">
        <f>ELEC!N17</f>
        <v>5313.7999999998137</v>
      </c>
      <c r="D15" s="3">
        <f t="shared" si="0"/>
        <v>167.79999999917345</v>
      </c>
      <c r="E15" s="3">
        <f>ELEC!Q17</f>
        <v>5146.0000000006403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46.699999999999946</v>
      </c>
      <c r="J15" s="9">
        <f>'B5'!A17</f>
        <v>44543</v>
      </c>
    </row>
    <row r="16" spans="1:10">
      <c r="A16" s="3">
        <f>ELEC!T18+ELEC!X18+ELEC!AB18</f>
        <v>1</v>
      </c>
      <c r="B16" s="3">
        <f>ELEC!AF18</f>
        <v>363</v>
      </c>
      <c r="C16" s="3">
        <f>ELEC!N18</f>
        <v>5643</v>
      </c>
      <c r="D16" s="3">
        <f t="shared" si="0"/>
        <v>469.00000000093132</v>
      </c>
      <c r="E16" s="3">
        <f>ELEC!Q18</f>
        <v>5173.9999999990687</v>
      </c>
      <c r="F16" s="3">
        <f>GEN!Z16</f>
        <v>9</v>
      </c>
      <c r="G16" s="3">
        <f>WATER!C19+WATER!H19</f>
        <v>0</v>
      </c>
      <c r="H16" s="3">
        <f>WATER!L19</f>
        <v>1</v>
      </c>
      <c r="I16" s="15">
        <f>WATER!BC19+WATER!BD19+WATER!BE20-Sheet1!G16</f>
        <v>-9.0999999999999943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9545</v>
      </c>
      <c r="D17" s="3">
        <f t="shared" si="0"/>
        <v>-377.0000000022992</v>
      </c>
      <c r="E17" s="3">
        <f>ELEC!Q19</f>
        <v>9922.0000000022992</v>
      </c>
      <c r="F17" s="3">
        <f>GEN!Z17</f>
        <v>10</v>
      </c>
      <c r="G17" s="3">
        <f>WATER!C20+WATER!H20</f>
        <v>0</v>
      </c>
      <c r="H17" s="3">
        <f>WATER!L20</f>
        <v>1</v>
      </c>
      <c r="I17" s="15">
        <f>WATER!BC20+WATER!BD20+WATER!BE21-Sheet1!G17</f>
        <v>-2.1999999999999886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20</v>
      </c>
      <c r="G18" s="3">
        <f>WATER!C21+WATER!H21</f>
        <v>117</v>
      </c>
      <c r="H18" s="3">
        <f>WATER!L21</f>
        <v>0</v>
      </c>
      <c r="I18" s="15">
        <f>WATER!BC21+WATER!BD21+WATER!BE22-Sheet1!G18</f>
        <v>-114.10000000000002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2</v>
      </c>
      <c r="B20" s="3">
        <f>ELEC!AF22</f>
        <v>395</v>
      </c>
      <c r="C20" s="3">
        <f>ELEC!N22</f>
        <v>6388</v>
      </c>
      <c r="D20" s="3">
        <f t="shared" si="0"/>
        <v>1029.9999999998254</v>
      </c>
      <c r="E20" s="3">
        <f>ELEC!Q22</f>
        <v>5358.0000000001746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-27.19999999999996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5544</v>
      </c>
      <c r="D21" s="3">
        <f t="shared" si="0"/>
        <v>-157.99999999749707</v>
      </c>
      <c r="E21" s="3">
        <f>ELEC!Q23</f>
        <v>5701.9999999974971</v>
      </c>
      <c r="F21" s="3">
        <f>GEN!Z21</f>
        <v>12</v>
      </c>
      <c r="G21" s="3">
        <f>WATER!C24+WATER!H24</f>
        <v>0</v>
      </c>
      <c r="H21" s="3">
        <f>WATER!L24</f>
        <v>0</v>
      </c>
      <c r="I21" s="15">
        <f>WATER!BC24+WATER!BD24+WATER!BE25-Sheet1!G21</f>
        <v>-30.099999999999994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2</v>
      </c>
      <c r="I22" s="15">
        <f>WATER!BC25+WATER!BD25+WATER!BE26-Sheet1!G22</f>
        <v>-2.9000000000000341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3"/>
      <c r="B1" s="681" t="s">
        <v>119</v>
      </c>
      <c r="C1" s="681" t="s">
        <v>118</v>
      </c>
      <c r="D1" s="685" t="s">
        <v>113</v>
      </c>
      <c r="E1" s="685" t="s">
        <v>114</v>
      </c>
      <c r="F1" s="686" t="s">
        <v>120</v>
      </c>
      <c r="G1" s="687" t="s">
        <v>75</v>
      </c>
      <c r="H1" s="678" t="s">
        <v>115</v>
      </c>
      <c r="I1" s="679" t="s">
        <v>116</v>
      </c>
      <c r="J1" s="678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84"/>
      <c r="B2" s="682"/>
      <c r="C2" s="682"/>
      <c r="D2" s="685"/>
      <c r="E2" s="685"/>
      <c r="F2" s="686"/>
      <c r="G2" s="687"/>
      <c r="H2" s="678"/>
      <c r="I2" s="680"/>
      <c r="J2" s="678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110</v>
      </c>
      <c r="C10" s="76">
        <f>'B5'!AH10</f>
        <v>0</v>
      </c>
      <c r="D10" s="76">
        <f>GEN!AI8</f>
        <v>1268.6455696202756</v>
      </c>
      <c r="E10" s="239">
        <f t="shared" si="0"/>
        <v>1378.6455696202756</v>
      </c>
      <c r="F10" s="75">
        <f>WATER!L10</f>
        <v>6</v>
      </c>
      <c r="G10" s="78">
        <f>WATER!BG10</f>
        <v>-2.8999999999999773</v>
      </c>
      <c r="H10" s="79">
        <f>ELEC!AF9</f>
        <v>492</v>
      </c>
      <c r="I10" s="79">
        <f>ELEC!Q9</f>
        <v>4929.0000000000873</v>
      </c>
      <c r="J10" s="79">
        <f>ELEC!R9</f>
        <v>49.999999999912689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119</v>
      </c>
      <c r="C11" s="76">
        <f>'B5'!AH11</f>
        <v>0</v>
      </c>
      <c r="D11" s="76">
        <f>GEN!AI9</f>
        <v>1349.7215189870274</v>
      </c>
      <c r="E11" s="239">
        <f t="shared" si="0"/>
        <v>1468.7215189870274</v>
      </c>
      <c r="F11" s="75">
        <f>WATER!L11</f>
        <v>0</v>
      </c>
      <c r="G11" s="78">
        <f>WATER!BG11</f>
        <v>-2.9000000000000341</v>
      </c>
      <c r="H11" s="79">
        <f>ELEC!AF10</f>
        <v>384</v>
      </c>
      <c r="I11" s="79">
        <f>ELEC!Q10</f>
        <v>5243.9999999987776</v>
      </c>
      <c r="J11" s="79">
        <f>ELEC!R10</f>
        <v>89.000000001222361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1534.7805907172324</v>
      </c>
      <c r="E12" s="239">
        <f t="shared" si="0"/>
        <v>1534.7805907172324</v>
      </c>
      <c r="F12" s="75">
        <f>WATER!L12</f>
        <v>0</v>
      </c>
      <c r="G12" s="78">
        <f>WATER!BG12</f>
        <v>-8.7000000000000171</v>
      </c>
      <c r="H12" s="79">
        <f>ELEC!AF11</f>
        <v>171</v>
      </c>
      <c r="I12" s="79">
        <f>ELEC!Q11</f>
        <v>5962.9999999997381</v>
      </c>
      <c r="J12" s="79">
        <f>ELEC!R11</f>
        <v>-238.99999999973807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1244.7088607602579</v>
      </c>
      <c r="E13" s="239">
        <f t="shared" si="0"/>
        <v>1244.7088607602579</v>
      </c>
      <c r="F13" s="75">
        <f>WATER!L13</f>
        <v>0</v>
      </c>
      <c r="G13" s="78">
        <f>WATER!BG13</f>
        <v>-28.999999999999972</v>
      </c>
      <c r="H13" s="79">
        <f>ELEC!AF12</f>
        <v>218</v>
      </c>
      <c r="I13" s="79">
        <f>ELEC!Q12</f>
        <v>4836.0000000029686</v>
      </c>
      <c r="J13" s="79">
        <f>ELEC!R12</f>
        <v>158.99999999703141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6</v>
      </c>
      <c r="G14" s="78">
        <f>WATER!BG14</f>
        <v>50.8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118</v>
      </c>
      <c r="C16" s="76">
        <f>'B5'!AH16</f>
        <v>0</v>
      </c>
      <c r="D16" s="76">
        <f>GEN!AI14</f>
        <v>1730.1350210965147</v>
      </c>
      <c r="E16" s="239">
        <f t="shared" si="0"/>
        <v>1848.1350210965147</v>
      </c>
      <c r="F16" s="75">
        <f>WATER!L16</f>
        <v>0</v>
      </c>
      <c r="G16" s="78">
        <f>WATER!BG16</f>
        <v>0</v>
      </c>
      <c r="H16" s="79">
        <f>ELEC!AF15</f>
        <v>474</v>
      </c>
      <c r="I16" s="79">
        <f>ELEC!Q15</f>
        <v>6721.9999999979336</v>
      </c>
      <c r="J16" s="79">
        <f>ELEC!R15</f>
        <v>111.00000000206637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169</v>
      </c>
      <c r="C17" s="76">
        <f>'B5'!AH17</f>
        <v>0</v>
      </c>
      <c r="D17" s="76">
        <f>GEN!AI15</f>
        <v>1319.0928270042195</v>
      </c>
      <c r="E17" s="239">
        <f t="shared" si="0"/>
        <v>1488.0928270042195</v>
      </c>
      <c r="F17" s="75">
        <f>WATER!L17</f>
        <v>1</v>
      </c>
      <c r="G17" s="78">
        <f>WATER!BG17</f>
        <v>-4.1999999999999602</v>
      </c>
      <c r="H17" s="79">
        <f>ELEC!AF16</f>
        <v>593</v>
      </c>
      <c r="I17" s="79">
        <f>ELEC!Q16</f>
        <v>5125</v>
      </c>
      <c r="J17" s="79">
        <f>ELEC!R16</f>
        <v>387.20000000018626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117</v>
      </c>
      <c r="C18" s="76">
        <f>'B5'!AH18</f>
        <v>0</v>
      </c>
      <c r="D18" s="76">
        <f>GEN!AI16</f>
        <v>1324.4978902955236</v>
      </c>
      <c r="E18" s="239">
        <f t="shared" si="0"/>
        <v>1441.4978902955236</v>
      </c>
      <c r="F18" s="75">
        <f>WATER!L18</f>
        <v>0</v>
      </c>
      <c r="G18" s="78">
        <f>WATER!BG18</f>
        <v>-6.9000000000000341</v>
      </c>
      <c r="H18" s="79">
        <f>ELEC!AF17</f>
        <v>253</v>
      </c>
      <c r="I18" s="79">
        <f>ELEC!Q17</f>
        <v>5146.0000000006403</v>
      </c>
      <c r="J18" s="79">
        <f>ELEC!R17</f>
        <v>167.79999999917345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112</v>
      </c>
      <c r="C19" s="76">
        <f>'B5'!AH19</f>
        <v>0</v>
      </c>
      <c r="D19" s="76">
        <f>GEN!AI17</f>
        <v>1331.7046413499713</v>
      </c>
      <c r="E19" s="239">
        <f t="shared" si="0"/>
        <v>1443.7046413499713</v>
      </c>
      <c r="F19" s="75">
        <f>WATER!L19</f>
        <v>1</v>
      </c>
      <c r="G19" s="78">
        <f>WATER!BG19</f>
        <v>53.59999999999998</v>
      </c>
      <c r="H19" s="79">
        <f>ELEC!AF18</f>
        <v>363</v>
      </c>
      <c r="I19" s="79">
        <f>ELEC!Q18</f>
        <v>5173.9999999990687</v>
      </c>
      <c r="J19" s="79">
        <f>ELEC!R18</f>
        <v>469.00000000093132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2553.7637130807607</v>
      </c>
      <c r="E20" s="239">
        <f t="shared" si="0"/>
        <v>2553.7637130807607</v>
      </c>
      <c r="F20" s="75">
        <f>WATER!L20</f>
        <v>1</v>
      </c>
      <c r="G20" s="78">
        <f>WATER!BG20</f>
        <v>-5.0999999999999659</v>
      </c>
      <c r="H20" s="79">
        <f>ELEC!AF19</f>
        <v>0</v>
      </c>
      <c r="I20" s="79">
        <f>ELEC!Q19</f>
        <v>9922.0000000022992</v>
      </c>
      <c r="J20" s="79">
        <f>ELEC!R19</f>
        <v>-377.0000000022992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2.8999999999999773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285</v>
      </c>
      <c r="C23" s="76">
        <f>'B5'!AH23</f>
        <v>0</v>
      </c>
      <c r="D23" s="76">
        <f>GEN!AI21</f>
        <v>1379.0632911392856</v>
      </c>
      <c r="E23" s="239">
        <f t="shared" si="0"/>
        <v>1664.0632911392856</v>
      </c>
      <c r="F23" s="75">
        <f>WATER!L23</f>
        <v>0</v>
      </c>
      <c r="G23" s="78">
        <f>WATER!BG23</f>
        <v>0</v>
      </c>
      <c r="H23" s="79">
        <f>ELEC!AF22</f>
        <v>395</v>
      </c>
      <c r="I23" s="79">
        <f>ELEC!Q22</f>
        <v>5358.0000000001746</v>
      </c>
      <c r="J23" s="79">
        <f>ELEC!R22</f>
        <v>1029.9999999998254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199</v>
      </c>
      <c r="C24" s="76">
        <f>'B5'!AH24</f>
        <v>0</v>
      </c>
      <c r="D24" s="76">
        <f>GEN!AI22</f>
        <v>1467.603375526782</v>
      </c>
      <c r="E24" s="239">
        <f t="shared" si="0"/>
        <v>1666.603375526782</v>
      </c>
      <c r="F24" s="75">
        <f>WATER!L24</f>
        <v>0</v>
      </c>
      <c r="G24" s="78">
        <f>WATER!BG24</f>
        <v>-27.19999999999996</v>
      </c>
      <c r="H24" s="79">
        <f>ELEC!AF23</f>
        <v>0</v>
      </c>
      <c r="I24" s="79">
        <f>ELEC!Q23</f>
        <v>5701.9999999974971</v>
      </c>
      <c r="J24" s="79">
        <f>ELEC!R23</f>
        <v>-157.99999999749707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2</v>
      </c>
      <c r="G25" s="78">
        <f>WATER!BG25</f>
        <v>-2.9000000000000341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B44" sqref="B4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7">
        <f>'[2]Swimming Pool quality check '!$A$35</f>
        <v>44530</v>
      </c>
      <c r="B5" s="618">
        <f>'[2]Swimming Pool quality check '!B35</f>
        <v>2.8</v>
      </c>
      <c r="C5" s="618">
        <f>'[2]Swimming Pool quality check '!C35</f>
        <v>8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9">
        <f>'[2]Swimming Pool quality check '!H35</f>
        <v>6953</v>
      </c>
      <c r="I5" s="620">
        <f>'[6]Swimming Pool quality check '!I36</f>
        <v>0</v>
      </c>
      <c r="J5" s="621">
        <f>'[7]Swimming Pool quality check '!J36</f>
        <v>0.33333333333333398</v>
      </c>
      <c r="K5" s="588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2">
        <f>ELEC!C4</f>
        <v>44531</v>
      </c>
      <c r="B6" s="613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4">
        <v>6954</v>
      </c>
      <c r="I6" s="615">
        <f>H6-H5</f>
        <v>1</v>
      </c>
      <c r="J6" s="616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44532</v>
      </c>
      <c r="B7" s="605"/>
      <c r="C7" s="608"/>
      <c r="D7" s="608">
        <v>0</v>
      </c>
      <c r="E7" s="608">
        <v>0</v>
      </c>
      <c r="F7" s="608">
        <v>0</v>
      </c>
      <c r="G7" s="608">
        <v>0</v>
      </c>
      <c r="H7" s="604">
        <f t="shared" ref="H7:H36" si="1">H6</f>
        <v>6954</v>
      </c>
      <c r="I7" s="602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44533</v>
      </c>
      <c r="B8" s="605"/>
      <c r="C8" s="608"/>
      <c r="D8" s="608">
        <v>0</v>
      </c>
      <c r="E8" s="608">
        <v>0</v>
      </c>
      <c r="F8" s="608">
        <v>0</v>
      </c>
      <c r="G8" s="608">
        <v>0</v>
      </c>
      <c r="H8" s="604">
        <f t="shared" si="1"/>
        <v>6954</v>
      </c>
      <c r="I8" s="602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44534</v>
      </c>
      <c r="B9" s="605"/>
      <c r="C9" s="608"/>
      <c r="D9" s="608">
        <v>0</v>
      </c>
      <c r="E9" s="608">
        <v>0</v>
      </c>
      <c r="F9" s="608">
        <v>0</v>
      </c>
      <c r="G9" s="608">
        <v>0</v>
      </c>
      <c r="H9" s="604">
        <f t="shared" si="1"/>
        <v>6954</v>
      </c>
      <c r="I9" s="602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44535</v>
      </c>
      <c r="B10" s="605">
        <v>4</v>
      </c>
      <c r="C10" s="608">
        <v>8</v>
      </c>
      <c r="D10" s="608">
        <v>0</v>
      </c>
      <c r="E10" s="608">
        <v>0</v>
      </c>
      <c r="F10" s="608">
        <v>0</v>
      </c>
      <c r="G10" s="608">
        <v>0</v>
      </c>
      <c r="H10" s="604">
        <v>6960</v>
      </c>
      <c r="I10" s="602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44536</v>
      </c>
      <c r="B11" s="605">
        <v>4</v>
      </c>
      <c r="C11" s="608">
        <v>8</v>
      </c>
      <c r="D11" s="608">
        <v>0</v>
      </c>
      <c r="E11" s="608">
        <v>0</v>
      </c>
      <c r="F11" s="608">
        <v>0</v>
      </c>
      <c r="G11" s="608">
        <v>0</v>
      </c>
      <c r="H11" s="604">
        <f t="shared" si="1"/>
        <v>6960</v>
      </c>
      <c r="I11" s="602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44537</v>
      </c>
      <c r="B12" s="605">
        <v>4</v>
      </c>
      <c r="C12" s="608">
        <v>8</v>
      </c>
      <c r="D12" s="608">
        <v>0</v>
      </c>
      <c r="E12" s="608">
        <v>0</v>
      </c>
      <c r="F12" s="608">
        <v>0</v>
      </c>
      <c r="G12" s="608">
        <v>0</v>
      </c>
      <c r="H12" s="604">
        <f t="shared" si="1"/>
        <v>6960</v>
      </c>
      <c r="I12" s="602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44538</v>
      </c>
      <c r="B13" s="605">
        <v>4</v>
      </c>
      <c r="C13" s="608">
        <v>8</v>
      </c>
      <c r="D13" s="608">
        <v>0</v>
      </c>
      <c r="E13" s="608">
        <v>0</v>
      </c>
      <c r="F13" s="608">
        <v>0</v>
      </c>
      <c r="G13" s="608">
        <v>0</v>
      </c>
      <c r="H13" s="604">
        <f t="shared" si="1"/>
        <v>6960</v>
      </c>
      <c r="I13" s="602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44539</v>
      </c>
      <c r="B14" s="605">
        <v>3.2</v>
      </c>
      <c r="C14" s="608">
        <v>8</v>
      </c>
      <c r="D14" s="608">
        <v>0</v>
      </c>
      <c r="E14" s="608">
        <v>0</v>
      </c>
      <c r="F14" s="608">
        <v>0</v>
      </c>
      <c r="G14" s="608">
        <v>0</v>
      </c>
      <c r="H14" s="604">
        <v>6966</v>
      </c>
      <c r="I14" s="602">
        <f t="shared" si="4"/>
        <v>6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44540</v>
      </c>
      <c r="B15" s="605"/>
      <c r="C15" s="608"/>
      <c r="D15" s="608">
        <v>0</v>
      </c>
      <c r="E15" s="608">
        <v>0</v>
      </c>
      <c r="F15" s="608">
        <v>0</v>
      </c>
      <c r="G15" s="608">
        <v>0</v>
      </c>
      <c r="H15" s="604">
        <f t="shared" si="1"/>
        <v>6966</v>
      </c>
      <c r="I15" s="602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44541</v>
      </c>
      <c r="B16" s="605"/>
      <c r="C16" s="608"/>
      <c r="D16" s="608">
        <v>0</v>
      </c>
      <c r="E16" s="608">
        <v>0</v>
      </c>
      <c r="F16" s="608">
        <v>0</v>
      </c>
      <c r="G16" s="608">
        <v>0</v>
      </c>
      <c r="H16" s="604">
        <f t="shared" si="1"/>
        <v>6966</v>
      </c>
      <c r="I16" s="602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44542</v>
      </c>
      <c r="B17" s="605">
        <v>3</v>
      </c>
      <c r="C17" s="608">
        <v>8</v>
      </c>
      <c r="D17" s="608">
        <v>0</v>
      </c>
      <c r="E17" s="608">
        <v>0</v>
      </c>
      <c r="F17" s="608">
        <v>0</v>
      </c>
      <c r="G17" s="608">
        <v>0</v>
      </c>
      <c r="H17" s="604">
        <v>6967</v>
      </c>
      <c r="I17" s="602">
        <f t="shared" si="4"/>
        <v>1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44543</v>
      </c>
      <c r="B18" s="605">
        <v>2.5</v>
      </c>
      <c r="C18" s="608">
        <v>8</v>
      </c>
      <c r="D18" s="608">
        <v>0</v>
      </c>
      <c r="E18" s="608">
        <v>0</v>
      </c>
      <c r="F18" s="608">
        <v>0</v>
      </c>
      <c r="G18" s="608">
        <v>0</v>
      </c>
      <c r="H18" s="604">
        <f t="shared" si="1"/>
        <v>6967</v>
      </c>
      <c r="I18" s="602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44544</v>
      </c>
      <c r="B19" s="605">
        <v>2.5</v>
      </c>
      <c r="C19" s="608">
        <v>7.8</v>
      </c>
      <c r="D19" s="608">
        <v>0</v>
      </c>
      <c r="E19" s="608">
        <v>0</v>
      </c>
      <c r="F19" s="608">
        <v>0</v>
      </c>
      <c r="G19" s="608">
        <v>0</v>
      </c>
      <c r="H19" s="604">
        <v>6968</v>
      </c>
      <c r="I19" s="602">
        <f t="shared" si="4"/>
        <v>1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44545</v>
      </c>
      <c r="B20" s="605">
        <v>2.5</v>
      </c>
      <c r="C20" s="608">
        <v>7.9</v>
      </c>
      <c r="D20" s="608">
        <v>0</v>
      </c>
      <c r="E20" s="608">
        <v>0</v>
      </c>
      <c r="F20" s="608">
        <v>0</v>
      </c>
      <c r="G20" s="608">
        <v>0</v>
      </c>
      <c r="H20" s="604">
        <v>6969</v>
      </c>
      <c r="I20" s="602">
        <f t="shared" si="4"/>
        <v>1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44546</v>
      </c>
      <c r="B21" s="605">
        <v>2.5</v>
      </c>
      <c r="C21" s="608">
        <v>7.9</v>
      </c>
      <c r="D21" s="608">
        <v>0</v>
      </c>
      <c r="E21" s="608">
        <v>0</v>
      </c>
      <c r="F21" s="608">
        <v>0</v>
      </c>
      <c r="G21" s="608">
        <v>0</v>
      </c>
      <c r="H21" s="604">
        <f t="shared" si="1"/>
        <v>6969</v>
      </c>
      <c r="I21" s="602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44547</v>
      </c>
      <c r="B22" s="605"/>
      <c r="C22" s="608"/>
      <c r="D22" s="608">
        <v>0</v>
      </c>
      <c r="E22" s="608">
        <v>0</v>
      </c>
      <c r="F22" s="608">
        <v>0</v>
      </c>
      <c r="G22" s="608">
        <v>0</v>
      </c>
      <c r="H22" s="604">
        <f t="shared" si="1"/>
        <v>6969</v>
      </c>
      <c r="I22" s="602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44548</v>
      </c>
      <c r="B23" s="605"/>
      <c r="C23" s="608"/>
      <c r="D23" s="608">
        <v>0</v>
      </c>
      <c r="E23" s="608">
        <v>0</v>
      </c>
      <c r="F23" s="608">
        <v>0</v>
      </c>
      <c r="G23" s="608">
        <v>0</v>
      </c>
      <c r="H23" s="604">
        <f t="shared" si="1"/>
        <v>6969</v>
      </c>
      <c r="I23" s="602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44549</v>
      </c>
      <c r="B24" s="605"/>
      <c r="C24" s="608"/>
      <c r="D24" s="608">
        <v>0</v>
      </c>
      <c r="E24" s="608">
        <v>0</v>
      </c>
      <c r="F24" s="608">
        <v>0</v>
      </c>
      <c r="G24" s="608">
        <v>0</v>
      </c>
      <c r="H24" s="604">
        <f t="shared" si="1"/>
        <v>6969</v>
      </c>
      <c r="I24" s="602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44550</v>
      </c>
      <c r="B25" s="605">
        <v>1</v>
      </c>
      <c r="C25" s="608">
        <v>7.8</v>
      </c>
      <c r="D25" s="608">
        <v>0</v>
      </c>
      <c r="E25" s="608">
        <v>0</v>
      </c>
      <c r="F25" s="608">
        <v>0</v>
      </c>
      <c r="G25" s="608">
        <v>0</v>
      </c>
      <c r="H25" s="604">
        <v>6971</v>
      </c>
      <c r="I25" s="602">
        <f t="shared" si="4"/>
        <v>2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44551</v>
      </c>
      <c r="B26" s="605"/>
      <c r="C26" s="608"/>
      <c r="D26" s="608">
        <v>0</v>
      </c>
      <c r="E26" s="608">
        <v>0</v>
      </c>
      <c r="F26" s="608">
        <v>0</v>
      </c>
      <c r="G26" s="608">
        <v>0</v>
      </c>
      <c r="H26" s="604">
        <f t="shared" si="1"/>
        <v>6971</v>
      </c>
      <c r="I26" s="602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44552</v>
      </c>
      <c r="B27" s="605"/>
      <c r="C27" s="608"/>
      <c r="D27" s="608">
        <v>0</v>
      </c>
      <c r="E27" s="608">
        <v>0</v>
      </c>
      <c r="F27" s="608">
        <v>0</v>
      </c>
      <c r="G27" s="608">
        <v>0</v>
      </c>
      <c r="H27" s="604">
        <f t="shared" si="1"/>
        <v>6971</v>
      </c>
      <c r="I27" s="602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44553</v>
      </c>
      <c r="B28" s="605"/>
      <c r="C28" s="608"/>
      <c r="D28" s="608">
        <v>0</v>
      </c>
      <c r="E28" s="608">
        <v>0</v>
      </c>
      <c r="F28" s="608">
        <v>0</v>
      </c>
      <c r="G28" s="608">
        <v>0</v>
      </c>
      <c r="H28" s="604">
        <f t="shared" si="1"/>
        <v>6971</v>
      </c>
      <c r="I28" s="602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44554</v>
      </c>
      <c r="B29" s="605"/>
      <c r="C29" s="608"/>
      <c r="D29" s="608">
        <v>0</v>
      </c>
      <c r="E29" s="608">
        <v>0</v>
      </c>
      <c r="F29" s="608">
        <v>0</v>
      </c>
      <c r="G29" s="608">
        <v>0</v>
      </c>
      <c r="H29" s="604">
        <f t="shared" si="1"/>
        <v>6971</v>
      </c>
      <c r="I29" s="602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44555</v>
      </c>
      <c r="B30" s="605"/>
      <c r="C30" s="608"/>
      <c r="D30" s="608">
        <v>0</v>
      </c>
      <c r="E30" s="608">
        <v>0</v>
      </c>
      <c r="F30" s="608">
        <v>0</v>
      </c>
      <c r="G30" s="608">
        <v>0</v>
      </c>
      <c r="H30" s="604">
        <f t="shared" si="1"/>
        <v>6971</v>
      </c>
      <c r="I30" s="602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44556</v>
      </c>
      <c r="B31" s="605"/>
      <c r="C31" s="608"/>
      <c r="D31" s="608">
        <v>0</v>
      </c>
      <c r="E31" s="608">
        <v>0</v>
      </c>
      <c r="F31" s="608">
        <v>0</v>
      </c>
      <c r="G31" s="608">
        <v>0</v>
      </c>
      <c r="H31" s="604">
        <f t="shared" si="1"/>
        <v>6971</v>
      </c>
      <c r="I31" s="602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44557</v>
      </c>
      <c r="B32" s="605"/>
      <c r="C32" s="608"/>
      <c r="D32" s="608">
        <v>0</v>
      </c>
      <c r="E32" s="608">
        <v>0</v>
      </c>
      <c r="F32" s="608">
        <v>0</v>
      </c>
      <c r="G32" s="608">
        <v>0</v>
      </c>
      <c r="H32" s="604">
        <f t="shared" si="1"/>
        <v>6971</v>
      </c>
      <c r="I32" s="602">
        <f t="shared" si="4"/>
        <v>0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44558</v>
      </c>
      <c r="B33" s="605"/>
      <c r="C33" s="608"/>
      <c r="D33" s="608">
        <v>0</v>
      </c>
      <c r="E33" s="608">
        <v>0</v>
      </c>
      <c r="F33" s="608">
        <v>0</v>
      </c>
      <c r="G33" s="608">
        <v>0</v>
      </c>
      <c r="H33" s="604">
        <f t="shared" si="1"/>
        <v>6971</v>
      </c>
      <c r="I33" s="602">
        <f t="shared" si="4"/>
        <v>0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44559</v>
      </c>
      <c r="B34" s="605"/>
      <c r="C34" s="608"/>
      <c r="D34" s="608">
        <v>0</v>
      </c>
      <c r="E34" s="608">
        <v>0</v>
      </c>
      <c r="F34" s="608">
        <v>0</v>
      </c>
      <c r="G34" s="608">
        <v>0</v>
      </c>
      <c r="H34" s="604">
        <f t="shared" si="1"/>
        <v>6971</v>
      </c>
      <c r="I34" s="602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44560</v>
      </c>
      <c r="B35" s="605"/>
      <c r="C35" s="608"/>
      <c r="D35" s="608">
        <v>0</v>
      </c>
      <c r="E35" s="608">
        <v>0</v>
      </c>
      <c r="F35" s="608">
        <v>0</v>
      </c>
      <c r="G35" s="608">
        <v>0</v>
      </c>
      <c r="H35" s="604">
        <f t="shared" si="1"/>
        <v>6971</v>
      </c>
      <c r="I35" s="602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44561</v>
      </c>
      <c r="B36" s="609"/>
      <c r="C36" s="610"/>
      <c r="D36" s="610">
        <v>0</v>
      </c>
      <c r="E36" s="610">
        <v>0</v>
      </c>
      <c r="F36" s="610">
        <v>0</v>
      </c>
      <c r="G36" s="610">
        <v>0</v>
      </c>
      <c r="H36" s="611">
        <f t="shared" si="1"/>
        <v>6971</v>
      </c>
      <c r="I36" s="603">
        <f>H36-H35</f>
        <v>0</v>
      </c>
      <c r="J36" s="589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6" t="s">
        <v>161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</row>
    <row r="2" spans="1:28" ht="19.5">
      <c r="A2" s="717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717"/>
      <c r="U2" s="717"/>
      <c r="V2" s="717"/>
      <c r="W2" s="717"/>
      <c r="X2" s="717"/>
    </row>
    <row r="3" spans="1:28" ht="19.5">
      <c r="A3" s="717" t="s">
        <v>162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  <c r="Q3" s="717"/>
      <c r="R3" s="717"/>
      <c r="S3" s="717"/>
      <c r="T3" s="717"/>
      <c r="U3" s="717"/>
      <c r="V3" s="717"/>
      <c r="W3" s="717"/>
      <c r="X3" s="71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7" t="s">
        <v>404</v>
      </c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</row>
    <row r="6" spans="1:28" ht="15.75" thickBot="1">
      <c r="A6" s="718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</row>
    <row r="7" spans="1:28" ht="15.75" thickBot="1">
      <c r="A7" s="706" t="s">
        <v>163</v>
      </c>
      <c r="B7" s="707"/>
      <c r="C7" s="708" t="s">
        <v>164</v>
      </c>
      <c r="D7" s="709"/>
      <c r="E7" s="709"/>
      <c r="F7" s="709"/>
      <c r="G7" s="709"/>
      <c r="H7" s="709"/>
      <c r="I7" s="709"/>
      <c r="J7" s="709"/>
      <c r="K7" s="71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22</v>
      </c>
      <c r="W53" s="261">
        <f>'General information '!C10</f>
        <v>16</v>
      </c>
      <c r="X53" s="119">
        <f t="shared" si="5"/>
        <v>0.69999999999999929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23</v>
      </c>
      <c r="W54" s="261">
        <f>'General information '!C11</f>
        <v>16</v>
      </c>
      <c r="X54" s="119">
        <f t="shared" si="5"/>
        <v>1.1999999999999993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20</v>
      </c>
      <c r="W55" s="261">
        <f>'General information '!C12</f>
        <v>13</v>
      </c>
      <c r="X55" s="119">
        <f t="shared" si="5"/>
        <v>-1.8000000000000007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19</v>
      </c>
      <c r="W56" s="261">
        <f>'General information '!C13</f>
        <v>15</v>
      </c>
      <c r="X56" s="119">
        <f t="shared" si="5"/>
        <v>-1.3000000000000007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22</v>
      </c>
      <c r="W59" s="261">
        <f>'General information '!C16</f>
        <v>15</v>
      </c>
      <c r="X59" s="119">
        <f t="shared" si="5"/>
        <v>0.19999999999999929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23</v>
      </c>
      <c r="W60" s="261">
        <f>'General information '!C17</f>
        <v>17</v>
      </c>
      <c r="X60" s="119">
        <f t="shared" si="5"/>
        <v>1.6999999999999993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21</v>
      </c>
      <c r="W61" s="261">
        <f>'General information '!C18</f>
        <v>17</v>
      </c>
      <c r="X61" s="119">
        <f t="shared" si="5"/>
        <v>0.69999999999999929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20</v>
      </c>
      <c r="W62" s="261">
        <f>'General information '!C19</f>
        <v>16</v>
      </c>
      <c r="X62" s="119">
        <f t="shared" si="5"/>
        <v>-0.30000000000000071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18</v>
      </c>
      <c r="W63" s="261">
        <f>'General information '!C20</f>
        <v>13</v>
      </c>
      <c r="X63" s="119">
        <f t="shared" si="5"/>
        <v>-2.8000000000000007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19</v>
      </c>
      <c r="W66" s="261">
        <f>'General information '!C23</f>
        <v>14</v>
      </c>
      <c r="X66" s="119">
        <f t="shared" si="5"/>
        <v>-1.8000000000000007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17</v>
      </c>
      <c r="W67" s="261">
        <f>'General information '!C24</f>
        <v>9</v>
      </c>
      <c r="X67" s="119">
        <f t="shared" si="5"/>
        <v>-5.3000000000000007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0</v>
      </c>
      <c r="W68" s="261">
        <f>'General information '!C25</f>
        <v>0</v>
      </c>
      <c r="X68" s="119">
        <f t="shared" si="5"/>
        <v>-18.3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0</v>
      </c>
      <c r="W69" s="261">
        <f>'General information '!C26</f>
        <v>0</v>
      </c>
      <c r="X69" s="119">
        <f t="shared" si="5"/>
        <v>-18.3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0</v>
      </c>
      <c r="W70" s="261">
        <f>'General information '!C27</f>
        <v>0</v>
      </c>
      <c r="X70" s="119">
        <f t="shared" si="5"/>
        <v>-18.3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0</v>
      </c>
      <c r="W74" s="261">
        <f>'General information '!C31</f>
        <v>0</v>
      </c>
      <c r="X74" s="119">
        <f t="shared" si="5"/>
        <v>-18.3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-324.7000000000001</v>
      </c>
      <c r="W81" s="119">
        <f>SUMIF(X48:X78,"&gt;0")</f>
        <v>6.399999999999995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1" t="s">
        <v>174</v>
      </c>
      <c r="O84" s="711" t="s">
        <v>175</v>
      </c>
      <c r="P84" s="134"/>
      <c r="T84" s="134"/>
      <c r="X84" s="134"/>
    </row>
    <row r="85" spans="1:24" ht="20.25" thickBot="1">
      <c r="D85" s="134"/>
      <c r="I85" s="713" t="s">
        <v>182</v>
      </c>
      <c r="J85" s="714"/>
      <c r="K85" s="714"/>
      <c r="L85" s="714"/>
      <c r="N85" s="712"/>
      <c r="O85" s="712"/>
      <c r="P85" s="134"/>
      <c r="R85" s="17"/>
      <c r="S85" s="17"/>
      <c r="T85" s="140"/>
      <c r="U85" s="141"/>
      <c r="X85" s="134"/>
    </row>
    <row r="86" spans="1:24" ht="18.75" thickBot="1">
      <c r="D86" s="134"/>
      <c r="I86" s="715" t="s">
        <v>183</v>
      </c>
      <c r="J86" s="715"/>
      <c r="K86" s="715"/>
      <c r="L86" s="715"/>
      <c r="N86" s="142">
        <f>B43+F43+J43+N43+R43+V43+B81+F81+J81+N81+R81+V81</f>
        <v>-1649.7</v>
      </c>
      <c r="O86" s="142">
        <f>C43+G43+K43+O43+S43+W43+C81+G81+K81+O81+S81+W81</f>
        <v>1203.7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B48" sqref="B48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449</v>
      </c>
      <c r="C7" s="184">
        <v>8200</v>
      </c>
      <c r="D7" s="187">
        <f>SUM(C7)*D4</f>
        <v>12361500</v>
      </c>
      <c r="E7" s="185">
        <f>SUM(I7/G4)</f>
        <v>435.05</v>
      </c>
      <c r="F7" s="185">
        <f>SUM(E7*F4)</f>
        <v>13486.550000000001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20000</v>
      </c>
      <c r="C8" s="466">
        <f>SUM(tanks!AU37)</f>
        <v>0.62050000000000005</v>
      </c>
      <c r="D8" s="191">
        <f>SUM(B8*C8)*D4</f>
        <v>18708075.000000004</v>
      </c>
      <c r="E8" s="192">
        <f>SUM(D8/D4/F4)</f>
        <v>400.32258064516134</v>
      </c>
      <c r="F8" s="192">
        <f>SUM(E8*F4)</f>
        <v>12410.000000000002</v>
      </c>
      <c r="G8" s="574">
        <f>E8*$G$4</f>
        <v>8006.4516129032272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2618</v>
      </c>
      <c r="C10" s="181"/>
      <c r="D10" s="183">
        <f>'EDl log'!AB30</f>
        <v>7557981</v>
      </c>
      <c r="E10" s="182">
        <f>SUM(D10/D4/F4)</f>
        <v>161.72858289199164</v>
      </c>
      <c r="F10" s="182">
        <f>SUM(E10*F4)</f>
        <v>5013.5860696517411</v>
      </c>
      <c r="G10" s="478">
        <f>E10*$G$4</f>
        <v>3234.5716578398328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997.10116353715307</v>
      </c>
      <c r="F12" s="180">
        <f>SUM(F6:F10)</f>
        <v>30910.136069651744</v>
      </c>
      <c r="G12" s="179">
        <f>SUM(G6:G10)</f>
        <v>19441.023270743059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>
        <f>SUM(G12-H12)</f>
        <v>-60687.876729256939</v>
      </c>
      <c r="I14" s="406">
        <f>SUM(G12-I12)</f>
        <v>-31802.89644968705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35.571428571428569</v>
      </c>
      <c r="C16" s="416">
        <f>'[17]Utility Cost '!B16</f>
        <v>16.903225806451612</v>
      </c>
      <c r="D16" s="415"/>
      <c r="E16" s="580">
        <f>B16-C16</f>
        <v>18.668202764976957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155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43</v>
      </c>
      <c r="F18" s="495">
        <f>B18-D18</f>
        <v>-47.666666666666657</v>
      </c>
    </row>
    <row r="19" spans="1:10">
      <c r="A19" s="489" t="s">
        <v>412</v>
      </c>
      <c r="B19" s="493">
        <f>GEN!AL34</f>
        <v>14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11.071428571428571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2021-12-21T08:49:06Z</dcterms:modified>
</cp:coreProperties>
</file>