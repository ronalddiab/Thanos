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5" yWindow="0" windowWidth="14325" windowHeight="11970" tabRatio="578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30" i="3"/>
  <c r="Y14"/>
  <c r="Y15"/>
  <c r="Y16"/>
  <c r="Y17"/>
  <c r="Y18"/>
  <c r="Y19"/>
  <c r="Y20"/>
  <c r="Y21"/>
  <c r="Y22"/>
  <c r="Y23"/>
  <c r="Y24"/>
  <c r="Y25"/>
  <c r="Y26"/>
  <c r="Y27"/>
  <c r="Y28"/>
  <c r="Y29"/>
  <c r="Y9"/>
  <c r="Y10"/>
  <c r="Y11"/>
  <c r="Y12"/>
  <c r="Y13"/>
  <c r="X30"/>
  <c r="Y7"/>
  <c r="Q7"/>
  <c r="X26"/>
  <c r="R28" i="2"/>
  <c r="Y23" i="1"/>
  <c r="D23"/>
  <c r="R15" i="2"/>
  <c r="AU17" i="5" l="1"/>
  <c r="L12" i="3" l="1"/>
  <c r="T12"/>
  <c r="M12"/>
  <c r="U12"/>
  <c r="AA7" l="1"/>
  <c r="T7"/>
  <c r="L7"/>
  <c r="U7"/>
  <c r="M7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10" s="1"/>
  <c r="H11" s="1"/>
  <c r="H12" s="1"/>
  <c r="H16" s="1"/>
  <c r="H17" s="1"/>
  <c r="H18" s="1"/>
  <c r="H19" s="1"/>
  <c r="H20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10" s="1"/>
  <c r="B11" s="1"/>
  <c r="B12" s="1"/>
  <c r="B16" s="1"/>
  <c r="B17" s="1"/>
  <c r="B18" s="1"/>
  <c r="B19" s="1"/>
  <c r="B20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10" s="1"/>
  <c r="J11" s="1"/>
  <c r="J16" s="1"/>
  <c r="J17" s="1"/>
  <c r="J18" s="1"/>
  <c r="J19" s="1"/>
  <c r="J23" s="1"/>
  <c r="J24" s="1"/>
  <c r="J25" s="1"/>
  <c r="J26" s="1"/>
  <c r="J31" s="1"/>
  <c r="J32" s="1"/>
  <c r="J33" s="1"/>
  <c r="R3"/>
  <c r="R4" s="1"/>
  <c r="R10" s="1"/>
  <c r="R11" s="1"/>
  <c r="R13" s="1"/>
  <c r="R16" s="1"/>
  <c r="R17" s="1"/>
  <c r="R18" s="1"/>
  <c r="R19" s="1"/>
  <c r="R23" s="1"/>
  <c r="R24" s="1"/>
  <c r="R25" s="1"/>
  <c r="R26" s="1"/>
  <c r="R31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8" s="1"/>
  <c r="AT19" s="1"/>
  <c r="AT20" s="1"/>
  <c r="AT21" s="1"/>
  <c r="AT22" s="1"/>
  <c r="AT25" s="1"/>
  <c r="AT26" s="1"/>
  <c r="AT27" s="1"/>
  <c r="AT28" s="1"/>
  <c r="AT29" s="1"/>
  <c r="AT32" s="1"/>
  <c r="AT34" s="1"/>
  <c r="AT35" s="1"/>
  <c r="AT36" s="1"/>
  <c r="AV6"/>
  <c r="AV7" s="1"/>
  <c r="AV8" s="1"/>
  <c r="AV12" s="1"/>
  <c r="AV13" s="1"/>
  <c r="AV14" s="1"/>
  <c r="AV19" s="1"/>
  <c r="AV20" s="1"/>
  <c r="AV21" s="1"/>
  <c r="AV22" s="1"/>
  <c r="AV26" s="1"/>
  <c r="AV27" s="1"/>
  <c r="AV28" s="1"/>
  <c r="AV29" s="1"/>
  <c r="AV34" s="1"/>
  <c r="AV35" s="1"/>
  <c r="AV36" s="1"/>
  <c r="AX6"/>
  <c r="AX7" s="1"/>
  <c r="AX8" s="1"/>
  <c r="AX13" s="1"/>
  <c r="AX14" s="1"/>
  <c r="AX19" s="1"/>
  <c r="AX20" s="1"/>
  <c r="AX21" s="1"/>
  <c r="AX22" s="1"/>
  <c r="AX26" s="1"/>
  <c r="AX27" s="1"/>
  <c r="AX28" s="1"/>
  <c r="AX29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4" s="1"/>
  <c r="G25" s="1"/>
  <c r="G26" s="1"/>
  <c r="G27" s="1"/>
  <c r="G28" s="1"/>
  <c r="G29" s="1"/>
  <c r="G30" s="1"/>
  <c r="G31" s="1"/>
  <c r="G32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2" s="1"/>
  <c r="C13" s="1"/>
  <c r="C18" s="1"/>
  <c r="C19" s="1"/>
  <c r="C20" s="1"/>
  <c r="C21" s="1"/>
  <c r="C25" s="1"/>
  <c r="C26" s="1"/>
  <c r="C27" s="1"/>
  <c r="C28" s="1"/>
  <c r="C33" s="1"/>
  <c r="C34" s="1"/>
  <c r="C35" s="1"/>
  <c r="F5"/>
  <c r="F6" s="1"/>
  <c r="F12" s="1"/>
  <c r="F13" s="1"/>
  <c r="F18" s="1"/>
  <c r="F19" s="1"/>
  <c r="F20" s="1"/>
  <c r="F21" s="1"/>
  <c r="F23" s="1"/>
  <c r="F25" s="1"/>
  <c r="F26" s="1"/>
  <c r="F27" s="1"/>
  <c r="F28" s="1"/>
  <c r="F29" s="1"/>
  <c r="F32" s="1"/>
  <c r="F33" s="1"/>
  <c r="F34" s="1"/>
  <c r="F35" s="1"/>
  <c r="H5"/>
  <c r="H6" s="1"/>
  <c r="H12" s="1"/>
  <c r="H13" s="1"/>
  <c r="H18" s="1"/>
  <c r="H19" s="1"/>
  <c r="H20" s="1"/>
  <c r="H21" s="1"/>
  <c r="H23" s="1"/>
  <c r="H24" s="1"/>
  <c r="H25" s="1"/>
  <c r="H26" s="1"/>
  <c r="H27" s="1"/>
  <c r="H28" s="1"/>
  <c r="H29" s="1"/>
  <c r="H32" s="1"/>
  <c r="H33" s="1"/>
  <c r="H34" s="1"/>
  <c r="H35" s="1"/>
  <c r="K5"/>
  <c r="K6" s="1"/>
  <c r="K8" s="1"/>
  <c r="K9" s="1"/>
  <c r="K10" s="1"/>
  <c r="K11" s="1"/>
  <c r="K12" s="1"/>
  <c r="K13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3" s="1"/>
  <c r="K34" s="1"/>
  <c r="K35" s="1"/>
  <c r="M5"/>
  <c r="M6" s="1"/>
  <c r="M8" s="1"/>
  <c r="M9" s="1"/>
  <c r="M10" s="1"/>
  <c r="M11" s="1"/>
  <c r="M12" s="1"/>
  <c r="M13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5" s="1"/>
  <c r="P26" s="1"/>
  <c r="P27" s="1"/>
  <c r="P28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7" s="1"/>
  <c r="Q18" s="1"/>
  <c r="Q19" s="1"/>
  <c r="Q20" s="1"/>
  <c r="Q21" s="1"/>
  <c r="Q22" s="1"/>
  <c r="Q25" s="1"/>
  <c r="Q26" s="1"/>
  <c r="Q27" s="1"/>
  <c r="Q28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2" s="1"/>
  <c r="B13" s="1"/>
  <c r="B18" s="1"/>
  <c r="B19" s="1"/>
  <c r="B20" s="1"/>
  <c r="B21" s="1"/>
  <c r="B25" s="1"/>
  <c r="B26" s="1"/>
  <c r="B27" s="1"/>
  <c r="B28" s="1"/>
  <c r="B33" s="1"/>
  <c r="B34" s="1"/>
  <c r="B35" s="1"/>
  <c r="A4"/>
  <c r="F4" i="2"/>
  <c r="F5" s="1"/>
  <c r="F11" s="1"/>
  <c r="F12" s="1"/>
  <c r="F17" s="1"/>
  <c r="F18" s="1"/>
  <c r="F19" s="1"/>
  <c r="F20" s="1"/>
  <c r="F24" s="1"/>
  <c r="F25" s="1"/>
  <c r="F26" s="1"/>
  <c r="F27" s="1"/>
  <c r="F32" s="1"/>
  <c r="F33" s="1"/>
  <c r="F34" s="1"/>
  <c r="H4"/>
  <c r="H5" s="1"/>
  <c r="H11" s="1"/>
  <c r="H12" s="1"/>
  <c r="H17" s="1"/>
  <c r="H18" s="1"/>
  <c r="H19" s="1"/>
  <c r="H20" s="1"/>
  <c r="H24" s="1"/>
  <c r="H25" s="1"/>
  <c r="H26" s="1"/>
  <c r="H27" s="1"/>
  <c r="H32" s="1"/>
  <c r="H33" s="1"/>
  <c r="H34" s="1"/>
  <c r="J4"/>
  <c r="J5" s="1"/>
  <c r="J11" s="1"/>
  <c r="J12" s="1"/>
  <c r="J17" s="1"/>
  <c r="J18" s="1"/>
  <c r="J19" s="1"/>
  <c r="J20" s="1"/>
  <c r="J24" s="1"/>
  <c r="J25" s="1"/>
  <c r="J26" s="1"/>
  <c r="J27" s="1"/>
  <c r="J32" s="1"/>
  <c r="J33" s="1"/>
  <c r="J34" s="1"/>
  <c r="L4"/>
  <c r="L5" s="1"/>
  <c r="L11" s="1"/>
  <c r="L12" s="1"/>
  <c r="L17" s="1"/>
  <c r="L18" s="1"/>
  <c r="L19" s="1"/>
  <c r="L20" s="1"/>
  <c r="L24" s="1"/>
  <c r="L25" s="1"/>
  <c r="L26" s="1"/>
  <c r="L27" s="1"/>
  <c r="L32" s="1"/>
  <c r="L33" s="1"/>
  <c r="L34" s="1"/>
  <c r="P4"/>
  <c r="P5" s="1"/>
  <c r="P11" s="1"/>
  <c r="P12" s="1"/>
  <c r="P17" s="1"/>
  <c r="P18" s="1"/>
  <c r="P19" s="1"/>
  <c r="P20" s="1"/>
  <c r="P24" s="1"/>
  <c r="P25" s="1"/>
  <c r="P26" s="1"/>
  <c r="P27" s="1"/>
  <c r="P32" s="1"/>
  <c r="P33" s="1"/>
  <c r="P34" s="1"/>
  <c r="D4"/>
  <c r="D5" s="1"/>
  <c r="D11" s="1"/>
  <c r="D12" s="1"/>
  <c r="D17" s="1"/>
  <c r="D18" s="1"/>
  <c r="D19" s="1"/>
  <c r="D20" s="1"/>
  <c r="D24" s="1"/>
  <c r="D25" s="1"/>
  <c r="D26" s="1"/>
  <c r="D27" s="1"/>
  <c r="D32" s="1"/>
  <c r="D33" s="1"/>
  <c r="D34" s="1"/>
  <c r="C3"/>
  <c r="R32" i="3" l="1"/>
  <c r="Y31"/>
  <c r="K6" i="5"/>
  <c r="H7" i="79"/>
  <c r="H11" s="1"/>
  <c r="H12" s="1"/>
  <c r="H13" s="1"/>
  <c r="H14" s="1"/>
  <c r="H16" s="1"/>
  <c r="H17" s="1"/>
  <c r="H18" s="1"/>
  <c r="H19" s="1"/>
  <c r="H20" s="1"/>
  <c r="H21" s="1"/>
  <c r="H22" s="1"/>
  <c r="H26" s="1"/>
  <c r="H27" s="1"/>
  <c r="H28" s="1"/>
  <c r="H29" s="1"/>
  <c r="H30" s="1"/>
  <c r="H31" s="1"/>
  <c r="H32" s="1"/>
  <c r="H33" s="1"/>
  <c r="H34" s="1"/>
  <c r="H35" s="1"/>
  <c r="H36" s="1"/>
  <c r="R33" i="3" l="1"/>
  <c r="Y33" s="1"/>
  <c r="Y32"/>
  <c r="C20" i="77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M25" s="1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7" s="1"/>
  <c r="X28" s="1"/>
  <c r="X29" s="1"/>
  <c r="X31" s="1"/>
  <c r="X32" s="1"/>
  <c r="X33" s="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7" s="1"/>
  <c r="X18" s="1"/>
  <c r="X19" s="1"/>
  <c r="X20" s="1"/>
  <c r="X21" s="1"/>
  <c r="X22" s="1"/>
  <c r="X24" s="1"/>
  <c r="X25" s="1"/>
  <c r="X26" s="1"/>
  <c r="X27" s="1"/>
  <c r="X28" s="1"/>
  <c r="X29" s="1"/>
  <c r="X31" s="1"/>
  <c r="X32" s="1"/>
  <c r="X33" s="1"/>
  <c r="Z5"/>
  <c r="Z6" s="1"/>
  <c r="Z7" s="1"/>
  <c r="Z8" s="1"/>
  <c r="Z10" s="1"/>
  <c r="Z11" s="1"/>
  <c r="Z12" s="1"/>
  <c r="Z13" s="1"/>
  <c r="Z14" s="1"/>
  <c r="Z17" s="1"/>
  <c r="Z18" s="1"/>
  <c r="Z19" s="1"/>
  <c r="Z20" s="1"/>
  <c r="Z21" s="1"/>
  <c r="Z22" s="1"/>
  <c r="Z25" s="1"/>
  <c r="Z26" s="1"/>
  <c r="Z27" s="1"/>
  <c r="Z28" s="1"/>
  <c r="Z29" s="1"/>
  <c r="Z31" s="1"/>
  <c r="Z32" s="1"/>
  <c r="Z33" s="1"/>
  <c r="Z34" s="1"/>
  <c r="Z35" s="1"/>
  <c r="Y33" l="1"/>
  <c r="AB33" s="1"/>
  <c r="X34"/>
  <c r="AA33"/>
  <c r="L25"/>
  <c r="E6" i="2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M8" s="1"/>
  <c r="L8" s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M9" s="1"/>
  <c r="L9" s="1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M10" s="1"/>
  <c r="L10" s="1"/>
  <c r="Z9"/>
  <c r="K11" l="1"/>
  <c r="M11" s="1"/>
  <c r="L11" s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M13" s="1"/>
  <c r="L13" s="1"/>
  <c r="Z12"/>
  <c r="L14" l="1"/>
  <c r="V29" i="5"/>
  <c r="W28"/>
  <c r="AL28" s="1"/>
  <c r="K14" i="3"/>
  <c r="M14" s="1"/>
  <c r="BK14" i="7"/>
  <c r="AG11" i="3"/>
  <c r="Z13"/>
  <c r="AL12"/>
  <c r="AK12"/>
  <c r="AE12"/>
  <c r="AF12" s="1"/>
  <c r="F12" i="63"/>
  <c r="K15" i="3" l="1"/>
  <c r="M15" s="1"/>
  <c r="L15" s="1"/>
  <c r="F13" i="63"/>
  <c r="AL13" i="3"/>
  <c r="AK13"/>
  <c r="AE13"/>
  <c r="AF13" s="1"/>
  <c r="V30" i="5"/>
  <c r="W29"/>
  <c r="AL29" s="1"/>
  <c r="AG12" i="3"/>
  <c r="BK15" i="7"/>
  <c r="Z14" i="3"/>
  <c r="AB14"/>
  <c r="L16" l="1"/>
  <c r="AG13"/>
  <c r="BK16" i="7"/>
  <c r="K16" i="3"/>
  <c r="M16" s="1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M17" s="1"/>
  <c r="L17" s="1"/>
  <c r="BK18" i="7" l="1"/>
  <c r="AG15" i="3"/>
  <c r="AK16"/>
  <c r="AL16"/>
  <c r="AE16"/>
  <c r="AF16" s="1"/>
  <c r="F16" i="63"/>
  <c r="V33" i="5"/>
  <c r="W32"/>
  <c r="AL32" s="1"/>
  <c r="Z17" i="3"/>
  <c r="K18"/>
  <c r="M18" s="1"/>
  <c r="L18" s="1"/>
  <c r="W33" i="5" l="1"/>
  <c r="AL33" s="1"/>
  <c r="V34"/>
  <c r="AK17" i="3"/>
  <c r="AE17"/>
  <c r="AF17" s="1"/>
  <c r="F17" i="63"/>
  <c r="AL17" i="3"/>
  <c r="BK19" i="7"/>
  <c r="AG16" i="3"/>
  <c r="K19"/>
  <c r="M19" s="1"/>
  <c r="L19" s="1"/>
  <c r="Z18"/>
  <c r="V35" i="5" l="1"/>
  <c r="W34"/>
  <c r="AL34" s="1"/>
  <c r="K20" i="3"/>
  <c r="M20" s="1"/>
  <c r="L20" s="1"/>
  <c r="Z19"/>
  <c r="AE18"/>
  <c r="AF18" s="1"/>
  <c r="AL18"/>
  <c r="F18" i="63"/>
  <c r="AK18" i="3"/>
  <c r="BK20" i="7"/>
  <c r="AG17" i="3"/>
  <c r="V36" i="5" l="1"/>
  <c r="W36" s="1"/>
  <c r="AL36" s="1"/>
  <c r="W35"/>
  <c r="AL35" s="1"/>
  <c r="Z20" i="3"/>
  <c r="AB20"/>
  <c r="K21"/>
  <c r="M21" s="1"/>
  <c r="L21" s="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M22" s="1"/>
  <c r="L22" s="1"/>
  <c r="AB21"/>
  <c r="Z21"/>
  <c r="F21" i="63" l="1"/>
  <c r="AE21" i="3"/>
  <c r="AF21" s="1"/>
  <c r="AK21"/>
  <c r="AL21"/>
  <c r="BK23" i="7"/>
  <c r="AG20" i="3"/>
  <c r="K23"/>
  <c r="M23" s="1"/>
  <c r="L23" s="1"/>
  <c r="AB22"/>
  <c r="Z22"/>
  <c r="Z23" l="1"/>
  <c r="AB23"/>
  <c r="K24"/>
  <c r="M24" s="1"/>
  <c r="L24" s="1"/>
  <c r="L25" s="1"/>
  <c r="BK24" i="7"/>
  <c r="AG21" i="3"/>
  <c r="AL22"/>
  <c r="F22" i="63"/>
  <c r="AE22" i="3"/>
  <c r="AF22" s="1"/>
  <c r="AK22"/>
  <c r="Z24" l="1"/>
  <c r="K26"/>
  <c r="M26" s="1"/>
  <c r="L26" s="1"/>
  <c r="F23" i="63"/>
  <c r="AC23" i="3"/>
  <c r="AL23"/>
  <c r="AE23"/>
  <c r="AF23" s="1"/>
  <c r="AK23"/>
  <c r="BK25" i="7"/>
  <c r="AG22" i="3"/>
  <c r="BK26" i="7" l="1"/>
  <c r="AG23" i="3"/>
  <c r="AH23" s="1"/>
  <c r="AL24"/>
  <c r="AK24"/>
  <c r="F24" i="63"/>
  <c r="AE24" i="3"/>
  <c r="AF24" s="1"/>
  <c r="K27"/>
  <c r="M27" s="1"/>
  <c r="L27" s="1"/>
  <c r="Z25"/>
  <c r="K28" l="1"/>
  <c r="M28" s="1"/>
  <c r="L28" s="1"/>
  <c r="Z26"/>
  <c r="F25" i="63"/>
  <c r="AK25" i="3"/>
  <c r="AE25"/>
  <c r="AF25" s="1"/>
  <c r="AL25"/>
  <c r="BK27" i="7"/>
  <c r="AG24" i="3"/>
  <c r="K29" l="1"/>
  <c r="M29" s="1"/>
  <c r="L29" s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M31" s="1"/>
  <c r="K30"/>
  <c r="M30" s="1"/>
  <c r="L30" s="1"/>
  <c r="Z29"/>
  <c r="BK30" i="7"/>
  <c r="AG27" i="3"/>
  <c r="AK28"/>
  <c r="F28" i="63"/>
  <c r="AE28" i="3"/>
  <c r="AF28" s="1"/>
  <c r="AL28"/>
  <c r="L31" l="1"/>
  <c r="K32"/>
  <c r="M32" s="1"/>
  <c r="Z31"/>
  <c r="F29" i="63"/>
  <c r="AE29" i="3"/>
  <c r="AF29" s="1"/>
  <c r="AL29"/>
  <c r="AK29"/>
  <c r="AB30"/>
  <c r="Z30"/>
  <c r="BK31" i="7"/>
  <c r="AG28" i="3"/>
  <c r="L32" l="1"/>
  <c r="AL3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M33"/>
  <c r="L33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C22" s="1"/>
  <c r="AH22" s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AC28" s="1"/>
  <c r="AH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<sst xmlns="http://schemas.openxmlformats.org/spreadsheetml/2006/main" count="666" uniqueCount="418">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</sst>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4153</c:v>
                </c:pt>
                <c:pt idx="19">
                  <c:v>4878</c:v>
                </c:pt>
                <c:pt idx="20">
                  <c:v>4410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5374</c:v>
                </c:pt>
                <c:pt idx="26">
                  <c:v>6229</c:v>
                </c:pt>
                <c:pt idx="27">
                  <c:v>5846</c:v>
                </c:pt>
                <c:pt idx="28">
                  <c:v>4078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52066304"/>
        <c:axId val="152084480"/>
      </c:lineChart>
      <c:catAx>
        <c:axId val="15206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84480"/>
        <c:crosses val="autoZero"/>
        <c:auto val="1"/>
        <c:lblAlgn val="ctr"/>
        <c:lblOffset val="100"/>
      </c:catAx>
      <c:valAx>
        <c:axId val="152084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6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2703360"/>
        <c:axId val="152704896"/>
      </c:lineChart>
      <c:catAx>
        <c:axId val="15270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04896"/>
        <c:crosses val="autoZero"/>
        <c:auto val="1"/>
        <c:lblAlgn val="ctr"/>
        <c:lblOffset val="100"/>
      </c:catAx>
      <c:valAx>
        <c:axId val="152704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0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24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275"/>
          <c:w val="0.77663126001868099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52725376"/>
        <c:axId val="152726912"/>
      </c:lineChart>
      <c:catAx>
        <c:axId val="15272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26912"/>
        <c:crosses val="autoZero"/>
        <c:auto val="1"/>
        <c:lblAlgn val="ctr"/>
        <c:lblOffset val="100"/>
      </c:catAx>
      <c:valAx>
        <c:axId val="1527269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2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52755584"/>
        <c:axId val="152831104"/>
      </c:lineChart>
      <c:catAx>
        <c:axId val="15275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31104"/>
        <c:crosses val="autoZero"/>
        <c:auto val="1"/>
        <c:lblAlgn val="ctr"/>
        <c:lblOffset val="100"/>
      </c:catAx>
      <c:valAx>
        <c:axId val="1528311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5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45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52872064"/>
        <c:axId val="152873600"/>
      </c:lineChart>
      <c:catAx>
        <c:axId val="15287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73600"/>
        <c:crosses val="autoZero"/>
        <c:auto val="1"/>
        <c:lblAlgn val="ctr"/>
        <c:lblOffset val="100"/>
      </c:catAx>
      <c:valAx>
        <c:axId val="152873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7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82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54815488"/>
        <c:axId val="154837760"/>
      </c:lineChart>
      <c:catAx>
        <c:axId val="15481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37760"/>
        <c:crosses val="autoZero"/>
        <c:auto val="1"/>
        <c:lblAlgn val="ctr"/>
        <c:lblOffset val="100"/>
      </c:catAx>
      <c:valAx>
        <c:axId val="154837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1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53494272"/>
        <c:axId val="153495808"/>
      </c:lineChart>
      <c:catAx>
        <c:axId val="15349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95808"/>
        <c:crosses val="autoZero"/>
        <c:auto val="1"/>
        <c:lblAlgn val="ctr"/>
        <c:lblOffset val="100"/>
      </c:catAx>
      <c:valAx>
        <c:axId val="153495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9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53524096"/>
        <c:axId val="153525632"/>
      </c:lineChart>
      <c:catAx>
        <c:axId val="15352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25632"/>
        <c:crosses val="autoZero"/>
        <c:auto val="1"/>
        <c:lblAlgn val="ctr"/>
        <c:lblOffset val="100"/>
      </c:catAx>
      <c:valAx>
        <c:axId val="153525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2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20.5</c:v>
                </c:pt>
                <c:pt idx="25">
                  <c:v>20.5</c:v>
                </c:pt>
                <c:pt idx="26">
                  <c:v>20</c:v>
                </c:pt>
                <c:pt idx="27">
                  <c:v>20.5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54934656"/>
        <c:axId val="154944640"/>
      </c:lineChart>
      <c:catAx>
        <c:axId val="15493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44640"/>
        <c:crosses val="autoZero"/>
        <c:auto val="1"/>
        <c:lblAlgn val="ctr"/>
        <c:lblOffset val="100"/>
      </c:catAx>
      <c:valAx>
        <c:axId val="154944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3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94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54969216"/>
        <c:axId val="154970752"/>
      </c:lineChart>
      <c:catAx>
        <c:axId val="15496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0752"/>
        <c:crosses val="autoZero"/>
        <c:auto val="1"/>
        <c:lblAlgn val="ctr"/>
        <c:lblOffset val="100"/>
      </c:catAx>
      <c:valAx>
        <c:axId val="154970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</c:v>
                </c:pt>
                <c:pt idx="25">
                  <c:v>14</c:v>
                </c:pt>
                <c:pt idx="26">
                  <c:v>14</c:v>
                </c:pt>
                <c:pt idx="27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55077248"/>
        <c:axId val="155103616"/>
      </c:lineChart>
      <c:catAx>
        <c:axId val="15507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03616"/>
        <c:crosses val="autoZero"/>
        <c:auto val="1"/>
        <c:lblAlgn val="ctr"/>
        <c:lblOffset val="100"/>
      </c:catAx>
      <c:valAx>
        <c:axId val="155103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7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55538176"/>
        <c:axId val="155539712"/>
      </c:lineChart>
      <c:catAx>
        <c:axId val="15553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39712"/>
        <c:crosses val="autoZero"/>
        <c:auto val="1"/>
        <c:lblAlgn val="ctr"/>
        <c:lblOffset val="100"/>
      </c:catAx>
      <c:valAx>
        <c:axId val="15553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3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02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165</c:v>
                </c:pt>
                <c:pt idx="7">
                  <c:v>157</c:v>
                </c:pt>
                <c:pt idx="8">
                  <c:v>0</c:v>
                </c:pt>
                <c:pt idx="9">
                  <c:v>0</c:v>
                </c:pt>
                <c:pt idx="10">
                  <c:v>345</c:v>
                </c:pt>
                <c:pt idx="11">
                  <c:v>386</c:v>
                </c:pt>
                <c:pt idx="12">
                  <c:v>296</c:v>
                </c:pt>
                <c:pt idx="13">
                  <c:v>370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251</c:v>
                </c:pt>
                <c:pt idx="19">
                  <c:v>380</c:v>
                </c:pt>
                <c:pt idx="20">
                  <c:v>266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182</c:v>
                </c:pt>
                <c:pt idx="26">
                  <c:v>326</c:v>
                </c:pt>
                <c:pt idx="27">
                  <c:v>280</c:v>
                </c:pt>
                <c:pt idx="28">
                  <c:v>176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55470464"/>
        <c:axId val="155509120"/>
      </c:lineChart>
      <c:catAx>
        <c:axId val="15547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09120"/>
        <c:crosses val="autoZero"/>
        <c:auto val="1"/>
        <c:lblAlgn val="ctr"/>
        <c:lblOffset val="100"/>
      </c:catAx>
      <c:valAx>
        <c:axId val="155509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7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2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55668864"/>
        <c:axId val="155670400"/>
      </c:lineChart>
      <c:catAx>
        <c:axId val="155668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70400"/>
        <c:crosses val="autoZero"/>
        <c:auto val="1"/>
        <c:lblAlgn val="ctr"/>
        <c:lblOffset val="100"/>
      </c:catAx>
      <c:valAx>
        <c:axId val="155670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4153</c:v>
                </c:pt>
                <c:pt idx="19">
                  <c:v>4878</c:v>
                </c:pt>
                <c:pt idx="20">
                  <c:v>4410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5374</c:v>
                </c:pt>
                <c:pt idx="26">
                  <c:v>6229</c:v>
                </c:pt>
                <c:pt idx="27">
                  <c:v>5846</c:v>
                </c:pt>
                <c:pt idx="28">
                  <c:v>4078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55703552"/>
        <c:axId val="155709440"/>
      </c:lineChart>
      <c:catAx>
        <c:axId val="15570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09440"/>
        <c:crosses val="autoZero"/>
        <c:auto val="1"/>
        <c:lblAlgn val="ctr"/>
        <c:lblOffset val="100"/>
      </c:catAx>
      <c:valAx>
        <c:axId val="155709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0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55607040"/>
        <c:axId val="155608576"/>
      </c:lineChart>
      <c:catAx>
        <c:axId val="15560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08576"/>
        <c:crosses val="autoZero"/>
        <c:auto val="1"/>
        <c:lblAlgn val="ctr"/>
        <c:lblOffset val="100"/>
      </c:catAx>
      <c:valAx>
        <c:axId val="155608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0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2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</c:v>
                </c:pt>
                <c:pt idx="25">
                  <c:v>14</c:v>
                </c:pt>
                <c:pt idx="26">
                  <c:v>14</c:v>
                </c:pt>
                <c:pt idx="27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55645440"/>
        <c:axId val="155646976"/>
      </c:lineChart>
      <c:catAx>
        <c:axId val="15564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46976"/>
        <c:crosses val="autoZero"/>
        <c:auto val="1"/>
        <c:lblAlgn val="ctr"/>
        <c:lblOffset val="100"/>
      </c:catAx>
      <c:valAx>
        <c:axId val="1556469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4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598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-2453.4193548387411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-1910.0645161290304</c:v>
                </c:pt>
                <c:pt idx="6">
                  <c:v>-1025.1935483870911</c:v>
                </c:pt>
                <c:pt idx="7">
                  <c:v>0</c:v>
                </c:pt>
                <c:pt idx="8">
                  <c:v>0</c:v>
                </c:pt>
                <c:pt idx="9">
                  <c:v>-1113.1935483870911</c:v>
                </c:pt>
                <c:pt idx="10">
                  <c:v>-1770.0645161290595</c:v>
                </c:pt>
                <c:pt idx="11">
                  <c:v>-2216.7419354838494</c:v>
                </c:pt>
                <c:pt idx="12">
                  <c:v>-1319.8709677419392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-1603.3870967742114</c:v>
                </c:pt>
                <c:pt idx="18">
                  <c:v>-2076.7419354838494</c:v>
                </c:pt>
                <c:pt idx="19">
                  <c:v>-1083.1935483870911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-2076.741935483893</c:v>
                </c:pt>
                <c:pt idx="25">
                  <c:v>-2453.4193548386829</c:v>
                </c:pt>
                <c:pt idx="26">
                  <c:v>-1696.5483870968019</c:v>
                </c:pt>
                <c:pt idx="27">
                  <c:v>-1840.0645161290158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55728896"/>
        <c:axId val="155759360"/>
      </c:lineChart>
      <c:catAx>
        <c:axId val="15572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9360"/>
        <c:crosses val="autoZero"/>
        <c:auto val="1"/>
        <c:lblAlgn val="ctr"/>
        <c:lblOffset val="100"/>
      </c:catAx>
      <c:valAx>
        <c:axId val="155759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2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55858048"/>
        <c:axId val="155859584"/>
      </c:lineChart>
      <c:catAx>
        <c:axId val="15585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59584"/>
        <c:crosses val="autoZero"/>
        <c:auto val="1"/>
        <c:lblAlgn val="ctr"/>
        <c:lblOffset val="100"/>
      </c:catAx>
      <c:valAx>
        <c:axId val="15585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5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25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55896448"/>
        <c:axId val="155902336"/>
      </c:lineChart>
      <c:catAx>
        <c:axId val="15589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02336"/>
        <c:crosses val="autoZero"/>
        <c:auto val="1"/>
        <c:lblAlgn val="ctr"/>
        <c:lblOffset val="100"/>
      </c:catAx>
      <c:valAx>
        <c:axId val="1559023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9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55922816"/>
        <c:axId val="155924352"/>
      </c:lineChart>
      <c:catAx>
        <c:axId val="15592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24352"/>
        <c:crosses val="autoZero"/>
        <c:auto val="1"/>
        <c:lblAlgn val="ctr"/>
        <c:lblOffset val="100"/>
      </c:catAx>
      <c:valAx>
        <c:axId val="1559243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2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55948928"/>
        <c:axId val="155950464"/>
      </c:lineChart>
      <c:catAx>
        <c:axId val="15594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50464"/>
        <c:crosses val="autoZero"/>
        <c:auto val="1"/>
        <c:lblAlgn val="ctr"/>
        <c:lblOffset val="100"/>
      </c:catAx>
      <c:valAx>
        <c:axId val="155950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4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46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55966848"/>
        <c:axId val="156050560"/>
      </c:lineChart>
      <c:catAx>
        <c:axId val="15596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50560"/>
        <c:crosses val="autoZero"/>
        <c:auto val="1"/>
        <c:lblAlgn val="ctr"/>
        <c:lblOffset val="100"/>
      </c:catAx>
      <c:valAx>
        <c:axId val="15605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6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20.5</c:v>
                </c:pt>
                <c:pt idx="25">
                  <c:v>20.5</c:v>
                </c:pt>
                <c:pt idx="26">
                  <c:v>20</c:v>
                </c:pt>
                <c:pt idx="27">
                  <c:v>20.5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56099712"/>
        <c:axId val="156101248"/>
      </c:lineChart>
      <c:catAx>
        <c:axId val="15609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1248"/>
        <c:crosses val="autoZero"/>
        <c:auto val="1"/>
        <c:lblAlgn val="ctr"/>
        <c:lblOffset val="100"/>
      </c:catAx>
      <c:valAx>
        <c:axId val="156101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9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455"/>
          <c:w val="0.1234311819809458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55820032"/>
        <c:axId val="155821568"/>
      </c:lineChart>
      <c:catAx>
        <c:axId val="1558200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21568"/>
        <c:crosses val="autoZero"/>
        <c:auto val="1"/>
        <c:lblAlgn val="ctr"/>
        <c:lblOffset val="100"/>
      </c:catAx>
      <c:valAx>
        <c:axId val="1558215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2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043"/>
          <c:w val="0.1569039853282467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56173440"/>
        <c:axId val="156174976"/>
      </c:lineChart>
      <c:catAx>
        <c:axId val="15617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74976"/>
        <c:crosses val="autoZero"/>
        <c:auto val="1"/>
        <c:lblAlgn val="ctr"/>
        <c:lblOffset val="100"/>
      </c:catAx>
      <c:valAx>
        <c:axId val="1561749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7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54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20.5</c:v>
                </c:pt>
                <c:pt idx="25">
                  <c:v>20.5</c:v>
                </c:pt>
                <c:pt idx="26">
                  <c:v>20</c:v>
                </c:pt>
                <c:pt idx="27">
                  <c:v>20.5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56306432"/>
        <c:axId val="156312320"/>
      </c:lineChart>
      <c:catAx>
        <c:axId val="15630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12320"/>
        <c:crosses val="autoZero"/>
        <c:auto val="1"/>
        <c:lblAlgn val="ctr"/>
        <c:lblOffset val="100"/>
      </c:catAx>
      <c:valAx>
        <c:axId val="156312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0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641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56723456"/>
        <c:axId val="156729344"/>
      </c:lineChart>
      <c:catAx>
        <c:axId val="1567234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29344"/>
        <c:crosses val="autoZero"/>
        <c:auto val="1"/>
        <c:lblAlgn val="ctr"/>
        <c:lblOffset val="100"/>
      </c:catAx>
      <c:valAx>
        <c:axId val="1567293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2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0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D37" sqref="D37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0.35498381733041801</v>
      </c>
      <c r="G4" s="203">
        <f>-tanks!AW8</f>
        <v>347</v>
      </c>
      <c r="H4" s="315">
        <f>tanks!AV8</f>
        <v>1.1200000000000001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0.40851076878652959</v>
      </c>
      <c r="G5" s="203">
        <f>-tanks!AW9</f>
        <v>391</v>
      </c>
      <c r="H5" s="315">
        <f>tanks!AV9</f>
        <v>1.1200000000000001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0.33096450534285704</v>
      </c>
      <c r="G6" s="203">
        <f>-tanks!AW10</f>
        <v>196</v>
      </c>
      <c r="H6" s="315">
        <f>tanks!AV10</f>
        <v>1.1200000000000001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4455</v>
      </c>
      <c r="F7" s="315">
        <f>SUM('EDl log'!T9)</f>
        <v>0.44186079662310551</v>
      </c>
      <c r="G7" s="203">
        <f>-tanks!AW11</f>
        <v>165</v>
      </c>
      <c r="H7" s="315">
        <f>tanks!AV11</f>
        <v>1.1200000000000001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4790</v>
      </c>
      <c r="F8" s="315">
        <f>SUM('EDl log'!T10)</f>
        <v>0.21921402205902293</v>
      </c>
      <c r="G8" s="203">
        <f>-tanks!AW12</f>
        <v>157</v>
      </c>
      <c r="H8" s="315">
        <f>tanks!AV12</f>
        <v>1.0089999999999999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1.0089999999999999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1.0089999999999999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5071</v>
      </c>
      <c r="F11" s="315">
        <f>SUM('EDl log'!T13)</f>
        <v>0.19082018583040236</v>
      </c>
      <c r="G11" s="203">
        <f>-tanks!AW15</f>
        <v>345</v>
      </c>
      <c r="H11" s="315">
        <f>tanks!AV15</f>
        <v>1.0089999999999999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6481</v>
      </c>
      <c r="F12" s="315">
        <f>SUM('EDl log'!T14)</f>
        <v>0.24543198918754142</v>
      </c>
      <c r="G12" s="203">
        <f>-tanks!AW16</f>
        <v>386</v>
      </c>
      <c r="H12" s="315">
        <f>tanks!AV16</f>
        <v>1.0089999999999999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2164</v>
      </c>
      <c r="F13" s="315">
        <f>SUM('EDl log'!T15)</f>
        <v>0.98682863147672972</v>
      </c>
      <c r="G13" s="203">
        <f>-tanks!AW17</f>
        <v>296</v>
      </c>
      <c r="H13" s="315">
        <f>tanks!AV17</f>
        <v>1.0089999999999999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5387</v>
      </c>
      <c r="F14" s="315">
        <f>SUM('EDl log'!T16)</f>
        <v>0.21046423909138856</v>
      </c>
      <c r="G14" s="203">
        <f>-tanks!AW18</f>
        <v>370</v>
      </c>
      <c r="H14" s="315">
        <f>tanks!AV18</f>
        <v>1.0129999999999999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1.0129999999999999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1.0129999999999999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1.0129999999999999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1.0129999999999999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4153</v>
      </c>
      <c r="F19" s="315">
        <f>SUM('EDl log'!T21)</f>
        <v>0.38003925554662077</v>
      </c>
      <c r="G19" s="203">
        <f>-tanks!AW23</f>
        <v>251</v>
      </c>
      <c r="H19" s="315">
        <f>tanks!AV23</f>
        <v>1.0129999999999999</v>
      </c>
      <c r="I19" s="10">
        <f>('B5'!AU22)*0.51</f>
        <v>0</v>
      </c>
      <c r="J19" s="296">
        <f>'B5'!AX22/0.51</f>
        <v>1.5686274509803921</v>
      </c>
      <c r="K19" s="203">
        <f>WATER!I23</f>
        <v>62</v>
      </c>
      <c r="L19" s="316">
        <f>SUM(WATER!J23)</f>
        <v>4.032258064516129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4878</v>
      </c>
      <c r="F20" s="315">
        <f>SUM('EDl log'!T22)</f>
        <v>0.38939380322146711</v>
      </c>
      <c r="G20" s="203">
        <f>-tanks!AW24</f>
        <v>380</v>
      </c>
      <c r="H20" s="315">
        <f>tanks!AV24</f>
        <v>1.0129999999999999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4410</v>
      </c>
      <c r="F21" s="315">
        <f>SUM('EDl log'!T23)</f>
        <v>0.22624715774664853</v>
      </c>
      <c r="G21" s="203">
        <f>-tanks!AW25</f>
        <v>266</v>
      </c>
      <c r="H21" s="315">
        <f>tanks!AV25</f>
        <v>1.0449999999999999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1.0449999999999999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1.0449999999999999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1.0449999999999999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1.0449999999999999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5374</v>
      </c>
      <c r="F26" s="315">
        <f>SUM('EDl log'!T28)</f>
        <v>0.39122675327770023</v>
      </c>
      <c r="G26" s="203">
        <f>-tanks!AW30</f>
        <v>182</v>
      </c>
      <c r="H26" s="315">
        <f>tanks!AV30</f>
        <v>1.0449999999999999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6229</v>
      </c>
      <c r="F27" s="315">
        <f>SUM('EDl log'!T29)</f>
        <v>0.37582171495214184</v>
      </c>
      <c r="G27" s="203">
        <f>-tanks!AW31</f>
        <v>326</v>
      </c>
      <c r="H27" s="315">
        <f>tanks!AV31</f>
        <v>1.0449999999999999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5846</v>
      </c>
      <c r="F28" s="315">
        <f>SUM('EDl log'!T30)</f>
        <v>0.27577977186245561</v>
      </c>
      <c r="G28" s="203">
        <f>-tanks!AW32</f>
        <v>280</v>
      </c>
      <c r="H28" s="315">
        <f>tanks!AV32</f>
        <v>1.05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4078</v>
      </c>
      <c r="F29" s="315">
        <f>SUM('EDl log'!T31)</f>
        <v>0.45756794551048086</v>
      </c>
      <c r="G29" s="203">
        <f>-tanks!AW33</f>
        <v>176</v>
      </c>
      <c r="H29" s="315">
        <f>tanks!AV33</f>
        <v>1.05</v>
      </c>
      <c r="I29" s="10">
        <f>('B5'!AU32)*0.51</f>
        <v>0</v>
      </c>
      <c r="J29" s="296">
        <f>'B5'!AX32/0.51</f>
        <v>1.5686274509803921</v>
      </c>
      <c r="K29" s="203">
        <f>WATER!I33</f>
        <v>95</v>
      </c>
      <c r="L29" s="316">
        <f>SUM(WATER!J33)</f>
        <v>2.6315789473684212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1.05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1.05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824</v>
      </c>
      <c r="F7" s="203">
        <f>ELEC!K9</f>
        <v>1586</v>
      </c>
      <c r="G7" s="203">
        <f>ELEC!I9</f>
        <v>416</v>
      </c>
      <c r="H7" s="203">
        <f>ELEC!E9</f>
        <v>1370</v>
      </c>
      <c r="I7" s="203">
        <f>ELEC!G9</f>
        <v>259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838</v>
      </c>
      <c r="F8" s="203">
        <f>ELEC!K10</f>
        <v>1748</v>
      </c>
      <c r="G8" s="203">
        <f>ELEC!I10</f>
        <v>440</v>
      </c>
      <c r="H8" s="203">
        <f>ELEC!E10</f>
        <v>1490</v>
      </c>
      <c r="I8" s="203">
        <f>ELEC!G10</f>
        <v>274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844</v>
      </c>
      <c r="F11" s="203">
        <f>ELEC!K13</f>
        <v>2036</v>
      </c>
      <c r="G11" s="203">
        <f>ELEC!I13</f>
        <v>428</v>
      </c>
      <c r="H11" s="203">
        <f>ELEC!E13</f>
        <v>1510</v>
      </c>
      <c r="I11" s="203">
        <f>ELEC!G13</f>
        <v>253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1266</v>
      </c>
      <c r="F12" s="203">
        <f>ELEC!K14</f>
        <v>2042</v>
      </c>
      <c r="G12" s="203">
        <f>ELEC!I14</f>
        <v>680</v>
      </c>
      <c r="H12" s="203">
        <f>ELEC!E14</f>
        <v>2090</v>
      </c>
      <c r="I12" s="203">
        <f>ELEC!G14</f>
        <v>403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410</v>
      </c>
      <c r="F13" s="203">
        <f>ELEC!K15</f>
        <v>734</v>
      </c>
      <c r="G13" s="203">
        <f>ELEC!I15</f>
        <v>222</v>
      </c>
      <c r="H13" s="203">
        <f>ELEC!E15</f>
        <v>670</v>
      </c>
      <c r="I13" s="203">
        <f>ELEC!G15</f>
        <v>128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886</v>
      </c>
      <c r="F14" s="203">
        <f>ELEC!K16</f>
        <v>832</v>
      </c>
      <c r="G14" s="203">
        <f>ELEC!I16</f>
        <v>1326</v>
      </c>
      <c r="H14" s="203">
        <f>ELEC!E16</f>
        <v>1950</v>
      </c>
      <c r="I14" s="203">
        <f>ELEC!G16</f>
        <v>393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724</v>
      </c>
      <c r="F19" s="203">
        <f>ELEC!K21</f>
        <v>1280</v>
      </c>
      <c r="G19" s="203">
        <f>ELEC!I21</f>
        <v>360</v>
      </c>
      <c r="H19" s="203">
        <f>ELEC!E21</f>
        <v>1570</v>
      </c>
      <c r="I19" s="203">
        <f>ELEC!G21</f>
        <v>219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888</v>
      </c>
      <c r="F20" s="203">
        <f>ELEC!K22</f>
        <v>1632</v>
      </c>
      <c r="G20" s="203">
        <f>ELEC!I22</f>
        <v>458</v>
      </c>
      <c r="H20" s="203">
        <f>ELEC!E22</f>
        <v>1630</v>
      </c>
      <c r="I20" s="203">
        <f>ELEC!G22</f>
        <v>270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868</v>
      </c>
      <c r="F21" s="203">
        <f>ELEC!K23</f>
        <v>1256</v>
      </c>
      <c r="G21" s="203">
        <f>ELEC!I23</f>
        <v>466</v>
      </c>
      <c r="H21" s="203">
        <f>ELEC!E23</f>
        <v>1550</v>
      </c>
      <c r="I21" s="203">
        <f>ELEC!G23</f>
        <v>270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876</v>
      </c>
      <c r="F26" s="203">
        <f>ELEC!K28</f>
        <v>1724</v>
      </c>
      <c r="G26" s="203">
        <f>ELEC!I28</f>
        <v>450</v>
      </c>
      <c r="H26" s="203">
        <f>ELEC!E28</f>
        <v>2060</v>
      </c>
      <c r="I26" s="203">
        <f>ELEC!G28</f>
        <v>264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1084</v>
      </c>
      <c r="F27" s="203">
        <f>ELEC!K29</f>
        <v>2120</v>
      </c>
      <c r="G27" s="203">
        <f>ELEC!I29</f>
        <v>542</v>
      </c>
      <c r="H27" s="203">
        <f>ELEC!E29</f>
        <v>2160</v>
      </c>
      <c r="I27" s="203">
        <f>ELEC!G29</f>
        <v>323</v>
      </c>
      <c r="J27" s="203">
        <f>WATER!Y31</f>
        <v>67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1064</v>
      </c>
      <c r="F28" s="203">
        <f>ELEC!K30</f>
        <v>2060</v>
      </c>
      <c r="G28" s="203">
        <f>ELEC!I30</f>
        <v>528</v>
      </c>
      <c r="H28" s="203">
        <f>ELEC!E30</f>
        <v>1860</v>
      </c>
      <c r="I28" s="203">
        <f>ELEC!G30</f>
        <v>334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790</v>
      </c>
      <c r="F29" s="203">
        <f>ELEC!K31</f>
        <v>1380</v>
      </c>
      <c r="G29" s="203">
        <f>ELEC!I31</f>
        <v>408</v>
      </c>
      <c r="H29" s="203">
        <f>ELEC!E31</f>
        <v>1260</v>
      </c>
      <c r="I29" s="203">
        <f>ELEC!G31</f>
        <v>240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I1" zoomScale="70" zoomScaleNormal="70" zoomScaleSheetLayoutView="100" workbookViewId="0">
      <pane ySplit="2" topLeftCell="A6" activePane="bottomLeft" state="frozen"/>
      <selection activeCell="C1" sqref="C1"/>
      <selection pane="bottomLeft" activeCell="U31" sqref="U3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v>266540</v>
      </c>
      <c r="E9" s="580">
        <f t="shared" si="8"/>
        <v>1370</v>
      </c>
      <c r="F9" s="569">
        <v>4127285</v>
      </c>
      <c r="G9" s="449">
        <f t="shared" si="21"/>
        <v>259</v>
      </c>
      <c r="H9" s="426">
        <v>18032262</v>
      </c>
      <c r="I9" s="449">
        <f t="shared" si="22"/>
        <v>416</v>
      </c>
      <c r="J9" s="426">
        <v>29764930</v>
      </c>
      <c r="K9" s="449">
        <f t="shared" si="23"/>
        <v>1586</v>
      </c>
      <c r="L9" s="426">
        <v>24566726</v>
      </c>
      <c r="M9" s="449">
        <f t="shared" si="24"/>
        <v>824</v>
      </c>
      <c r="N9" s="297">
        <f t="shared" si="25"/>
        <v>4455</v>
      </c>
      <c r="O9" s="445">
        <f t="shared" si="0"/>
        <v>0</v>
      </c>
      <c r="P9" s="563">
        <v>19142.117999999999</v>
      </c>
      <c r="Q9" s="446">
        <f t="shared" si="1"/>
        <v>4134.9999999983993</v>
      </c>
      <c r="R9" s="428">
        <f t="shared" si="29"/>
        <v>320.00000000160071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v>268030</v>
      </c>
      <c r="E10" s="580">
        <f t="shared" si="8"/>
        <v>1490</v>
      </c>
      <c r="F10" s="569">
        <v>4127559</v>
      </c>
      <c r="G10" s="449">
        <f t="shared" si="21"/>
        <v>274</v>
      </c>
      <c r="H10" s="426">
        <v>18032702</v>
      </c>
      <c r="I10" s="449">
        <f t="shared" si="22"/>
        <v>440</v>
      </c>
      <c r="J10" s="426">
        <v>29766678</v>
      </c>
      <c r="K10" s="449">
        <f t="shared" si="23"/>
        <v>1748</v>
      </c>
      <c r="L10" s="426">
        <v>24567564</v>
      </c>
      <c r="M10" s="449">
        <f t="shared" si="24"/>
        <v>838</v>
      </c>
      <c r="N10" s="297">
        <f t="shared" si="25"/>
        <v>4790</v>
      </c>
      <c r="O10" s="445">
        <f t="shared" si="0"/>
        <v>0</v>
      </c>
      <c r="P10" s="563">
        <v>19146.745999999999</v>
      </c>
      <c r="Q10" s="446">
        <f t="shared" si="1"/>
        <v>4628.0000000006112</v>
      </c>
      <c r="R10" s="428">
        <f t="shared" si="29"/>
        <v>161.99999999938882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268030</v>
      </c>
      <c r="E11" s="580">
        <f t="shared" si="8"/>
        <v>0</v>
      </c>
      <c r="F11" s="569">
        <f t="shared" si="9"/>
        <v>4127559</v>
      </c>
      <c r="G11" s="449">
        <f t="shared" si="21"/>
        <v>0</v>
      </c>
      <c r="H11" s="426">
        <f t="shared" si="10"/>
        <v>18032702</v>
      </c>
      <c r="I11" s="449">
        <f t="shared" si="22"/>
        <v>0</v>
      </c>
      <c r="J11" s="426">
        <f t="shared" si="11"/>
        <v>29766678</v>
      </c>
      <c r="K11" s="449">
        <f t="shared" si="23"/>
        <v>0</v>
      </c>
      <c r="L11" s="426">
        <f t="shared" si="12"/>
        <v>24567564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19146.745999999999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268030</v>
      </c>
      <c r="E12" s="580">
        <f>D12-D11</f>
        <v>0</v>
      </c>
      <c r="F12" s="569">
        <f t="shared" si="9"/>
        <v>4127559</v>
      </c>
      <c r="G12" s="449">
        <f t="shared" si="21"/>
        <v>0</v>
      </c>
      <c r="H12" s="426">
        <f t="shared" si="10"/>
        <v>18032702</v>
      </c>
      <c r="I12" s="449">
        <f t="shared" si="22"/>
        <v>0</v>
      </c>
      <c r="J12" s="426">
        <f t="shared" si="11"/>
        <v>29766678</v>
      </c>
      <c r="K12" s="449">
        <f t="shared" si="23"/>
        <v>0</v>
      </c>
      <c r="L12" s="426">
        <f t="shared" si="12"/>
        <v>24567564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19146.745999999999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v>269540</v>
      </c>
      <c r="E13" s="580">
        <f t="shared" si="8"/>
        <v>1510</v>
      </c>
      <c r="F13" s="569">
        <v>4127812</v>
      </c>
      <c r="G13" s="449">
        <f t="shared" si="21"/>
        <v>253</v>
      </c>
      <c r="H13" s="426">
        <v>18033130</v>
      </c>
      <c r="I13" s="449">
        <f t="shared" si="22"/>
        <v>428</v>
      </c>
      <c r="J13" s="426">
        <v>29768714</v>
      </c>
      <c r="K13" s="449">
        <f t="shared" si="23"/>
        <v>2036</v>
      </c>
      <c r="L13" s="426">
        <v>24568408</v>
      </c>
      <c r="M13" s="449">
        <f t="shared" si="24"/>
        <v>844</v>
      </c>
      <c r="N13" s="297">
        <f>M13+K13+I13+G13+E13</f>
        <v>5071</v>
      </c>
      <c r="O13" s="445">
        <f t="shared" si="32"/>
        <v>0</v>
      </c>
      <c r="P13" s="563">
        <v>19151.650000000001</v>
      </c>
      <c r="Q13" s="446">
        <f t="shared" si="1"/>
        <v>4904.0000000022701</v>
      </c>
      <c r="R13" s="428">
        <f t="shared" si="29"/>
        <v>166.9999999977299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v>271630</v>
      </c>
      <c r="E14" s="580">
        <f t="shared" si="8"/>
        <v>2090</v>
      </c>
      <c r="F14" s="569">
        <v>4128215</v>
      </c>
      <c r="G14" s="449">
        <f t="shared" si="21"/>
        <v>403</v>
      </c>
      <c r="H14" s="426">
        <v>18033810</v>
      </c>
      <c r="I14" s="449">
        <f t="shared" si="22"/>
        <v>680</v>
      </c>
      <c r="J14" s="426">
        <v>29770756</v>
      </c>
      <c r="K14" s="449">
        <f t="shared" si="23"/>
        <v>2042</v>
      </c>
      <c r="L14" s="426">
        <v>24569674</v>
      </c>
      <c r="M14" s="449">
        <f t="shared" si="24"/>
        <v>1266</v>
      </c>
      <c r="N14" s="297">
        <f t="shared" si="25"/>
        <v>6481</v>
      </c>
      <c r="O14" s="445">
        <f t="shared" si="32"/>
        <v>0</v>
      </c>
      <c r="P14" s="563">
        <v>19157.853999999999</v>
      </c>
      <c r="Q14" s="446">
        <f t="shared" si="1"/>
        <v>6203.9999999979045</v>
      </c>
      <c r="R14" s="428">
        <f t="shared" si="29"/>
        <v>277.00000000209548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v>272300</v>
      </c>
      <c r="E15" s="580">
        <f t="shared" si="8"/>
        <v>670</v>
      </c>
      <c r="F15" s="569">
        <v>4128343</v>
      </c>
      <c r="G15" s="449">
        <f t="shared" si="21"/>
        <v>128</v>
      </c>
      <c r="H15" s="426">
        <v>18034032</v>
      </c>
      <c r="I15" s="449">
        <f t="shared" si="22"/>
        <v>222</v>
      </c>
      <c r="J15" s="426">
        <v>29771490</v>
      </c>
      <c r="K15" s="449">
        <f t="shared" si="23"/>
        <v>734</v>
      </c>
      <c r="L15" s="426">
        <v>24570084</v>
      </c>
      <c r="M15" s="449">
        <f t="shared" si="24"/>
        <v>410</v>
      </c>
      <c r="N15" s="297">
        <f t="shared" si="25"/>
        <v>2164</v>
      </c>
      <c r="O15" s="445">
        <f t="shared" si="32"/>
        <v>0</v>
      </c>
      <c r="P15" s="563">
        <v>19159.939999999999</v>
      </c>
      <c r="Q15" s="446">
        <f t="shared" si="1"/>
        <v>2085.9999999993306</v>
      </c>
      <c r="R15" s="594">
        <f>N15-Q15</f>
        <v>78.000000000669388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v>274250</v>
      </c>
      <c r="E16" s="580">
        <f t="shared" si="8"/>
        <v>1950</v>
      </c>
      <c r="F16" s="569">
        <v>4128736</v>
      </c>
      <c r="G16" s="449">
        <f t="shared" si="21"/>
        <v>393</v>
      </c>
      <c r="H16" s="426">
        <v>18035358</v>
      </c>
      <c r="I16" s="449">
        <f t="shared" si="22"/>
        <v>1326</v>
      </c>
      <c r="J16" s="426">
        <v>29772322</v>
      </c>
      <c r="K16" s="449">
        <f t="shared" si="23"/>
        <v>832</v>
      </c>
      <c r="L16" s="426">
        <v>24570970</v>
      </c>
      <c r="M16" s="449">
        <f t="shared" si="24"/>
        <v>886</v>
      </c>
      <c r="N16" s="297">
        <f t="shared" si="25"/>
        <v>5387</v>
      </c>
      <c r="O16" s="445">
        <f t="shared" si="32"/>
        <v>0</v>
      </c>
      <c r="P16" s="563">
        <v>19165.124</v>
      </c>
      <c r="Q16" s="446">
        <f t="shared" si="1"/>
        <v>5184.0000000011059</v>
      </c>
      <c r="R16" s="428">
        <f t="shared" si="29"/>
        <v>202.99999999889405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274250</v>
      </c>
      <c r="E17" s="580">
        <f t="shared" si="8"/>
        <v>0</v>
      </c>
      <c r="F17" s="569">
        <f t="shared" si="9"/>
        <v>4128736</v>
      </c>
      <c r="G17" s="449">
        <f t="shared" si="21"/>
        <v>0</v>
      </c>
      <c r="H17" s="426">
        <f t="shared" si="10"/>
        <v>18035358</v>
      </c>
      <c r="I17" s="449">
        <f t="shared" si="22"/>
        <v>0</v>
      </c>
      <c r="J17" s="426">
        <f t="shared" si="11"/>
        <v>29772322</v>
      </c>
      <c r="K17" s="449">
        <f t="shared" si="23"/>
        <v>0</v>
      </c>
      <c r="L17" s="426">
        <f t="shared" si="12"/>
        <v>24570970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19165.124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274250</v>
      </c>
      <c r="E18" s="580">
        <f t="shared" si="8"/>
        <v>0</v>
      </c>
      <c r="F18" s="569">
        <f t="shared" si="9"/>
        <v>4128736</v>
      </c>
      <c r="G18" s="449">
        <f t="shared" si="21"/>
        <v>0</v>
      </c>
      <c r="H18" s="426">
        <f t="shared" si="10"/>
        <v>18035358</v>
      </c>
      <c r="I18" s="449">
        <f t="shared" si="22"/>
        <v>0</v>
      </c>
      <c r="J18" s="426">
        <f t="shared" si="11"/>
        <v>29772322</v>
      </c>
      <c r="K18" s="449">
        <f t="shared" si="23"/>
        <v>0</v>
      </c>
      <c r="L18" s="426">
        <f t="shared" si="12"/>
        <v>24570970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19165.124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274250</v>
      </c>
      <c r="E19" s="580">
        <f t="shared" si="8"/>
        <v>0</v>
      </c>
      <c r="F19" s="569">
        <f t="shared" si="9"/>
        <v>4128736</v>
      </c>
      <c r="G19" s="449">
        <f t="shared" si="21"/>
        <v>0</v>
      </c>
      <c r="H19" s="426">
        <f t="shared" si="10"/>
        <v>18035358</v>
      </c>
      <c r="I19" s="449">
        <f t="shared" si="22"/>
        <v>0</v>
      </c>
      <c r="J19" s="426">
        <f t="shared" si="11"/>
        <v>29772322</v>
      </c>
      <c r="K19" s="449">
        <f t="shared" si="23"/>
        <v>0</v>
      </c>
      <c r="L19" s="426">
        <f t="shared" si="12"/>
        <v>24570970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19165.124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274250</v>
      </c>
      <c r="E20" s="580">
        <f t="shared" si="8"/>
        <v>0</v>
      </c>
      <c r="F20" s="569">
        <f t="shared" si="9"/>
        <v>4128736</v>
      </c>
      <c r="G20" s="449">
        <f t="shared" si="21"/>
        <v>0</v>
      </c>
      <c r="H20" s="426">
        <f t="shared" si="10"/>
        <v>18035358</v>
      </c>
      <c r="I20" s="449">
        <f t="shared" si="22"/>
        <v>0</v>
      </c>
      <c r="J20" s="426">
        <f t="shared" si="11"/>
        <v>29772322</v>
      </c>
      <c r="K20" s="449">
        <f t="shared" si="23"/>
        <v>0</v>
      </c>
      <c r="L20" s="426">
        <f t="shared" si="12"/>
        <v>24570970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19165.124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v>275820</v>
      </c>
      <c r="E21" s="580">
        <f t="shared" si="8"/>
        <v>1570</v>
      </c>
      <c r="F21" s="569">
        <v>4128955</v>
      </c>
      <c r="G21" s="449">
        <f t="shared" si="21"/>
        <v>219</v>
      </c>
      <c r="H21" s="426">
        <v>18035718</v>
      </c>
      <c r="I21" s="449">
        <f t="shared" si="22"/>
        <v>360</v>
      </c>
      <c r="J21" s="426">
        <v>29773602</v>
      </c>
      <c r="K21" s="449">
        <f t="shared" si="23"/>
        <v>1280</v>
      </c>
      <c r="L21" s="426">
        <v>24571694</v>
      </c>
      <c r="M21" s="449">
        <f t="shared" si="24"/>
        <v>724</v>
      </c>
      <c r="N21" s="297">
        <f t="shared" si="25"/>
        <v>4153</v>
      </c>
      <c r="O21" s="445">
        <f t="shared" si="32"/>
        <v>0</v>
      </c>
      <c r="P21" s="563">
        <v>19169.123</v>
      </c>
      <c r="Q21" s="446">
        <f t="shared" si="1"/>
        <v>3998.9999999997963</v>
      </c>
      <c r="R21" s="594">
        <f t="shared" ref="R21:R31" si="35">N21-Q21</f>
        <v>154.00000000020373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v>277450</v>
      </c>
      <c r="E22" s="580">
        <f t="shared" ref="E22" si="36">D22-D21</f>
        <v>1630</v>
      </c>
      <c r="F22" s="569">
        <v>4129225</v>
      </c>
      <c r="G22" s="449">
        <f t="shared" ref="G22" si="37">F22-F21</f>
        <v>270</v>
      </c>
      <c r="H22" s="426">
        <v>18036176</v>
      </c>
      <c r="I22" s="449">
        <f t="shared" ref="I22" si="38">H22-H21</f>
        <v>458</v>
      </c>
      <c r="J22" s="426">
        <v>29775234</v>
      </c>
      <c r="K22" s="449">
        <f t="shared" ref="K22" si="39">J22-J21</f>
        <v>1632</v>
      </c>
      <c r="L22" s="426">
        <v>24572582</v>
      </c>
      <c r="M22" s="449">
        <f t="shared" ref="M22" si="40">L22-L21</f>
        <v>888</v>
      </c>
      <c r="N22" s="297">
        <f t="shared" ref="N22" si="41">M22+K22+I22+G22+E22</f>
        <v>4878</v>
      </c>
      <c r="O22" s="445">
        <f t="shared" ref="O22" si="42">IF(B22&gt;0,N22/B22,0)</f>
        <v>0</v>
      </c>
      <c r="P22" s="563">
        <v>19173.536</v>
      </c>
      <c r="Q22" s="446">
        <f t="shared" ref="Q22" si="43">(P22-P21)*1000</f>
        <v>4413.0000000004657</v>
      </c>
      <c r="R22" s="594">
        <f t="shared" ref="R22" si="44">N22-Q22</f>
        <v>464.99999999953434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v>279000</v>
      </c>
      <c r="E23" s="580">
        <f t="shared" si="8"/>
        <v>1550</v>
      </c>
      <c r="F23" s="569">
        <v>4129495</v>
      </c>
      <c r="G23" s="449">
        <f t="shared" si="21"/>
        <v>270</v>
      </c>
      <c r="H23" s="426">
        <v>18036642</v>
      </c>
      <c r="I23" s="449">
        <f t="shared" si="22"/>
        <v>466</v>
      </c>
      <c r="J23" s="426">
        <v>29776490</v>
      </c>
      <c r="K23" s="449">
        <f t="shared" si="23"/>
        <v>1256</v>
      </c>
      <c r="L23" s="426">
        <v>24573450</v>
      </c>
      <c r="M23" s="449">
        <f t="shared" si="24"/>
        <v>868</v>
      </c>
      <c r="N23" s="297">
        <f t="shared" si="25"/>
        <v>4410</v>
      </c>
      <c r="O23" s="445">
        <f t="shared" si="32"/>
        <v>0</v>
      </c>
      <c r="P23" s="563">
        <v>19177.896000000001</v>
      </c>
      <c r="Q23" s="446">
        <f t="shared" si="1"/>
        <v>4360.0000000005821</v>
      </c>
      <c r="R23" s="594">
        <f t="shared" si="35"/>
        <v>49.999999999417923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279000</v>
      </c>
      <c r="E24" s="580">
        <f t="shared" si="8"/>
        <v>0</v>
      </c>
      <c r="F24" s="569">
        <f t="shared" si="9"/>
        <v>4129495</v>
      </c>
      <c r="G24" s="449">
        <f t="shared" si="21"/>
        <v>0</v>
      </c>
      <c r="H24" s="426">
        <f t="shared" si="10"/>
        <v>18036642</v>
      </c>
      <c r="I24" s="599">
        <f t="shared" si="22"/>
        <v>0</v>
      </c>
      <c r="J24" s="426">
        <f t="shared" si="11"/>
        <v>29776490</v>
      </c>
      <c r="K24" s="449">
        <f t="shared" si="23"/>
        <v>0</v>
      </c>
      <c r="L24" s="426">
        <f t="shared" si="12"/>
        <v>24573450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19177.896000000001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279000</v>
      </c>
      <c r="E25" s="580">
        <f t="shared" si="8"/>
        <v>0</v>
      </c>
      <c r="F25" s="569">
        <f t="shared" si="9"/>
        <v>4129495</v>
      </c>
      <c r="G25" s="449">
        <f t="shared" si="21"/>
        <v>0</v>
      </c>
      <c r="H25" s="426">
        <f t="shared" si="10"/>
        <v>18036642</v>
      </c>
      <c r="I25" s="449">
        <f t="shared" si="22"/>
        <v>0</v>
      </c>
      <c r="J25" s="426">
        <f t="shared" si="11"/>
        <v>29776490</v>
      </c>
      <c r="K25" s="449">
        <f t="shared" si="23"/>
        <v>0</v>
      </c>
      <c r="L25" s="426">
        <f t="shared" si="12"/>
        <v>24573450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19177.896000000001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279000</v>
      </c>
      <c r="E26" s="580">
        <f t="shared" si="8"/>
        <v>0</v>
      </c>
      <c r="F26" s="569">
        <f t="shared" si="9"/>
        <v>4129495</v>
      </c>
      <c r="G26" s="449">
        <f t="shared" si="21"/>
        <v>0</v>
      </c>
      <c r="H26" s="426">
        <f t="shared" si="10"/>
        <v>18036642</v>
      </c>
      <c r="I26" s="449">
        <f t="shared" si="22"/>
        <v>0</v>
      </c>
      <c r="J26" s="426">
        <f t="shared" si="11"/>
        <v>29776490</v>
      </c>
      <c r="K26" s="449">
        <f t="shared" si="23"/>
        <v>0</v>
      </c>
      <c r="L26" s="426">
        <f t="shared" si="12"/>
        <v>24573450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19177.896000000001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279000</v>
      </c>
      <c r="E27" s="580">
        <f t="shared" si="8"/>
        <v>0</v>
      </c>
      <c r="F27" s="569">
        <f t="shared" si="9"/>
        <v>4129495</v>
      </c>
      <c r="G27" s="449">
        <f t="shared" si="21"/>
        <v>0</v>
      </c>
      <c r="H27" s="426">
        <f t="shared" si="10"/>
        <v>18036642</v>
      </c>
      <c r="I27" s="449">
        <f t="shared" si="22"/>
        <v>0</v>
      </c>
      <c r="J27" s="426">
        <f t="shared" si="11"/>
        <v>29776490</v>
      </c>
      <c r="K27" s="449">
        <f t="shared" si="23"/>
        <v>0</v>
      </c>
      <c r="L27" s="426">
        <f t="shared" si="12"/>
        <v>24573450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19177.896000000001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v>281060</v>
      </c>
      <c r="E28" s="580">
        <f t="shared" si="8"/>
        <v>2060</v>
      </c>
      <c r="F28" s="569">
        <v>4129759</v>
      </c>
      <c r="G28" s="449">
        <f>F28-F27</f>
        <v>264</v>
      </c>
      <c r="H28" s="426">
        <v>18037092</v>
      </c>
      <c r="I28" s="449">
        <f t="shared" si="22"/>
        <v>450</v>
      </c>
      <c r="J28" s="426">
        <v>29778214</v>
      </c>
      <c r="K28" s="449">
        <f t="shared" si="23"/>
        <v>1724</v>
      </c>
      <c r="L28" s="426">
        <v>24574326</v>
      </c>
      <c r="M28" s="449">
        <f t="shared" si="24"/>
        <v>876</v>
      </c>
      <c r="N28" s="297">
        <f t="shared" si="25"/>
        <v>5374</v>
      </c>
      <c r="O28" s="445">
        <f t="shared" si="32"/>
        <v>0</v>
      </c>
      <c r="P28" s="563">
        <v>19183.345000000001</v>
      </c>
      <c r="Q28" s="446">
        <f t="shared" si="1"/>
        <v>5449.0000000005239</v>
      </c>
      <c r="R28" s="594">
        <f>N28-Q28</f>
        <v>-75.000000000523869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v>283220</v>
      </c>
      <c r="E29" s="580">
        <f t="shared" si="8"/>
        <v>2160</v>
      </c>
      <c r="F29" s="569">
        <v>4130082</v>
      </c>
      <c r="G29" s="449">
        <f>F29-F28</f>
        <v>323</v>
      </c>
      <c r="H29" s="426">
        <v>18037634</v>
      </c>
      <c r="I29" s="449">
        <f>H29-H28</f>
        <v>542</v>
      </c>
      <c r="J29" s="426">
        <v>29780334</v>
      </c>
      <c r="K29" s="449">
        <f>J29-J28</f>
        <v>2120</v>
      </c>
      <c r="L29" s="426">
        <v>24575410</v>
      </c>
      <c r="M29" s="449">
        <f>L29-L28</f>
        <v>1084</v>
      </c>
      <c r="N29" s="297">
        <f>M29+K29+I29+G29+E29</f>
        <v>6229</v>
      </c>
      <c r="O29" s="445">
        <f>IF(B29&gt;0,N29/B29,0)</f>
        <v>0</v>
      </c>
      <c r="P29" s="563">
        <v>19189.689999999999</v>
      </c>
      <c r="Q29" s="446">
        <f>(P29-P28)*1000</f>
        <v>6344.9999999975262</v>
      </c>
      <c r="R29" s="594">
        <f t="shared" si="35"/>
        <v>-115.99999999752617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v>285080</v>
      </c>
      <c r="E30" s="580">
        <f t="shared" si="8"/>
        <v>1860</v>
      </c>
      <c r="F30" s="569">
        <v>4130416</v>
      </c>
      <c r="G30" s="449">
        <f t="shared" si="21"/>
        <v>334</v>
      </c>
      <c r="H30" s="426">
        <v>18038162</v>
      </c>
      <c r="I30" s="449">
        <f t="shared" si="22"/>
        <v>528</v>
      </c>
      <c r="J30" s="426">
        <v>29782394</v>
      </c>
      <c r="K30" s="449">
        <f t="shared" si="23"/>
        <v>2060</v>
      </c>
      <c r="L30" s="426">
        <v>24576474</v>
      </c>
      <c r="M30" s="449">
        <f t="shared" si="24"/>
        <v>1064</v>
      </c>
      <c r="N30" s="297">
        <f>M30+K30+I30+G30+E30</f>
        <v>5846</v>
      </c>
      <c r="O30" s="445">
        <f t="shared" si="32"/>
        <v>0</v>
      </c>
      <c r="P30" s="563">
        <v>19195.627</v>
      </c>
      <c r="Q30" s="446">
        <f t="shared" si="1"/>
        <v>5937.0000000017171</v>
      </c>
      <c r="R30" s="594">
        <f>N30-Q30</f>
        <v>-91.000000001717126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v>286340</v>
      </c>
      <c r="E31" s="580">
        <f t="shared" si="8"/>
        <v>1260</v>
      </c>
      <c r="F31" s="569">
        <v>4130656</v>
      </c>
      <c r="G31" s="449">
        <f t="shared" si="21"/>
        <v>240</v>
      </c>
      <c r="H31" s="426">
        <v>18038570</v>
      </c>
      <c r="I31" s="449">
        <f t="shared" si="22"/>
        <v>408</v>
      </c>
      <c r="J31" s="426">
        <v>29783774</v>
      </c>
      <c r="K31" s="449">
        <f t="shared" si="23"/>
        <v>1380</v>
      </c>
      <c r="L31" s="426">
        <v>24577264</v>
      </c>
      <c r="M31" s="449">
        <f t="shared" si="24"/>
        <v>790</v>
      </c>
      <c r="N31" s="297">
        <f t="shared" si="25"/>
        <v>4078</v>
      </c>
      <c r="O31" s="445">
        <f t="shared" si="32"/>
        <v>0</v>
      </c>
      <c r="P31" s="563">
        <v>19199.525000000001</v>
      </c>
      <c r="Q31" s="446">
        <f t="shared" si="1"/>
        <v>3898.0000000010477</v>
      </c>
      <c r="R31" s="594">
        <f t="shared" si="35"/>
        <v>179.99999999895226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286340</v>
      </c>
      <c r="E32" s="580">
        <f t="shared" si="8"/>
        <v>0</v>
      </c>
      <c r="F32" s="569">
        <f t="shared" si="9"/>
        <v>4130656</v>
      </c>
      <c r="G32" s="449">
        <f t="shared" si="21"/>
        <v>0</v>
      </c>
      <c r="H32" s="426">
        <f t="shared" si="10"/>
        <v>18038570</v>
      </c>
      <c r="I32" s="449">
        <f t="shared" si="22"/>
        <v>0</v>
      </c>
      <c r="J32" s="426">
        <f t="shared" si="11"/>
        <v>29783774</v>
      </c>
      <c r="K32" s="449">
        <f t="shared" si="23"/>
        <v>0</v>
      </c>
      <c r="L32" s="426">
        <f t="shared" si="12"/>
        <v>24577264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19199.525000000001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286340</v>
      </c>
      <c r="E33" s="580">
        <f t="shared" si="8"/>
        <v>0</v>
      </c>
      <c r="F33" s="569">
        <f t="shared" si="9"/>
        <v>4130656</v>
      </c>
      <c r="G33" s="449">
        <f t="shared" si="21"/>
        <v>0</v>
      </c>
      <c r="H33" s="426">
        <f t="shared" si="10"/>
        <v>18038570</v>
      </c>
      <c r="I33" s="449">
        <f t="shared" si="22"/>
        <v>0</v>
      </c>
      <c r="J33" s="426">
        <f t="shared" si="11"/>
        <v>29783774</v>
      </c>
      <c r="K33" s="449">
        <f t="shared" si="23"/>
        <v>0</v>
      </c>
      <c r="L33" s="426">
        <f t="shared" si="12"/>
        <v>24577264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19199.525000000001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286340</v>
      </c>
      <c r="E34" s="580">
        <f t="shared" si="8"/>
        <v>0</v>
      </c>
      <c r="F34" s="569">
        <f t="shared" si="9"/>
        <v>4130656</v>
      </c>
      <c r="G34" s="449">
        <f t="shared" si="21"/>
        <v>0</v>
      </c>
      <c r="H34" s="426">
        <f t="shared" si="10"/>
        <v>18038570</v>
      </c>
      <c r="I34" s="449">
        <f t="shared" si="22"/>
        <v>0</v>
      </c>
      <c r="J34" s="426">
        <f t="shared" si="11"/>
        <v>29783774</v>
      </c>
      <c r="K34" s="449">
        <f t="shared" si="23"/>
        <v>0</v>
      </c>
      <c r="L34" s="426">
        <f t="shared" si="12"/>
        <v>24577264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19199.525000000001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U1" zoomScale="90" zoomScaleNormal="90" workbookViewId="0">
      <pane ySplit="1" topLeftCell="A2" activePane="bottomLeft" state="frozen"/>
      <selection activeCell="K1" sqref="K1"/>
      <selection pane="bottomLeft" activeCell="Y32" sqref="Y3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72.106410256410271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v>217</v>
      </c>
      <c r="C10" s="537">
        <v>223</v>
      </c>
      <c r="D10" s="45">
        <f t="shared" si="36"/>
        <v>7</v>
      </c>
      <c r="E10" s="45">
        <f t="shared" si="14"/>
        <v>58.660000000000004</v>
      </c>
      <c r="F10" s="537">
        <v>2212</v>
      </c>
      <c r="G10" s="52">
        <f t="shared" si="0"/>
        <v>2</v>
      </c>
      <c r="H10" s="537">
        <v>41272</v>
      </c>
      <c r="I10" s="380">
        <f t="shared" si="1"/>
        <v>165</v>
      </c>
      <c r="J10" s="66">
        <f t="shared" si="17"/>
        <v>82.5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2</v>
      </c>
      <c r="V10" s="62">
        <f t="shared" si="22"/>
        <v>165</v>
      </c>
      <c r="W10" s="384">
        <f t="shared" si="23"/>
        <v>82.5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165</v>
      </c>
      <c r="AJ10" s="303">
        <f>-tanks!AW11</f>
        <v>165</v>
      </c>
      <c r="AK10" s="303">
        <f t="shared" si="31"/>
        <v>0</v>
      </c>
      <c r="AL10" s="303">
        <f t="shared" si="8"/>
        <v>2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v>230</v>
      </c>
      <c r="C11" s="537">
        <v>237</v>
      </c>
      <c r="D11" s="45">
        <f t="shared" si="36"/>
        <v>-14</v>
      </c>
      <c r="E11" s="45">
        <f t="shared" si="14"/>
        <v>-117.32000000000001</v>
      </c>
      <c r="F11" s="537">
        <v>2214</v>
      </c>
      <c r="G11" s="52">
        <f t="shared" si="0"/>
        <v>2</v>
      </c>
      <c r="H11" s="537">
        <v>41429</v>
      </c>
      <c r="I11" s="380">
        <f t="shared" si="1"/>
        <v>157</v>
      </c>
      <c r="J11" s="66">
        <f t="shared" si="17"/>
        <v>78.5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2</v>
      </c>
      <c r="V11" s="62">
        <f t="shared" si="22"/>
        <v>157</v>
      </c>
      <c r="W11" s="384">
        <f t="shared" si="23"/>
        <v>78.5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157</v>
      </c>
      <c r="AJ11" s="303">
        <f>-tanks!AW12</f>
        <v>157</v>
      </c>
      <c r="AK11" s="303">
        <f t="shared" si="31"/>
        <v>0</v>
      </c>
      <c r="AL11" s="303">
        <f t="shared" si="8"/>
        <v>2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230</v>
      </c>
      <c r="C12" s="537">
        <f t="shared" si="13"/>
        <v>237</v>
      </c>
      <c r="D12" s="45">
        <f t="shared" si="36"/>
        <v>0</v>
      </c>
      <c r="E12" s="45">
        <f t="shared" si="14"/>
        <v>0</v>
      </c>
      <c r="F12" s="537">
        <f t="shared" si="15"/>
        <v>2214</v>
      </c>
      <c r="G12" s="52">
        <f t="shared" si="0"/>
        <v>0</v>
      </c>
      <c r="H12" s="537">
        <f t="shared" si="16"/>
        <v>41429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230</v>
      </c>
      <c r="C13" s="537">
        <f t="shared" si="13"/>
        <v>237</v>
      </c>
      <c r="D13" s="45">
        <f t="shared" si="36"/>
        <v>0</v>
      </c>
      <c r="E13" s="45">
        <f t="shared" si="14"/>
        <v>0</v>
      </c>
      <c r="F13" s="537">
        <f t="shared" si="15"/>
        <v>2214</v>
      </c>
      <c r="G13" s="52">
        <f t="shared" si="0"/>
        <v>0</v>
      </c>
      <c r="H13" s="537">
        <f t="shared" si="16"/>
        <v>41429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v>243</v>
      </c>
      <c r="C14" s="537">
        <v>250</v>
      </c>
      <c r="D14" s="45">
        <f t="shared" si="36"/>
        <v>-13</v>
      </c>
      <c r="E14" s="45">
        <f t="shared" si="14"/>
        <v>-108.94000000000001</v>
      </c>
      <c r="F14" s="537">
        <v>2219</v>
      </c>
      <c r="G14" s="52">
        <f t="shared" si="0"/>
        <v>5</v>
      </c>
      <c r="H14" s="537">
        <v>41738</v>
      </c>
      <c r="I14" s="380">
        <f t="shared" si="1"/>
        <v>309</v>
      </c>
      <c r="J14" s="66">
        <f t="shared" si="17"/>
        <v>61.8</v>
      </c>
      <c r="K14" s="537">
        <v>2410</v>
      </c>
      <c r="L14" s="52">
        <f t="shared" si="19"/>
        <v>1</v>
      </c>
      <c r="M14" s="537">
        <v>178435</v>
      </c>
      <c r="N14" s="380">
        <f t="shared" si="2"/>
        <v>36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6</v>
      </c>
      <c r="V14" s="62">
        <f t="shared" si="22"/>
        <v>345</v>
      </c>
      <c r="W14" s="384">
        <f t="shared" si="23"/>
        <v>57.5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345</v>
      </c>
      <c r="AJ14" s="303">
        <f>-tanks!AW15</f>
        <v>345</v>
      </c>
      <c r="AK14" s="303">
        <f t="shared" si="31"/>
        <v>0</v>
      </c>
      <c r="AL14" s="303">
        <f t="shared" si="8"/>
        <v>6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v>237</v>
      </c>
      <c r="C15" s="537">
        <v>245</v>
      </c>
      <c r="D15" s="45">
        <f t="shared" si="36"/>
        <v>5</v>
      </c>
      <c r="E15" s="45">
        <f t="shared" si="14"/>
        <v>41.900000000000006</v>
      </c>
      <c r="F15" s="537">
        <v>2223</v>
      </c>
      <c r="G15" s="52">
        <f t="shared" si="0"/>
        <v>4</v>
      </c>
      <c r="H15" s="537">
        <v>42065</v>
      </c>
      <c r="I15" s="380">
        <f t="shared" si="1"/>
        <v>327</v>
      </c>
      <c r="J15" s="66">
        <f t="shared" si="17"/>
        <v>81.75</v>
      </c>
      <c r="K15" s="537">
        <f t="shared" si="18"/>
        <v>2410</v>
      </c>
      <c r="L15" s="52">
        <f t="shared" si="19"/>
        <v>0</v>
      </c>
      <c r="M15" s="537">
        <f t="shared" si="20"/>
        <v>178435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4</v>
      </c>
      <c r="V15" s="62">
        <f t="shared" si="22"/>
        <v>327</v>
      </c>
      <c r="W15" s="384">
        <f t="shared" si="23"/>
        <v>81.75</v>
      </c>
      <c r="X15" s="537">
        <f t="shared" si="24"/>
        <v>2474</v>
      </c>
      <c r="Y15" s="52">
        <f t="shared" si="25"/>
        <v>0</v>
      </c>
      <c r="Z15" s="537">
        <v>139523</v>
      </c>
      <c r="AA15" s="65">
        <f t="shared" si="6"/>
        <v>59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59</v>
      </c>
      <c r="AI15" s="303">
        <f t="shared" si="30"/>
        <v>386</v>
      </c>
      <c r="AJ15" s="303">
        <f>-tanks!AW16</f>
        <v>386</v>
      </c>
      <c r="AK15" s="303">
        <f t="shared" si="31"/>
        <v>0</v>
      </c>
      <c r="AL15" s="303">
        <f t="shared" si="8"/>
        <v>4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v>230</v>
      </c>
      <c r="C16" s="537">
        <v>237</v>
      </c>
      <c r="D16" s="45">
        <f t="shared" si="36"/>
        <v>8</v>
      </c>
      <c r="E16" s="45">
        <f t="shared" si="14"/>
        <v>67.040000000000006</v>
      </c>
      <c r="F16" s="537">
        <v>2226</v>
      </c>
      <c r="G16" s="52">
        <f t="shared" si="0"/>
        <v>3</v>
      </c>
      <c r="H16" s="537">
        <v>42315</v>
      </c>
      <c r="I16" s="380">
        <f t="shared" si="1"/>
        <v>250</v>
      </c>
      <c r="J16" s="66">
        <f t="shared" si="17"/>
        <v>83.333333333333329</v>
      </c>
      <c r="K16" s="537">
        <f t="shared" si="18"/>
        <v>2410</v>
      </c>
      <c r="L16" s="52">
        <f t="shared" si="19"/>
        <v>0</v>
      </c>
      <c r="M16" s="537">
        <f t="shared" si="20"/>
        <v>178435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v>183245</v>
      </c>
      <c r="R16" s="379">
        <f t="shared" si="44"/>
        <v>10</v>
      </c>
      <c r="S16" s="52">
        <f t="shared" si="5"/>
        <v>0</v>
      </c>
      <c r="T16" s="67">
        <f t="shared" si="37"/>
        <v>0</v>
      </c>
      <c r="U16" s="386">
        <f t="shared" si="21"/>
        <v>3</v>
      </c>
      <c r="V16" s="62">
        <f t="shared" si="22"/>
        <v>260</v>
      </c>
      <c r="W16" s="384">
        <f t="shared" si="23"/>
        <v>86.666666666666671</v>
      </c>
      <c r="X16" s="537">
        <v>2475</v>
      </c>
      <c r="Y16" s="52">
        <f t="shared" si="25"/>
        <v>1</v>
      </c>
      <c r="Z16" s="537">
        <v>139559</v>
      </c>
      <c r="AA16" s="65">
        <f t="shared" si="6"/>
        <v>36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36</v>
      </c>
      <c r="AI16" s="303">
        <f t="shared" si="30"/>
        <v>296</v>
      </c>
      <c r="AJ16" s="303">
        <f>-tanks!AW17</f>
        <v>296</v>
      </c>
      <c r="AK16" s="303">
        <f t="shared" si="31"/>
        <v>0</v>
      </c>
      <c r="AL16" s="303">
        <f t="shared" si="8"/>
        <v>3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v>242</v>
      </c>
      <c r="C17" s="537">
        <v>249</v>
      </c>
      <c r="D17" s="45">
        <f t="shared" si="36"/>
        <v>-12</v>
      </c>
      <c r="E17" s="45">
        <f t="shared" si="14"/>
        <v>-100.56</v>
      </c>
      <c r="F17" s="537">
        <v>2231</v>
      </c>
      <c r="G17" s="52">
        <f t="shared" si="0"/>
        <v>5</v>
      </c>
      <c r="H17" s="537">
        <v>42685</v>
      </c>
      <c r="I17" s="380">
        <f t="shared" si="1"/>
        <v>370</v>
      </c>
      <c r="J17" s="66">
        <f t="shared" si="17"/>
        <v>74</v>
      </c>
      <c r="K17" s="537">
        <f t="shared" si="18"/>
        <v>2410</v>
      </c>
      <c r="L17" s="52">
        <f t="shared" si="19"/>
        <v>0</v>
      </c>
      <c r="M17" s="537">
        <f t="shared" si="20"/>
        <v>178435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183245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5</v>
      </c>
      <c r="V17" s="62">
        <f t="shared" si="22"/>
        <v>370</v>
      </c>
      <c r="W17" s="384"/>
      <c r="X17" s="537">
        <f t="shared" si="24"/>
        <v>2475</v>
      </c>
      <c r="Y17" s="52">
        <f t="shared" si="25"/>
        <v>0</v>
      </c>
      <c r="Z17" s="537">
        <f t="shared" si="26"/>
        <v>139559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370</v>
      </c>
      <c r="AJ17" s="303">
        <f>-tanks!AW18</f>
        <v>370</v>
      </c>
      <c r="AK17" s="303">
        <f t="shared" si="31"/>
        <v>0</v>
      </c>
      <c r="AL17" s="303">
        <f t="shared" si="8"/>
        <v>5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242</v>
      </c>
      <c r="C18" s="537">
        <f t="shared" si="13"/>
        <v>249</v>
      </c>
      <c r="D18" s="45">
        <f t="shared" si="36"/>
        <v>0</v>
      </c>
      <c r="E18" s="45">
        <f t="shared" si="14"/>
        <v>0</v>
      </c>
      <c r="F18" s="537">
        <f t="shared" si="15"/>
        <v>2231</v>
      </c>
      <c r="G18" s="52">
        <f t="shared" si="0"/>
        <v>0</v>
      </c>
      <c r="H18" s="537">
        <f t="shared" si="16"/>
        <v>42685</v>
      </c>
      <c r="I18" s="380">
        <f t="shared" si="1"/>
        <v>0</v>
      </c>
      <c r="J18" s="66">
        <f t="shared" si="17"/>
        <v>0</v>
      </c>
      <c r="K18" s="537">
        <f t="shared" si="18"/>
        <v>2410</v>
      </c>
      <c r="L18" s="52">
        <f t="shared" si="19"/>
        <v>0</v>
      </c>
      <c r="M18" s="537">
        <f t="shared" si="20"/>
        <v>178435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183245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2475</v>
      </c>
      <c r="Y18" s="52">
        <f t="shared" si="25"/>
        <v>0</v>
      </c>
      <c r="Z18" s="537">
        <f t="shared" si="26"/>
        <v>139559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242</v>
      </c>
      <c r="C19" s="537">
        <f t="shared" si="13"/>
        <v>249</v>
      </c>
      <c r="D19" s="45">
        <f t="shared" si="36"/>
        <v>0</v>
      </c>
      <c r="E19" s="45">
        <f t="shared" si="14"/>
        <v>0</v>
      </c>
      <c r="F19" s="537">
        <f t="shared" si="15"/>
        <v>2231</v>
      </c>
      <c r="G19" s="52">
        <f t="shared" si="0"/>
        <v>0</v>
      </c>
      <c r="H19" s="537">
        <f t="shared" si="16"/>
        <v>42685</v>
      </c>
      <c r="I19" s="380">
        <f t="shared" si="1"/>
        <v>0</v>
      </c>
      <c r="J19" s="66">
        <f t="shared" si="17"/>
        <v>0</v>
      </c>
      <c r="K19" s="537">
        <f t="shared" si="18"/>
        <v>2410</v>
      </c>
      <c r="L19" s="52">
        <f t="shared" si="19"/>
        <v>0</v>
      </c>
      <c r="M19" s="537">
        <f t="shared" si="20"/>
        <v>178435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183245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2475</v>
      </c>
      <c r="Y19" s="52">
        <f t="shared" si="25"/>
        <v>0</v>
      </c>
      <c r="Z19" s="537">
        <f t="shared" si="26"/>
        <v>139559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242</v>
      </c>
      <c r="C20" s="537">
        <f t="shared" si="13"/>
        <v>249</v>
      </c>
      <c r="D20" s="45">
        <f>C19-C20</f>
        <v>0</v>
      </c>
      <c r="E20" s="45">
        <f t="shared" si="14"/>
        <v>0</v>
      </c>
      <c r="F20" s="537">
        <f t="shared" si="15"/>
        <v>2231</v>
      </c>
      <c r="G20" s="52">
        <f t="shared" si="0"/>
        <v>0</v>
      </c>
      <c r="H20" s="537">
        <f t="shared" si="16"/>
        <v>42685</v>
      </c>
      <c r="I20" s="380">
        <f t="shared" si="1"/>
        <v>0</v>
      </c>
      <c r="J20" s="66">
        <f t="shared" si="17"/>
        <v>0</v>
      </c>
      <c r="K20" s="537">
        <f t="shared" si="18"/>
        <v>2410</v>
      </c>
      <c r="L20" s="52">
        <f t="shared" si="19"/>
        <v>0</v>
      </c>
      <c r="M20" s="537">
        <f t="shared" si="20"/>
        <v>178435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183245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2475</v>
      </c>
      <c r="Y20" s="52">
        <f t="shared" si="25"/>
        <v>0</v>
      </c>
      <c r="Z20" s="537">
        <f t="shared" si="26"/>
        <v>139559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242</v>
      </c>
      <c r="C21" s="537">
        <f t="shared" si="13"/>
        <v>249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2231</v>
      </c>
      <c r="G21" s="52">
        <f t="shared" si="0"/>
        <v>0</v>
      </c>
      <c r="H21" s="537">
        <f t="shared" si="16"/>
        <v>42685</v>
      </c>
      <c r="I21" s="380">
        <f t="shared" si="1"/>
        <v>0</v>
      </c>
      <c r="J21" s="66">
        <f t="shared" si="17"/>
        <v>0</v>
      </c>
      <c r="K21" s="537">
        <f t="shared" si="18"/>
        <v>2410</v>
      </c>
      <c r="L21" s="52">
        <f t="shared" si="19"/>
        <v>0</v>
      </c>
      <c r="M21" s="537">
        <f t="shared" si="20"/>
        <v>178435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183245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2475</v>
      </c>
      <c r="Y21" s="52">
        <f t="shared" si="25"/>
        <v>0</v>
      </c>
      <c r="Z21" s="537">
        <f t="shared" si="26"/>
        <v>139559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v>237</v>
      </c>
      <c r="C22" s="537">
        <v>243</v>
      </c>
      <c r="D22" s="45">
        <f t="shared" si="49"/>
        <v>6</v>
      </c>
      <c r="E22" s="45">
        <f t="shared" si="14"/>
        <v>50.28</v>
      </c>
      <c r="F22" s="537">
        <v>2235</v>
      </c>
      <c r="G22" s="52">
        <f t="shared" si="0"/>
        <v>4</v>
      </c>
      <c r="H22" s="537">
        <v>42936</v>
      </c>
      <c r="I22" s="380">
        <f t="shared" si="1"/>
        <v>251</v>
      </c>
      <c r="J22" s="66">
        <f t="shared" si="17"/>
        <v>62.75</v>
      </c>
      <c r="K22" s="537">
        <f t="shared" si="18"/>
        <v>2410</v>
      </c>
      <c r="L22" s="52">
        <f t="shared" si="19"/>
        <v>0</v>
      </c>
      <c r="M22" s="537">
        <f t="shared" si="20"/>
        <v>178435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183245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4</v>
      </c>
      <c r="V22" s="62">
        <f t="shared" si="22"/>
        <v>251</v>
      </c>
      <c r="W22" s="384"/>
      <c r="X22" s="537">
        <f t="shared" si="24"/>
        <v>2475</v>
      </c>
      <c r="Y22" s="52">
        <f t="shared" si="25"/>
        <v>0</v>
      </c>
      <c r="Z22" s="537">
        <f t="shared" si="26"/>
        <v>139559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251</v>
      </c>
      <c r="AJ22" s="303">
        <f>-tanks!AW23</f>
        <v>251</v>
      </c>
      <c r="AK22" s="303">
        <f t="shared" si="31"/>
        <v>0</v>
      </c>
      <c r="AL22" s="303">
        <f t="shared" si="8"/>
        <v>4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v>230</v>
      </c>
      <c r="C23" s="537">
        <v>237</v>
      </c>
      <c r="D23" s="45">
        <f t="shared" si="49"/>
        <v>6</v>
      </c>
      <c r="E23" s="45">
        <f t="shared" si="14"/>
        <v>50.28</v>
      </c>
      <c r="F23" s="537">
        <f t="shared" si="15"/>
        <v>2235</v>
      </c>
      <c r="G23" s="52">
        <f t="shared" si="0"/>
        <v>0</v>
      </c>
      <c r="H23" s="537">
        <f t="shared" si="16"/>
        <v>42936</v>
      </c>
      <c r="I23" s="380">
        <f t="shared" si="1"/>
        <v>0</v>
      </c>
      <c r="J23" s="66">
        <f t="shared" si="17"/>
        <v>0</v>
      </c>
      <c r="K23" s="537">
        <f t="shared" si="18"/>
        <v>2410</v>
      </c>
      <c r="L23" s="52">
        <f t="shared" si="19"/>
        <v>0</v>
      </c>
      <c r="M23" s="537">
        <f t="shared" si="20"/>
        <v>178435</v>
      </c>
      <c r="N23" s="380">
        <f t="shared" si="2"/>
        <v>0</v>
      </c>
      <c r="O23" s="64">
        <f t="shared" si="48"/>
        <v>1869</v>
      </c>
      <c r="P23" s="537">
        <v>2193</v>
      </c>
      <c r="Q23" s="537">
        <v>183568</v>
      </c>
      <c r="R23" s="379">
        <f t="shared" si="44"/>
        <v>323</v>
      </c>
      <c r="S23" s="52">
        <f t="shared" si="5"/>
        <v>4</v>
      </c>
      <c r="T23" s="67">
        <f t="shared" si="37"/>
        <v>0</v>
      </c>
      <c r="U23" s="386">
        <f t="shared" si="21"/>
        <v>4</v>
      </c>
      <c r="V23" s="62">
        <f t="shared" si="22"/>
        <v>323</v>
      </c>
      <c r="W23" s="384"/>
      <c r="X23" s="537">
        <v>2476</v>
      </c>
      <c r="Y23" s="52">
        <f t="shared" si="25"/>
        <v>1</v>
      </c>
      <c r="Z23" s="537">
        <v>139616</v>
      </c>
      <c r="AA23" s="65">
        <f t="shared" si="6"/>
        <v>57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57</v>
      </c>
      <c r="AI23" s="303">
        <f>SUM(AH23+V23)</f>
        <v>380</v>
      </c>
      <c r="AJ23" s="303">
        <f>-tanks!AW24</f>
        <v>380</v>
      </c>
      <c r="AK23" s="303">
        <f>SUM(AJ23-AI23)</f>
        <v>0</v>
      </c>
      <c r="AL23" s="303">
        <f>S23+L23+G23</f>
        <v>4</v>
      </c>
      <c r="AM23" s="303">
        <f>Y23+AD23</f>
        <v>1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v>243</v>
      </c>
      <c r="C24" s="537">
        <v>249</v>
      </c>
      <c r="D24" s="45">
        <f t="shared" si="49"/>
        <v>-12</v>
      </c>
      <c r="E24" s="45">
        <f t="shared" si="14"/>
        <v>-100.56</v>
      </c>
      <c r="F24" s="537">
        <v>2235</v>
      </c>
      <c r="G24" s="52">
        <f t="shared" si="0"/>
        <v>0</v>
      </c>
      <c r="H24" s="537">
        <f t="shared" si="16"/>
        <v>42936</v>
      </c>
      <c r="I24" s="380">
        <f t="shared" si="1"/>
        <v>0</v>
      </c>
      <c r="J24" s="66">
        <f t="shared" si="17"/>
        <v>0</v>
      </c>
      <c r="K24" s="537">
        <f t="shared" si="18"/>
        <v>2410</v>
      </c>
      <c r="L24" s="52">
        <f t="shared" si="19"/>
        <v>0</v>
      </c>
      <c r="M24" s="537">
        <f t="shared" si="20"/>
        <v>178435</v>
      </c>
      <c r="N24" s="380">
        <f t="shared" si="2"/>
        <v>0</v>
      </c>
      <c r="O24" s="64">
        <f t="shared" si="48"/>
        <v>1869</v>
      </c>
      <c r="P24" s="537">
        <v>2196</v>
      </c>
      <c r="Q24" s="537">
        <v>183800</v>
      </c>
      <c r="R24" s="379">
        <f t="shared" si="44"/>
        <v>232</v>
      </c>
      <c r="S24" s="52">
        <f t="shared" si="5"/>
        <v>3</v>
      </c>
      <c r="T24" s="67">
        <f t="shared" si="37"/>
        <v>0</v>
      </c>
      <c r="U24" s="386">
        <f t="shared" si="21"/>
        <v>3</v>
      </c>
      <c r="V24" s="62">
        <f t="shared" si="22"/>
        <v>232</v>
      </c>
      <c r="W24" s="384"/>
      <c r="X24" s="537">
        <f t="shared" si="24"/>
        <v>2476</v>
      </c>
      <c r="Y24" s="52">
        <f t="shared" si="25"/>
        <v>0</v>
      </c>
      <c r="Z24" s="537">
        <v>139650</v>
      </c>
      <c r="AA24" s="65">
        <f t="shared" si="6"/>
        <v>34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34</v>
      </c>
      <c r="AI24" s="303">
        <f t="shared" si="30"/>
        <v>266</v>
      </c>
      <c r="AJ24" s="303">
        <f>-tanks!AW25</f>
        <v>266</v>
      </c>
      <c r="AK24" s="303">
        <f t="shared" si="31"/>
        <v>0</v>
      </c>
      <c r="AL24" s="303">
        <f t="shared" si="8"/>
        <v>3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243</v>
      </c>
      <c r="C25" s="537">
        <f t="shared" si="13"/>
        <v>249</v>
      </c>
      <c r="D25" s="45">
        <f t="shared" si="49"/>
        <v>0</v>
      </c>
      <c r="E25" s="45">
        <f t="shared" si="14"/>
        <v>0</v>
      </c>
      <c r="F25" s="537">
        <f t="shared" si="15"/>
        <v>2235</v>
      </c>
      <c r="G25" s="52">
        <f t="shared" si="0"/>
        <v>0</v>
      </c>
      <c r="H25" s="537">
        <f t="shared" si="16"/>
        <v>42936</v>
      </c>
      <c r="I25" s="380">
        <f t="shared" si="1"/>
        <v>0</v>
      </c>
      <c r="J25" s="66">
        <f t="shared" si="17"/>
        <v>0</v>
      </c>
      <c r="K25" s="537">
        <f t="shared" si="18"/>
        <v>2410</v>
      </c>
      <c r="L25" s="52">
        <f t="shared" si="19"/>
        <v>0</v>
      </c>
      <c r="M25" s="537">
        <f t="shared" si="20"/>
        <v>178435</v>
      </c>
      <c r="N25" s="380">
        <f t="shared" si="2"/>
        <v>0</v>
      </c>
      <c r="O25" s="64">
        <f t="shared" si="48"/>
        <v>1869</v>
      </c>
      <c r="P25" s="537">
        <f t="shared" si="45"/>
        <v>2196</v>
      </c>
      <c r="Q25" s="537">
        <f t="shared" si="46"/>
        <v>183800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2476</v>
      </c>
      <c r="Y25" s="52">
        <f t="shared" si="25"/>
        <v>0</v>
      </c>
      <c r="Z25" s="537">
        <f t="shared" si="26"/>
        <v>139650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243</v>
      </c>
      <c r="C26" s="537">
        <f t="shared" si="13"/>
        <v>249</v>
      </c>
      <c r="D26" s="45">
        <f t="shared" si="49"/>
        <v>0</v>
      </c>
      <c r="E26" s="45">
        <f t="shared" si="14"/>
        <v>0</v>
      </c>
      <c r="F26" s="537">
        <f t="shared" si="15"/>
        <v>2235</v>
      </c>
      <c r="G26" s="52">
        <f t="shared" si="0"/>
        <v>0</v>
      </c>
      <c r="H26" s="537">
        <f t="shared" si="16"/>
        <v>42936</v>
      </c>
      <c r="I26" s="380">
        <f t="shared" si="1"/>
        <v>0</v>
      </c>
      <c r="J26" s="66">
        <f t="shared" si="17"/>
        <v>0</v>
      </c>
      <c r="K26" s="537">
        <f t="shared" si="18"/>
        <v>2410</v>
      </c>
      <c r="L26" s="52">
        <f t="shared" si="19"/>
        <v>0</v>
      </c>
      <c r="M26" s="537">
        <f t="shared" si="20"/>
        <v>178435</v>
      </c>
      <c r="N26" s="380">
        <f t="shared" si="2"/>
        <v>0</v>
      </c>
      <c r="O26" s="64">
        <f t="shared" si="48"/>
        <v>1869</v>
      </c>
      <c r="P26" s="537">
        <f t="shared" si="45"/>
        <v>2196</v>
      </c>
      <c r="Q26" s="537">
        <f t="shared" si="46"/>
        <v>183800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2476</v>
      </c>
      <c r="Y26" s="52">
        <f t="shared" si="25"/>
        <v>0</v>
      </c>
      <c r="Z26" s="537">
        <f t="shared" si="26"/>
        <v>139650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243</v>
      </c>
      <c r="C27" s="537">
        <f t="shared" si="13"/>
        <v>249</v>
      </c>
      <c r="D27" s="45">
        <f t="shared" si="49"/>
        <v>0</v>
      </c>
      <c r="E27" s="45">
        <f t="shared" si="14"/>
        <v>0</v>
      </c>
      <c r="F27" s="537">
        <f t="shared" si="15"/>
        <v>2235</v>
      </c>
      <c r="G27" s="52">
        <f t="shared" si="0"/>
        <v>0</v>
      </c>
      <c r="H27" s="537">
        <f t="shared" si="16"/>
        <v>42936</v>
      </c>
      <c r="I27" s="380">
        <f t="shared" si="1"/>
        <v>0</v>
      </c>
      <c r="J27" s="66">
        <f t="shared" si="17"/>
        <v>0</v>
      </c>
      <c r="K27" s="537">
        <f t="shared" si="18"/>
        <v>2410</v>
      </c>
      <c r="L27" s="52">
        <f t="shared" si="19"/>
        <v>0</v>
      </c>
      <c r="M27" s="537">
        <f t="shared" si="20"/>
        <v>178435</v>
      </c>
      <c r="N27" s="380">
        <f t="shared" si="2"/>
        <v>0</v>
      </c>
      <c r="O27" s="64">
        <f t="shared" si="48"/>
        <v>1869</v>
      </c>
      <c r="P27" s="537">
        <f t="shared" si="45"/>
        <v>2196</v>
      </c>
      <c r="Q27" s="537">
        <f t="shared" si="46"/>
        <v>183800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2476</v>
      </c>
      <c r="Y27" s="52">
        <f t="shared" si="25"/>
        <v>0</v>
      </c>
      <c r="Z27" s="537">
        <f t="shared" si="26"/>
        <v>139650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243</v>
      </c>
      <c r="C28" s="537">
        <f t="shared" si="13"/>
        <v>249</v>
      </c>
      <c r="D28" s="45">
        <f t="shared" si="49"/>
        <v>0</v>
      </c>
      <c r="E28" s="45">
        <f t="shared" si="14"/>
        <v>0</v>
      </c>
      <c r="F28" s="537">
        <f t="shared" si="15"/>
        <v>2235</v>
      </c>
      <c r="G28" s="52">
        <f t="shared" si="0"/>
        <v>0</v>
      </c>
      <c r="H28" s="537">
        <f t="shared" si="16"/>
        <v>42936</v>
      </c>
      <c r="I28" s="380">
        <f t="shared" si="1"/>
        <v>0</v>
      </c>
      <c r="J28" s="66">
        <f t="shared" si="17"/>
        <v>0</v>
      </c>
      <c r="K28" s="537">
        <f t="shared" si="18"/>
        <v>2410</v>
      </c>
      <c r="L28" s="52">
        <f t="shared" si="19"/>
        <v>0</v>
      </c>
      <c r="M28" s="537">
        <f t="shared" si="20"/>
        <v>178435</v>
      </c>
      <c r="N28" s="380">
        <f t="shared" si="2"/>
        <v>0</v>
      </c>
      <c r="O28" s="64">
        <f t="shared" si="48"/>
        <v>1869</v>
      </c>
      <c r="P28" s="537">
        <f t="shared" si="45"/>
        <v>2196</v>
      </c>
      <c r="Q28" s="537">
        <f t="shared" si="46"/>
        <v>183800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2476</v>
      </c>
      <c r="Y28" s="52">
        <f t="shared" si="25"/>
        <v>0</v>
      </c>
      <c r="Z28" s="537">
        <f t="shared" si="26"/>
        <v>139650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v>236</v>
      </c>
      <c r="C29" s="537">
        <v>243</v>
      </c>
      <c r="D29" s="45">
        <f t="shared" si="49"/>
        <v>6</v>
      </c>
      <c r="E29" s="45">
        <f t="shared" si="14"/>
        <v>50.28</v>
      </c>
      <c r="F29" s="537">
        <f t="shared" si="15"/>
        <v>2235</v>
      </c>
      <c r="G29" s="52">
        <f t="shared" si="0"/>
        <v>0</v>
      </c>
      <c r="H29" s="537">
        <f t="shared" si="16"/>
        <v>42936</v>
      </c>
      <c r="I29" s="380">
        <f t="shared" si="1"/>
        <v>0</v>
      </c>
      <c r="J29" s="66">
        <f t="shared" si="17"/>
        <v>0</v>
      </c>
      <c r="K29" s="537">
        <f t="shared" si="18"/>
        <v>2410</v>
      </c>
      <c r="L29" s="52">
        <f t="shared" si="19"/>
        <v>0</v>
      </c>
      <c r="M29" s="537">
        <f t="shared" si="20"/>
        <v>178435</v>
      </c>
      <c r="N29" s="380">
        <f t="shared" si="2"/>
        <v>0</v>
      </c>
      <c r="O29" s="64">
        <f t="shared" si="48"/>
        <v>1869</v>
      </c>
      <c r="P29" s="537">
        <v>2199</v>
      </c>
      <c r="Q29" s="537">
        <v>183982</v>
      </c>
      <c r="R29" s="379">
        <f t="shared" si="44"/>
        <v>182</v>
      </c>
      <c r="S29" s="52">
        <f t="shared" si="5"/>
        <v>3</v>
      </c>
      <c r="T29" s="67">
        <f t="shared" si="37"/>
        <v>0</v>
      </c>
      <c r="U29" s="386">
        <f t="shared" si="21"/>
        <v>3</v>
      </c>
      <c r="V29" s="62">
        <f t="shared" si="22"/>
        <v>182</v>
      </c>
      <c r="W29" s="384"/>
      <c r="X29" s="537">
        <f t="shared" si="24"/>
        <v>2476</v>
      </c>
      <c r="Y29" s="52">
        <f t="shared" si="25"/>
        <v>0</v>
      </c>
      <c r="Z29" s="537">
        <f t="shared" si="26"/>
        <v>139650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182</v>
      </c>
      <c r="AJ29" s="303">
        <f>-tanks!AW30</f>
        <v>182</v>
      </c>
      <c r="AK29" s="303">
        <f t="shared" si="31"/>
        <v>0</v>
      </c>
      <c r="AL29" s="303">
        <f t="shared" si="8"/>
        <v>3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v>228</v>
      </c>
      <c r="C30" s="537">
        <v>235</v>
      </c>
      <c r="D30" s="45">
        <f>C29-C30</f>
        <v>8</v>
      </c>
      <c r="E30" s="45">
        <f>D30*8.38</f>
        <v>67.040000000000006</v>
      </c>
      <c r="F30" s="537">
        <v>2238</v>
      </c>
      <c r="G30" s="52">
        <f>F30-F29</f>
        <v>3</v>
      </c>
      <c r="H30" s="537">
        <v>43214</v>
      </c>
      <c r="I30" s="380">
        <f>SUM(H30-H29)</f>
        <v>278</v>
      </c>
      <c r="J30" s="66">
        <f>IF(G30&gt;0,I30/G30,0)</f>
        <v>92.666666666666671</v>
      </c>
      <c r="K30" s="537">
        <f t="shared" si="18"/>
        <v>2410</v>
      </c>
      <c r="L30" s="52">
        <f>K30-K29</f>
        <v>0</v>
      </c>
      <c r="M30" s="537">
        <f t="shared" si="20"/>
        <v>178435</v>
      </c>
      <c r="N30" s="380">
        <f>M30-M29</f>
        <v>0</v>
      </c>
      <c r="O30" s="64">
        <f t="shared" si="48"/>
        <v>1869</v>
      </c>
      <c r="P30" s="537">
        <f t="shared" si="45"/>
        <v>2199</v>
      </c>
      <c r="Q30" s="537">
        <f t="shared" si="46"/>
        <v>183982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3</v>
      </c>
      <c r="V30" s="62">
        <f t="shared" si="22"/>
        <v>278</v>
      </c>
      <c r="W30" s="384"/>
      <c r="X30" s="537">
        <v>2477</v>
      </c>
      <c r="Y30" s="52">
        <f>X30-X29</f>
        <v>1</v>
      </c>
      <c r="Z30" s="537">
        <v>139698</v>
      </c>
      <c r="AA30" s="65">
        <f>Z30-Z29</f>
        <v>48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48</v>
      </c>
      <c r="AI30" s="303">
        <f t="shared" si="30"/>
        <v>326</v>
      </c>
      <c r="AJ30" s="303">
        <f>-tanks!AW31</f>
        <v>326</v>
      </c>
      <c r="AK30" s="303">
        <f t="shared" si="31"/>
        <v>0</v>
      </c>
      <c r="AL30" s="303">
        <f t="shared" si="8"/>
        <v>3</v>
      </c>
      <c r="AM30" s="303">
        <f t="shared" si="32"/>
        <v>1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v>239</v>
      </c>
      <c r="C31" s="537">
        <v>245</v>
      </c>
      <c r="D31" s="45">
        <f t="shared" si="49"/>
        <v>-10</v>
      </c>
      <c r="E31" s="45">
        <f t="shared" si="14"/>
        <v>-83.800000000000011</v>
      </c>
      <c r="F31" s="537">
        <v>2242</v>
      </c>
      <c r="G31" s="52">
        <f t="shared" si="0"/>
        <v>4</v>
      </c>
      <c r="H31" s="537">
        <v>43494</v>
      </c>
      <c r="I31" s="380">
        <f t="shared" si="1"/>
        <v>280</v>
      </c>
      <c r="J31" s="66">
        <f t="shared" si="17"/>
        <v>70</v>
      </c>
      <c r="K31" s="537">
        <f t="shared" si="18"/>
        <v>2410</v>
      </c>
      <c r="L31" s="52">
        <f t="shared" si="19"/>
        <v>0</v>
      </c>
      <c r="M31" s="537">
        <f t="shared" si="20"/>
        <v>178435</v>
      </c>
      <c r="N31" s="380">
        <f t="shared" si="2"/>
        <v>0</v>
      </c>
      <c r="O31" s="64">
        <f t="shared" si="48"/>
        <v>1869</v>
      </c>
      <c r="P31" s="537">
        <f t="shared" si="45"/>
        <v>2199</v>
      </c>
      <c r="Q31" s="537">
        <f t="shared" si="46"/>
        <v>183982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4</v>
      </c>
      <c r="V31" s="62">
        <f t="shared" si="22"/>
        <v>280</v>
      </c>
      <c r="W31" s="384"/>
      <c r="X31" s="537">
        <f t="shared" si="24"/>
        <v>2477</v>
      </c>
      <c r="Y31" s="52">
        <f t="shared" si="25"/>
        <v>0</v>
      </c>
      <c r="Z31" s="537">
        <f t="shared" si="26"/>
        <v>139698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280</v>
      </c>
      <c r="AJ31" s="303">
        <f>-tanks!AW32</f>
        <v>280</v>
      </c>
      <c r="AK31" s="303">
        <f t="shared" si="31"/>
        <v>0</v>
      </c>
      <c r="AL31" s="303">
        <f t="shared" si="8"/>
        <v>4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v>233</v>
      </c>
      <c r="C32" s="537">
        <v>239</v>
      </c>
      <c r="D32" s="45">
        <f t="shared" si="49"/>
        <v>6</v>
      </c>
      <c r="E32" s="45">
        <f t="shared" si="14"/>
        <v>50.28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v>2412</v>
      </c>
      <c r="L32" s="52">
        <f t="shared" si="19"/>
        <v>2</v>
      </c>
      <c r="M32" s="537">
        <v>178611</v>
      </c>
      <c r="N32" s="380">
        <f t="shared" si="2"/>
        <v>176</v>
      </c>
      <c r="O32" s="64">
        <f t="shared" si="48"/>
        <v>1869</v>
      </c>
      <c r="P32" s="537">
        <f t="shared" si="45"/>
        <v>2199</v>
      </c>
      <c r="Q32" s="537">
        <f t="shared" si="46"/>
        <v>183982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2</v>
      </c>
      <c r="V32" s="62">
        <f t="shared" si="22"/>
        <v>176</v>
      </c>
      <c r="W32" s="384"/>
      <c r="X32" s="537">
        <f t="shared" si="24"/>
        <v>2477</v>
      </c>
      <c r="Y32" s="52">
        <f t="shared" si="25"/>
        <v>0</v>
      </c>
      <c r="Z32" s="537">
        <f t="shared" si="26"/>
        <v>139698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176</v>
      </c>
      <c r="AJ32" s="303">
        <f>-tanks!AW33</f>
        <v>176</v>
      </c>
      <c r="AK32" s="303">
        <f t="shared" si="31"/>
        <v>0</v>
      </c>
      <c r="AL32" s="303">
        <f t="shared" si="8"/>
        <v>2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233</v>
      </c>
      <c r="C33" s="537">
        <f t="shared" si="13"/>
        <v>239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2412</v>
      </c>
      <c r="L33" s="52">
        <f t="shared" ref="L33:L35" si="59">K33-K32</f>
        <v>0</v>
      </c>
      <c r="M33" s="537">
        <f t="shared" si="20"/>
        <v>178611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2199</v>
      </c>
      <c r="Q33" s="537">
        <f t="shared" si="46"/>
        <v>183982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2477</v>
      </c>
      <c r="Y33" s="52">
        <f t="shared" ref="Y33:Y35" si="66">X33-X32</f>
        <v>0</v>
      </c>
      <c r="Z33" s="537">
        <f t="shared" si="26"/>
        <v>139698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233</v>
      </c>
      <c r="C34" s="537">
        <f t="shared" si="13"/>
        <v>239</v>
      </c>
      <c r="D34" s="45">
        <f t="shared" si="54"/>
        <v>0</v>
      </c>
      <c r="E34" s="45">
        <f t="shared" si="55"/>
        <v>0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f t="shared" si="18"/>
        <v>2412</v>
      </c>
      <c r="L34" s="52">
        <f t="shared" si="59"/>
        <v>0</v>
      </c>
      <c r="M34" s="537">
        <f t="shared" si="20"/>
        <v>178611</v>
      </c>
      <c r="N34" s="380">
        <f t="shared" si="60"/>
        <v>0</v>
      </c>
      <c r="O34" s="64">
        <f t="shared" si="48"/>
        <v>1869</v>
      </c>
      <c r="P34" s="537">
        <f t="shared" si="45"/>
        <v>2199</v>
      </c>
      <c r="Q34" s="537">
        <f t="shared" si="46"/>
        <v>183982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2477</v>
      </c>
      <c r="Y34" s="52">
        <f t="shared" si="66"/>
        <v>0</v>
      </c>
      <c r="Z34" s="537">
        <f t="shared" si="26"/>
        <v>139698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233</v>
      </c>
      <c r="C35" s="537">
        <f t="shared" si="13"/>
        <v>239</v>
      </c>
      <c r="D35" s="45">
        <f t="shared" si="54"/>
        <v>0</v>
      </c>
      <c r="E35" s="45">
        <f t="shared" si="55"/>
        <v>0</v>
      </c>
      <c r="F35" s="537">
        <f t="shared" si="15"/>
        <v>2242</v>
      </c>
      <c r="G35" s="52">
        <f t="shared" si="56"/>
        <v>0</v>
      </c>
      <c r="H35" s="537">
        <f t="shared" si="16"/>
        <v>43494</v>
      </c>
      <c r="I35" s="380">
        <f t="shared" si="57"/>
        <v>0</v>
      </c>
      <c r="J35" s="66">
        <f t="shared" si="58"/>
        <v>0</v>
      </c>
      <c r="K35" s="537">
        <f t="shared" si="18"/>
        <v>2412</v>
      </c>
      <c r="L35" s="52">
        <f t="shared" si="59"/>
        <v>0</v>
      </c>
      <c r="M35" s="537">
        <f t="shared" si="20"/>
        <v>178611</v>
      </c>
      <c r="N35" s="380">
        <f t="shared" si="60"/>
        <v>0</v>
      </c>
      <c r="O35" s="64">
        <f t="shared" si="48"/>
        <v>1869</v>
      </c>
      <c r="P35" s="537">
        <f t="shared" si="45"/>
        <v>2199</v>
      </c>
      <c r="Q35" s="537">
        <f t="shared" si="46"/>
        <v>183982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2477</v>
      </c>
      <c r="Y35" s="52">
        <f t="shared" si="66"/>
        <v>0</v>
      </c>
      <c r="Z35" s="537">
        <f t="shared" si="26"/>
        <v>139698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72.106410256410271</v>
      </c>
      <c r="U36" s="70">
        <f>SUM(U5:U35)</f>
        <v>55</v>
      </c>
      <c r="V36" s="62">
        <f>SUM(V5:V35)</f>
        <v>4247</v>
      </c>
      <c r="AE36" s="71" t="s">
        <v>379</v>
      </c>
      <c r="AG36" s="329"/>
      <c r="AH36" s="62">
        <f>SUM(AH5:AH35)</f>
        <v>267</v>
      </c>
      <c r="AL36" s="62">
        <f>SUM(AL5:AL35)</f>
        <v>55</v>
      </c>
      <c r="AM36" s="62">
        <f>SUM(AM5:AM35)</f>
        <v>4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77.218181818181819</v>
      </c>
      <c r="AH37" s="62">
        <f>AF37+AA37</f>
        <v>0</v>
      </c>
      <c r="AI37" s="306">
        <f>SUM(AI5:AI35)</f>
        <v>4514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L1" sqref="L1:L104857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8165128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26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v>124</v>
      </c>
      <c r="AW11" s="5">
        <v>2.9</v>
      </c>
      <c r="AX11" s="201">
        <v>122</v>
      </c>
      <c r="AY11" s="409">
        <f t="shared" si="37"/>
        <v>137.70000000000002</v>
      </c>
      <c r="AZ11" s="409">
        <f t="shared" si="38"/>
        <v>136.4</v>
      </c>
      <c r="BA11" s="409">
        <f t="shared" si="39"/>
        <v>353.8</v>
      </c>
      <c r="BB11" s="21">
        <f t="shared" si="40"/>
        <v>0</v>
      </c>
      <c r="BC11" s="21">
        <f t="shared" si="32"/>
        <v>-1.0999999999999943</v>
      </c>
      <c r="BD11" s="21">
        <f t="shared" si="32"/>
        <v>-2.8999999999999773</v>
      </c>
      <c r="BE11" s="24">
        <f t="shared" si="33"/>
        <v>-3.9999999999999716</v>
      </c>
      <c r="BF11" s="96">
        <f t="shared" si="34"/>
        <v>3.9999999999999716</v>
      </c>
      <c r="BG11" s="82">
        <f t="shared" si="4"/>
        <v>-3.9999999999999716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18.5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124</v>
      </c>
      <c r="AW12" s="5">
        <v>2.9</v>
      </c>
      <c r="AX12" s="201">
        <v>118</v>
      </c>
      <c r="AY12" s="409">
        <f t="shared" si="37"/>
        <v>137.70000000000002</v>
      </c>
      <c r="AZ12" s="409">
        <f t="shared" si="38"/>
        <v>136.4</v>
      </c>
      <c r="BA12" s="409">
        <f t="shared" si="39"/>
        <v>342.2</v>
      </c>
      <c r="BB12" s="21">
        <f t="shared" si="40"/>
        <v>0</v>
      </c>
      <c r="BC12" s="21">
        <f t="shared" si="32"/>
        <v>0</v>
      </c>
      <c r="BD12" s="21">
        <f t="shared" si="32"/>
        <v>-11.600000000000023</v>
      </c>
      <c r="BE12" s="24">
        <f t="shared" si="33"/>
        <v>-11.600000000000023</v>
      </c>
      <c r="BF12" s="96">
        <f t="shared" si="34"/>
        <v>11.600000000000023</v>
      </c>
      <c r="BG12" s="82">
        <f t="shared" si="4"/>
        <v>-11.600000000000023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124</v>
      </c>
      <c r="AW13" s="5">
        <v>2.9</v>
      </c>
      <c r="AX13" s="201">
        <f t="shared" si="31"/>
        <v>118</v>
      </c>
      <c r="AY13" s="409">
        <f t="shared" si="37"/>
        <v>137.70000000000002</v>
      </c>
      <c r="AZ13" s="409">
        <f t="shared" si="38"/>
        <v>136.4</v>
      </c>
      <c r="BA13" s="409">
        <f t="shared" si="39"/>
        <v>342.2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124</v>
      </c>
      <c r="AW14" s="5">
        <v>2.9</v>
      </c>
      <c r="AX14" s="201">
        <f t="shared" si="31"/>
        <v>118</v>
      </c>
      <c r="AY14" s="409">
        <f t="shared" si="37"/>
        <v>137.70000000000002</v>
      </c>
      <c r="AZ14" s="409">
        <f t="shared" si="38"/>
        <v>136.4</v>
      </c>
      <c r="BA14" s="409">
        <f t="shared" si="39"/>
        <v>342.2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7062</v>
      </c>
      <c r="L15" s="83">
        <f t="shared" si="41"/>
        <v>10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-10</v>
      </c>
      <c r="AL15" s="312">
        <f t="shared" si="27"/>
        <v>0</v>
      </c>
      <c r="AM15" s="312">
        <f>'General information '!D14</f>
        <v>18.5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v>119</v>
      </c>
      <c r="AW15" s="5">
        <v>2.9</v>
      </c>
      <c r="AX15" s="201">
        <v>112</v>
      </c>
      <c r="AY15" s="409">
        <f t="shared" si="37"/>
        <v>137.70000000000002</v>
      </c>
      <c r="AZ15" s="409">
        <f t="shared" si="38"/>
        <v>130.9</v>
      </c>
      <c r="BA15" s="409">
        <f t="shared" si="39"/>
        <v>324.8</v>
      </c>
      <c r="BB15" s="21">
        <f t="shared" si="40"/>
        <v>0</v>
      </c>
      <c r="BC15" s="21">
        <f t="shared" si="32"/>
        <v>-5.5</v>
      </c>
      <c r="BD15" s="21">
        <f t="shared" si="32"/>
        <v>-17.399999999999977</v>
      </c>
      <c r="BE15" s="24">
        <f t="shared" si="33"/>
        <v>-22.899999999999977</v>
      </c>
      <c r="BF15" s="96">
        <f t="shared" si="34"/>
        <v>22.899999999999977</v>
      </c>
      <c r="BG15" s="82">
        <f t="shared" si="4"/>
        <v>-22.899999999999977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7062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18.5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v>158</v>
      </c>
      <c r="AU16" s="408">
        <f t="shared" si="43"/>
        <v>1.1000000000000001</v>
      </c>
      <c r="AV16" s="201">
        <v>117</v>
      </c>
      <c r="AW16" s="5">
        <v>2.9</v>
      </c>
      <c r="AX16" s="201">
        <v>110</v>
      </c>
      <c r="AY16" s="409">
        <f t="shared" si="37"/>
        <v>142.20000000000002</v>
      </c>
      <c r="AZ16" s="409">
        <f t="shared" si="38"/>
        <v>128.70000000000002</v>
      </c>
      <c r="BA16" s="409">
        <f t="shared" si="39"/>
        <v>319</v>
      </c>
      <c r="BB16" s="21">
        <f t="shared" si="40"/>
        <v>4.5</v>
      </c>
      <c r="BC16" s="21">
        <f t="shared" si="32"/>
        <v>-2.1999999999999886</v>
      </c>
      <c r="BD16" s="21">
        <f t="shared" si="32"/>
        <v>-5.8000000000000114</v>
      </c>
      <c r="BE16" s="24">
        <f t="shared" si="33"/>
        <v>-3.5</v>
      </c>
      <c r="BF16" s="96">
        <f t="shared" si="34"/>
        <v>3.5</v>
      </c>
      <c r="BG16" s="82">
        <f t="shared" si="4"/>
        <v>-3.5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7062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18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v>136</v>
      </c>
      <c r="AU17" s="408">
        <f t="shared" si="43"/>
        <v>1.1000000000000001</v>
      </c>
      <c r="AV17" s="201">
        <v>115</v>
      </c>
      <c r="AW17" s="5">
        <v>2.9</v>
      </c>
      <c r="AX17" s="201">
        <v>107</v>
      </c>
      <c r="AY17" s="409">
        <f t="shared" si="37"/>
        <v>122.4</v>
      </c>
      <c r="AZ17" s="409">
        <f t="shared" si="38"/>
        <v>126.50000000000001</v>
      </c>
      <c r="BA17" s="409">
        <f t="shared" si="39"/>
        <v>310.3</v>
      </c>
      <c r="BB17" s="21">
        <f t="shared" si="40"/>
        <v>-19.800000000000011</v>
      </c>
      <c r="BC17" s="21">
        <f t="shared" si="32"/>
        <v>-2.2000000000000028</v>
      </c>
      <c r="BD17" s="21">
        <f t="shared" si="32"/>
        <v>-8.6999999999999886</v>
      </c>
      <c r="BE17" s="24">
        <f t="shared" si="33"/>
        <v>-30.700000000000003</v>
      </c>
      <c r="BF17" s="96">
        <f t="shared" si="34"/>
        <v>30.700000000000003</v>
      </c>
      <c r="BG17" s="82">
        <f t="shared" si="4"/>
        <v>-30.700000000000003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7062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18.5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136</v>
      </c>
      <c r="AU18" s="408">
        <f t="shared" si="43"/>
        <v>1.1000000000000001</v>
      </c>
      <c r="AV18" s="201">
        <v>114</v>
      </c>
      <c r="AW18" s="5">
        <v>2.9</v>
      </c>
      <c r="AX18" s="201">
        <v>105</v>
      </c>
      <c r="AY18" s="409">
        <f t="shared" si="37"/>
        <v>122.4</v>
      </c>
      <c r="AZ18" s="409">
        <f t="shared" si="38"/>
        <v>125.4</v>
      </c>
      <c r="BA18" s="409">
        <f t="shared" si="39"/>
        <v>304.5</v>
      </c>
      <c r="BB18" s="21">
        <f t="shared" si="40"/>
        <v>0</v>
      </c>
      <c r="BC18" s="21">
        <f t="shared" si="32"/>
        <v>-1.1000000000000085</v>
      </c>
      <c r="BD18" s="21">
        <f t="shared" si="32"/>
        <v>-5.8000000000000114</v>
      </c>
      <c r="BE18" s="24">
        <f t="shared" si="33"/>
        <v>-6.9000000000000199</v>
      </c>
      <c r="BF18" s="96">
        <f t="shared" si="34"/>
        <v>6.9000000000000199</v>
      </c>
      <c r="BG18" s="82">
        <f t="shared" si="4"/>
        <v>-6.9000000000000199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7062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136</v>
      </c>
      <c r="AU19" s="408">
        <f t="shared" si="43"/>
        <v>1.1000000000000001</v>
      </c>
      <c r="AV19" s="201">
        <f t="shared" si="30"/>
        <v>114</v>
      </c>
      <c r="AW19" s="5">
        <v>2.9</v>
      </c>
      <c r="AX19" s="201">
        <f t="shared" si="31"/>
        <v>105</v>
      </c>
      <c r="AY19" s="409">
        <f>AS19*AT19</f>
        <v>122.4</v>
      </c>
      <c r="AZ19" s="409">
        <f>AU19*AV19</f>
        <v>125.4</v>
      </c>
      <c r="BA19" s="409">
        <f>AW19*AX19</f>
        <v>304.5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7062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136</v>
      </c>
      <c r="AU20" s="408">
        <f t="shared" si="43"/>
        <v>1.1000000000000001</v>
      </c>
      <c r="AV20" s="201">
        <f t="shared" si="30"/>
        <v>114</v>
      </c>
      <c r="AW20" s="5">
        <v>2.9</v>
      </c>
      <c r="AX20" s="201">
        <f t="shared" si="31"/>
        <v>105</v>
      </c>
      <c r="AY20" s="409">
        <f>AS20*AT20</f>
        <v>122.4</v>
      </c>
      <c r="AZ20" s="409">
        <f>AU20*AV20</f>
        <v>125.4</v>
      </c>
      <c r="BA20" s="409">
        <f>AW20*AX20</f>
        <v>304.5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7062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136</v>
      </c>
      <c r="AU21" s="408">
        <f t="shared" si="43"/>
        <v>1.1000000000000001</v>
      </c>
      <c r="AV21" s="201">
        <f t="shared" si="30"/>
        <v>114</v>
      </c>
      <c r="AW21" s="5">
        <v>2.9</v>
      </c>
      <c r="AX21" s="201">
        <f t="shared" si="31"/>
        <v>105</v>
      </c>
      <c r="AY21" s="409">
        <f>AS21*AT21</f>
        <v>122.4</v>
      </c>
      <c r="AZ21" s="409">
        <f>AU21*AV21</f>
        <v>125.4</v>
      </c>
      <c r="BA21" s="409">
        <f>AW21*AX21</f>
        <v>304.5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7062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136</v>
      </c>
      <c r="AU22" s="408">
        <f t="shared" si="43"/>
        <v>1.1000000000000001</v>
      </c>
      <c r="AV22" s="201">
        <f t="shared" si="30"/>
        <v>114</v>
      </c>
      <c r="AW22" s="5">
        <v>2.9</v>
      </c>
      <c r="AX22" s="201">
        <f t="shared" si="31"/>
        <v>105</v>
      </c>
      <c r="AY22" s="409">
        <f t="shared" si="37"/>
        <v>122.4</v>
      </c>
      <c r="AZ22" s="409">
        <f t="shared" si="38"/>
        <v>125.4</v>
      </c>
      <c r="BA22" s="409">
        <f t="shared" si="39"/>
        <v>304.5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v>628089</v>
      </c>
      <c r="H23" s="5">
        <f t="shared" si="9"/>
        <v>62</v>
      </c>
      <c r="I23" s="5">
        <f t="shared" si="10"/>
        <v>62</v>
      </c>
      <c r="J23" s="319">
        <f t="shared" si="0"/>
        <v>4.032258064516129</v>
      </c>
      <c r="K23" s="5">
        <f>'Swimming Pool quality check '!H23</f>
        <v>7071</v>
      </c>
      <c r="L23" s="263">
        <f t="shared" si="41"/>
        <v>9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-9</v>
      </c>
      <c r="AL23" s="312">
        <f t="shared" si="27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v>183</v>
      </c>
      <c r="AU23" s="408">
        <f t="shared" si="43"/>
        <v>1.1000000000000001</v>
      </c>
      <c r="AV23" s="201">
        <v>115</v>
      </c>
      <c r="AW23" s="5">
        <v>2.9</v>
      </c>
      <c r="AX23" s="201">
        <v>103</v>
      </c>
      <c r="AY23" s="409">
        <f t="shared" si="37"/>
        <v>164.70000000000002</v>
      </c>
      <c r="AZ23" s="409">
        <f t="shared" si="38"/>
        <v>126.50000000000001</v>
      </c>
      <c r="BA23" s="409">
        <f t="shared" si="39"/>
        <v>298.7</v>
      </c>
      <c r="BB23" s="21">
        <f t="shared" si="48"/>
        <v>42.300000000000011</v>
      </c>
      <c r="BC23" s="21">
        <f t="shared" si="48"/>
        <v>1.1000000000000085</v>
      </c>
      <c r="BD23" s="21">
        <f t="shared" si="48"/>
        <v>-5.8000000000000114</v>
      </c>
      <c r="BE23" s="24">
        <f t="shared" si="33"/>
        <v>37.600000000000009</v>
      </c>
      <c r="BF23" s="96">
        <f t="shared" si="34"/>
        <v>24.399999999999991</v>
      </c>
      <c r="BG23" s="82">
        <f t="shared" si="4"/>
        <v>37.600000000000009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628089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7072</v>
      </c>
      <c r="L24" s="263">
        <f t="shared" si="41"/>
        <v>1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-1</v>
      </c>
      <c r="AL24" s="312">
        <f t="shared" si="27"/>
        <v>0</v>
      </c>
      <c r="AM24" s="312">
        <f>'General information '!D23</f>
        <v>18.5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v>182</v>
      </c>
      <c r="AU24" s="408">
        <f t="shared" si="43"/>
        <v>1.1000000000000001</v>
      </c>
      <c r="AV24" s="201">
        <v>114</v>
      </c>
      <c r="AW24" s="5">
        <v>2.9</v>
      </c>
      <c r="AX24" s="201">
        <v>99</v>
      </c>
      <c r="AY24" s="409">
        <f t="shared" si="37"/>
        <v>163.80000000000001</v>
      </c>
      <c r="AZ24" s="409">
        <f t="shared" si="38"/>
        <v>125.4</v>
      </c>
      <c r="BA24" s="409">
        <f t="shared" si="39"/>
        <v>287.09999999999997</v>
      </c>
      <c r="BB24" s="21">
        <f t="shared" si="48"/>
        <v>-0.90000000000000568</v>
      </c>
      <c r="BC24" s="21">
        <f t="shared" si="48"/>
        <v>-1.1000000000000085</v>
      </c>
      <c r="BD24" s="21">
        <f t="shared" si="48"/>
        <v>-11.600000000000023</v>
      </c>
      <c r="BE24" s="24">
        <f t="shared" si="33"/>
        <v>-13.600000000000037</v>
      </c>
      <c r="BF24" s="96">
        <f t="shared" si="34"/>
        <v>13.600000000000037</v>
      </c>
      <c r="BG24" s="82">
        <f t="shared" si="4"/>
        <v>-13.600000000000037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628089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7073</v>
      </c>
      <c r="L25" s="263">
        <f t="shared" si="41"/>
        <v>1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-1</v>
      </c>
      <c r="AL25" s="312">
        <f t="shared" si="27"/>
        <v>0</v>
      </c>
      <c r="AM25" s="312">
        <f>'General information '!D24</f>
        <v>18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182</v>
      </c>
      <c r="AU25" s="408">
        <f t="shared" si="43"/>
        <v>1.1000000000000001</v>
      </c>
      <c r="AV25" s="201">
        <v>112</v>
      </c>
      <c r="AW25" s="5">
        <v>2.9</v>
      </c>
      <c r="AX25" s="201">
        <v>96</v>
      </c>
      <c r="AY25" s="409">
        <f t="shared" si="37"/>
        <v>163.80000000000001</v>
      </c>
      <c r="AZ25" s="409">
        <f t="shared" si="38"/>
        <v>123.20000000000002</v>
      </c>
      <c r="BA25" s="409">
        <f t="shared" si="39"/>
        <v>278.39999999999998</v>
      </c>
      <c r="BB25" s="21">
        <f t="shared" si="48"/>
        <v>0</v>
      </c>
      <c r="BC25" s="21">
        <f t="shared" si="48"/>
        <v>-2.1999999999999886</v>
      </c>
      <c r="BD25" s="21">
        <f t="shared" si="48"/>
        <v>-8.6999999999999886</v>
      </c>
      <c r="BE25" s="24">
        <f t="shared" si="33"/>
        <v>-10.899999999999977</v>
      </c>
      <c r="BF25" s="96">
        <f t="shared" si="34"/>
        <v>10.899999999999977</v>
      </c>
      <c r="BG25" s="82">
        <f t="shared" si="4"/>
        <v>-10.899999999999977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628089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7073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182</v>
      </c>
      <c r="AU26" s="408">
        <f t="shared" si="43"/>
        <v>1.1000000000000001</v>
      </c>
      <c r="AV26" s="201">
        <f t="shared" si="30"/>
        <v>112</v>
      </c>
      <c r="AW26" s="5">
        <v>2.9</v>
      </c>
      <c r="AX26" s="201">
        <f t="shared" si="31"/>
        <v>96</v>
      </c>
      <c r="AY26" s="409">
        <f t="shared" si="37"/>
        <v>163.80000000000001</v>
      </c>
      <c r="AZ26" s="409">
        <f t="shared" si="38"/>
        <v>123.20000000000002</v>
      </c>
      <c r="BA26" s="409">
        <f t="shared" si="39"/>
        <v>278.39999999999998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628089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7073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182</v>
      </c>
      <c r="AU27" s="408">
        <f t="shared" si="43"/>
        <v>1.1000000000000001</v>
      </c>
      <c r="AV27" s="201">
        <f t="shared" si="30"/>
        <v>112</v>
      </c>
      <c r="AW27" s="5">
        <v>2.9</v>
      </c>
      <c r="AX27" s="201">
        <f t="shared" si="31"/>
        <v>96</v>
      </c>
      <c r="AY27" s="409">
        <f t="shared" si="37"/>
        <v>163.80000000000001</v>
      </c>
      <c r="AZ27" s="409">
        <f t="shared" si="38"/>
        <v>123.20000000000002</v>
      </c>
      <c r="BA27" s="409">
        <f t="shared" si="39"/>
        <v>278.39999999999998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628089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7073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182</v>
      </c>
      <c r="AU28" s="408">
        <f t="shared" si="43"/>
        <v>1.1000000000000001</v>
      </c>
      <c r="AV28" s="201">
        <f t="shared" si="30"/>
        <v>112</v>
      </c>
      <c r="AW28" s="5">
        <v>2.9</v>
      </c>
      <c r="AX28" s="201">
        <f t="shared" si="31"/>
        <v>96</v>
      </c>
      <c r="AY28" s="409">
        <f t="shared" si="37"/>
        <v>163.80000000000001</v>
      </c>
      <c r="AZ28" s="409">
        <f t="shared" si="38"/>
        <v>123.20000000000002</v>
      </c>
      <c r="BA28" s="409">
        <f t="shared" si="39"/>
        <v>278.39999999999998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628089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7073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182</v>
      </c>
      <c r="AU29" s="408">
        <f t="shared" si="43"/>
        <v>1.1000000000000001</v>
      </c>
      <c r="AV29" s="201">
        <f t="shared" si="30"/>
        <v>112</v>
      </c>
      <c r="AW29" s="5">
        <v>2.9</v>
      </c>
      <c r="AX29" s="201">
        <f t="shared" si="31"/>
        <v>96</v>
      </c>
      <c r="AY29" s="409">
        <f t="shared" si="37"/>
        <v>163.80000000000001</v>
      </c>
      <c r="AZ29" s="409">
        <f t="shared" si="38"/>
        <v>123.20000000000002</v>
      </c>
      <c r="BA29" s="409">
        <f t="shared" si="39"/>
        <v>278.39999999999998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628089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7073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20.5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v>172</v>
      </c>
      <c r="AU30" s="408">
        <f t="shared" si="43"/>
        <v>1.1000000000000001</v>
      </c>
      <c r="AV30" s="201">
        <v>100</v>
      </c>
      <c r="AW30" s="5">
        <v>2.9</v>
      </c>
      <c r="AX30" s="201">
        <v>94</v>
      </c>
      <c r="AY30" s="409">
        <f t="shared" si="37"/>
        <v>154.80000000000001</v>
      </c>
      <c r="AZ30" s="409">
        <f t="shared" si="38"/>
        <v>110.00000000000001</v>
      </c>
      <c r="BA30" s="409">
        <f t="shared" si="39"/>
        <v>272.59999999999997</v>
      </c>
      <c r="BB30" s="21">
        <f t="shared" si="48"/>
        <v>-9</v>
      </c>
      <c r="BC30" s="21">
        <f t="shared" si="48"/>
        <v>-13.200000000000003</v>
      </c>
      <c r="BD30" s="21">
        <f t="shared" si="48"/>
        <v>-5.8000000000000114</v>
      </c>
      <c r="BE30" s="24">
        <f t="shared" si="33"/>
        <v>-28.000000000000014</v>
      </c>
      <c r="BF30" s="96">
        <f t="shared" si="34"/>
        <v>28.000000000000014</v>
      </c>
      <c r="BG30" s="82">
        <f t="shared" si="4"/>
        <v>-28.000000000000014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628089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7073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v>155276</v>
      </c>
      <c r="Y31" s="309">
        <f t="shared" si="42"/>
        <v>67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67</v>
      </c>
      <c r="AL31" s="312">
        <f t="shared" si="27"/>
        <v>0</v>
      </c>
      <c r="AM31" s="312">
        <f>'General information '!D30</f>
        <v>20.5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v>57</v>
      </c>
      <c r="AU31" s="408">
        <f t="shared" si="43"/>
        <v>1.1000000000000001</v>
      </c>
      <c r="AV31" s="201">
        <v>98</v>
      </c>
      <c r="AW31" s="5">
        <v>2.9</v>
      </c>
      <c r="AX31" s="201">
        <v>107</v>
      </c>
      <c r="AY31" s="409">
        <f t="shared" si="37"/>
        <v>51.300000000000004</v>
      </c>
      <c r="AZ31" s="409">
        <f>AU31*AV31</f>
        <v>107.80000000000001</v>
      </c>
      <c r="BA31" s="409">
        <f t="shared" si="39"/>
        <v>310.3</v>
      </c>
      <c r="BB31" s="21">
        <f t="shared" si="48"/>
        <v>-103.5</v>
      </c>
      <c r="BC31" s="21">
        <f t="shared" si="48"/>
        <v>-2.2000000000000028</v>
      </c>
      <c r="BD31" s="21">
        <f t="shared" si="48"/>
        <v>37.700000000000045</v>
      </c>
      <c r="BE31" s="24">
        <f t="shared" si="33"/>
        <v>-67.999999999999957</v>
      </c>
      <c r="BF31" s="96">
        <f t="shared" si="34"/>
        <v>67.999999999999957</v>
      </c>
      <c r="BG31" s="82">
        <f t="shared" si="4"/>
        <v>-67.999999999999957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628089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7073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155276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20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57</v>
      </c>
      <c r="AU32" s="408">
        <f t="shared" si="43"/>
        <v>1.1000000000000001</v>
      </c>
      <c r="AV32" s="201">
        <v>97</v>
      </c>
      <c r="AW32" s="5">
        <v>2.9</v>
      </c>
      <c r="AX32" s="201">
        <v>104</v>
      </c>
      <c r="AY32" s="409">
        <f t="shared" si="37"/>
        <v>51.300000000000004</v>
      </c>
      <c r="AZ32" s="409">
        <f t="shared" si="38"/>
        <v>106.7</v>
      </c>
      <c r="BA32" s="409">
        <f t="shared" si="39"/>
        <v>301.59999999999997</v>
      </c>
      <c r="BB32" s="21">
        <f t="shared" si="48"/>
        <v>0</v>
      </c>
      <c r="BC32" s="21">
        <f t="shared" si="48"/>
        <v>-1.1000000000000085</v>
      </c>
      <c r="BD32" s="21">
        <f t="shared" si="48"/>
        <v>-8.7000000000000455</v>
      </c>
      <c r="BE32" s="24">
        <f t="shared" si="33"/>
        <v>-9.800000000000054</v>
      </c>
      <c r="BF32" s="96">
        <f t="shared" si="34"/>
        <v>9.800000000000054</v>
      </c>
      <c r="BG32" s="82">
        <f t="shared" si="4"/>
        <v>-9.800000000000054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v>628184</v>
      </c>
      <c r="H33" s="5">
        <f t="shared" si="9"/>
        <v>95</v>
      </c>
      <c r="I33" s="5">
        <f t="shared" si="10"/>
        <v>95</v>
      </c>
      <c r="J33" s="319">
        <f t="shared" si="0"/>
        <v>2.6315789473684212</v>
      </c>
      <c r="K33" s="5">
        <f>'Swimming Pool quality check '!H33</f>
        <v>7073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155276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20.5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v>102</v>
      </c>
      <c r="AU33" s="408">
        <f t="shared" si="43"/>
        <v>1.1000000000000001</v>
      </c>
      <c r="AV33" s="201">
        <v>95</v>
      </c>
      <c r="AW33" s="5">
        <v>2.9</v>
      </c>
      <c r="AX33" s="201">
        <v>102</v>
      </c>
      <c r="AY33" s="409">
        <f t="shared" si="37"/>
        <v>91.8</v>
      </c>
      <c r="AZ33" s="409">
        <f t="shared" si="38"/>
        <v>104.50000000000001</v>
      </c>
      <c r="BA33" s="409">
        <f t="shared" si="39"/>
        <v>295.8</v>
      </c>
      <c r="BB33" s="21">
        <f t="shared" si="48"/>
        <v>40.499999999999993</v>
      </c>
      <c r="BC33" s="21">
        <f t="shared" si="48"/>
        <v>-2.1999999999999886</v>
      </c>
      <c r="BD33" s="21">
        <f t="shared" si="48"/>
        <v>-5.7999999999999545</v>
      </c>
      <c r="BE33" s="24">
        <f t="shared" si="33"/>
        <v>32.50000000000005</v>
      </c>
      <c r="BF33" s="96">
        <f t="shared" si="34"/>
        <v>62.49999999999995</v>
      </c>
      <c r="BG33" s="82">
        <f t="shared" si="4"/>
        <v>32.50000000000005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628184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7073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155276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102</v>
      </c>
      <c r="AU34" s="408">
        <f t="shared" si="43"/>
        <v>1.1000000000000001</v>
      </c>
      <c r="AV34" s="201">
        <f t="shared" si="30"/>
        <v>95</v>
      </c>
      <c r="AW34" s="5">
        <v>2.9</v>
      </c>
      <c r="AX34" s="201">
        <f t="shared" si="31"/>
        <v>102</v>
      </c>
      <c r="AY34" s="409">
        <f t="shared" ref="AY34:AY36" si="71">AS34*AT34</f>
        <v>91.8</v>
      </c>
      <c r="AZ34" s="409">
        <f t="shared" ref="AZ34:AZ36" si="72">AU34*AV34</f>
        <v>104.50000000000001</v>
      </c>
      <c r="BA34" s="409">
        <f t="shared" ref="BA34:BA36" si="73">AW34*AX34</f>
        <v>295.8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628184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7073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155276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102</v>
      </c>
      <c r="AU35" s="408">
        <f t="shared" si="43"/>
        <v>1.1000000000000001</v>
      </c>
      <c r="AV35" s="201">
        <f t="shared" si="30"/>
        <v>95</v>
      </c>
      <c r="AW35" s="5">
        <v>2.9</v>
      </c>
      <c r="AX35" s="201">
        <f t="shared" si="31"/>
        <v>102</v>
      </c>
      <c r="AY35" s="409">
        <f t="shared" si="71"/>
        <v>91.8</v>
      </c>
      <c r="AZ35" s="409">
        <f t="shared" si="72"/>
        <v>104.50000000000001</v>
      </c>
      <c r="BA35" s="409">
        <f t="shared" si="73"/>
        <v>295.8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628184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7073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155276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102</v>
      </c>
      <c r="AU36" s="408">
        <f t="shared" si="43"/>
        <v>1.1000000000000001</v>
      </c>
      <c r="AV36" s="201">
        <f t="shared" si="30"/>
        <v>95</v>
      </c>
      <c r="AW36" s="5">
        <v>2.9</v>
      </c>
      <c r="AX36" s="201">
        <f t="shared" si="31"/>
        <v>102</v>
      </c>
      <c r="AY36" s="409">
        <f t="shared" si="71"/>
        <v>91.8</v>
      </c>
      <c r="AZ36" s="409">
        <f t="shared" si="72"/>
        <v>104.50000000000001</v>
      </c>
      <c r="BA36" s="409">
        <f t="shared" si="73"/>
        <v>295.8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252</v>
      </c>
      <c r="I37" s="395">
        <f>SUM(I6:I36)</f>
        <v>252</v>
      </c>
      <c r="L37" s="258">
        <f>SUM(L7:L36)</f>
        <v>27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67</v>
      </c>
      <c r="AJ37" s="307">
        <f>SUM(AJ6:AJ36)</f>
        <v>0</v>
      </c>
      <c r="AK37" s="312">
        <f>SUM(Y37-L37)</f>
        <v>40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252</v>
      </c>
      <c r="Z38" s="307">
        <f>SUM(Y37:AJ37)</f>
        <v>67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252</v>
      </c>
      <c r="H39" s="1">
        <f>SUM(H38+C38)</f>
        <v>7500</v>
      </c>
      <c r="K39" s="1">
        <f>SUM(H39/G39)</f>
        <v>29.761904761904763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30" sqref="S3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33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>IF(R7-X7&lt;=0,"ok","oil change")</f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v>10727</v>
      </c>
      <c r="K8" s="276">
        <f t="shared" si="2"/>
        <v>5</v>
      </c>
      <c r="L8" s="503">
        <f t="shared" ref="L8:L33" si="30">L7+M8</f>
        <v>364941</v>
      </c>
      <c r="M8" s="276">
        <f t="shared" ref="M8:M33" si="31">N8*K8</f>
        <v>1250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v>13820</v>
      </c>
      <c r="S8" s="276">
        <f t="shared" si="5"/>
        <v>5</v>
      </c>
      <c r="T8" s="503">
        <f t="shared" si="6"/>
        <v>394512</v>
      </c>
      <c r="U8" s="276">
        <f t="shared" si="7"/>
        <v>1250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4134.9999999983993</v>
      </c>
      <c r="AE8" s="73">
        <f>SUM(AD8/Z8)</f>
        <v>413.49999999983993</v>
      </c>
      <c r="AF8" s="387">
        <f t="shared" si="28"/>
        <v>0.25843749999989996</v>
      </c>
      <c r="AG8" s="387">
        <f t="shared" si="28"/>
        <v>1.6152343749993746E-4</v>
      </c>
      <c r="AH8" s="388">
        <f t="shared" si="25"/>
        <v>249.9998384765625</v>
      </c>
      <c r="AI8" s="73">
        <f t="shared" si="29"/>
        <v>1064.2827004215289</v>
      </c>
      <c r="AJ8" s="278">
        <f t="shared" si="9"/>
        <v>0.25738396624472576</v>
      </c>
      <c r="AK8" s="278">
        <f t="shared" si="10"/>
        <v>106.42827004215289</v>
      </c>
      <c r="AL8">
        <f t="shared" si="26"/>
        <v>1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v>10728</v>
      </c>
      <c r="K9" s="276">
        <f t="shared" si="2"/>
        <v>1</v>
      </c>
      <c r="L9" s="503">
        <f t="shared" si="30"/>
        <v>365191</v>
      </c>
      <c r="M9" s="276">
        <f t="shared" si="31"/>
        <v>250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v>13829</v>
      </c>
      <c r="S9" s="276">
        <f t="shared" si="5"/>
        <v>9</v>
      </c>
      <c r="T9" s="503">
        <f t="shared" ref="T9:T33" si="32">T8+U9</f>
        <v>396762</v>
      </c>
      <c r="U9" s="276">
        <f t="shared" ref="U9:U30" si="33">V9*S9</f>
        <v>2250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10</v>
      </c>
      <c r="AA9" s="276">
        <f t="shared" si="22"/>
        <v>2500</v>
      </c>
      <c r="AB9" s="276">
        <f t="shared" si="23"/>
        <v>500</v>
      </c>
      <c r="AC9" s="276">
        <f t="shared" si="24"/>
        <v>250</v>
      </c>
      <c r="AD9" s="73">
        <f>ELEC!Q10</f>
        <v>4628.0000000006112</v>
      </c>
      <c r="AE9" s="73">
        <f t="shared" si="27"/>
        <v>462.80000000006112</v>
      </c>
      <c r="AF9" s="387">
        <f t="shared" si="28"/>
        <v>0.2892500000000382</v>
      </c>
      <c r="AG9" s="387">
        <f t="shared" si="28"/>
        <v>1.8078125000002389E-4</v>
      </c>
      <c r="AH9" s="388">
        <f t="shared" si="25"/>
        <v>249.99981921874999</v>
      </c>
      <c r="AI9" s="73">
        <f t="shared" si="29"/>
        <v>1191.1729957807481</v>
      </c>
      <c r="AJ9" s="278">
        <f t="shared" si="9"/>
        <v>0.25738396624472576</v>
      </c>
      <c r="AK9" s="278">
        <f t="shared" si="10"/>
        <v>119.11729957807481</v>
      </c>
      <c r="AL9">
        <f t="shared" si="26"/>
        <v>1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10728</v>
      </c>
      <c r="K10" s="276">
        <f t="shared" si="2"/>
        <v>0</v>
      </c>
      <c r="L10" s="503">
        <f t="shared" si="30"/>
        <v>365191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13829</v>
      </c>
      <c r="S10" s="276">
        <f t="shared" si="5"/>
        <v>0</v>
      </c>
      <c r="T10" s="503">
        <f t="shared" si="32"/>
        <v>396762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10728</v>
      </c>
      <c r="K11" s="276">
        <f t="shared" si="2"/>
        <v>0</v>
      </c>
      <c r="L11" s="503">
        <f t="shared" si="30"/>
        <v>365191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13829</v>
      </c>
      <c r="S11" s="276">
        <f t="shared" si="5"/>
        <v>0</v>
      </c>
      <c r="T11" s="503">
        <f t="shared" si="32"/>
        <v>396762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v>10734</v>
      </c>
      <c r="K12" s="276">
        <f t="shared" si="2"/>
        <v>6</v>
      </c>
      <c r="L12" s="503">
        <f>L11+M12</f>
        <v>366691</v>
      </c>
      <c r="M12" s="276">
        <f>N12*K12</f>
        <v>1500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v>13833</v>
      </c>
      <c r="S12" s="276">
        <f t="shared" si="5"/>
        <v>4</v>
      </c>
      <c r="T12" s="503">
        <f>T11+U12</f>
        <v>397762</v>
      </c>
      <c r="U12" s="276">
        <f>V12*S12</f>
        <v>1000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4904.0000000022701</v>
      </c>
      <c r="AE12" s="73">
        <f t="shared" si="27"/>
        <v>490.40000000022701</v>
      </c>
      <c r="AF12" s="387">
        <f t="shared" si="28"/>
        <v>0.30650000000014188</v>
      </c>
      <c r="AG12" s="387">
        <f t="shared" si="28"/>
        <v>1.9156250000008869E-4</v>
      </c>
      <c r="AH12" s="388">
        <f t="shared" si="25"/>
        <v>249.99980843750001</v>
      </c>
      <c r="AI12" s="73">
        <f t="shared" si="29"/>
        <v>1262.2109704647194</v>
      </c>
      <c r="AJ12" s="278">
        <f t="shared" si="9"/>
        <v>0.25738396624472576</v>
      </c>
      <c r="AK12" s="278">
        <f t="shared" si="10"/>
        <v>126.22109704647194</v>
      </c>
      <c r="AL12">
        <f t="shared" si="26"/>
        <v>1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v>10749</v>
      </c>
      <c r="K13" s="276">
        <f t="shared" si="2"/>
        <v>15</v>
      </c>
      <c r="L13" s="503">
        <f t="shared" si="30"/>
        <v>370441</v>
      </c>
      <c r="M13" s="276">
        <f t="shared" si="31"/>
        <v>3750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13833</v>
      </c>
      <c r="S13" s="276">
        <f t="shared" si="5"/>
        <v>0</v>
      </c>
      <c r="T13" s="503">
        <f t="shared" si="32"/>
        <v>397762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15</v>
      </c>
      <c r="AA13" s="276">
        <f t="shared" si="22"/>
        <v>3750</v>
      </c>
      <c r="AB13" s="276">
        <f t="shared" si="23"/>
        <v>500</v>
      </c>
      <c r="AC13" s="276">
        <f t="shared" si="24"/>
        <v>250</v>
      </c>
      <c r="AD13" s="73">
        <f>ELEC!Q14</f>
        <v>6203.9999999979045</v>
      </c>
      <c r="AE13" s="73">
        <f t="shared" si="27"/>
        <v>413.5999999998603</v>
      </c>
      <c r="AF13" s="387">
        <f t="shared" si="28"/>
        <v>0.25849999999991269</v>
      </c>
      <c r="AG13" s="387">
        <f t="shared" si="28"/>
        <v>1.6156249999994544E-4</v>
      </c>
      <c r="AH13" s="388">
        <f t="shared" si="25"/>
        <v>249.99983843749999</v>
      </c>
      <c r="AI13" s="73">
        <f t="shared" si="29"/>
        <v>1596.8101265817393</v>
      </c>
      <c r="AJ13" s="278">
        <f t="shared" si="9"/>
        <v>0.25738396624472576</v>
      </c>
      <c r="AK13" s="278">
        <f t="shared" si="10"/>
        <v>106.45400843878262</v>
      </c>
      <c r="AL13">
        <f t="shared" si="26"/>
        <v>1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v>10754</v>
      </c>
      <c r="K14" s="276">
        <f t="shared" si="2"/>
        <v>5</v>
      </c>
      <c r="L14" s="503">
        <f t="shared" si="30"/>
        <v>371691</v>
      </c>
      <c r="M14" s="276">
        <f t="shared" si="31"/>
        <v>1250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v>13833</v>
      </c>
      <c r="S14" s="276">
        <f t="shared" si="5"/>
        <v>0</v>
      </c>
      <c r="T14" s="503">
        <f t="shared" si="32"/>
        <v>397762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5</v>
      </c>
      <c r="AA14" s="276">
        <f t="shared" si="22"/>
        <v>1250</v>
      </c>
      <c r="AB14" s="276">
        <f t="shared" si="23"/>
        <v>500</v>
      </c>
      <c r="AC14" s="276">
        <f t="shared" si="24"/>
        <v>250</v>
      </c>
      <c r="AD14" s="73">
        <f>ELEC!Q15</f>
        <v>2085.9999999993306</v>
      </c>
      <c r="AE14" s="73">
        <f t="shared" si="27"/>
        <v>417.19999999986612</v>
      </c>
      <c r="AF14" s="387">
        <f t="shared" si="28"/>
        <v>0.26074999999991633</v>
      </c>
      <c r="AG14" s="387">
        <f t="shared" si="28"/>
        <v>1.6296874999994771E-4</v>
      </c>
      <c r="AH14" s="388">
        <f t="shared" si="25"/>
        <v>249.99983703125</v>
      </c>
      <c r="AI14" s="73">
        <f t="shared" si="29"/>
        <v>536.90295358632568</v>
      </c>
      <c r="AJ14" s="278">
        <f t="shared" si="9"/>
        <v>0.25738396624472576</v>
      </c>
      <c r="AK14" s="278">
        <f t="shared" si="10"/>
        <v>107.38059071726514</v>
      </c>
      <c r="AL14">
        <f t="shared" si="26"/>
        <v>1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v>10763</v>
      </c>
      <c r="K15" s="276">
        <f t="shared" si="2"/>
        <v>9</v>
      </c>
      <c r="L15" s="503">
        <f t="shared" si="30"/>
        <v>373941</v>
      </c>
      <c r="M15" s="276">
        <f t="shared" si="31"/>
        <v>2250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v>13835</v>
      </c>
      <c r="S15" s="276">
        <f t="shared" si="5"/>
        <v>2</v>
      </c>
      <c r="T15" s="503">
        <f t="shared" si="32"/>
        <v>398262</v>
      </c>
      <c r="U15" s="276">
        <f t="shared" si="33"/>
        <v>500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11</v>
      </c>
      <c r="AA15" s="276">
        <f t="shared" si="22"/>
        <v>2750</v>
      </c>
      <c r="AB15" s="276">
        <f t="shared" si="23"/>
        <v>500</v>
      </c>
      <c r="AC15" s="276">
        <f t="shared" si="24"/>
        <v>250</v>
      </c>
      <c r="AD15" s="73">
        <f>ELEC!Q16</f>
        <v>5184.0000000011059</v>
      </c>
      <c r="AE15" s="73">
        <f t="shared" si="27"/>
        <v>471.27272727282781</v>
      </c>
      <c r="AF15" s="387">
        <f t="shared" si="28"/>
        <v>0.29454545454551739</v>
      </c>
      <c r="AG15" s="387">
        <f t="shared" si="28"/>
        <v>1.8409090909094836E-4</v>
      </c>
      <c r="AH15" s="388">
        <f t="shared" si="25"/>
        <v>249.9998159090909</v>
      </c>
      <c r="AI15" s="73">
        <f t="shared" si="29"/>
        <v>1334.2784810129431</v>
      </c>
      <c r="AJ15" s="278">
        <f t="shared" si="9"/>
        <v>0.25738396624472576</v>
      </c>
      <c r="AK15" s="278">
        <f t="shared" si="10"/>
        <v>121.29804372844937</v>
      </c>
      <c r="AL15">
        <f t="shared" si="26"/>
        <v>1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10763</v>
      </c>
      <c r="K16" s="276">
        <f t="shared" si="2"/>
        <v>0</v>
      </c>
      <c r="L16" s="503">
        <f t="shared" si="30"/>
        <v>373941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13835</v>
      </c>
      <c r="S16" s="276">
        <f t="shared" si="5"/>
        <v>0</v>
      </c>
      <c r="T16" s="503">
        <f t="shared" si="32"/>
        <v>398262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10763</v>
      </c>
      <c r="K17" s="276">
        <f t="shared" si="2"/>
        <v>0</v>
      </c>
      <c r="L17" s="503">
        <f t="shared" si="30"/>
        <v>373941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13835</v>
      </c>
      <c r="S17" s="276">
        <f t="shared" si="5"/>
        <v>0</v>
      </c>
      <c r="T17" s="503">
        <f t="shared" si="32"/>
        <v>398262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10763</v>
      </c>
      <c r="K18" s="276">
        <f t="shared" si="2"/>
        <v>0</v>
      </c>
      <c r="L18" s="503">
        <f t="shared" si="30"/>
        <v>373941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13835</v>
      </c>
      <c r="S18" s="276">
        <f t="shared" si="5"/>
        <v>0</v>
      </c>
      <c r="T18" s="503">
        <f t="shared" si="32"/>
        <v>398262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10763</v>
      </c>
      <c r="K19" s="276">
        <f t="shared" si="2"/>
        <v>0</v>
      </c>
      <c r="L19" s="503">
        <f t="shared" si="30"/>
        <v>373941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13835</v>
      </c>
      <c r="S19" s="276">
        <f t="shared" si="5"/>
        <v>0</v>
      </c>
      <c r="T19" s="503">
        <f t="shared" si="32"/>
        <v>398262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v>10764</v>
      </c>
      <c r="K20" s="276">
        <f t="shared" si="2"/>
        <v>1</v>
      </c>
      <c r="L20" s="503">
        <f t="shared" si="30"/>
        <v>374191</v>
      </c>
      <c r="M20" s="276">
        <f t="shared" si="31"/>
        <v>250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v>13843</v>
      </c>
      <c r="S20" s="276">
        <f t="shared" si="5"/>
        <v>8</v>
      </c>
      <c r="T20" s="503">
        <f t="shared" si="32"/>
        <v>400262</v>
      </c>
      <c r="U20" s="276">
        <f t="shared" si="33"/>
        <v>2000</v>
      </c>
      <c r="V20" s="276">
        <v>250</v>
      </c>
      <c r="W20" s="323"/>
      <c r="X20" s="260">
        <f t="shared" si="20"/>
        <v>13873</v>
      </c>
      <c r="Y20" s="276" t="str">
        <f t="shared" si="21"/>
        <v>ok</v>
      </c>
      <c r="Z20" s="276">
        <f t="shared" si="8"/>
        <v>9</v>
      </c>
      <c r="AA20" s="276">
        <f t="shared" si="22"/>
        <v>2250</v>
      </c>
      <c r="AB20" s="276">
        <f t="shared" si="23"/>
        <v>500</v>
      </c>
      <c r="AC20" s="276">
        <f t="shared" si="24"/>
        <v>250</v>
      </c>
      <c r="AD20" s="73">
        <f>ELEC!Q21</f>
        <v>3998.9999999997963</v>
      </c>
      <c r="AE20" s="73">
        <f t="shared" si="27"/>
        <v>444.33333333331069</v>
      </c>
      <c r="AF20" s="387">
        <f t="shared" si="28"/>
        <v>0.27770833333331918</v>
      </c>
      <c r="AG20" s="387">
        <f t="shared" si="28"/>
        <v>1.7356770833332449E-4</v>
      </c>
      <c r="AH20" s="388">
        <f t="shared" si="25"/>
        <v>249.99982643229166</v>
      </c>
      <c r="AI20" s="73">
        <f>AD20*AJ20</f>
        <v>1029.2784810126059</v>
      </c>
      <c r="AJ20" s="278">
        <f t="shared" si="9"/>
        <v>0.25738396624472576</v>
      </c>
      <c r="AK20" s="278">
        <f t="shared" si="10"/>
        <v>114.36427566806732</v>
      </c>
      <c r="AL20">
        <f t="shared" si="26"/>
        <v>1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v>10773</v>
      </c>
      <c r="K21" s="276">
        <f t="shared" si="2"/>
        <v>9</v>
      </c>
      <c r="L21" s="503">
        <f t="shared" si="30"/>
        <v>376441</v>
      </c>
      <c r="M21" s="276">
        <f t="shared" si="31"/>
        <v>2250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v>13843</v>
      </c>
      <c r="S21" s="276">
        <f t="shared" si="5"/>
        <v>0</v>
      </c>
      <c r="T21" s="503">
        <f t="shared" si="32"/>
        <v>400262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 t="shared" si="21"/>
        <v>ok</v>
      </c>
      <c r="Z21" s="276">
        <f t="shared" si="8"/>
        <v>9</v>
      </c>
      <c r="AA21" s="276">
        <f t="shared" si="22"/>
        <v>2250</v>
      </c>
      <c r="AB21" s="276">
        <f t="shared" si="23"/>
        <v>500</v>
      </c>
      <c r="AC21" s="276">
        <f t="shared" si="24"/>
        <v>250</v>
      </c>
      <c r="AD21" s="73">
        <f>ELEC!Q22</f>
        <v>4413.0000000004657</v>
      </c>
      <c r="AE21" s="73">
        <f t="shared" si="27"/>
        <v>490.3333333333851</v>
      </c>
      <c r="AF21" s="387">
        <f t="shared" si="28"/>
        <v>0.3064583333333657</v>
      </c>
      <c r="AG21" s="387">
        <f t="shared" si="28"/>
        <v>1.9153645833335355E-4</v>
      </c>
      <c r="AH21" s="388">
        <f t="shared" si="25"/>
        <v>249.99980846354165</v>
      </c>
      <c r="AI21" s="73">
        <f t="shared" si="29"/>
        <v>1135.8354430380946</v>
      </c>
      <c r="AJ21" s="278">
        <f t="shared" si="9"/>
        <v>0.25738396624472576</v>
      </c>
      <c r="AK21" s="278">
        <f t="shared" si="10"/>
        <v>126.20393811534385</v>
      </c>
      <c r="AL21">
        <f t="shared" si="26"/>
        <v>1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v>10774</v>
      </c>
      <c r="K22" s="276">
        <f t="shared" si="2"/>
        <v>1</v>
      </c>
      <c r="L22" s="503">
        <f t="shared" si="30"/>
        <v>376691</v>
      </c>
      <c r="M22" s="276">
        <f t="shared" si="31"/>
        <v>250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v>13853</v>
      </c>
      <c r="S22" s="276">
        <f t="shared" si="5"/>
        <v>10</v>
      </c>
      <c r="T22" s="503">
        <f t="shared" si="32"/>
        <v>402762</v>
      </c>
      <c r="U22" s="276">
        <f t="shared" si="33"/>
        <v>2500</v>
      </c>
      <c r="V22" s="276">
        <v>250</v>
      </c>
      <c r="W22" s="196"/>
      <c r="X22" s="260">
        <f t="shared" si="20"/>
        <v>13873</v>
      </c>
      <c r="Y22" s="276" t="str">
        <f t="shared" si="21"/>
        <v>ok</v>
      </c>
      <c r="Z22" s="276">
        <f t="shared" si="8"/>
        <v>11</v>
      </c>
      <c r="AA22" s="276">
        <f t="shared" si="22"/>
        <v>2750</v>
      </c>
      <c r="AB22" s="276">
        <f t="shared" si="23"/>
        <v>500</v>
      </c>
      <c r="AC22" s="276">
        <f t="shared" si="24"/>
        <v>250</v>
      </c>
      <c r="AD22" s="73">
        <f>ELEC!Q23</f>
        <v>4360.0000000005821</v>
      </c>
      <c r="AE22" s="73">
        <f t="shared" si="27"/>
        <v>396.3636363636893</v>
      </c>
      <c r="AF22" s="387">
        <f t="shared" si="28"/>
        <v>0.2477272727273058</v>
      </c>
      <c r="AG22" s="387">
        <f t="shared" si="28"/>
        <v>1.5482954545456614E-4</v>
      </c>
      <c r="AH22" s="388">
        <f t="shared" si="25"/>
        <v>249.99984517045453</v>
      </c>
      <c r="AI22" s="73">
        <f t="shared" si="29"/>
        <v>1122.1940928271542</v>
      </c>
      <c r="AJ22" s="278">
        <f t="shared" si="9"/>
        <v>0.25738396624472576</v>
      </c>
      <c r="AK22" s="278">
        <f t="shared" si="10"/>
        <v>102.01764480246857</v>
      </c>
      <c r="AL22">
        <f t="shared" si="26"/>
        <v>1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10774</v>
      </c>
      <c r="K23" s="276">
        <f t="shared" si="2"/>
        <v>0</v>
      </c>
      <c r="L23" s="503">
        <f t="shared" si="30"/>
        <v>376691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13853</v>
      </c>
      <c r="S23" s="276">
        <f>R23-R22</f>
        <v>0</v>
      </c>
      <c r="T23" s="503">
        <f t="shared" si="32"/>
        <v>402762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21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10774</v>
      </c>
      <c r="K24" s="276">
        <f t="shared" si="2"/>
        <v>0</v>
      </c>
      <c r="L24" s="503">
        <f t="shared" si="30"/>
        <v>376691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13853</v>
      </c>
      <c r="S24" s="276">
        <f t="shared" si="5"/>
        <v>0</v>
      </c>
      <c r="T24" s="503">
        <f t="shared" si="32"/>
        <v>402762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21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10774</v>
      </c>
      <c r="K25" s="276">
        <f t="shared" si="2"/>
        <v>0</v>
      </c>
      <c r="L25" s="503">
        <f t="shared" si="30"/>
        <v>376691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13853</v>
      </c>
      <c r="S25" s="276">
        <f t="shared" si="5"/>
        <v>0</v>
      </c>
      <c r="T25" s="503">
        <f t="shared" si="32"/>
        <v>402762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21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10774</v>
      </c>
      <c r="K26" s="276">
        <f t="shared" si="2"/>
        <v>0</v>
      </c>
      <c r="L26" s="503">
        <f t="shared" si="30"/>
        <v>376691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13853</v>
      </c>
      <c r="S26" s="276">
        <f>R26-R25</f>
        <v>0</v>
      </c>
      <c r="T26" s="503">
        <f t="shared" si="32"/>
        <v>402762</v>
      </c>
      <c r="U26" s="276">
        <f t="shared" si="33"/>
        <v>0</v>
      </c>
      <c r="V26" s="276">
        <v>250</v>
      </c>
      <c r="W26" s="196"/>
      <c r="X26" s="260">
        <f>X25</f>
        <v>13873</v>
      </c>
      <c r="Y26" s="276" t="str">
        <f t="shared" si="21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v>10776</v>
      </c>
      <c r="K27" s="276">
        <f t="shared" si="2"/>
        <v>2</v>
      </c>
      <c r="L27" s="503">
        <f t="shared" si="30"/>
        <v>377191</v>
      </c>
      <c r="M27" s="276">
        <f t="shared" si="31"/>
        <v>500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v>13862</v>
      </c>
      <c r="S27" s="276">
        <f t="shared" si="5"/>
        <v>9</v>
      </c>
      <c r="T27" s="503">
        <f t="shared" si="32"/>
        <v>405012</v>
      </c>
      <c r="U27" s="276">
        <f t="shared" si="33"/>
        <v>2250</v>
      </c>
      <c r="V27" s="276">
        <v>250</v>
      </c>
      <c r="W27" s="196"/>
      <c r="X27" s="260">
        <f t="shared" si="20"/>
        <v>13873</v>
      </c>
      <c r="Y27" s="276" t="str">
        <f t="shared" si="21"/>
        <v>ok</v>
      </c>
      <c r="Z27" s="276">
        <f t="shared" si="8"/>
        <v>11</v>
      </c>
      <c r="AA27" s="276">
        <f t="shared" si="22"/>
        <v>2750</v>
      </c>
      <c r="AB27" s="276">
        <f t="shared" si="23"/>
        <v>500</v>
      </c>
      <c r="AC27" s="276">
        <f t="shared" si="24"/>
        <v>250</v>
      </c>
      <c r="AD27" s="73">
        <f>ELEC!Q28</f>
        <v>5449.0000000005239</v>
      </c>
      <c r="AE27" s="73">
        <f t="shared" si="27"/>
        <v>495.36363636368401</v>
      </c>
      <c r="AF27" s="387">
        <f t="shared" si="28"/>
        <v>0.30960227272730251</v>
      </c>
      <c r="AG27" s="387">
        <f t="shared" si="28"/>
        <v>1.9350142045456407E-4</v>
      </c>
      <c r="AH27" s="388">
        <f t="shared" si="25"/>
        <v>249.99980649857955</v>
      </c>
      <c r="AI27" s="73">
        <f t="shared" si="29"/>
        <v>1402.4852320676455</v>
      </c>
      <c r="AJ27" s="278">
        <f t="shared" si="9"/>
        <v>0.25738396624472576</v>
      </c>
      <c r="AK27" s="278">
        <f t="shared" si="10"/>
        <v>127.49865746069504</v>
      </c>
      <c r="AL27">
        <f t="shared" si="26"/>
        <v>1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v>10789</v>
      </c>
      <c r="K28" s="276">
        <f t="shared" si="2"/>
        <v>13</v>
      </c>
      <c r="L28" s="503">
        <f t="shared" si="30"/>
        <v>380441</v>
      </c>
      <c r="M28" s="276">
        <f t="shared" si="31"/>
        <v>3250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v>13863</v>
      </c>
      <c r="S28" s="276">
        <f t="shared" si="5"/>
        <v>1</v>
      </c>
      <c r="T28" s="503">
        <f t="shared" si="32"/>
        <v>405262</v>
      </c>
      <c r="U28" s="276">
        <f t="shared" si="33"/>
        <v>250</v>
      </c>
      <c r="V28" s="276">
        <v>250</v>
      </c>
      <c r="W28" s="196"/>
      <c r="X28" s="260">
        <f t="shared" si="20"/>
        <v>13873</v>
      </c>
      <c r="Y28" s="276" t="str">
        <f t="shared" si="21"/>
        <v>ok</v>
      </c>
      <c r="Z28" s="276">
        <f t="shared" si="8"/>
        <v>14</v>
      </c>
      <c r="AA28" s="276">
        <f t="shared" si="22"/>
        <v>3500</v>
      </c>
      <c r="AB28" s="276">
        <f t="shared" si="23"/>
        <v>500</v>
      </c>
      <c r="AC28" s="276">
        <f t="shared" si="24"/>
        <v>250</v>
      </c>
      <c r="AD28" s="73">
        <f>ELEC!Q29</f>
        <v>6344.9999999975262</v>
      </c>
      <c r="AE28" s="73">
        <f t="shared" si="27"/>
        <v>453.214285714109</v>
      </c>
      <c r="AF28" s="387">
        <f t="shared" si="28"/>
        <v>0.28325892857131812</v>
      </c>
      <c r="AG28" s="387">
        <f t="shared" si="28"/>
        <v>1.7703683035707383E-4</v>
      </c>
      <c r="AH28" s="388">
        <f t="shared" si="25"/>
        <v>249.99982296316963</v>
      </c>
      <c r="AI28" s="73">
        <f t="shared" si="29"/>
        <v>1633.1012658221482</v>
      </c>
      <c r="AJ28" s="278">
        <f t="shared" si="9"/>
        <v>0.25738396624472576</v>
      </c>
      <c r="AK28" s="278">
        <f t="shared" si="10"/>
        <v>116.65009041586772</v>
      </c>
      <c r="AL28">
        <f t="shared" si="26"/>
        <v>1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v>10795</v>
      </c>
      <c r="K29" s="276">
        <f t="shared" si="2"/>
        <v>6</v>
      </c>
      <c r="L29" s="503">
        <f t="shared" si="30"/>
        <v>381941</v>
      </c>
      <c r="M29" s="276">
        <f t="shared" si="31"/>
        <v>1500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v>13871</v>
      </c>
      <c r="S29" s="276">
        <f t="shared" si="5"/>
        <v>8</v>
      </c>
      <c r="T29" s="503">
        <f t="shared" si="32"/>
        <v>407262</v>
      </c>
      <c r="U29" s="276">
        <f>V29*S29</f>
        <v>2000</v>
      </c>
      <c r="V29" s="276">
        <v>250</v>
      </c>
      <c r="W29" s="196"/>
      <c r="X29" s="260">
        <f t="shared" si="20"/>
        <v>13873</v>
      </c>
      <c r="Y29" s="276" t="str">
        <f t="shared" si="21"/>
        <v>ok</v>
      </c>
      <c r="Z29" s="276">
        <f t="shared" si="8"/>
        <v>14</v>
      </c>
      <c r="AA29" s="276">
        <f t="shared" si="22"/>
        <v>3500</v>
      </c>
      <c r="AB29" s="276">
        <f t="shared" si="23"/>
        <v>500</v>
      </c>
      <c r="AC29" s="276">
        <f t="shared" si="24"/>
        <v>250</v>
      </c>
      <c r="AD29" s="73">
        <f>ELEC!Q30</f>
        <v>5937.0000000017171</v>
      </c>
      <c r="AE29" s="73">
        <f t="shared" si="27"/>
        <v>424.07142857155122</v>
      </c>
      <c r="AF29" s="387">
        <f t="shared" si="28"/>
        <v>0.26504464285721951</v>
      </c>
      <c r="AG29" s="387">
        <f t="shared" si="28"/>
        <v>1.6565290178576219E-4</v>
      </c>
      <c r="AH29" s="388">
        <f t="shared" si="25"/>
        <v>249.99983434709821</v>
      </c>
      <c r="AI29" s="73">
        <f t="shared" si="29"/>
        <v>1528.0886075953788</v>
      </c>
      <c r="AJ29" s="278">
        <f t="shared" si="9"/>
        <v>0.25738396624472576</v>
      </c>
      <c r="AK29" s="278">
        <f t="shared" si="10"/>
        <v>109.14918625681277</v>
      </c>
      <c r="AL29">
        <f t="shared" si="26"/>
        <v>1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v>10796</v>
      </c>
      <c r="K30" s="276">
        <f t="shared" si="2"/>
        <v>1</v>
      </c>
      <c r="L30" s="503">
        <f t="shared" si="30"/>
        <v>382191</v>
      </c>
      <c r="M30" s="276">
        <f t="shared" si="31"/>
        <v>250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v>13880</v>
      </c>
      <c r="S30" s="276">
        <f t="shared" si="5"/>
        <v>9</v>
      </c>
      <c r="T30" s="503">
        <f t="shared" si="32"/>
        <v>409512</v>
      </c>
      <c r="U30" s="276">
        <f t="shared" si="33"/>
        <v>2250</v>
      </c>
      <c r="V30" s="276">
        <v>250</v>
      </c>
      <c r="W30" s="274"/>
      <c r="X30" s="260">
        <f>X29</f>
        <v>13873</v>
      </c>
      <c r="Y30" s="276" t="str">
        <f t="shared" si="21"/>
        <v>oil change</v>
      </c>
      <c r="Z30" s="276">
        <f t="shared" si="8"/>
        <v>10</v>
      </c>
      <c r="AA30" s="276">
        <f t="shared" si="22"/>
        <v>2500</v>
      </c>
      <c r="AB30" s="276">
        <f t="shared" si="23"/>
        <v>500</v>
      </c>
      <c r="AC30" s="276">
        <f t="shared" si="24"/>
        <v>250</v>
      </c>
      <c r="AD30" s="73">
        <f>ELEC!Q31</f>
        <v>3898.0000000010477</v>
      </c>
      <c r="AE30" s="73">
        <f t="shared" si="27"/>
        <v>389.80000000010477</v>
      </c>
      <c r="AF30" s="387">
        <f t="shared" si="28"/>
        <v>0.24362500000006548</v>
      </c>
      <c r="AG30" s="387">
        <f t="shared" si="28"/>
        <v>1.5226562500004093E-4</v>
      </c>
      <c r="AH30" s="388">
        <f t="shared" si="25"/>
        <v>249.99984773437501</v>
      </c>
      <c r="AI30" s="73">
        <f t="shared" si="29"/>
        <v>1003.2827004222107</v>
      </c>
      <c r="AJ30" s="278">
        <f t="shared" si="9"/>
        <v>0.25738396624472576</v>
      </c>
      <c r="AK30" s="278">
        <f t="shared" si="10"/>
        <v>100.32827004222108</v>
      </c>
      <c r="AL30">
        <f t="shared" si="26"/>
        <v>1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5">B31-B30</f>
        <v>0</v>
      </c>
      <c r="D31" s="503">
        <f t="shared" ref="D31:D33" si="36">D30+C31*250</f>
        <v>670266</v>
      </c>
      <c r="E31" s="276">
        <f t="shared" ref="E31:E33" si="37">SUM(D31-D30)</f>
        <v>0</v>
      </c>
      <c r="F31" s="276">
        <f t="shared" ref="F31:F33" si="38">IF(C31&gt;0,E31/C31,0)</f>
        <v>0</v>
      </c>
      <c r="G31" s="323"/>
      <c r="H31" s="260">
        <f t="shared" si="15"/>
        <v>11690</v>
      </c>
      <c r="I31" s="276" t="str">
        <f t="shared" ref="I31:I33" si="39">IF(B31-H31&lt;=0,"ok","oil change")</f>
        <v>ok</v>
      </c>
      <c r="J31" s="502">
        <f t="shared" si="16"/>
        <v>10796</v>
      </c>
      <c r="K31" s="276">
        <f t="shared" si="2"/>
        <v>0</v>
      </c>
      <c r="L31" s="503">
        <f t="shared" si="30"/>
        <v>382191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0">IF(J31-P31&lt;=0,"ok","oil change")</f>
        <v>ok</v>
      </c>
      <c r="R31" s="502">
        <f t="shared" si="19"/>
        <v>13880</v>
      </c>
      <c r="S31" s="276">
        <f t="shared" ref="S31:S33" si="41">R31-R30</f>
        <v>0</v>
      </c>
      <c r="T31" s="503">
        <f t="shared" si="32"/>
        <v>409512</v>
      </c>
      <c r="U31" s="276">
        <f t="shared" ref="U31:U33" si="42">V31*S31</f>
        <v>0</v>
      </c>
      <c r="V31" s="276">
        <v>250</v>
      </c>
      <c r="W31" s="323"/>
      <c r="X31" s="260">
        <f t="shared" si="20"/>
        <v>13873</v>
      </c>
      <c r="Y31" s="276" t="str">
        <f t="shared" si="21"/>
        <v>oil change</v>
      </c>
      <c r="Z31" s="276">
        <f t="shared" ref="Z31:Z33" si="43">C31+K31+S31</f>
        <v>0</v>
      </c>
      <c r="AA31" s="276">
        <f t="shared" ref="AA31:AA33" si="44">U31+M31+E31</f>
        <v>0</v>
      </c>
      <c r="AB31" s="276">
        <f t="shared" ref="AB31:AB33" si="45">V31+N31+F31</f>
        <v>500</v>
      </c>
      <c r="AC31" s="276">
        <f t="shared" ref="AC31:AC33" si="46">IF(Z31&gt;0,AA31/Z31,0)</f>
        <v>0</v>
      </c>
      <c r="AD31" s="73">
        <f>ELEC!Q32</f>
        <v>0</v>
      </c>
      <c r="AE31" s="73" t="e">
        <f t="shared" ref="AE31:AE33" si="47">SUM(AD31/Z31)</f>
        <v>#DIV/0!</v>
      </c>
      <c r="AF31" s="387" t="e">
        <f t="shared" ref="AF31:AF33" si="48">SUM(AE31/1600)</f>
        <v>#DIV/0!</v>
      </c>
      <c r="AG31" s="387" t="e">
        <f t="shared" ref="AG31:AG33" si="49">SUM(AF31/1600)</f>
        <v>#DIV/0!</v>
      </c>
      <c r="AH31" s="475" t="e">
        <f t="shared" ref="AH31:AH33" si="50">SUM(AC31-AG31)</f>
        <v>#DIV/0!</v>
      </c>
      <c r="AI31" s="73">
        <f t="shared" ref="AI31:AI33" si="51">AD31*AJ31</f>
        <v>0</v>
      </c>
      <c r="AJ31" s="278">
        <f t="shared" si="9"/>
        <v>0.25738396624472576</v>
      </c>
      <c r="AK31" s="278" t="e">
        <f t="shared" ref="AK31:AK33" si="52">AI31/Z31</f>
        <v>#DIV/0!</v>
      </c>
      <c r="AL31">
        <f t="shared" ref="AL31:AL33" si="53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5"/>
        <v>0</v>
      </c>
      <c r="D32" s="503">
        <f t="shared" si="36"/>
        <v>670266</v>
      </c>
      <c r="E32" s="276">
        <f t="shared" si="37"/>
        <v>0</v>
      </c>
      <c r="F32" s="276">
        <f t="shared" si="38"/>
        <v>0</v>
      </c>
      <c r="G32" s="323"/>
      <c r="H32" s="260">
        <f t="shared" si="15"/>
        <v>11690</v>
      </c>
      <c r="I32" s="276" t="str">
        <f t="shared" si="39"/>
        <v>ok</v>
      </c>
      <c r="J32" s="502">
        <f t="shared" si="16"/>
        <v>10796</v>
      </c>
      <c r="K32" s="276">
        <f t="shared" si="2"/>
        <v>0</v>
      </c>
      <c r="L32" s="503">
        <f t="shared" si="30"/>
        <v>382191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0"/>
        <v>ok</v>
      </c>
      <c r="R32" s="502">
        <f t="shared" si="19"/>
        <v>13880</v>
      </c>
      <c r="S32" s="276">
        <f t="shared" si="41"/>
        <v>0</v>
      </c>
      <c r="T32" s="503">
        <f t="shared" si="32"/>
        <v>409512</v>
      </c>
      <c r="U32" s="276">
        <f t="shared" si="42"/>
        <v>0</v>
      </c>
      <c r="V32" s="276">
        <v>250</v>
      </c>
      <c r="W32" s="323"/>
      <c r="X32" s="260">
        <f t="shared" si="20"/>
        <v>13873</v>
      </c>
      <c r="Y32" s="276" t="str">
        <f t="shared" si="21"/>
        <v>oil change</v>
      </c>
      <c r="Z32" s="276">
        <f t="shared" si="43"/>
        <v>0</v>
      </c>
      <c r="AA32" s="276">
        <f t="shared" si="44"/>
        <v>0</v>
      </c>
      <c r="AB32" s="276">
        <f t="shared" si="45"/>
        <v>500</v>
      </c>
      <c r="AC32" s="276">
        <f t="shared" si="46"/>
        <v>0</v>
      </c>
      <c r="AD32" s="73">
        <f>ELEC!Q33</f>
        <v>0</v>
      </c>
      <c r="AE32" s="73" t="e">
        <f t="shared" si="47"/>
        <v>#DIV/0!</v>
      </c>
      <c r="AF32" s="387" t="e">
        <f t="shared" si="48"/>
        <v>#DIV/0!</v>
      </c>
      <c r="AG32" s="387" t="e">
        <f t="shared" si="49"/>
        <v>#DIV/0!</v>
      </c>
      <c r="AH32" s="475" t="e">
        <f t="shared" si="50"/>
        <v>#DIV/0!</v>
      </c>
      <c r="AI32" s="73">
        <f t="shared" si="51"/>
        <v>0</v>
      </c>
      <c r="AJ32" s="278">
        <f t="shared" si="9"/>
        <v>0.25738396624472576</v>
      </c>
      <c r="AK32" s="278" t="e">
        <f t="shared" si="52"/>
        <v>#DIV/0!</v>
      </c>
      <c r="AL32">
        <f t="shared" si="53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5"/>
        <v>0</v>
      </c>
      <c r="D33" s="503">
        <f t="shared" si="36"/>
        <v>670266</v>
      </c>
      <c r="E33" s="276">
        <f t="shared" si="37"/>
        <v>0</v>
      </c>
      <c r="F33" s="276">
        <f t="shared" si="38"/>
        <v>0</v>
      </c>
      <c r="G33" s="323"/>
      <c r="H33" s="260">
        <f t="shared" si="15"/>
        <v>11690</v>
      </c>
      <c r="I33" s="276" t="str">
        <f t="shared" si="39"/>
        <v>ok</v>
      </c>
      <c r="J33" s="502">
        <f t="shared" si="16"/>
        <v>10796</v>
      </c>
      <c r="K33" s="276">
        <f t="shared" si="2"/>
        <v>0</v>
      </c>
      <c r="L33" s="503">
        <f t="shared" si="30"/>
        <v>382191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0"/>
        <v>ok</v>
      </c>
      <c r="R33" s="502">
        <f t="shared" si="19"/>
        <v>13880</v>
      </c>
      <c r="S33" s="276">
        <f t="shared" si="41"/>
        <v>0</v>
      </c>
      <c r="T33" s="503">
        <f t="shared" si="32"/>
        <v>409512</v>
      </c>
      <c r="U33" s="276">
        <f t="shared" si="42"/>
        <v>0</v>
      </c>
      <c r="V33" s="276">
        <v>250</v>
      </c>
      <c r="W33" s="323"/>
      <c r="X33" s="260">
        <f t="shared" si="20"/>
        <v>13873</v>
      </c>
      <c r="Y33" s="276" t="str">
        <f t="shared" si="21"/>
        <v>oil change</v>
      </c>
      <c r="Z33" s="276">
        <f t="shared" si="43"/>
        <v>0</v>
      </c>
      <c r="AA33" s="276">
        <f t="shared" si="44"/>
        <v>0</v>
      </c>
      <c r="AB33" s="276">
        <f t="shared" si="45"/>
        <v>500</v>
      </c>
      <c r="AC33" s="276">
        <f t="shared" si="46"/>
        <v>0</v>
      </c>
      <c r="AD33" s="73">
        <f>ELEC!Q34</f>
        <v>0</v>
      </c>
      <c r="AE33" s="73" t="e">
        <f t="shared" si="47"/>
        <v>#DIV/0!</v>
      </c>
      <c r="AF33" s="387" t="e">
        <f t="shared" si="48"/>
        <v>#DIV/0!</v>
      </c>
      <c r="AG33" s="387" t="e">
        <f t="shared" si="49"/>
        <v>#DIV/0!</v>
      </c>
      <c r="AH33" s="475" t="e">
        <f t="shared" si="50"/>
        <v>#DIV/0!</v>
      </c>
      <c r="AI33" s="73">
        <f t="shared" si="51"/>
        <v>0</v>
      </c>
      <c r="AJ33" s="278">
        <f t="shared" si="9"/>
        <v>0.25738396624472576</v>
      </c>
      <c r="AK33" s="278" t="e">
        <f t="shared" si="52"/>
        <v>#DIV/0!</v>
      </c>
      <c r="AL33">
        <f t="shared" si="53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175</v>
      </c>
      <c r="V34" s="40"/>
      <c r="X34">
        <v>341</v>
      </c>
      <c r="Z34" s="404">
        <f>SUM(Z3:Z33)</f>
        <v>175</v>
      </c>
      <c r="AF34" s="387">
        <f>SUM(AE34/1600)</f>
        <v>0</v>
      </c>
      <c r="AL34">
        <f>SUM(AL3:AL33)</f>
        <v>16</v>
      </c>
    </row>
    <row r="35" spans="1:38">
      <c r="C35" s="40">
        <f>SUM(C3:C33)</f>
        <v>0</v>
      </c>
      <c r="K35" s="40">
        <f>SUM(K3:K33)</f>
        <v>80</v>
      </c>
      <c r="S35" s="40">
        <f>SUM(S3:S33)</f>
        <v>95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O1" activePane="topRight" state="frozen"/>
      <selection pane="topRight" activeCell="AU33" sqref="AU3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-2453.4193548387411</v>
      </c>
      <c r="AT8" s="340"/>
      <c r="AU8" s="548"/>
      <c r="AV8" s="485">
        <f t="shared" ref="AV8:AV31" si="43">IF(AT8&gt;0,AU8,AV7)</f>
        <v>1.1200000000000001</v>
      </c>
      <c r="AW8" s="279">
        <f>-SUM('B5'!AI7)</f>
        <v>-347</v>
      </c>
      <c r="AX8" s="279">
        <f t="shared" si="17"/>
        <v>-2106.4193548387411</v>
      </c>
      <c r="AY8" s="37">
        <f t="shared" si="37"/>
        <v>-2453.4193548387411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-234.04659498208235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1.1200000000000001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1.1200000000000001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1064.2827004215289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217</v>
      </c>
      <c r="C11" s="203">
        <f t="shared" si="18"/>
        <v>4669</v>
      </c>
      <c r="D11">
        <f>SUM(B11)</f>
        <v>217</v>
      </c>
      <c r="E11" s="203">
        <f t="shared" si="18"/>
        <v>4669</v>
      </c>
      <c r="F11">
        <f>SUM(D11)</f>
        <v>217</v>
      </c>
      <c r="G11" s="203">
        <f t="shared" si="1"/>
        <v>4669</v>
      </c>
      <c r="H11" s="203">
        <f>SUM(F11)</f>
        <v>217</v>
      </c>
      <c r="I11" s="203">
        <f t="shared" si="2"/>
        <v>4669</v>
      </c>
      <c r="J11" s="203">
        <f>SUM(H11)</f>
        <v>217</v>
      </c>
      <c r="K11" s="203">
        <f t="shared" si="3"/>
        <v>4669</v>
      </c>
      <c r="L11" s="203">
        <f>SUM(J11)</f>
        <v>217</v>
      </c>
      <c r="M11" s="203">
        <f t="shared" si="4"/>
        <v>4669</v>
      </c>
      <c r="N11" s="203">
        <f>SUM(L11)</f>
        <v>217</v>
      </c>
      <c r="O11" s="203">
        <f t="shared" si="5"/>
        <v>4669</v>
      </c>
      <c r="P11" s="203">
        <f>SUM(N11)</f>
        <v>217</v>
      </c>
      <c r="Q11" s="203">
        <f t="shared" si="6"/>
        <v>4669</v>
      </c>
      <c r="R11" s="203">
        <f>SUM(P11)</f>
        <v>217</v>
      </c>
      <c r="S11" s="203">
        <f t="shared" si="7"/>
        <v>4669</v>
      </c>
      <c r="T11" s="203">
        <f>SUM(R11)</f>
        <v>217</v>
      </c>
      <c r="U11" s="203">
        <f t="shared" si="8"/>
        <v>4669</v>
      </c>
      <c r="V11" s="203">
        <f>SUM(T11)</f>
        <v>217</v>
      </c>
      <c r="W11" s="203">
        <f t="shared" si="9"/>
        <v>4669</v>
      </c>
      <c r="X11" s="35">
        <f>SUM(Y11/73370)</f>
        <v>0.7</v>
      </c>
      <c r="Y11" s="36">
        <f>SUM(C11+E11+G11+I11+K11+M11+O11+Q11+S11+U11+W11)</f>
        <v>51359</v>
      </c>
      <c r="Z11" s="203">
        <f>'B5'!C10</f>
        <v>223</v>
      </c>
      <c r="AA11" s="203">
        <f t="shared" si="30"/>
        <v>2230</v>
      </c>
      <c r="AB11" s="203">
        <f>SUM(Z11)</f>
        <v>223</v>
      </c>
      <c r="AC11" s="203">
        <f t="shared" si="30"/>
        <v>2230</v>
      </c>
      <c r="AD11" s="203">
        <f>SUM(AB11)</f>
        <v>223</v>
      </c>
      <c r="AE11" s="203">
        <f t="shared" si="11"/>
        <v>2230</v>
      </c>
      <c r="AF11" s="203">
        <f>SUM(AD11)</f>
        <v>223</v>
      </c>
      <c r="AG11" s="203">
        <f t="shared" si="12"/>
        <v>2230</v>
      </c>
      <c r="AH11" s="203">
        <f>SUM(AF11)</f>
        <v>223</v>
      </c>
      <c r="AI11" s="203">
        <f t="shared" si="13"/>
        <v>2230</v>
      </c>
      <c r="AJ11" s="203">
        <f>SUM(AH11)</f>
        <v>223</v>
      </c>
      <c r="AK11" s="203">
        <f t="shared" si="14"/>
        <v>2230</v>
      </c>
      <c r="AL11" s="203">
        <f>SUM(AJ11)</f>
        <v>223</v>
      </c>
      <c r="AM11" s="203">
        <f t="shared" si="15"/>
        <v>2230</v>
      </c>
      <c r="AN11" s="35">
        <f>SUM(AO11/19600)</f>
        <v>0.79642857142857137</v>
      </c>
      <c r="AO11" s="36">
        <f t="shared" si="39"/>
        <v>15610</v>
      </c>
      <c r="AP11" s="525"/>
      <c r="AQ11" s="223">
        <f t="shared" si="40"/>
        <v>0.72032913843175217</v>
      </c>
      <c r="AR11" s="38">
        <f t="shared" si="41"/>
        <v>66969</v>
      </c>
      <c r="AS11" s="197">
        <f t="shared" si="42"/>
        <v>-1910.0645161290304</v>
      </c>
      <c r="AT11" s="340"/>
      <c r="AU11" s="548"/>
      <c r="AV11" s="485">
        <f>IF(AT11&gt;0,AU11,AV10)</f>
        <v>1.1200000000000001</v>
      </c>
      <c r="AW11" s="279">
        <f>-SUM('B5'!AI10)</f>
        <v>-165</v>
      </c>
      <c r="AX11" s="279">
        <f t="shared" si="17"/>
        <v>-1745.0645161290304</v>
      </c>
      <c r="AY11" s="37">
        <f t="shared" si="37"/>
        <v>-1910.0645161290304</v>
      </c>
      <c r="AZ11" s="100">
        <f>ELEC!A9</f>
        <v>0</v>
      </c>
      <c r="BA11" s="118">
        <f>'General information '!D10</f>
        <v>26</v>
      </c>
      <c r="BB11" s="378">
        <f>SUM('General information '!E10)</f>
        <v>0.45</v>
      </c>
      <c r="BC11" s="3">
        <f t="shared" si="44"/>
        <v>0</v>
      </c>
      <c r="BD11" s="102">
        <v>19222</v>
      </c>
      <c r="BE11" s="14">
        <f>(305/1185)*ELEC!Q10</f>
        <v>1191.1729957807481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-187.64134582034052</v>
      </c>
      <c r="BK11" s="538">
        <f>GEN!AF8</f>
        <v>0.25843749999989996</v>
      </c>
    </row>
    <row r="12" spans="1:63">
      <c r="A12" s="425">
        <f>ELEC!C10</f>
        <v>44658</v>
      </c>
      <c r="B12">
        <f>'B5'!B11</f>
        <v>230</v>
      </c>
      <c r="C12" s="203">
        <f t="shared" si="18"/>
        <v>4948.7096774193551</v>
      </c>
      <c r="D12">
        <f t="shared" si="19"/>
        <v>230</v>
      </c>
      <c r="E12" s="203">
        <f t="shared" si="18"/>
        <v>4948.7096774193551</v>
      </c>
      <c r="F12">
        <f t="shared" si="20"/>
        <v>230</v>
      </c>
      <c r="G12" s="203">
        <f t="shared" si="1"/>
        <v>4948.7096774193551</v>
      </c>
      <c r="H12" s="203">
        <f t="shared" si="21"/>
        <v>230</v>
      </c>
      <c r="I12" s="203">
        <f t="shared" si="2"/>
        <v>4948.7096774193551</v>
      </c>
      <c r="J12" s="203">
        <f t="shared" si="22"/>
        <v>230</v>
      </c>
      <c r="K12" s="203">
        <f t="shared" si="3"/>
        <v>4948.7096774193551</v>
      </c>
      <c r="L12" s="203">
        <f t="shared" si="23"/>
        <v>230</v>
      </c>
      <c r="M12" s="203">
        <f t="shared" si="4"/>
        <v>4948.7096774193551</v>
      </c>
      <c r="N12" s="203">
        <f t="shared" si="24"/>
        <v>230</v>
      </c>
      <c r="O12" s="203">
        <f t="shared" si="5"/>
        <v>4948.7096774193551</v>
      </c>
      <c r="P12" s="203">
        <f t="shared" si="25"/>
        <v>230</v>
      </c>
      <c r="Q12" s="203">
        <f t="shared" si="6"/>
        <v>4948.7096774193551</v>
      </c>
      <c r="R12" s="203">
        <f t="shared" si="26"/>
        <v>230</v>
      </c>
      <c r="S12" s="203">
        <f t="shared" si="7"/>
        <v>4948.7096774193551</v>
      </c>
      <c r="T12" s="203">
        <f t="shared" si="27"/>
        <v>230</v>
      </c>
      <c r="U12" s="203">
        <f t="shared" si="8"/>
        <v>4948.7096774193551</v>
      </c>
      <c r="V12" s="203">
        <f t="shared" si="28"/>
        <v>230</v>
      </c>
      <c r="W12" s="203">
        <f t="shared" si="9"/>
        <v>4948.7096774193551</v>
      </c>
      <c r="X12" s="35">
        <f t="shared" si="10"/>
        <v>0.74193548387096786</v>
      </c>
      <c r="Y12" s="36">
        <f t="shared" si="29"/>
        <v>54435.806451612909</v>
      </c>
      <c r="Z12" s="203">
        <f>'B5'!C11</f>
        <v>237</v>
      </c>
      <c r="AA12" s="203">
        <f t="shared" si="30"/>
        <v>2370</v>
      </c>
      <c r="AB12" s="203">
        <f t="shared" si="31"/>
        <v>237</v>
      </c>
      <c r="AC12" s="203">
        <f t="shared" si="30"/>
        <v>2370</v>
      </c>
      <c r="AD12" s="203">
        <f t="shared" si="32"/>
        <v>237</v>
      </c>
      <c r="AE12" s="203">
        <f t="shared" si="11"/>
        <v>2370</v>
      </c>
      <c r="AF12" s="203">
        <f t="shared" si="33"/>
        <v>237</v>
      </c>
      <c r="AG12" s="203">
        <f t="shared" si="12"/>
        <v>2370</v>
      </c>
      <c r="AH12" s="203">
        <f t="shared" si="34"/>
        <v>237</v>
      </c>
      <c r="AI12" s="203">
        <f t="shared" si="13"/>
        <v>2370</v>
      </c>
      <c r="AJ12" s="203">
        <f t="shared" si="35"/>
        <v>237</v>
      </c>
      <c r="AK12" s="203">
        <f t="shared" si="14"/>
        <v>2370</v>
      </c>
      <c r="AL12" s="203">
        <f t="shared" si="36"/>
        <v>237</v>
      </c>
      <c r="AM12" s="203">
        <f t="shared" si="15"/>
        <v>2370</v>
      </c>
      <c r="AN12" s="35">
        <f t="shared" si="16"/>
        <v>0.84642857142857142</v>
      </c>
      <c r="AO12" s="36">
        <f t="shared" si="39"/>
        <v>16590</v>
      </c>
      <c r="AP12" s="525"/>
      <c r="AQ12" s="223">
        <f t="shared" si="40"/>
        <v>0.76396478919665389</v>
      </c>
      <c r="AR12" s="38">
        <f t="shared" si="41"/>
        <v>71025.806451612909</v>
      </c>
      <c r="AS12" s="197">
        <f t="shared" si="42"/>
        <v>-1025.1935483870911</v>
      </c>
      <c r="AT12" s="340">
        <v>5082</v>
      </c>
      <c r="AU12" s="548">
        <v>1.0089999999999999</v>
      </c>
      <c r="AV12" s="485">
        <f t="shared" si="43"/>
        <v>1.0089999999999999</v>
      </c>
      <c r="AW12" s="279">
        <f>-SUM('B5'!AI11)</f>
        <v>-157</v>
      </c>
      <c r="AX12" s="279">
        <f t="shared" si="17"/>
        <v>-868.19354838709114</v>
      </c>
      <c r="AY12" s="37">
        <f t="shared" si="37"/>
        <v>-1025.1935483870911</v>
      </c>
      <c r="AZ12" s="100">
        <f>ELEC!A10</f>
        <v>0</v>
      </c>
      <c r="BA12" s="118">
        <f>'General information '!D11</f>
        <v>18.5</v>
      </c>
      <c r="BB12" s="378">
        <f>SUM('General information '!E11)</f>
        <v>0.75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-234.64690496943794</v>
      </c>
      <c r="BK12" s="538">
        <f>GEN!AF9</f>
        <v>0.2892500000000382</v>
      </c>
    </row>
    <row r="13" spans="1:63">
      <c r="A13" s="425">
        <f>ELEC!C11</f>
        <v>44659</v>
      </c>
      <c r="B13">
        <f>'B5'!B12</f>
        <v>230</v>
      </c>
      <c r="C13" s="203">
        <f t="shared" si="18"/>
        <v>4948.7096774193551</v>
      </c>
      <c r="D13">
        <f t="shared" si="19"/>
        <v>230</v>
      </c>
      <c r="E13" s="203">
        <f t="shared" si="18"/>
        <v>4948.7096774193551</v>
      </c>
      <c r="F13">
        <f t="shared" si="20"/>
        <v>230</v>
      </c>
      <c r="G13" s="203">
        <f t="shared" si="1"/>
        <v>4948.7096774193551</v>
      </c>
      <c r="H13" s="203">
        <f t="shared" si="21"/>
        <v>230</v>
      </c>
      <c r="I13" s="203">
        <f t="shared" si="2"/>
        <v>4948.7096774193551</v>
      </c>
      <c r="J13" s="203">
        <f t="shared" si="22"/>
        <v>230</v>
      </c>
      <c r="K13" s="203">
        <f t="shared" si="3"/>
        <v>4948.7096774193551</v>
      </c>
      <c r="L13" s="203">
        <f t="shared" si="23"/>
        <v>230</v>
      </c>
      <c r="M13" s="203">
        <f t="shared" si="4"/>
        <v>4948.7096774193551</v>
      </c>
      <c r="N13" s="203">
        <f t="shared" si="24"/>
        <v>230</v>
      </c>
      <c r="O13" s="203">
        <f t="shared" si="5"/>
        <v>4948.7096774193551</v>
      </c>
      <c r="P13" s="203">
        <f t="shared" si="25"/>
        <v>230</v>
      </c>
      <c r="Q13" s="203">
        <f t="shared" si="6"/>
        <v>4948.7096774193551</v>
      </c>
      <c r="R13" s="203">
        <f t="shared" si="26"/>
        <v>230</v>
      </c>
      <c r="S13" s="203">
        <f t="shared" si="7"/>
        <v>4948.7096774193551</v>
      </c>
      <c r="T13" s="203">
        <f t="shared" si="27"/>
        <v>230</v>
      </c>
      <c r="U13" s="203">
        <f t="shared" si="8"/>
        <v>4948.7096774193551</v>
      </c>
      <c r="V13" s="203">
        <f t="shared" si="28"/>
        <v>230</v>
      </c>
      <c r="W13" s="203">
        <f t="shared" si="9"/>
        <v>4948.7096774193551</v>
      </c>
      <c r="X13" s="35">
        <f t="shared" si="10"/>
        <v>0.74193548387096786</v>
      </c>
      <c r="Y13" s="36">
        <f t="shared" si="29"/>
        <v>54435.806451612909</v>
      </c>
      <c r="Z13" s="203">
        <f>'B5'!C12</f>
        <v>237</v>
      </c>
      <c r="AA13" s="203">
        <f t="shared" si="30"/>
        <v>2370</v>
      </c>
      <c r="AB13" s="203">
        <f t="shared" si="31"/>
        <v>237</v>
      </c>
      <c r="AC13" s="203">
        <f t="shared" si="30"/>
        <v>2370</v>
      </c>
      <c r="AD13" s="203">
        <f t="shared" si="32"/>
        <v>237</v>
      </c>
      <c r="AE13" s="203">
        <f t="shared" si="11"/>
        <v>2370</v>
      </c>
      <c r="AF13" s="203">
        <f t="shared" si="33"/>
        <v>237</v>
      </c>
      <c r="AG13" s="203">
        <f t="shared" si="12"/>
        <v>2370</v>
      </c>
      <c r="AH13" s="203">
        <f t="shared" si="34"/>
        <v>237</v>
      </c>
      <c r="AI13" s="203">
        <f t="shared" si="13"/>
        <v>2370</v>
      </c>
      <c r="AJ13" s="203">
        <f t="shared" si="35"/>
        <v>237</v>
      </c>
      <c r="AK13" s="203">
        <f t="shared" si="14"/>
        <v>2370</v>
      </c>
      <c r="AL13" s="203">
        <f t="shared" si="36"/>
        <v>237</v>
      </c>
      <c r="AM13" s="203">
        <f t="shared" si="15"/>
        <v>2370</v>
      </c>
      <c r="AN13" s="35">
        <f t="shared" si="16"/>
        <v>0.84642857142857142</v>
      </c>
      <c r="AO13" s="36">
        <f t="shared" si="39"/>
        <v>16590</v>
      </c>
      <c r="AP13" s="525"/>
      <c r="AQ13" s="223">
        <f t="shared" si="40"/>
        <v>0.76396478919665389</v>
      </c>
      <c r="AR13" s="38">
        <f t="shared" si="41"/>
        <v>71025.806451612909</v>
      </c>
      <c r="AS13" s="197">
        <f t="shared" si="42"/>
        <v>0</v>
      </c>
      <c r="AT13" s="340"/>
      <c r="AU13" s="548"/>
      <c r="AV13" s="485">
        <f t="shared" si="43"/>
        <v>1.0089999999999999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230</v>
      </c>
      <c r="C14" s="203">
        <f t="shared" si="18"/>
        <v>4948.7096774193551</v>
      </c>
      <c r="D14">
        <f t="shared" si="19"/>
        <v>230</v>
      </c>
      <c r="E14" s="203">
        <f t="shared" si="18"/>
        <v>4948.7096774193551</v>
      </c>
      <c r="F14">
        <f t="shared" si="20"/>
        <v>230</v>
      </c>
      <c r="G14" s="203">
        <f t="shared" si="1"/>
        <v>4948.7096774193551</v>
      </c>
      <c r="H14" s="203">
        <f t="shared" si="21"/>
        <v>230</v>
      </c>
      <c r="I14" s="203">
        <f t="shared" si="2"/>
        <v>4948.7096774193551</v>
      </c>
      <c r="J14" s="203">
        <f t="shared" si="22"/>
        <v>230</v>
      </c>
      <c r="K14" s="203">
        <f t="shared" si="3"/>
        <v>4948.7096774193551</v>
      </c>
      <c r="L14" s="203">
        <f t="shared" si="23"/>
        <v>230</v>
      </c>
      <c r="M14" s="203">
        <f t="shared" si="4"/>
        <v>4948.7096774193551</v>
      </c>
      <c r="N14" s="203">
        <f t="shared" si="24"/>
        <v>230</v>
      </c>
      <c r="O14" s="203">
        <f t="shared" si="5"/>
        <v>4948.7096774193551</v>
      </c>
      <c r="P14" s="203">
        <f t="shared" si="25"/>
        <v>230</v>
      </c>
      <c r="Q14" s="203">
        <f t="shared" si="6"/>
        <v>4948.7096774193551</v>
      </c>
      <c r="R14" s="203">
        <f t="shared" si="26"/>
        <v>230</v>
      </c>
      <c r="S14" s="203">
        <f t="shared" si="7"/>
        <v>4948.7096774193551</v>
      </c>
      <c r="T14" s="203">
        <f t="shared" si="27"/>
        <v>230</v>
      </c>
      <c r="U14" s="203">
        <f t="shared" si="8"/>
        <v>4948.7096774193551</v>
      </c>
      <c r="V14" s="203">
        <f t="shared" si="28"/>
        <v>230</v>
      </c>
      <c r="W14" s="203">
        <f t="shared" si="9"/>
        <v>4948.7096774193551</v>
      </c>
      <c r="X14" s="35">
        <f t="shared" si="10"/>
        <v>0.74193548387096786</v>
      </c>
      <c r="Y14" s="36">
        <f t="shared" si="29"/>
        <v>54435.806451612909</v>
      </c>
      <c r="Z14" s="203">
        <f>'B5'!C13</f>
        <v>237</v>
      </c>
      <c r="AA14" s="203">
        <f t="shared" si="30"/>
        <v>2370</v>
      </c>
      <c r="AB14" s="203">
        <f t="shared" si="31"/>
        <v>237</v>
      </c>
      <c r="AC14" s="203">
        <f t="shared" si="30"/>
        <v>2370</v>
      </c>
      <c r="AD14" s="203">
        <f t="shared" si="32"/>
        <v>237</v>
      </c>
      <c r="AE14" s="203">
        <f t="shared" si="11"/>
        <v>2370</v>
      </c>
      <c r="AF14" s="203">
        <f t="shared" si="33"/>
        <v>237</v>
      </c>
      <c r="AG14" s="203">
        <f t="shared" si="12"/>
        <v>2370</v>
      </c>
      <c r="AH14" s="203">
        <f t="shared" si="34"/>
        <v>237</v>
      </c>
      <c r="AI14" s="203">
        <f t="shared" si="13"/>
        <v>2370</v>
      </c>
      <c r="AJ14" s="203">
        <f t="shared" si="35"/>
        <v>237</v>
      </c>
      <c r="AK14" s="203">
        <f t="shared" si="14"/>
        <v>2370</v>
      </c>
      <c r="AL14" s="203">
        <f t="shared" si="36"/>
        <v>237</v>
      </c>
      <c r="AM14" s="203">
        <f t="shared" si="15"/>
        <v>2370</v>
      </c>
      <c r="AN14" s="35">
        <f t="shared" si="16"/>
        <v>0.84642857142857142</v>
      </c>
      <c r="AO14" s="36">
        <f t="shared" si="39"/>
        <v>16590</v>
      </c>
      <c r="AQ14" s="223">
        <f t="shared" si="40"/>
        <v>0.76396478919665389</v>
      </c>
      <c r="AR14" s="38">
        <f t="shared" si="41"/>
        <v>71025.806451612909</v>
      </c>
      <c r="AS14" s="197">
        <f t="shared" si="42"/>
        <v>0</v>
      </c>
      <c r="AT14" s="340"/>
      <c r="AU14" s="548"/>
      <c r="AV14" s="485">
        <f t="shared" si="43"/>
        <v>1.0089999999999999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1262.2109704647194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243</v>
      </c>
      <c r="C15" s="203">
        <f>B15*$B$4</f>
        <v>5228.4193548387093</v>
      </c>
      <c r="D15">
        <f t="shared" si="19"/>
        <v>243</v>
      </c>
      <c r="E15" s="203">
        <f t="shared" si="18"/>
        <v>5228.4193548387093</v>
      </c>
      <c r="F15">
        <f t="shared" si="20"/>
        <v>243</v>
      </c>
      <c r="G15" s="203">
        <f t="shared" si="1"/>
        <v>5228.4193548387093</v>
      </c>
      <c r="H15" s="203">
        <f t="shared" si="21"/>
        <v>243</v>
      </c>
      <c r="I15" s="203">
        <f t="shared" si="2"/>
        <v>5228.4193548387093</v>
      </c>
      <c r="J15" s="203">
        <f t="shared" si="22"/>
        <v>243</v>
      </c>
      <c r="K15" s="203">
        <f t="shared" si="3"/>
        <v>5228.4193548387093</v>
      </c>
      <c r="L15" s="203">
        <f t="shared" si="23"/>
        <v>243</v>
      </c>
      <c r="M15" s="203">
        <f t="shared" si="4"/>
        <v>5228.4193548387093</v>
      </c>
      <c r="N15" s="203">
        <f t="shared" si="24"/>
        <v>243</v>
      </c>
      <c r="O15" s="203">
        <f t="shared" si="5"/>
        <v>5228.4193548387093</v>
      </c>
      <c r="P15" s="203">
        <f t="shared" si="25"/>
        <v>243</v>
      </c>
      <c r="Q15" s="203">
        <f t="shared" si="6"/>
        <v>5228.4193548387093</v>
      </c>
      <c r="R15" s="203">
        <f t="shared" si="26"/>
        <v>243</v>
      </c>
      <c r="S15" s="203">
        <f t="shared" si="7"/>
        <v>5228.4193548387093</v>
      </c>
      <c r="T15" s="203">
        <f t="shared" si="27"/>
        <v>243</v>
      </c>
      <c r="U15" s="203">
        <f t="shared" si="8"/>
        <v>5228.4193548387093</v>
      </c>
      <c r="V15" s="203">
        <f t="shared" si="28"/>
        <v>243</v>
      </c>
      <c r="W15" s="203">
        <f t="shared" si="9"/>
        <v>5228.4193548387093</v>
      </c>
      <c r="X15" s="35">
        <f t="shared" si="10"/>
        <v>0.78387096774193554</v>
      </c>
      <c r="Y15" s="36">
        <f t="shared" si="29"/>
        <v>57512.61290322581</v>
      </c>
      <c r="Z15" s="203">
        <f>'B5'!C14</f>
        <v>250</v>
      </c>
      <c r="AA15" s="203">
        <f t="shared" si="30"/>
        <v>2500</v>
      </c>
      <c r="AB15" s="203">
        <f t="shared" si="31"/>
        <v>250</v>
      </c>
      <c r="AC15" s="203">
        <f t="shared" si="30"/>
        <v>2500</v>
      </c>
      <c r="AD15" s="203">
        <f t="shared" si="32"/>
        <v>250</v>
      </c>
      <c r="AE15" s="203">
        <f t="shared" si="11"/>
        <v>2500</v>
      </c>
      <c r="AF15" s="203">
        <f t="shared" si="33"/>
        <v>250</v>
      </c>
      <c r="AG15" s="203">
        <f t="shared" si="12"/>
        <v>2500</v>
      </c>
      <c r="AH15" s="203">
        <f t="shared" si="34"/>
        <v>250</v>
      </c>
      <c r="AI15" s="203">
        <f t="shared" si="13"/>
        <v>2500</v>
      </c>
      <c r="AJ15" s="203">
        <f t="shared" si="35"/>
        <v>250</v>
      </c>
      <c r="AK15" s="203">
        <f t="shared" si="14"/>
        <v>2500</v>
      </c>
      <c r="AL15" s="203">
        <f t="shared" si="36"/>
        <v>250</v>
      </c>
      <c r="AM15" s="203">
        <f t="shared" si="15"/>
        <v>2500</v>
      </c>
      <c r="AN15" s="35">
        <f t="shared" si="16"/>
        <v>0.8928571428571429</v>
      </c>
      <c r="AO15" s="36">
        <f t="shared" si="39"/>
        <v>17500</v>
      </c>
      <c r="AQ15" s="223">
        <f t="shared" si="40"/>
        <v>0.80684750890852763</v>
      </c>
      <c r="AR15" s="38">
        <f>Y15+AO15</f>
        <v>75012.612903225818</v>
      </c>
      <c r="AS15" s="197">
        <f t="shared" si="42"/>
        <v>-1113.1935483870911</v>
      </c>
      <c r="AT15" s="340">
        <v>5100</v>
      </c>
      <c r="AU15" s="548">
        <v>1.0089999999999999</v>
      </c>
      <c r="AV15" s="485">
        <f>IF(AT15&gt;0,AU15,AV14)</f>
        <v>1.0089999999999999</v>
      </c>
      <c r="AW15" s="279">
        <f>-SUM('B5'!AI14)</f>
        <v>-345</v>
      </c>
      <c r="AX15" s="279">
        <f t="shared" si="17"/>
        <v>-768.19354838709114</v>
      </c>
      <c r="AY15" s="37">
        <f t="shared" si="37"/>
        <v>-1113.1935483870911</v>
      </c>
      <c r="AZ15" s="100">
        <f>ELEC!A13</f>
        <v>0</v>
      </c>
      <c r="BA15" s="118">
        <f>'General information '!D14</f>
        <v>18.5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1596.8101265817393</v>
      </c>
      <c r="BF15" s="14"/>
      <c r="BG15" s="14" t="e">
        <f>#REF!-BE15</f>
        <v>#REF!</v>
      </c>
      <c r="BH15" s="11"/>
      <c r="BI15">
        <v>4</v>
      </c>
      <c r="BJ15">
        <f t="shared" si="38"/>
        <v>-192.04838709677279</v>
      </c>
      <c r="BK15" s="538">
        <f>GEN!AF12</f>
        <v>0.30650000000014188</v>
      </c>
    </row>
    <row r="16" spans="1:63">
      <c r="A16" s="425">
        <f>ELEC!C14</f>
        <v>44662</v>
      </c>
      <c r="B16">
        <f>'B5'!B15</f>
        <v>237</v>
      </c>
      <c r="C16" s="203">
        <f t="shared" si="18"/>
        <v>5099.322580645161</v>
      </c>
      <c r="D16">
        <f t="shared" si="19"/>
        <v>237</v>
      </c>
      <c r="E16" s="203">
        <f t="shared" si="18"/>
        <v>5099.322580645161</v>
      </c>
      <c r="F16">
        <f t="shared" si="20"/>
        <v>237</v>
      </c>
      <c r="G16" s="203">
        <f t="shared" si="1"/>
        <v>5099.322580645161</v>
      </c>
      <c r="H16" s="203">
        <f t="shared" si="21"/>
        <v>237</v>
      </c>
      <c r="I16" s="203">
        <f t="shared" si="2"/>
        <v>5099.322580645161</v>
      </c>
      <c r="J16" s="203">
        <f t="shared" si="22"/>
        <v>237</v>
      </c>
      <c r="K16" s="203">
        <f t="shared" si="3"/>
        <v>5099.322580645161</v>
      </c>
      <c r="L16" s="203">
        <f t="shared" si="23"/>
        <v>237</v>
      </c>
      <c r="M16" s="203">
        <f t="shared" si="4"/>
        <v>5099.322580645161</v>
      </c>
      <c r="N16" s="203">
        <f t="shared" si="24"/>
        <v>237</v>
      </c>
      <c r="O16" s="203">
        <f t="shared" si="5"/>
        <v>5099.322580645161</v>
      </c>
      <c r="P16" s="203">
        <f t="shared" si="25"/>
        <v>237</v>
      </c>
      <c r="Q16" s="203">
        <f t="shared" si="6"/>
        <v>5099.322580645161</v>
      </c>
      <c r="R16" s="203">
        <f t="shared" si="26"/>
        <v>237</v>
      </c>
      <c r="S16" s="203">
        <f t="shared" si="7"/>
        <v>5099.322580645161</v>
      </c>
      <c r="T16" s="203">
        <f t="shared" si="27"/>
        <v>237</v>
      </c>
      <c r="U16" s="203">
        <f t="shared" si="8"/>
        <v>5099.322580645161</v>
      </c>
      <c r="V16" s="203">
        <f t="shared" si="28"/>
        <v>237</v>
      </c>
      <c r="W16" s="203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3">
        <f>'B5'!C15</f>
        <v>245</v>
      </c>
      <c r="AA16" s="203">
        <f t="shared" si="30"/>
        <v>2450</v>
      </c>
      <c r="AB16" s="203">
        <f t="shared" si="31"/>
        <v>245</v>
      </c>
      <c r="AC16" s="203">
        <f t="shared" si="30"/>
        <v>2450</v>
      </c>
      <c r="AD16" s="203">
        <f t="shared" si="32"/>
        <v>245</v>
      </c>
      <c r="AE16" s="203">
        <f t="shared" si="11"/>
        <v>2450</v>
      </c>
      <c r="AF16" s="203">
        <f t="shared" si="33"/>
        <v>245</v>
      </c>
      <c r="AG16" s="203">
        <f t="shared" si="12"/>
        <v>2450</v>
      </c>
      <c r="AH16" s="203">
        <f t="shared" si="34"/>
        <v>245</v>
      </c>
      <c r="AI16" s="203">
        <f t="shared" si="13"/>
        <v>2450</v>
      </c>
      <c r="AJ16" s="203">
        <f t="shared" si="35"/>
        <v>245</v>
      </c>
      <c r="AK16" s="203">
        <f t="shared" si="14"/>
        <v>2450</v>
      </c>
      <c r="AL16" s="203">
        <f t="shared" si="36"/>
        <v>245</v>
      </c>
      <c r="AM16" s="203">
        <f t="shared" si="15"/>
        <v>2450</v>
      </c>
      <c r="AN16" s="35">
        <f t="shared" si="16"/>
        <v>0.875</v>
      </c>
      <c r="AO16" s="36">
        <f t="shared" si="39"/>
        <v>17150</v>
      </c>
      <c r="AQ16" s="223">
        <f t="shared" si="40"/>
        <v>0.78780841547915192</v>
      </c>
      <c r="AR16" s="38">
        <f t="shared" si="41"/>
        <v>73242.548387096758</v>
      </c>
      <c r="AS16" s="197">
        <f t="shared" si="42"/>
        <v>-1770.0645161290595</v>
      </c>
      <c r="AT16" s="340"/>
      <c r="AU16" s="548"/>
      <c r="AV16" s="485">
        <f t="shared" ref="AV16:AV21" si="45">IF(AT16&gt;0,AU16,AV15)</f>
        <v>1.0089999999999999</v>
      </c>
      <c r="AW16" s="279">
        <f>-SUM('B5'!AI15)</f>
        <v>-386</v>
      </c>
      <c r="AX16" s="279">
        <f t="shared" si="17"/>
        <v>-1384.0645161290595</v>
      </c>
      <c r="AY16" s="37">
        <f t="shared" si="37"/>
        <v>-1770.0645161290595</v>
      </c>
      <c r="AZ16" s="100">
        <f>ELEC!A14</f>
        <v>0</v>
      </c>
      <c r="BA16" s="118">
        <f>'General information '!D15</f>
        <v>18.5</v>
      </c>
      <c r="BB16" s="378">
        <f>SUM('General information '!E15)</f>
        <v>0.82</v>
      </c>
      <c r="BC16" s="3">
        <f t="shared" si="44"/>
        <v>0</v>
      </c>
      <c r="BD16" s="102">
        <v>19222</v>
      </c>
      <c r="BE16" s="14">
        <f>(305/1185)*ELEC!Q15</f>
        <v>536.90295358632568</v>
      </c>
      <c r="BF16" s="14"/>
      <c r="BG16" s="14" t="e">
        <f>#REF!-BE16</f>
        <v>#REF!</v>
      </c>
      <c r="BH16" s="11"/>
      <c r="BI16">
        <v>3</v>
      </c>
      <c r="BJ16">
        <f t="shared" si="38"/>
        <v>-461.35483870968648</v>
      </c>
      <c r="BK16" s="538">
        <f>GEN!AF13</f>
        <v>0.25849999999991269</v>
      </c>
    </row>
    <row r="17" spans="1:64">
      <c r="A17" s="425">
        <f>ELEC!C15</f>
        <v>44663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-2216.7419354838494</v>
      </c>
      <c r="AU17" s="3"/>
      <c r="AV17" s="485">
        <f t="shared" si="45"/>
        <v>1.0089999999999999</v>
      </c>
      <c r="AW17" s="279">
        <f>-SUM('B5'!AI16)</f>
        <v>-296</v>
      </c>
      <c r="AX17" s="279">
        <f t="shared" si="17"/>
        <v>-1920.7419354838494</v>
      </c>
      <c r="AY17" s="37">
        <f t="shared" si="37"/>
        <v>-2216.7419354838494</v>
      </c>
      <c r="AZ17" s="100">
        <f>ELEC!A15</f>
        <v>0</v>
      </c>
      <c r="BA17" s="118">
        <f>'General information '!D16</f>
        <v>18</v>
      </c>
      <c r="BB17" s="378">
        <f>SUM('General information '!E16)</f>
        <v>0.57999999999999996</v>
      </c>
      <c r="BC17" s="3">
        <f t="shared" si="44"/>
        <v>0</v>
      </c>
      <c r="BD17" s="102">
        <v>19222</v>
      </c>
      <c r="BE17" s="14">
        <f>(305/1185)*ELEC!Q16</f>
        <v>1334.2784810129431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-480.18548387096234</v>
      </c>
      <c r="BK17" s="538">
        <f>GEN!AF14</f>
        <v>0.26074999999991633</v>
      </c>
    </row>
    <row r="18" spans="1:64">
      <c r="A18" s="425">
        <f>ELEC!C16</f>
        <v>44664</v>
      </c>
      <c r="B18">
        <f>'B5'!B17</f>
        <v>242</v>
      </c>
      <c r="C18" s="203">
        <f t="shared" si="18"/>
        <v>5206.9032258064517</v>
      </c>
      <c r="D18">
        <f t="shared" si="19"/>
        <v>242</v>
      </c>
      <c r="E18" s="203">
        <f t="shared" si="18"/>
        <v>5206.9032258064517</v>
      </c>
      <c r="F18">
        <f t="shared" si="20"/>
        <v>242</v>
      </c>
      <c r="G18" s="203">
        <f t="shared" si="1"/>
        <v>5206.9032258064517</v>
      </c>
      <c r="H18" s="203">
        <f t="shared" si="21"/>
        <v>242</v>
      </c>
      <c r="I18" s="203">
        <f t="shared" si="2"/>
        <v>5206.9032258064517</v>
      </c>
      <c r="J18" s="203">
        <f t="shared" si="22"/>
        <v>242</v>
      </c>
      <c r="K18" s="203">
        <f t="shared" si="3"/>
        <v>5206.9032258064517</v>
      </c>
      <c r="L18" s="203">
        <f t="shared" si="23"/>
        <v>242</v>
      </c>
      <c r="M18" s="203">
        <f t="shared" si="4"/>
        <v>5206.9032258064517</v>
      </c>
      <c r="N18" s="203">
        <f t="shared" si="24"/>
        <v>242</v>
      </c>
      <c r="O18" s="203">
        <f t="shared" si="5"/>
        <v>5206.9032258064517</v>
      </c>
      <c r="P18" s="203">
        <f t="shared" si="25"/>
        <v>242</v>
      </c>
      <c r="Q18" s="203">
        <f t="shared" si="6"/>
        <v>5206.9032258064517</v>
      </c>
      <c r="R18" s="203">
        <f t="shared" si="26"/>
        <v>242</v>
      </c>
      <c r="S18" s="203">
        <f t="shared" si="7"/>
        <v>5206.9032258064517</v>
      </c>
      <c r="T18" s="203">
        <f t="shared" si="27"/>
        <v>242</v>
      </c>
      <c r="U18" s="203">
        <f t="shared" si="8"/>
        <v>5206.9032258064517</v>
      </c>
      <c r="V18" s="203">
        <f t="shared" si="28"/>
        <v>242</v>
      </c>
      <c r="W18" s="203">
        <f t="shared" si="9"/>
        <v>5206.9032258064517</v>
      </c>
      <c r="X18" s="35">
        <f t="shared" si="10"/>
        <v>0.78064516129032269</v>
      </c>
      <c r="Y18" s="36">
        <f t="shared" si="29"/>
        <v>57275.935483870977</v>
      </c>
      <c r="Z18" s="203">
        <f>'B5'!C17</f>
        <v>249</v>
      </c>
      <c r="AA18" s="203">
        <f t="shared" si="30"/>
        <v>2490</v>
      </c>
      <c r="AB18" s="203">
        <f t="shared" si="31"/>
        <v>249</v>
      </c>
      <c r="AC18" s="203">
        <f t="shared" si="30"/>
        <v>2490</v>
      </c>
      <c r="AD18" s="203">
        <f t="shared" si="32"/>
        <v>249</v>
      </c>
      <c r="AE18" s="203">
        <f t="shared" si="11"/>
        <v>2490</v>
      </c>
      <c r="AF18" s="203">
        <f t="shared" si="33"/>
        <v>249</v>
      </c>
      <c r="AG18" s="203">
        <f t="shared" si="12"/>
        <v>2490</v>
      </c>
      <c r="AH18" s="203">
        <f t="shared" si="34"/>
        <v>249</v>
      </c>
      <c r="AI18" s="203">
        <f t="shared" si="13"/>
        <v>2490</v>
      </c>
      <c r="AJ18" s="203">
        <f t="shared" si="35"/>
        <v>249</v>
      </c>
      <c r="AK18" s="203">
        <f t="shared" si="14"/>
        <v>2490</v>
      </c>
      <c r="AL18" s="203">
        <f t="shared" si="36"/>
        <v>249</v>
      </c>
      <c r="AM18" s="203">
        <f t="shared" si="15"/>
        <v>2490</v>
      </c>
      <c r="AN18" s="35">
        <f t="shared" si="16"/>
        <v>0.88928571428571423</v>
      </c>
      <c r="AO18" s="36">
        <f t="shared" si="39"/>
        <v>17430</v>
      </c>
      <c r="AQ18" s="223">
        <f t="shared" si="40"/>
        <v>0.80354883816146039</v>
      </c>
      <c r="AR18" s="38">
        <f t="shared" si="41"/>
        <v>74705.93548387097</v>
      </c>
      <c r="AS18" s="197">
        <f>SUM(AR18-AR17-AT18)</f>
        <v>-1319.8709677419392</v>
      </c>
      <c r="AT18" s="340">
        <v>5000</v>
      </c>
      <c r="AU18" s="548">
        <v>1.0129999999999999</v>
      </c>
      <c r="AV18" s="485">
        <f t="shared" si="45"/>
        <v>1.0129999999999999</v>
      </c>
      <c r="AW18" s="279">
        <f>-SUM('B5'!AI17)</f>
        <v>-370</v>
      </c>
      <c r="AX18" s="279">
        <f t="shared" si="17"/>
        <v>-949.87096774193924</v>
      </c>
      <c r="AY18" s="37">
        <f t="shared" si="37"/>
        <v>-1319.8709677419392</v>
      </c>
      <c r="AZ18" s="100">
        <f>ELEC!A16</f>
        <v>0</v>
      </c>
      <c r="BA18" s="118">
        <f>'General information '!D17</f>
        <v>18.5</v>
      </c>
      <c r="BB18" s="378">
        <f>SUM('General information '!E17)</f>
        <v>0.59</v>
      </c>
      <c r="BC18" s="3">
        <f t="shared" si="44"/>
        <v>1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-189.97419354838786</v>
      </c>
      <c r="BK18" s="538">
        <f>GEN!AF15</f>
        <v>0.29454545454551739</v>
      </c>
    </row>
    <row r="19" spans="1:64">
      <c r="A19" s="425">
        <f>ELEC!C17</f>
        <v>44665</v>
      </c>
      <c r="B19">
        <f>'B5'!B18</f>
        <v>242</v>
      </c>
      <c r="C19" s="203">
        <f t="shared" si="18"/>
        <v>5206.9032258064517</v>
      </c>
      <c r="D19">
        <f t="shared" si="19"/>
        <v>242</v>
      </c>
      <c r="E19" s="203">
        <f t="shared" si="18"/>
        <v>5206.9032258064517</v>
      </c>
      <c r="F19">
        <f t="shared" si="20"/>
        <v>242</v>
      </c>
      <c r="G19" s="203">
        <f t="shared" si="1"/>
        <v>5206.9032258064517</v>
      </c>
      <c r="H19" s="203">
        <f t="shared" si="21"/>
        <v>242</v>
      </c>
      <c r="I19" s="203">
        <f t="shared" si="2"/>
        <v>5206.9032258064517</v>
      </c>
      <c r="J19" s="203">
        <f t="shared" si="22"/>
        <v>242</v>
      </c>
      <c r="K19" s="203">
        <f t="shared" si="3"/>
        <v>5206.9032258064517</v>
      </c>
      <c r="L19" s="203">
        <f t="shared" si="23"/>
        <v>242</v>
      </c>
      <c r="M19" s="203">
        <f t="shared" si="4"/>
        <v>5206.9032258064517</v>
      </c>
      <c r="N19" s="203">
        <f t="shared" si="24"/>
        <v>242</v>
      </c>
      <c r="O19" s="203">
        <f t="shared" si="5"/>
        <v>5206.9032258064517</v>
      </c>
      <c r="P19" s="203">
        <f t="shared" si="25"/>
        <v>242</v>
      </c>
      <c r="Q19" s="203">
        <f t="shared" si="6"/>
        <v>5206.9032258064517</v>
      </c>
      <c r="R19" s="203">
        <f t="shared" si="26"/>
        <v>242</v>
      </c>
      <c r="S19" s="203">
        <f t="shared" si="7"/>
        <v>5206.9032258064517</v>
      </c>
      <c r="T19" s="203">
        <f t="shared" si="27"/>
        <v>242</v>
      </c>
      <c r="U19" s="203">
        <f t="shared" si="8"/>
        <v>5206.9032258064517</v>
      </c>
      <c r="V19" s="203">
        <f t="shared" si="28"/>
        <v>242</v>
      </c>
      <c r="W19" s="203">
        <f t="shared" si="9"/>
        <v>5206.9032258064517</v>
      </c>
      <c r="X19" s="35">
        <f t="shared" si="10"/>
        <v>0.78064516129032269</v>
      </c>
      <c r="Y19" s="36">
        <f t="shared" si="29"/>
        <v>57275.935483870977</v>
      </c>
      <c r="Z19" s="203">
        <f>'B5'!C18</f>
        <v>249</v>
      </c>
      <c r="AA19" s="203">
        <f t="shared" si="30"/>
        <v>2490</v>
      </c>
      <c r="AB19" s="203">
        <f t="shared" si="31"/>
        <v>249</v>
      </c>
      <c r="AC19" s="203">
        <f t="shared" si="30"/>
        <v>2490</v>
      </c>
      <c r="AD19" s="203">
        <f t="shared" si="32"/>
        <v>249</v>
      </c>
      <c r="AE19" s="203">
        <f t="shared" si="11"/>
        <v>2490</v>
      </c>
      <c r="AF19" s="203">
        <f t="shared" si="33"/>
        <v>249</v>
      </c>
      <c r="AG19" s="203">
        <f t="shared" si="12"/>
        <v>2490</v>
      </c>
      <c r="AH19" s="203">
        <f t="shared" si="34"/>
        <v>249</v>
      </c>
      <c r="AI19" s="203">
        <f t="shared" si="13"/>
        <v>2490</v>
      </c>
      <c r="AJ19" s="203">
        <f t="shared" si="35"/>
        <v>249</v>
      </c>
      <c r="AK19" s="203">
        <f t="shared" si="14"/>
        <v>2490</v>
      </c>
      <c r="AL19" s="203">
        <f t="shared" si="36"/>
        <v>249</v>
      </c>
      <c r="AM19" s="203">
        <f t="shared" si="15"/>
        <v>2490</v>
      </c>
      <c r="AN19" s="35">
        <f t="shared" si="16"/>
        <v>0.88928571428571423</v>
      </c>
      <c r="AO19" s="36">
        <f t="shared" si="39"/>
        <v>17430</v>
      </c>
      <c r="AQ19" s="223">
        <f t="shared" si="40"/>
        <v>0.80354883816146039</v>
      </c>
      <c r="AR19" s="38">
        <f t="shared" si="41"/>
        <v>74705.93548387097</v>
      </c>
      <c r="AS19" s="197">
        <f t="shared" ref="AS19:AS32" si="47">SUM(AR19-AR18-AT19)</f>
        <v>0</v>
      </c>
      <c r="AT19" s="340"/>
      <c r="AU19" s="548"/>
      <c r="AV19" s="485">
        <f t="shared" si="45"/>
        <v>1.0129999999999999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242</v>
      </c>
      <c r="C20" s="203">
        <f t="shared" si="18"/>
        <v>5206.9032258064517</v>
      </c>
      <c r="D20">
        <f t="shared" si="19"/>
        <v>242</v>
      </c>
      <c r="E20" s="203">
        <f t="shared" si="18"/>
        <v>5206.9032258064517</v>
      </c>
      <c r="F20">
        <f t="shared" si="20"/>
        <v>242</v>
      </c>
      <c r="G20" s="203">
        <f t="shared" si="1"/>
        <v>5206.9032258064517</v>
      </c>
      <c r="H20" s="203">
        <f t="shared" si="21"/>
        <v>242</v>
      </c>
      <c r="I20" s="203">
        <f t="shared" si="2"/>
        <v>5206.9032258064517</v>
      </c>
      <c r="J20" s="203">
        <f t="shared" si="22"/>
        <v>242</v>
      </c>
      <c r="K20" s="203">
        <f t="shared" si="3"/>
        <v>5206.9032258064517</v>
      </c>
      <c r="L20" s="203">
        <f t="shared" si="23"/>
        <v>242</v>
      </c>
      <c r="M20" s="203">
        <f t="shared" si="4"/>
        <v>5206.9032258064517</v>
      </c>
      <c r="N20" s="203">
        <f t="shared" si="24"/>
        <v>242</v>
      </c>
      <c r="O20" s="203">
        <f t="shared" si="5"/>
        <v>5206.9032258064517</v>
      </c>
      <c r="P20" s="203">
        <f t="shared" si="25"/>
        <v>242</v>
      </c>
      <c r="Q20" s="203">
        <f t="shared" si="6"/>
        <v>5206.9032258064517</v>
      </c>
      <c r="R20" s="203">
        <f t="shared" si="26"/>
        <v>242</v>
      </c>
      <c r="S20" s="203">
        <f t="shared" si="7"/>
        <v>5206.9032258064517</v>
      </c>
      <c r="T20" s="203">
        <f t="shared" si="27"/>
        <v>242</v>
      </c>
      <c r="U20" s="203">
        <f t="shared" si="8"/>
        <v>5206.9032258064517</v>
      </c>
      <c r="V20" s="203">
        <f t="shared" si="28"/>
        <v>242</v>
      </c>
      <c r="W20" s="203">
        <f t="shared" si="9"/>
        <v>5206.9032258064517</v>
      </c>
      <c r="X20" s="35">
        <f t="shared" si="10"/>
        <v>0.78064516129032269</v>
      </c>
      <c r="Y20" s="36">
        <f t="shared" si="29"/>
        <v>57275.935483870977</v>
      </c>
      <c r="Z20" s="203">
        <f>'B5'!C19</f>
        <v>249</v>
      </c>
      <c r="AA20" s="203">
        <f t="shared" si="30"/>
        <v>2490</v>
      </c>
      <c r="AB20" s="203">
        <f t="shared" si="31"/>
        <v>249</v>
      </c>
      <c r="AC20" s="203">
        <f t="shared" si="30"/>
        <v>2490</v>
      </c>
      <c r="AD20" s="203">
        <f t="shared" si="32"/>
        <v>249</v>
      </c>
      <c r="AE20" s="203">
        <f t="shared" si="11"/>
        <v>2490</v>
      </c>
      <c r="AF20" s="203">
        <f t="shared" si="33"/>
        <v>249</v>
      </c>
      <c r="AG20" s="203">
        <f t="shared" si="12"/>
        <v>2490</v>
      </c>
      <c r="AH20" s="203">
        <f t="shared" si="34"/>
        <v>249</v>
      </c>
      <c r="AI20" s="203">
        <f t="shared" si="13"/>
        <v>2490</v>
      </c>
      <c r="AJ20" s="203">
        <f t="shared" si="35"/>
        <v>249</v>
      </c>
      <c r="AK20" s="203">
        <f t="shared" si="14"/>
        <v>2490</v>
      </c>
      <c r="AL20" s="203">
        <f t="shared" si="36"/>
        <v>249</v>
      </c>
      <c r="AM20" s="203">
        <f t="shared" si="15"/>
        <v>2490</v>
      </c>
      <c r="AN20" s="35">
        <f t="shared" si="16"/>
        <v>0.88928571428571423</v>
      </c>
      <c r="AO20" s="36">
        <f t="shared" si="39"/>
        <v>17430</v>
      </c>
      <c r="AQ20" s="223">
        <f t="shared" si="40"/>
        <v>0.80354883816146039</v>
      </c>
      <c r="AR20" s="38">
        <f t="shared" si="41"/>
        <v>74705.93548387097</v>
      </c>
      <c r="AS20" s="197">
        <f>SUM(AR20-AR19-AT20)</f>
        <v>0</v>
      </c>
      <c r="AT20" s="340"/>
      <c r="AU20" s="548"/>
      <c r="AV20" s="485">
        <f t="shared" si="45"/>
        <v>1.0129999999999999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242</v>
      </c>
      <c r="C21" s="203">
        <f t="shared" si="18"/>
        <v>5206.9032258064517</v>
      </c>
      <c r="D21">
        <f t="shared" si="19"/>
        <v>242</v>
      </c>
      <c r="E21" s="203">
        <f t="shared" si="18"/>
        <v>5206.9032258064517</v>
      </c>
      <c r="F21">
        <f t="shared" si="20"/>
        <v>242</v>
      </c>
      <c r="G21" s="203">
        <f t="shared" si="1"/>
        <v>5206.9032258064517</v>
      </c>
      <c r="H21" s="203">
        <f t="shared" si="21"/>
        <v>242</v>
      </c>
      <c r="I21" s="203">
        <f t="shared" si="2"/>
        <v>5206.9032258064517</v>
      </c>
      <c r="J21" s="203">
        <f t="shared" si="22"/>
        <v>242</v>
      </c>
      <c r="K21" s="203">
        <f t="shared" si="3"/>
        <v>5206.9032258064517</v>
      </c>
      <c r="L21" s="203">
        <f t="shared" si="23"/>
        <v>242</v>
      </c>
      <c r="M21" s="203">
        <f t="shared" si="4"/>
        <v>5206.9032258064517</v>
      </c>
      <c r="N21" s="203">
        <f t="shared" si="24"/>
        <v>242</v>
      </c>
      <c r="O21" s="203">
        <f t="shared" si="5"/>
        <v>5206.9032258064517</v>
      </c>
      <c r="P21" s="203">
        <f t="shared" si="25"/>
        <v>242</v>
      </c>
      <c r="Q21" s="203">
        <f t="shared" si="6"/>
        <v>5206.9032258064517</v>
      </c>
      <c r="R21" s="203">
        <f t="shared" si="26"/>
        <v>242</v>
      </c>
      <c r="S21" s="203">
        <f t="shared" si="7"/>
        <v>5206.9032258064517</v>
      </c>
      <c r="T21" s="203">
        <f t="shared" si="27"/>
        <v>242</v>
      </c>
      <c r="U21" s="203">
        <f t="shared" si="8"/>
        <v>5206.9032258064517</v>
      </c>
      <c r="V21" s="203">
        <f t="shared" si="28"/>
        <v>242</v>
      </c>
      <c r="W21" s="203">
        <f t="shared" si="9"/>
        <v>5206.9032258064517</v>
      </c>
      <c r="X21" s="35">
        <f t="shared" si="10"/>
        <v>0.78064516129032269</v>
      </c>
      <c r="Y21" s="36">
        <f t="shared" si="29"/>
        <v>57275.935483870977</v>
      </c>
      <c r="Z21" s="203">
        <f>'B5'!C20</f>
        <v>249</v>
      </c>
      <c r="AA21" s="203">
        <f t="shared" si="30"/>
        <v>2490</v>
      </c>
      <c r="AB21" s="203">
        <f t="shared" si="31"/>
        <v>249</v>
      </c>
      <c r="AC21" s="203">
        <f t="shared" si="30"/>
        <v>2490</v>
      </c>
      <c r="AD21" s="203">
        <f t="shared" si="32"/>
        <v>249</v>
      </c>
      <c r="AE21" s="203">
        <f t="shared" si="11"/>
        <v>2490</v>
      </c>
      <c r="AF21" s="203">
        <f t="shared" si="33"/>
        <v>249</v>
      </c>
      <c r="AG21" s="203">
        <f t="shared" si="12"/>
        <v>2490</v>
      </c>
      <c r="AH21" s="203">
        <f t="shared" si="34"/>
        <v>249</v>
      </c>
      <c r="AI21" s="203">
        <f t="shared" si="13"/>
        <v>2490</v>
      </c>
      <c r="AJ21" s="203">
        <f t="shared" si="35"/>
        <v>249</v>
      </c>
      <c r="AK21" s="203">
        <f t="shared" si="14"/>
        <v>2490</v>
      </c>
      <c r="AL21" s="203">
        <f t="shared" si="36"/>
        <v>249</v>
      </c>
      <c r="AM21" s="203">
        <f t="shared" si="15"/>
        <v>2490</v>
      </c>
      <c r="AN21" s="35">
        <f t="shared" si="16"/>
        <v>0.88928571428571423</v>
      </c>
      <c r="AO21" s="36">
        <f t="shared" si="39"/>
        <v>17430</v>
      </c>
      <c r="AQ21" s="223">
        <f t="shared" si="40"/>
        <v>0.80354883816146039</v>
      </c>
      <c r="AR21" s="38">
        <f t="shared" si="41"/>
        <v>74705.93548387097</v>
      </c>
      <c r="AS21" s="197">
        <f>SUM(AR21-AR20-AT21)</f>
        <v>0</v>
      </c>
      <c r="AT21" s="340"/>
      <c r="AU21" s="548"/>
      <c r="AV21" s="485">
        <f t="shared" si="45"/>
        <v>1.0129999999999999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242</v>
      </c>
      <c r="C22" s="203">
        <f t="shared" si="18"/>
        <v>5206.9032258064517</v>
      </c>
      <c r="D22">
        <f t="shared" si="19"/>
        <v>242</v>
      </c>
      <c r="E22" s="203">
        <f t="shared" si="18"/>
        <v>5206.9032258064517</v>
      </c>
      <c r="F22">
        <f t="shared" si="20"/>
        <v>242</v>
      </c>
      <c r="G22" s="203">
        <f t="shared" si="1"/>
        <v>5206.9032258064517</v>
      </c>
      <c r="H22" s="203">
        <f t="shared" si="21"/>
        <v>242</v>
      </c>
      <c r="I22" s="203">
        <f t="shared" si="2"/>
        <v>5206.9032258064517</v>
      </c>
      <c r="J22" s="203">
        <f t="shared" si="22"/>
        <v>242</v>
      </c>
      <c r="K22" s="203">
        <f t="shared" si="3"/>
        <v>5206.9032258064517</v>
      </c>
      <c r="L22" s="203">
        <f t="shared" si="23"/>
        <v>242</v>
      </c>
      <c r="M22" s="203">
        <f t="shared" si="4"/>
        <v>5206.9032258064517</v>
      </c>
      <c r="N22" s="203">
        <f t="shared" si="24"/>
        <v>242</v>
      </c>
      <c r="O22" s="203">
        <f t="shared" si="5"/>
        <v>5206.9032258064517</v>
      </c>
      <c r="P22" s="203">
        <f t="shared" si="25"/>
        <v>242</v>
      </c>
      <c r="Q22" s="203">
        <f t="shared" si="6"/>
        <v>5206.9032258064517</v>
      </c>
      <c r="R22" s="203">
        <f t="shared" si="26"/>
        <v>242</v>
      </c>
      <c r="S22" s="203">
        <f t="shared" si="7"/>
        <v>5206.9032258064517</v>
      </c>
      <c r="T22" s="203">
        <f t="shared" si="27"/>
        <v>242</v>
      </c>
      <c r="U22" s="203">
        <f t="shared" si="8"/>
        <v>5206.9032258064517</v>
      </c>
      <c r="V22" s="203">
        <f t="shared" si="28"/>
        <v>242</v>
      </c>
      <c r="W22" s="203">
        <f t="shared" si="9"/>
        <v>5206.9032258064517</v>
      </c>
      <c r="X22" s="35">
        <f t="shared" si="10"/>
        <v>0.78064516129032269</v>
      </c>
      <c r="Y22" s="36">
        <f t="shared" si="29"/>
        <v>57275.935483870977</v>
      </c>
      <c r="Z22" s="203">
        <f>'B5'!C21</f>
        <v>249</v>
      </c>
      <c r="AA22" s="203">
        <f t="shared" si="30"/>
        <v>2490</v>
      </c>
      <c r="AB22" s="203">
        <f t="shared" si="31"/>
        <v>249</v>
      </c>
      <c r="AC22" s="203">
        <f t="shared" si="30"/>
        <v>2490</v>
      </c>
      <c r="AD22" s="203">
        <f t="shared" si="32"/>
        <v>249</v>
      </c>
      <c r="AE22" s="203">
        <f t="shared" si="11"/>
        <v>2490</v>
      </c>
      <c r="AF22" s="203">
        <f t="shared" si="33"/>
        <v>249</v>
      </c>
      <c r="AG22" s="203">
        <f t="shared" si="12"/>
        <v>2490</v>
      </c>
      <c r="AH22" s="203">
        <f t="shared" si="34"/>
        <v>249</v>
      </c>
      <c r="AI22" s="203">
        <f t="shared" si="13"/>
        <v>2490</v>
      </c>
      <c r="AJ22" s="203">
        <f t="shared" si="35"/>
        <v>249</v>
      </c>
      <c r="AK22" s="203">
        <f t="shared" si="14"/>
        <v>2490</v>
      </c>
      <c r="AL22" s="203">
        <f t="shared" si="36"/>
        <v>249</v>
      </c>
      <c r="AM22" s="203">
        <f t="shared" si="15"/>
        <v>2490</v>
      </c>
      <c r="AN22" s="35">
        <f t="shared" si="16"/>
        <v>0.88928571428571423</v>
      </c>
      <c r="AO22" s="36">
        <f t="shared" si="39"/>
        <v>17430</v>
      </c>
      <c r="AQ22" s="223">
        <f t="shared" si="40"/>
        <v>0.80354883816146039</v>
      </c>
      <c r="AR22" s="38">
        <f t="shared" si="41"/>
        <v>74705.93548387097</v>
      </c>
      <c r="AS22" s="197">
        <f t="shared" si="47"/>
        <v>0</v>
      </c>
      <c r="AT22" s="340"/>
      <c r="AU22" s="548"/>
      <c r="AV22" s="485">
        <f t="shared" si="43"/>
        <v>1.0129999999999999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1029.2784810126059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237</v>
      </c>
      <c r="C23" s="203">
        <f t="shared" si="18"/>
        <v>5099.322580645161</v>
      </c>
      <c r="D23">
        <f t="shared" si="19"/>
        <v>237</v>
      </c>
      <c r="E23" s="203">
        <f t="shared" si="18"/>
        <v>5099.322580645161</v>
      </c>
      <c r="F23">
        <f t="shared" si="20"/>
        <v>237</v>
      </c>
      <c r="G23" s="203">
        <f t="shared" si="1"/>
        <v>5099.322580645161</v>
      </c>
      <c r="H23" s="203">
        <f t="shared" si="21"/>
        <v>237</v>
      </c>
      <c r="I23" s="203">
        <f t="shared" si="2"/>
        <v>5099.322580645161</v>
      </c>
      <c r="J23" s="203">
        <f t="shared" si="22"/>
        <v>237</v>
      </c>
      <c r="K23" s="203">
        <f t="shared" si="3"/>
        <v>5099.322580645161</v>
      </c>
      <c r="L23" s="203">
        <f t="shared" si="23"/>
        <v>237</v>
      </c>
      <c r="M23" s="203">
        <f t="shared" si="4"/>
        <v>5099.322580645161</v>
      </c>
      <c r="N23" s="203">
        <f t="shared" si="24"/>
        <v>237</v>
      </c>
      <c r="O23" s="203">
        <f t="shared" si="5"/>
        <v>5099.322580645161</v>
      </c>
      <c r="P23" s="203">
        <f t="shared" si="25"/>
        <v>237</v>
      </c>
      <c r="Q23" s="203">
        <f t="shared" si="6"/>
        <v>5099.322580645161</v>
      </c>
      <c r="R23" s="203">
        <f t="shared" si="26"/>
        <v>237</v>
      </c>
      <c r="S23" s="203">
        <f t="shared" si="7"/>
        <v>5099.322580645161</v>
      </c>
      <c r="T23" s="203">
        <f t="shared" si="27"/>
        <v>237</v>
      </c>
      <c r="U23" s="203">
        <f t="shared" si="8"/>
        <v>5099.322580645161</v>
      </c>
      <c r="V23" s="203">
        <f t="shared" si="28"/>
        <v>237</v>
      </c>
      <c r="W23" s="203">
        <f t="shared" si="9"/>
        <v>5099.322580645161</v>
      </c>
      <c r="X23" s="35">
        <f t="shared" si="10"/>
        <v>0.76451612903225785</v>
      </c>
      <c r="Y23" s="36">
        <f t="shared" si="29"/>
        <v>56092.548387096758</v>
      </c>
      <c r="Z23" s="203">
        <f>'B5'!C22</f>
        <v>243</v>
      </c>
      <c r="AA23" s="203">
        <f t="shared" si="30"/>
        <v>2430</v>
      </c>
      <c r="AB23" s="203">
        <f t="shared" si="31"/>
        <v>243</v>
      </c>
      <c r="AC23" s="203">
        <f t="shared" si="30"/>
        <v>2430</v>
      </c>
      <c r="AD23" s="203">
        <f t="shared" si="32"/>
        <v>243</v>
      </c>
      <c r="AE23" s="203">
        <f t="shared" si="11"/>
        <v>2430</v>
      </c>
      <c r="AF23" s="203">
        <f t="shared" si="33"/>
        <v>243</v>
      </c>
      <c r="AG23" s="203">
        <f t="shared" si="12"/>
        <v>2430</v>
      </c>
      <c r="AH23" s="203">
        <f t="shared" si="34"/>
        <v>243</v>
      </c>
      <c r="AI23" s="203">
        <f t="shared" si="13"/>
        <v>2430</v>
      </c>
      <c r="AJ23" s="203">
        <f t="shared" si="35"/>
        <v>243</v>
      </c>
      <c r="AK23" s="203">
        <f t="shared" si="14"/>
        <v>2430</v>
      </c>
      <c r="AL23" s="203">
        <f t="shared" si="36"/>
        <v>243</v>
      </c>
      <c r="AM23" s="203">
        <f t="shared" si="15"/>
        <v>2430</v>
      </c>
      <c r="AN23" s="35">
        <f t="shared" si="16"/>
        <v>0.86785714285714288</v>
      </c>
      <c r="AO23" s="36">
        <f t="shared" si="39"/>
        <v>17010</v>
      </c>
      <c r="AQ23" s="223">
        <f t="shared" si="40"/>
        <v>0.78630255337309629</v>
      </c>
      <c r="AR23" s="38">
        <f t="shared" si="41"/>
        <v>73102.548387096758</v>
      </c>
      <c r="AS23" s="197">
        <f t="shared" si="47"/>
        <v>-1603.3870967742114</v>
      </c>
      <c r="AT23" s="340"/>
      <c r="AU23" s="548"/>
      <c r="AV23" s="485">
        <f t="shared" si="43"/>
        <v>1.0129999999999999</v>
      </c>
      <c r="AW23" s="279">
        <f>-SUM('B5'!AI22)</f>
        <v>-251</v>
      </c>
      <c r="AX23" s="279">
        <f t="shared" si="17"/>
        <v>-1352.3870967742114</v>
      </c>
      <c r="AY23" s="37">
        <f t="shared" si="37"/>
        <v>-1603.3870967742114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0.41</v>
      </c>
      <c r="BC23" s="3">
        <f t="shared" si="44"/>
        <v>0</v>
      </c>
      <c r="BD23" s="102">
        <v>19222</v>
      </c>
      <c r="BE23" s="14">
        <f>(305/1185)*ELEC!Q22</f>
        <v>1135.8354430380946</v>
      </c>
      <c r="BF23" s="14"/>
      <c r="BG23" s="14" t="e">
        <f>#REF!-BE23</f>
        <v>#REF!</v>
      </c>
      <c r="BH23" s="11"/>
      <c r="BI23">
        <v>10</v>
      </c>
      <c r="BJ23">
        <f t="shared" si="46"/>
        <v>-135.23870967742113</v>
      </c>
      <c r="BK23" s="538">
        <f>GEN!AF20</f>
        <v>0.27770833333331918</v>
      </c>
    </row>
    <row r="24" spans="1:64">
      <c r="A24" s="425">
        <f>ELEC!C22</f>
        <v>44670</v>
      </c>
      <c r="B24">
        <f>'B5'!B23</f>
        <v>230</v>
      </c>
      <c r="C24" s="203">
        <f t="shared" si="18"/>
        <v>4948.7096774193551</v>
      </c>
      <c r="D24">
        <f t="shared" si="19"/>
        <v>230</v>
      </c>
      <c r="E24" s="203">
        <f t="shared" si="18"/>
        <v>4948.7096774193551</v>
      </c>
      <c r="F24">
        <f t="shared" si="20"/>
        <v>230</v>
      </c>
      <c r="G24" s="203">
        <f t="shared" si="1"/>
        <v>4948.7096774193551</v>
      </c>
      <c r="H24" s="203">
        <f t="shared" si="21"/>
        <v>230</v>
      </c>
      <c r="I24" s="203">
        <f t="shared" si="2"/>
        <v>4948.7096774193551</v>
      </c>
      <c r="J24" s="203">
        <f t="shared" si="22"/>
        <v>230</v>
      </c>
      <c r="K24" s="203">
        <f t="shared" si="3"/>
        <v>4948.7096774193551</v>
      </c>
      <c r="L24" s="203">
        <f t="shared" si="23"/>
        <v>230</v>
      </c>
      <c r="M24" s="203">
        <f t="shared" si="4"/>
        <v>4948.7096774193551</v>
      </c>
      <c r="N24" s="203">
        <f t="shared" si="24"/>
        <v>230</v>
      </c>
      <c r="O24" s="203">
        <f t="shared" si="5"/>
        <v>4948.7096774193551</v>
      </c>
      <c r="P24" s="203">
        <f t="shared" si="25"/>
        <v>230</v>
      </c>
      <c r="Q24" s="203">
        <f t="shared" si="6"/>
        <v>4948.7096774193551</v>
      </c>
      <c r="R24" s="203">
        <f t="shared" si="26"/>
        <v>230</v>
      </c>
      <c r="S24" s="203">
        <f t="shared" si="7"/>
        <v>4948.7096774193551</v>
      </c>
      <c r="T24" s="203">
        <f t="shared" si="27"/>
        <v>230</v>
      </c>
      <c r="U24" s="203">
        <f t="shared" si="8"/>
        <v>4948.7096774193551</v>
      </c>
      <c r="V24" s="203">
        <f t="shared" si="28"/>
        <v>230</v>
      </c>
      <c r="W24" s="203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3">
        <f>'B5'!C23</f>
        <v>237</v>
      </c>
      <c r="AA24" s="203">
        <f t="shared" si="30"/>
        <v>2370</v>
      </c>
      <c r="AB24" s="203">
        <f t="shared" si="31"/>
        <v>237</v>
      </c>
      <c r="AC24" s="203">
        <f t="shared" si="30"/>
        <v>2370</v>
      </c>
      <c r="AD24" s="203">
        <f t="shared" si="32"/>
        <v>237</v>
      </c>
      <c r="AE24" s="203">
        <f t="shared" si="11"/>
        <v>2370</v>
      </c>
      <c r="AF24" s="203">
        <f t="shared" si="33"/>
        <v>237</v>
      </c>
      <c r="AG24" s="203">
        <f t="shared" si="12"/>
        <v>2370</v>
      </c>
      <c r="AH24" s="203">
        <f t="shared" si="34"/>
        <v>237</v>
      </c>
      <c r="AI24" s="203">
        <f t="shared" si="13"/>
        <v>2370</v>
      </c>
      <c r="AJ24" s="203">
        <f t="shared" si="35"/>
        <v>237</v>
      </c>
      <c r="AK24" s="203">
        <f t="shared" si="14"/>
        <v>2370</v>
      </c>
      <c r="AL24" s="203">
        <f t="shared" si="36"/>
        <v>237</v>
      </c>
      <c r="AM24" s="203">
        <f t="shared" si="15"/>
        <v>2370</v>
      </c>
      <c r="AN24" s="35">
        <f t="shared" si="16"/>
        <v>0.84642857142857142</v>
      </c>
      <c r="AO24" s="36">
        <f t="shared" si="39"/>
        <v>16590</v>
      </c>
      <c r="AQ24" s="223">
        <f t="shared" si="40"/>
        <v>0.76396478919665389</v>
      </c>
      <c r="AR24" s="38">
        <f t="shared" si="41"/>
        <v>71025.806451612909</v>
      </c>
      <c r="AS24" s="197">
        <f t="shared" si="47"/>
        <v>-2076.7419354838494</v>
      </c>
      <c r="AT24" s="340"/>
      <c r="AU24" s="548"/>
      <c r="AV24" s="485">
        <f t="shared" si="43"/>
        <v>1.0129999999999999</v>
      </c>
      <c r="AW24" s="279">
        <f>-SUM('B5'!AI23)</f>
        <v>-380</v>
      </c>
      <c r="AX24" s="279">
        <f t="shared" si="17"/>
        <v>-1696.7419354838494</v>
      </c>
      <c r="AY24" s="37">
        <f t="shared" si="37"/>
        <v>-2076.7419354838494</v>
      </c>
      <c r="AZ24" s="100">
        <f>ELEC!A22</f>
        <v>0</v>
      </c>
      <c r="BA24" s="118">
        <f>'General information '!D23</f>
        <v>18.5</v>
      </c>
      <c r="BB24" s="378">
        <f>SUM('General information '!E23)</f>
        <v>0.82</v>
      </c>
      <c r="BC24" s="3">
        <f t="shared" si="44"/>
        <v>0</v>
      </c>
      <c r="BD24" s="102">
        <v>19222</v>
      </c>
      <c r="BE24" s="14">
        <f>(305/1185)*ELEC!Q23</f>
        <v>1122.1940928271542</v>
      </c>
      <c r="BF24" s="14"/>
      <c r="BG24" s="14" t="e">
        <f>#REF!-BE24</f>
        <v>#REF!</v>
      </c>
      <c r="BH24" s="11"/>
      <c r="BI24">
        <v>11</v>
      </c>
      <c r="BJ24">
        <f t="shared" si="46"/>
        <v>-154.24926686216813</v>
      </c>
      <c r="BK24" s="538">
        <f>GEN!AF21</f>
        <v>0.3064583333333657</v>
      </c>
    </row>
    <row r="25" spans="1:64">
      <c r="A25" s="425">
        <f>ELEC!C23</f>
        <v>44671</v>
      </c>
      <c r="B25">
        <f>'B5'!B24</f>
        <v>243</v>
      </c>
      <c r="C25" s="203">
        <f t="shared" si="18"/>
        <v>5228.4193548387093</v>
      </c>
      <c r="D25">
        <f t="shared" si="19"/>
        <v>243</v>
      </c>
      <c r="E25" s="203">
        <f t="shared" si="18"/>
        <v>5228.4193548387093</v>
      </c>
      <c r="F25">
        <f t="shared" si="20"/>
        <v>243</v>
      </c>
      <c r="G25" s="203">
        <f t="shared" si="1"/>
        <v>5228.4193548387093</v>
      </c>
      <c r="H25" s="203">
        <f t="shared" si="21"/>
        <v>243</v>
      </c>
      <c r="I25" s="203">
        <f t="shared" si="2"/>
        <v>5228.4193548387093</v>
      </c>
      <c r="J25" s="203">
        <f t="shared" si="22"/>
        <v>243</v>
      </c>
      <c r="K25" s="203">
        <f t="shared" si="3"/>
        <v>5228.4193548387093</v>
      </c>
      <c r="L25" s="203">
        <f t="shared" si="23"/>
        <v>243</v>
      </c>
      <c r="M25" s="203">
        <f t="shared" si="4"/>
        <v>5228.4193548387093</v>
      </c>
      <c r="N25" s="203">
        <f t="shared" si="24"/>
        <v>243</v>
      </c>
      <c r="O25" s="203">
        <f t="shared" si="5"/>
        <v>5228.4193548387093</v>
      </c>
      <c r="P25" s="203">
        <f t="shared" si="25"/>
        <v>243</v>
      </c>
      <c r="Q25" s="203">
        <f t="shared" si="6"/>
        <v>5228.4193548387093</v>
      </c>
      <c r="R25" s="203">
        <f t="shared" si="26"/>
        <v>243</v>
      </c>
      <c r="S25" s="203">
        <f t="shared" si="7"/>
        <v>5228.4193548387093</v>
      </c>
      <c r="T25" s="203">
        <f t="shared" si="27"/>
        <v>243</v>
      </c>
      <c r="U25" s="203">
        <f t="shared" si="8"/>
        <v>5228.4193548387093</v>
      </c>
      <c r="V25" s="203">
        <f t="shared" si="28"/>
        <v>243</v>
      </c>
      <c r="W25" s="203">
        <f t="shared" si="9"/>
        <v>5228.4193548387093</v>
      </c>
      <c r="X25" s="35">
        <f t="shared" si="10"/>
        <v>0.78387096774193554</v>
      </c>
      <c r="Y25" s="36">
        <f t="shared" si="29"/>
        <v>57512.61290322581</v>
      </c>
      <c r="Z25" s="203">
        <f>'B5'!C24</f>
        <v>249</v>
      </c>
      <c r="AA25" s="203">
        <f t="shared" si="30"/>
        <v>2490</v>
      </c>
      <c r="AB25" s="203">
        <f t="shared" si="31"/>
        <v>249</v>
      </c>
      <c r="AC25" s="203">
        <f t="shared" si="30"/>
        <v>2490</v>
      </c>
      <c r="AD25" s="203">
        <f t="shared" si="32"/>
        <v>249</v>
      </c>
      <c r="AE25" s="203">
        <f t="shared" si="11"/>
        <v>2490</v>
      </c>
      <c r="AF25" s="203">
        <f t="shared" si="33"/>
        <v>249</v>
      </c>
      <c r="AG25" s="203">
        <f t="shared" si="12"/>
        <v>2490</v>
      </c>
      <c r="AH25" s="203">
        <f t="shared" si="34"/>
        <v>249</v>
      </c>
      <c r="AI25" s="203">
        <f t="shared" si="13"/>
        <v>2490</v>
      </c>
      <c r="AJ25" s="203">
        <f t="shared" si="35"/>
        <v>249</v>
      </c>
      <c r="AK25" s="203">
        <f t="shared" si="14"/>
        <v>2490</v>
      </c>
      <c r="AL25" s="203">
        <f t="shared" si="36"/>
        <v>249</v>
      </c>
      <c r="AM25" s="203">
        <f t="shared" si="15"/>
        <v>2490</v>
      </c>
      <c r="AN25" s="35">
        <f t="shared" si="16"/>
        <v>0.88928571428571423</v>
      </c>
      <c r="AO25" s="36">
        <f t="shared" si="39"/>
        <v>17430</v>
      </c>
      <c r="AQ25" s="223">
        <f t="shared" si="40"/>
        <v>0.80609457785549976</v>
      </c>
      <c r="AR25" s="38">
        <f>Y25+AO25</f>
        <v>74942.612903225818</v>
      </c>
      <c r="AS25" s="197">
        <f t="shared" si="47"/>
        <v>-1083.1935483870911</v>
      </c>
      <c r="AT25" s="340">
        <v>5000</v>
      </c>
      <c r="AU25" s="549">
        <v>1.0449999999999999</v>
      </c>
      <c r="AV25" s="485">
        <f t="shared" si="43"/>
        <v>1.0449999999999999</v>
      </c>
      <c r="AW25" s="279">
        <f>-SUM('B5'!AI24)</f>
        <v>-266</v>
      </c>
      <c r="AX25" s="279">
        <f t="shared" si="17"/>
        <v>-817.19354838709114</v>
      </c>
      <c r="AY25" s="37">
        <f t="shared" si="37"/>
        <v>-1083.1935483870911</v>
      </c>
      <c r="AZ25" s="100">
        <f>ELEC!A23</f>
        <v>0</v>
      </c>
      <c r="BA25" s="118">
        <f>'General information '!D24</f>
        <v>18</v>
      </c>
      <c r="BB25" s="378">
        <f>SUM('General information '!E24)</f>
        <v>0.66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-68.099462365590924</v>
      </c>
      <c r="BK25" s="538">
        <f>GEN!AF22</f>
        <v>0.2477272727273058</v>
      </c>
    </row>
    <row r="26" spans="1:64">
      <c r="A26" s="425">
        <f>ELEC!C24</f>
        <v>44672</v>
      </c>
      <c r="B26">
        <f>'B5'!B25</f>
        <v>243</v>
      </c>
      <c r="C26" s="203">
        <f t="shared" si="18"/>
        <v>5228.4193548387093</v>
      </c>
      <c r="D26">
        <f t="shared" si="19"/>
        <v>243</v>
      </c>
      <c r="E26" s="203">
        <f t="shared" si="18"/>
        <v>5228.4193548387093</v>
      </c>
      <c r="F26">
        <f t="shared" si="20"/>
        <v>243</v>
      </c>
      <c r="G26" s="203">
        <f t="shared" si="1"/>
        <v>5228.4193548387093</v>
      </c>
      <c r="H26" s="203">
        <f t="shared" si="21"/>
        <v>243</v>
      </c>
      <c r="I26" s="203">
        <f t="shared" si="2"/>
        <v>5228.4193548387093</v>
      </c>
      <c r="J26" s="203">
        <f t="shared" si="22"/>
        <v>243</v>
      </c>
      <c r="K26" s="203">
        <f t="shared" si="3"/>
        <v>5228.4193548387093</v>
      </c>
      <c r="L26" s="203">
        <f t="shared" si="23"/>
        <v>243</v>
      </c>
      <c r="M26" s="203">
        <f t="shared" si="4"/>
        <v>5228.4193548387093</v>
      </c>
      <c r="N26" s="203">
        <f t="shared" si="24"/>
        <v>243</v>
      </c>
      <c r="O26" s="203">
        <f t="shared" si="5"/>
        <v>5228.4193548387093</v>
      </c>
      <c r="P26" s="203">
        <f t="shared" si="25"/>
        <v>243</v>
      </c>
      <c r="Q26" s="203">
        <f t="shared" si="6"/>
        <v>5228.4193548387093</v>
      </c>
      <c r="R26" s="203">
        <f t="shared" si="26"/>
        <v>243</v>
      </c>
      <c r="S26" s="203">
        <f t="shared" si="7"/>
        <v>5228.4193548387093</v>
      </c>
      <c r="T26" s="203">
        <f t="shared" si="27"/>
        <v>243</v>
      </c>
      <c r="U26" s="203">
        <f t="shared" si="8"/>
        <v>5228.4193548387093</v>
      </c>
      <c r="V26" s="203">
        <f t="shared" si="28"/>
        <v>243</v>
      </c>
      <c r="W26" s="203">
        <f t="shared" si="9"/>
        <v>5228.4193548387093</v>
      </c>
      <c r="X26" s="35">
        <f t="shared" si="10"/>
        <v>0.78387096774193554</v>
      </c>
      <c r="Y26" s="36">
        <f t="shared" si="29"/>
        <v>57512.61290322581</v>
      </c>
      <c r="Z26" s="203">
        <f>'B5'!C25</f>
        <v>249</v>
      </c>
      <c r="AA26" s="203">
        <f t="shared" si="30"/>
        <v>2490</v>
      </c>
      <c r="AB26" s="203">
        <f t="shared" si="31"/>
        <v>249</v>
      </c>
      <c r="AC26" s="203">
        <f t="shared" si="30"/>
        <v>2490</v>
      </c>
      <c r="AD26" s="203">
        <f t="shared" si="32"/>
        <v>249</v>
      </c>
      <c r="AE26" s="203">
        <f t="shared" si="11"/>
        <v>2490</v>
      </c>
      <c r="AF26" s="203">
        <f t="shared" si="33"/>
        <v>249</v>
      </c>
      <c r="AG26" s="203">
        <f t="shared" si="12"/>
        <v>2490</v>
      </c>
      <c r="AH26" s="203">
        <f t="shared" si="34"/>
        <v>249</v>
      </c>
      <c r="AI26" s="203">
        <f t="shared" si="13"/>
        <v>2490</v>
      </c>
      <c r="AJ26" s="203">
        <f t="shared" si="35"/>
        <v>249</v>
      </c>
      <c r="AK26" s="203">
        <f t="shared" si="14"/>
        <v>2490</v>
      </c>
      <c r="AL26" s="203">
        <f t="shared" si="36"/>
        <v>249</v>
      </c>
      <c r="AM26" s="203">
        <f t="shared" si="15"/>
        <v>2490</v>
      </c>
      <c r="AN26" s="35">
        <f t="shared" si="16"/>
        <v>0.88928571428571423</v>
      </c>
      <c r="AO26" s="36">
        <f t="shared" si="39"/>
        <v>17430</v>
      </c>
      <c r="AQ26" s="223">
        <f t="shared" si="40"/>
        <v>0.80609457785549976</v>
      </c>
      <c r="AR26" s="38">
        <f>Y26+AO26</f>
        <v>74942.612903225818</v>
      </c>
      <c r="AS26" s="197">
        <f t="shared" si="47"/>
        <v>0</v>
      </c>
      <c r="AT26" s="340"/>
      <c r="AU26" s="548"/>
      <c r="AV26" s="485">
        <f t="shared" si="43"/>
        <v>1.0449999999999999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243</v>
      </c>
      <c r="C27" s="203">
        <f t="shared" si="18"/>
        <v>5228.4193548387093</v>
      </c>
      <c r="D27">
        <f t="shared" si="19"/>
        <v>243</v>
      </c>
      <c r="E27" s="203">
        <f t="shared" si="18"/>
        <v>5228.4193548387093</v>
      </c>
      <c r="F27">
        <f t="shared" si="20"/>
        <v>243</v>
      </c>
      <c r="G27" s="203">
        <f t="shared" si="1"/>
        <v>5228.4193548387093</v>
      </c>
      <c r="H27" s="203">
        <f t="shared" si="21"/>
        <v>243</v>
      </c>
      <c r="I27" s="203">
        <f t="shared" si="2"/>
        <v>5228.4193548387093</v>
      </c>
      <c r="J27" s="203">
        <f t="shared" si="22"/>
        <v>243</v>
      </c>
      <c r="K27" s="203">
        <f t="shared" si="3"/>
        <v>5228.4193548387093</v>
      </c>
      <c r="L27" s="203">
        <f t="shared" si="23"/>
        <v>243</v>
      </c>
      <c r="M27" s="203">
        <f t="shared" si="4"/>
        <v>5228.4193548387093</v>
      </c>
      <c r="N27" s="203">
        <f t="shared" si="24"/>
        <v>243</v>
      </c>
      <c r="O27" s="203">
        <f t="shared" si="5"/>
        <v>5228.4193548387093</v>
      </c>
      <c r="P27" s="203">
        <f t="shared" si="25"/>
        <v>243</v>
      </c>
      <c r="Q27" s="203">
        <f t="shared" si="6"/>
        <v>5228.4193548387093</v>
      </c>
      <c r="R27" s="203">
        <f t="shared" si="26"/>
        <v>243</v>
      </c>
      <c r="S27" s="203">
        <f t="shared" si="7"/>
        <v>5228.4193548387093</v>
      </c>
      <c r="T27" s="203">
        <f t="shared" si="27"/>
        <v>243</v>
      </c>
      <c r="U27" s="203">
        <f t="shared" si="8"/>
        <v>5228.4193548387093</v>
      </c>
      <c r="V27" s="203">
        <f t="shared" si="28"/>
        <v>243</v>
      </c>
      <c r="W27" s="203">
        <f t="shared" si="9"/>
        <v>5228.4193548387093</v>
      </c>
      <c r="X27" s="35">
        <f t="shared" si="10"/>
        <v>0.78387096774193554</v>
      </c>
      <c r="Y27" s="36">
        <f t="shared" si="29"/>
        <v>57512.61290322581</v>
      </c>
      <c r="Z27" s="203">
        <f>'B5'!C26</f>
        <v>249</v>
      </c>
      <c r="AA27" s="203">
        <f t="shared" si="30"/>
        <v>2490</v>
      </c>
      <c r="AB27" s="203">
        <f t="shared" si="31"/>
        <v>249</v>
      </c>
      <c r="AC27" s="203">
        <f t="shared" si="30"/>
        <v>2490</v>
      </c>
      <c r="AD27" s="203">
        <f t="shared" si="32"/>
        <v>249</v>
      </c>
      <c r="AE27" s="203">
        <f t="shared" si="11"/>
        <v>2490</v>
      </c>
      <c r="AF27" s="203">
        <f t="shared" si="33"/>
        <v>249</v>
      </c>
      <c r="AG27" s="203">
        <f t="shared" si="12"/>
        <v>2490</v>
      </c>
      <c r="AH27" s="203">
        <f t="shared" si="34"/>
        <v>249</v>
      </c>
      <c r="AI27" s="203">
        <f t="shared" si="13"/>
        <v>2490</v>
      </c>
      <c r="AJ27" s="203">
        <f t="shared" si="35"/>
        <v>249</v>
      </c>
      <c r="AK27" s="203">
        <f t="shared" si="14"/>
        <v>2490</v>
      </c>
      <c r="AL27" s="203">
        <f t="shared" si="36"/>
        <v>249</v>
      </c>
      <c r="AM27" s="203">
        <f t="shared" si="15"/>
        <v>2490</v>
      </c>
      <c r="AN27" s="35">
        <f t="shared" si="16"/>
        <v>0.88928571428571423</v>
      </c>
      <c r="AO27" s="36">
        <f t="shared" si="39"/>
        <v>17430</v>
      </c>
      <c r="AQ27" s="223">
        <f t="shared" si="40"/>
        <v>0.80609457785549976</v>
      </c>
      <c r="AR27" s="38">
        <f t="shared" si="41"/>
        <v>74942.612903225818</v>
      </c>
      <c r="AS27" s="197">
        <f t="shared" si="47"/>
        <v>0</v>
      </c>
      <c r="AT27" s="340"/>
      <c r="AU27" s="548"/>
      <c r="AV27" s="485">
        <f t="shared" si="43"/>
        <v>1.0449999999999999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243</v>
      </c>
      <c r="C28" s="203">
        <f t="shared" si="18"/>
        <v>5228.4193548387093</v>
      </c>
      <c r="D28">
        <f t="shared" si="19"/>
        <v>243</v>
      </c>
      <c r="E28" s="203">
        <f t="shared" si="18"/>
        <v>5228.4193548387093</v>
      </c>
      <c r="F28">
        <f t="shared" si="20"/>
        <v>243</v>
      </c>
      <c r="G28" s="203">
        <f t="shared" si="1"/>
        <v>5228.4193548387093</v>
      </c>
      <c r="H28" s="203">
        <f t="shared" si="21"/>
        <v>243</v>
      </c>
      <c r="I28" s="203">
        <f t="shared" si="2"/>
        <v>5228.4193548387093</v>
      </c>
      <c r="J28" s="203">
        <f t="shared" si="22"/>
        <v>243</v>
      </c>
      <c r="K28" s="203">
        <f t="shared" si="3"/>
        <v>5228.4193548387093</v>
      </c>
      <c r="L28" s="203">
        <f t="shared" si="23"/>
        <v>243</v>
      </c>
      <c r="M28" s="203">
        <f t="shared" si="4"/>
        <v>5228.4193548387093</v>
      </c>
      <c r="N28" s="203">
        <f t="shared" si="24"/>
        <v>243</v>
      </c>
      <c r="O28" s="203">
        <f t="shared" si="5"/>
        <v>5228.4193548387093</v>
      </c>
      <c r="P28" s="203">
        <f t="shared" si="25"/>
        <v>243</v>
      </c>
      <c r="Q28" s="203">
        <f t="shared" si="6"/>
        <v>5228.4193548387093</v>
      </c>
      <c r="R28" s="203">
        <f t="shared" si="26"/>
        <v>243</v>
      </c>
      <c r="S28" s="203">
        <f t="shared" si="7"/>
        <v>5228.4193548387093</v>
      </c>
      <c r="T28" s="203">
        <f t="shared" si="27"/>
        <v>243</v>
      </c>
      <c r="U28" s="203">
        <f t="shared" si="8"/>
        <v>5228.4193548387093</v>
      </c>
      <c r="V28" s="203">
        <f t="shared" si="28"/>
        <v>243</v>
      </c>
      <c r="W28" s="203">
        <f t="shared" si="9"/>
        <v>5228.4193548387093</v>
      </c>
      <c r="X28" s="35">
        <f t="shared" si="10"/>
        <v>0.78387096774193554</v>
      </c>
      <c r="Y28" s="36">
        <f t="shared" si="29"/>
        <v>57512.61290322581</v>
      </c>
      <c r="Z28" s="203">
        <f>'B5'!C27</f>
        <v>249</v>
      </c>
      <c r="AA28" s="203">
        <f t="shared" si="30"/>
        <v>2490</v>
      </c>
      <c r="AB28" s="203">
        <f t="shared" si="31"/>
        <v>249</v>
      </c>
      <c r="AC28" s="203">
        <f t="shared" si="30"/>
        <v>2490</v>
      </c>
      <c r="AD28" s="203">
        <f t="shared" si="32"/>
        <v>249</v>
      </c>
      <c r="AE28" s="203">
        <f t="shared" si="11"/>
        <v>2490</v>
      </c>
      <c r="AF28" s="203">
        <f t="shared" si="33"/>
        <v>249</v>
      </c>
      <c r="AG28" s="203">
        <f t="shared" si="12"/>
        <v>2490</v>
      </c>
      <c r="AH28" s="203">
        <f t="shared" si="34"/>
        <v>249</v>
      </c>
      <c r="AI28" s="203">
        <f t="shared" si="13"/>
        <v>2490</v>
      </c>
      <c r="AJ28" s="203">
        <f t="shared" si="35"/>
        <v>249</v>
      </c>
      <c r="AK28" s="203">
        <f t="shared" si="14"/>
        <v>2490</v>
      </c>
      <c r="AL28" s="203">
        <f t="shared" si="36"/>
        <v>249</v>
      </c>
      <c r="AM28" s="203">
        <f t="shared" si="15"/>
        <v>2490</v>
      </c>
      <c r="AN28" s="35">
        <f t="shared" si="16"/>
        <v>0.88928571428571423</v>
      </c>
      <c r="AO28" s="36">
        <f t="shared" si="39"/>
        <v>17430</v>
      </c>
      <c r="AQ28" s="223">
        <f t="shared" si="40"/>
        <v>0.80609457785549976</v>
      </c>
      <c r="AR28" s="38">
        <f t="shared" si="41"/>
        <v>74942.612903225818</v>
      </c>
      <c r="AS28" s="197">
        <f t="shared" si="47"/>
        <v>0</v>
      </c>
      <c r="AT28" s="340"/>
      <c r="AU28" s="549"/>
      <c r="AV28" s="485">
        <f t="shared" si="43"/>
        <v>1.0449999999999999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243</v>
      </c>
      <c r="C29" s="203">
        <f t="shared" si="18"/>
        <v>5228.4193548387093</v>
      </c>
      <c r="D29">
        <f t="shared" si="19"/>
        <v>243</v>
      </c>
      <c r="E29" s="203">
        <f t="shared" si="18"/>
        <v>5228.4193548387093</v>
      </c>
      <c r="F29">
        <f t="shared" si="20"/>
        <v>243</v>
      </c>
      <c r="G29" s="203">
        <f t="shared" si="1"/>
        <v>5228.4193548387093</v>
      </c>
      <c r="H29" s="203">
        <f t="shared" si="21"/>
        <v>243</v>
      </c>
      <c r="I29" s="203">
        <f t="shared" si="2"/>
        <v>5228.4193548387093</v>
      </c>
      <c r="J29" s="203">
        <f t="shared" si="22"/>
        <v>243</v>
      </c>
      <c r="K29" s="203">
        <f t="shared" si="3"/>
        <v>5228.4193548387093</v>
      </c>
      <c r="L29" s="203">
        <f t="shared" si="23"/>
        <v>243</v>
      </c>
      <c r="M29" s="203">
        <f t="shared" si="4"/>
        <v>5228.4193548387093</v>
      </c>
      <c r="N29" s="203">
        <f t="shared" si="24"/>
        <v>243</v>
      </c>
      <c r="O29" s="203">
        <f t="shared" si="5"/>
        <v>5228.4193548387093</v>
      </c>
      <c r="P29" s="203">
        <f t="shared" si="25"/>
        <v>243</v>
      </c>
      <c r="Q29" s="203">
        <f t="shared" si="6"/>
        <v>5228.4193548387093</v>
      </c>
      <c r="R29" s="203">
        <f t="shared" si="26"/>
        <v>243</v>
      </c>
      <c r="S29" s="203">
        <f t="shared" si="7"/>
        <v>5228.4193548387093</v>
      </c>
      <c r="T29" s="203">
        <f t="shared" si="27"/>
        <v>243</v>
      </c>
      <c r="U29" s="203">
        <f t="shared" si="8"/>
        <v>5228.4193548387093</v>
      </c>
      <c r="V29" s="203">
        <f t="shared" si="28"/>
        <v>243</v>
      </c>
      <c r="W29" s="203">
        <f t="shared" si="9"/>
        <v>5228.4193548387093</v>
      </c>
      <c r="X29" s="35">
        <f t="shared" si="10"/>
        <v>0.78387096774193554</v>
      </c>
      <c r="Y29" s="36">
        <f t="shared" si="29"/>
        <v>57512.61290322581</v>
      </c>
      <c r="Z29" s="203">
        <f>'B5'!C28</f>
        <v>249</v>
      </c>
      <c r="AA29" s="203">
        <f t="shared" si="30"/>
        <v>2490</v>
      </c>
      <c r="AB29" s="203">
        <f t="shared" si="31"/>
        <v>249</v>
      </c>
      <c r="AC29" s="203">
        <f t="shared" si="30"/>
        <v>2490</v>
      </c>
      <c r="AD29" s="203">
        <f t="shared" si="32"/>
        <v>249</v>
      </c>
      <c r="AE29" s="203">
        <f t="shared" si="11"/>
        <v>2490</v>
      </c>
      <c r="AF29" s="203">
        <f t="shared" si="33"/>
        <v>249</v>
      </c>
      <c r="AG29" s="203">
        <f t="shared" si="12"/>
        <v>2490</v>
      </c>
      <c r="AH29" s="203">
        <f t="shared" si="34"/>
        <v>249</v>
      </c>
      <c r="AI29" s="203">
        <f t="shared" si="13"/>
        <v>2490</v>
      </c>
      <c r="AJ29" s="203">
        <f t="shared" si="35"/>
        <v>249</v>
      </c>
      <c r="AK29" s="203">
        <f t="shared" si="14"/>
        <v>2490</v>
      </c>
      <c r="AL29" s="203">
        <f t="shared" si="36"/>
        <v>249</v>
      </c>
      <c r="AM29" s="203">
        <f t="shared" si="15"/>
        <v>2490</v>
      </c>
      <c r="AN29" s="35">
        <f t="shared" si="16"/>
        <v>0.88928571428571423</v>
      </c>
      <c r="AO29" s="36">
        <f t="shared" si="39"/>
        <v>17430</v>
      </c>
      <c r="AQ29" s="223">
        <f t="shared" si="40"/>
        <v>0.80609457785549976</v>
      </c>
      <c r="AR29" s="38">
        <f t="shared" si="41"/>
        <v>74942.612903225818</v>
      </c>
      <c r="AS29" s="197">
        <f>SUM(AR29-AR28-AT29)</f>
        <v>0</v>
      </c>
      <c r="AT29" s="340"/>
      <c r="AU29" s="549"/>
      <c r="AV29" s="485">
        <f t="shared" si="43"/>
        <v>1.0449999999999999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1402.4852320676455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236</v>
      </c>
      <c r="C30" s="203">
        <f t="shared" si="18"/>
        <v>5077.8064516129034</v>
      </c>
      <c r="D30">
        <f>SUM(B30)</f>
        <v>236</v>
      </c>
      <c r="E30" s="203">
        <f t="shared" si="18"/>
        <v>5077.8064516129034</v>
      </c>
      <c r="F30">
        <f>SUM(D30)</f>
        <v>236</v>
      </c>
      <c r="G30" s="203">
        <f t="shared" si="1"/>
        <v>5077.8064516129034</v>
      </c>
      <c r="H30" s="203">
        <f>SUM(F30)</f>
        <v>236</v>
      </c>
      <c r="I30" s="203">
        <f t="shared" si="2"/>
        <v>5077.8064516129034</v>
      </c>
      <c r="J30" s="203">
        <f>SUM(H30)</f>
        <v>236</v>
      </c>
      <c r="K30" s="203">
        <f t="shared" si="3"/>
        <v>5077.8064516129034</v>
      </c>
      <c r="L30" s="203">
        <f>SUM(J30)</f>
        <v>236</v>
      </c>
      <c r="M30" s="203">
        <f t="shared" si="4"/>
        <v>5077.8064516129034</v>
      </c>
      <c r="N30" s="203">
        <f>SUM(L30)</f>
        <v>236</v>
      </c>
      <c r="O30" s="203">
        <f t="shared" si="5"/>
        <v>5077.8064516129034</v>
      </c>
      <c r="P30" s="203">
        <f>SUM(N30)</f>
        <v>236</v>
      </c>
      <c r="Q30" s="203">
        <f t="shared" si="6"/>
        <v>5077.8064516129034</v>
      </c>
      <c r="R30" s="203">
        <f>SUM(P30)</f>
        <v>236</v>
      </c>
      <c r="S30" s="203">
        <f t="shared" si="7"/>
        <v>5077.8064516129034</v>
      </c>
      <c r="T30" s="203">
        <f>SUM(R30)</f>
        <v>236</v>
      </c>
      <c r="U30" s="203">
        <f t="shared" si="8"/>
        <v>5077.8064516129034</v>
      </c>
      <c r="V30" s="203">
        <f>SUM(T30)</f>
        <v>236</v>
      </c>
      <c r="W30" s="203">
        <f t="shared" si="9"/>
        <v>5077.8064516129034</v>
      </c>
      <c r="X30" s="35">
        <f>SUM(Y30/73370)</f>
        <v>0.761290322580645</v>
      </c>
      <c r="Y30" s="36">
        <f>SUM(C30+E30+G30+I30+K30+M30+O30+Q30+S30+U30+W30)</f>
        <v>55855.870967741925</v>
      </c>
      <c r="Z30" s="203">
        <f>'B5'!C29</f>
        <v>243</v>
      </c>
      <c r="AA30" s="203">
        <f t="shared" si="30"/>
        <v>2430</v>
      </c>
      <c r="AB30" s="203">
        <f>SUM(Z30)</f>
        <v>243</v>
      </c>
      <c r="AC30" s="203">
        <f t="shared" si="30"/>
        <v>2430</v>
      </c>
      <c r="AD30" s="203">
        <f>SUM(AB30)</f>
        <v>243</v>
      </c>
      <c r="AE30" s="203">
        <f t="shared" si="11"/>
        <v>2430</v>
      </c>
      <c r="AF30" s="203">
        <f>SUM(AD30)</f>
        <v>243</v>
      </c>
      <c r="AG30" s="203">
        <f t="shared" si="12"/>
        <v>2430</v>
      </c>
      <c r="AH30" s="203">
        <f>SUM(AF30)</f>
        <v>243</v>
      </c>
      <c r="AI30" s="203">
        <f t="shared" si="13"/>
        <v>2430</v>
      </c>
      <c r="AJ30" s="203">
        <f>SUM(AH30)</f>
        <v>243</v>
      </c>
      <c r="AK30" s="203">
        <f t="shared" si="14"/>
        <v>2430</v>
      </c>
      <c r="AL30" s="203">
        <f>SUM(AJ30)</f>
        <v>243</v>
      </c>
      <c r="AM30" s="203">
        <f t="shared" si="15"/>
        <v>2430</v>
      </c>
      <c r="AN30" s="35">
        <f>SUM(AO30/19600)</f>
        <v>0.86785714285714288</v>
      </c>
      <c r="AO30" s="36">
        <f>SUM(AA30+AC30+AE30+AG30+AI30+AK30+AM30)</f>
        <v>17010</v>
      </c>
      <c r="AQ30" s="223">
        <f t="shared" si="40"/>
        <v>0.78375681367905692</v>
      </c>
      <c r="AR30" s="38">
        <f t="shared" si="41"/>
        <v>72865.870967741925</v>
      </c>
      <c r="AS30" s="197">
        <f>SUM(AR30-AR29-AT30)</f>
        <v>-2076.741935483893</v>
      </c>
      <c r="AT30" s="340"/>
      <c r="AU30" s="549"/>
      <c r="AV30" s="485">
        <f t="shared" si="43"/>
        <v>1.0449999999999999</v>
      </c>
      <c r="AW30" s="279">
        <f>-SUM('B5'!AI29)</f>
        <v>-182</v>
      </c>
      <c r="AX30" s="279">
        <f t="shared" si="17"/>
        <v>-1894.741935483893</v>
      </c>
      <c r="AY30" s="37">
        <f t="shared" si="37"/>
        <v>-2076.741935483893</v>
      </c>
      <c r="AZ30" s="100">
        <f>ELEC!A28</f>
        <v>0</v>
      </c>
      <c r="BA30" s="118">
        <f>'General information '!D29</f>
        <v>20.5</v>
      </c>
      <c r="BB30" s="378">
        <f>SUM('General information '!E29)</f>
        <v>0.79</v>
      </c>
      <c r="BC30" s="3">
        <f t="shared" si="44"/>
        <v>0</v>
      </c>
      <c r="BD30" s="102">
        <v>19222</v>
      </c>
      <c r="BE30" s="14">
        <f>(305/1185)*ELEC!Q29</f>
        <v>1633.1012658221482</v>
      </c>
      <c r="BF30" s="14"/>
      <c r="BG30" s="14" t="e">
        <f>#REF!-BE30</f>
        <v>#REF!</v>
      </c>
      <c r="BH30" s="11"/>
      <c r="BI30">
        <v>17</v>
      </c>
      <c r="BJ30">
        <f t="shared" si="46"/>
        <v>-111.45540796964076</v>
      </c>
      <c r="BK30" s="538">
        <f>GEN!AF27</f>
        <v>0.30960227272730251</v>
      </c>
    </row>
    <row r="31" spans="1:64">
      <c r="A31" s="425">
        <f>ELEC!C29</f>
        <v>44677</v>
      </c>
      <c r="B31">
        <f>'B5'!B30</f>
        <v>228</v>
      </c>
      <c r="C31" s="203">
        <f t="shared" si="18"/>
        <v>4905.677419354839</v>
      </c>
      <c r="D31">
        <f>SUM(B31)</f>
        <v>228</v>
      </c>
      <c r="E31" s="203">
        <f t="shared" si="18"/>
        <v>4905.677419354839</v>
      </c>
      <c r="F31">
        <f>SUM(D31)</f>
        <v>228</v>
      </c>
      <c r="G31" s="203">
        <f t="shared" si="1"/>
        <v>4905.677419354839</v>
      </c>
      <c r="H31" s="203">
        <f>SUM(F31)</f>
        <v>228</v>
      </c>
      <c r="I31" s="203">
        <f t="shared" si="2"/>
        <v>4905.677419354839</v>
      </c>
      <c r="J31" s="203">
        <f>SUM(H31)</f>
        <v>228</v>
      </c>
      <c r="K31" s="203">
        <f t="shared" si="3"/>
        <v>4905.677419354839</v>
      </c>
      <c r="L31" s="203">
        <f>SUM(J31)</f>
        <v>228</v>
      </c>
      <c r="M31" s="203">
        <f t="shared" si="4"/>
        <v>4905.677419354839</v>
      </c>
      <c r="N31" s="203">
        <f>SUM(L31)</f>
        <v>228</v>
      </c>
      <c r="O31" s="203">
        <f t="shared" si="5"/>
        <v>4905.677419354839</v>
      </c>
      <c r="P31" s="203">
        <f>SUM(N31)</f>
        <v>228</v>
      </c>
      <c r="Q31" s="203">
        <f t="shared" si="6"/>
        <v>4905.677419354839</v>
      </c>
      <c r="R31" s="203">
        <f>SUM(P31)</f>
        <v>228</v>
      </c>
      <c r="S31" s="203">
        <f t="shared" si="7"/>
        <v>4905.677419354839</v>
      </c>
      <c r="T31" s="203">
        <f>SUM(R31)</f>
        <v>228</v>
      </c>
      <c r="U31" s="203">
        <f t="shared" si="8"/>
        <v>4905.677419354839</v>
      </c>
      <c r="V31" s="203">
        <f>SUM(T31)</f>
        <v>228</v>
      </c>
      <c r="W31" s="203">
        <f t="shared" si="9"/>
        <v>4905.677419354839</v>
      </c>
      <c r="X31" s="35">
        <f>SUM(Y31/73370)</f>
        <v>0.73548387096774215</v>
      </c>
      <c r="Y31" s="36">
        <f>SUM(C31+E31+G31+I31+K31+M31+O31+Q31+S31+U31+W31)</f>
        <v>53962.451612903242</v>
      </c>
      <c r="Z31" s="203">
        <f>'B5'!C30</f>
        <v>235</v>
      </c>
      <c r="AA31" s="203">
        <f t="shared" si="30"/>
        <v>2350</v>
      </c>
      <c r="AB31" s="203">
        <f>SUM(Z31)</f>
        <v>235</v>
      </c>
      <c r="AC31" s="203">
        <f t="shared" si="30"/>
        <v>2350</v>
      </c>
      <c r="AD31" s="203">
        <f>SUM(AB31)</f>
        <v>235</v>
      </c>
      <c r="AE31" s="203">
        <f t="shared" si="11"/>
        <v>2350</v>
      </c>
      <c r="AF31" s="203">
        <f>SUM(AD31)</f>
        <v>235</v>
      </c>
      <c r="AG31" s="203">
        <f t="shared" si="12"/>
        <v>2350</v>
      </c>
      <c r="AH31" s="203">
        <f>SUM(AF31)</f>
        <v>235</v>
      </c>
      <c r="AI31" s="203">
        <f t="shared" si="13"/>
        <v>2350</v>
      </c>
      <c r="AJ31" s="203">
        <f>SUM(AH31)</f>
        <v>235</v>
      </c>
      <c r="AK31" s="203">
        <f t="shared" si="14"/>
        <v>2350</v>
      </c>
      <c r="AL31" s="203">
        <f>SUM(AJ31)</f>
        <v>235</v>
      </c>
      <c r="AM31" s="203">
        <f t="shared" si="15"/>
        <v>2350</v>
      </c>
      <c r="AN31" s="35">
        <f>SUM(AO31/19600)</f>
        <v>0.8392857142857143</v>
      </c>
      <c r="AO31" s="36">
        <f>SUM(AA31+AC31+AE31+AG31+AI31+AK31+AM31)</f>
        <v>16450</v>
      </c>
      <c r="AQ31" s="223">
        <f t="shared" si="40"/>
        <v>0.75736744770251951</v>
      </c>
      <c r="AR31" s="38">
        <f t="shared" si="41"/>
        <v>70412.451612903242</v>
      </c>
      <c r="AS31" s="197">
        <f t="shared" si="47"/>
        <v>-2453.4193548386829</v>
      </c>
      <c r="AT31" s="340"/>
      <c r="AU31" s="571"/>
      <c r="AV31" s="485">
        <f t="shared" si="43"/>
        <v>1.0449999999999999</v>
      </c>
      <c r="AW31" s="279">
        <f>-SUM('B5'!AI30)</f>
        <v>-326</v>
      </c>
      <c r="AX31" s="279">
        <f t="shared" si="17"/>
        <v>-2127.4193548386829</v>
      </c>
      <c r="AY31" s="37">
        <f t="shared" si="37"/>
        <v>-2453.4193548386829</v>
      </c>
      <c r="AZ31" s="100">
        <f>ELEC!A29</f>
        <v>0</v>
      </c>
      <c r="BA31" s="118">
        <f>'General information '!D30</f>
        <v>20.5</v>
      </c>
      <c r="BB31" s="378">
        <f>SUM('General information '!E30)</f>
        <v>0.75</v>
      </c>
      <c r="BC31" s="3">
        <f t="shared" si="44"/>
        <v>0</v>
      </c>
      <c r="BD31" s="102">
        <v>19222</v>
      </c>
      <c r="BE31" s="14">
        <f>(305/1185)*ELEC!Q30</f>
        <v>1528.0886075953788</v>
      </c>
      <c r="BF31" s="14"/>
      <c r="BG31" s="14" t="e">
        <f>#REF!-BE31</f>
        <v>#REF!</v>
      </c>
      <c r="BH31" s="11"/>
      <c r="BI31">
        <v>18</v>
      </c>
      <c r="BJ31">
        <f t="shared" si="46"/>
        <v>-118.18996415770461</v>
      </c>
      <c r="BK31" s="538">
        <f>GEN!AF28</f>
        <v>0.28325892857131812</v>
      </c>
    </row>
    <row r="32" spans="1:64">
      <c r="A32" s="425">
        <f>ELEC!C30</f>
        <v>44678</v>
      </c>
      <c r="B32">
        <f>'B5'!B31</f>
        <v>239</v>
      </c>
      <c r="C32" s="203">
        <f t="shared" si="18"/>
        <v>5142.3548387096771</v>
      </c>
      <c r="D32">
        <f>SUM(B32)</f>
        <v>239</v>
      </c>
      <c r="E32" s="203">
        <f t="shared" si="18"/>
        <v>5142.3548387096771</v>
      </c>
      <c r="F32">
        <f>SUM(D32)</f>
        <v>239</v>
      </c>
      <c r="G32" s="203">
        <f t="shared" si="1"/>
        <v>5142.3548387096771</v>
      </c>
      <c r="H32" s="203">
        <f>SUM(F32)</f>
        <v>239</v>
      </c>
      <c r="I32" s="203">
        <f t="shared" si="2"/>
        <v>5142.3548387096771</v>
      </c>
      <c r="J32" s="203">
        <f>SUM(H32)</f>
        <v>239</v>
      </c>
      <c r="K32" s="203">
        <f t="shared" si="3"/>
        <v>5142.3548387096771</v>
      </c>
      <c r="L32" s="203">
        <f>SUM(J32)</f>
        <v>239</v>
      </c>
      <c r="M32" s="203">
        <f t="shared" si="4"/>
        <v>5142.3548387096771</v>
      </c>
      <c r="N32" s="203">
        <f>SUM(L32)</f>
        <v>239</v>
      </c>
      <c r="O32" s="203">
        <f t="shared" si="5"/>
        <v>5142.3548387096771</v>
      </c>
      <c r="P32" s="203">
        <f>SUM(N32)</f>
        <v>239</v>
      </c>
      <c r="Q32" s="203">
        <f t="shared" si="6"/>
        <v>5142.3548387096771</v>
      </c>
      <c r="R32" s="203">
        <f>SUM(P32)</f>
        <v>239</v>
      </c>
      <c r="S32" s="203">
        <f t="shared" si="7"/>
        <v>5142.3548387096771</v>
      </c>
      <c r="T32" s="203">
        <f>SUM(R32)</f>
        <v>239</v>
      </c>
      <c r="U32" s="203">
        <f t="shared" si="8"/>
        <v>5142.3548387096771</v>
      </c>
      <c r="V32" s="203">
        <f>SUM(T32)</f>
        <v>239</v>
      </c>
      <c r="W32" s="203">
        <f t="shared" si="9"/>
        <v>5142.3548387096771</v>
      </c>
      <c r="X32" s="35">
        <f>SUM(Y32/73370)</f>
        <v>0.77096774193548367</v>
      </c>
      <c r="Y32" s="36">
        <f>SUM(C32+E32+G32+I32+K32+M32+O32+Q32+S32+U32+W32)</f>
        <v>56565.90322580644</v>
      </c>
      <c r="Z32" s="203">
        <f>'B5'!C31</f>
        <v>245</v>
      </c>
      <c r="AA32" s="203">
        <f t="shared" si="30"/>
        <v>2450</v>
      </c>
      <c r="AB32" s="203">
        <f>SUM(Z32)</f>
        <v>245</v>
      </c>
      <c r="AC32" s="203">
        <f t="shared" si="30"/>
        <v>2450</v>
      </c>
      <c r="AD32" s="203">
        <f>SUM(AB32)</f>
        <v>245</v>
      </c>
      <c r="AE32" s="203">
        <f t="shared" si="11"/>
        <v>2450</v>
      </c>
      <c r="AF32" s="203">
        <f>SUM(AD32)</f>
        <v>245</v>
      </c>
      <c r="AG32" s="203">
        <f t="shared" si="12"/>
        <v>2450</v>
      </c>
      <c r="AH32" s="203">
        <f>SUM(AF32)</f>
        <v>245</v>
      </c>
      <c r="AI32" s="203">
        <f t="shared" si="13"/>
        <v>2450</v>
      </c>
      <c r="AJ32" s="203">
        <f>SUM(AH32)</f>
        <v>245</v>
      </c>
      <c r="AK32" s="203">
        <f t="shared" si="14"/>
        <v>2450</v>
      </c>
      <c r="AL32" s="203">
        <f>SUM(AJ32)</f>
        <v>245</v>
      </c>
      <c r="AM32" s="203">
        <f t="shared" si="15"/>
        <v>2450</v>
      </c>
      <c r="AN32" s="35">
        <f>SUM(AO32/19600)</f>
        <v>0.875</v>
      </c>
      <c r="AO32" s="36">
        <f>SUM(AA32+AC32+AE32+AG32+AI32+AK32+AM32)</f>
        <v>17150</v>
      </c>
      <c r="AQ32" s="223">
        <f t="shared" si="40"/>
        <v>0.79289989486723067</v>
      </c>
      <c r="AR32" s="38">
        <f t="shared" si="41"/>
        <v>73715.90322580644</v>
      </c>
      <c r="AS32" s="197">
        <f t="shared" si="47"/>
        <v>-1696.5483870968019</v>
      </c>
      <c r="AT32" s="340">
        <v>5000</v>
      </c>
      <c r="AU32" s="548">
        <v>1.05</v>
      </c>
      <c r="AV32" s="485">
        <f>IF(AT32&gt;0,AU32,AV31)</f>
        <v>1.05</v>
      </c>
      <c r="AW32" s="279">
        <f>-SUM('B5'!AI31)</f>
        <v>-280</v>
      </c>
      <c r="AX32" s="279">
        <f t="shared" si="17"/>
        <v>-1416.5483870968019</v>
      </c>
      <c r="AY32" s="37">
        <f t="shared" si="37"/>
        <v>-1696.5483870968019</v>
      </c>
      <c r="AZ32" s="100">
        <f>ELEC!A30</f>
        <v>0</v>
      </c>
      <c r="BA32" s="118">
        <f>'General information '!D31</f>
        <v>20</v>
      </c>
      <c r="BB32" s="378">
        <f>SUM('General information '!E31)</f>
        <v>0.84</v>
      </c>
      <c r="BC32" s="3">
        <f t="shared" si="44"/>
        <v>1</v>
      </c>
      <c r="BD32" s="102">
        <v>19222</v>
      </c>
      <c r="BE32" s="14">
        <f>(305/1185)*ELEC!Q31</f>
        <v>1003.2827004222107</v>
      </c>
      <c r="BF32" s="14"/>
      <c r="BG32" s="14" t="e">
        <f>#REF!-BE32</f>
        <v>#REF!</v>
      </c>
      <c r="BH32" s="11"/>
      <c r="BI32">
        <v>19</v>
      </c>
      <c r="BJ32">
        <f t="shared" si="46"/>
        <v>-74.555178268252732</v>
      </c>
      <c r="BK32" s="538">
        <f>GEN!AF29</f>
        <v>0.26504464285721951</v>
      </c>
    </row>
    <row r="33" spans="1:63">
      <c r="A33" s="425">
        <f>ELEC!C31</f>
        <v>44679</v>
      </c>
      <c r="B33">
        <f>'B5'!B32</f>
        <v>233</v>
      </c>
      <c r="C33" s="203">
        <f t="shared" si="18"/>
        <v>5013.2580645161288</v>
      </c>
      <c r="D33">
        <f>SUM(B33)</f>
        <v>233</v>
      </c>
      <c r="E33" s="203">
        <f t="shared" si="18"/>
        <v>5013.2580645161288</v>
      </c>
      <c r="F33">
        <f>SUM(D33)</f>
        <v>233</v>
      </c>
      <c r="G33" s="203">
        <f t="shared" si="1"/>
        <v>5013.2580645161288</v>
      </c>
      <c r="H33" s="203">
        <f>SUM(F33)</f>
        <v>233</v>
      </c>
      <c r="I33" s="203">
        <f t="shared" si="2"/>
        <v>5013.2580645161288</v>
      </c>
      <c r="J33" s="203">
        <f>SUM(H33)</f>
        <v>233</v>
      </c>
      <c r="K33" s="203">
        <f t="shared" si="3"/>
        <v>5013.2580645161288</v>
      </c>
      <c r="L33" s="203">
        <f>SUM(J33)</f>
        <v>233</v>
      </c>
      <c r="M33" s="203">
        <f t="shared" si="4"/>
        <v>5013.2580645161288</v>
      </c>
      <c r="N33" s="203">
        <f>SUM(L33)</f>
        <v>233</v>
      </c>
      <c r="O33" s="203">
        <f t="shared" si="5"/>
        <v>5013.2580645161288</v>
      </c>
      <c r="P33" s="203">
        <f>SUM(N33)</f>
        <v>233</v>
      </c>
      <c r="Q33" s="203">
        <f t="shared" si="6"/>
        <v>5013.2580645161288</v>
      </c>
      <c r="R33" s="203">
        <f>SUM(P33)</f>
        <v>233</v>
      </c>
      <c r="S33" s="203">
        <f t="shared" si="7"/>
        <v>5013.2580645161288</v>
      </c>
      <c r="T33" s="203">
        <f>SUM(R33)</f>
        <v>233</v>
      </c>
      <c r="U33" s="203">
        <f t="shared" si="8"/>
        <v>5013.2580645161288</v>
      </c>
      <c r="V33" s="203">
        <f>SUM(T33)</f>
        <v>233</v>
      </c>
      <c r="W33" s="203">
        <f t="shared" si="9"/>
        <v>5013.2580645161288</v>
      </c>
      <c r="X33" s="35">
        <f>SUM(Y33/73370)</f>
        <v>0.75161290322580643</v>
      </c>
      <c r="Y33" s="36">
        <f>SUM(C33+E33+G33+I33+K33+M33+O33+Q33+S33+U33+W33)</f>
        <v>55145.838709677417</v>
      </c>
      <c r="Z33" s="203">
        <f>'B5'!C32</f>
        <v>239</v>
      </c>
      <c r="AA33" s="203">
        <f t="shared" si="30"/>
        <v>2390</v>
      </c>
      <c r="AB33" s="203">
        <f>SUM(Z33)</f>
        <v>239</v>
      </c>
      <c r="AC33" s="203">
        <f t="shared" si="30"/>
        <v>2390</v>
      </c>
      <c r="AD33" s="203">
        <f>SUM(AB33)</f>
        <v>239</v>
      </c>
      <c r="AE33" s="203">
        <f t="shared" si="11"/>
        <v>2390</v>
      </c>
      <c r="AF33" s="203">
        <f>SUM(AD33)</f>
        <v>239</v>
      </c>
      <c r="AG33" s="203">
        <f t="shared" si="12"/>
        <v>2390</v>
      </c>
      <c r="AH33" s="203">
        <f>SUM(AF33)</f>
        <v>239</v>
      </c>
      <c r="AI33" s="203">
        <f t="shared" si="13"/>
        <v>2390</v>
      </c>
      <c r="AJ33" s="203">
        <f>SUM(AH33)</f>
        <v>239</v>
      </c>
      <c r="AK33" s="203">
        <f t="shared" si="14"/>
        <v>2390</v>
      </c>
      <c r="AL33" s="203">
        <f>SUM(AJ33)</f>
        <v>239</v>
      </c>
      <c r="AM33" s="203">
        <f t="shared" si="15"/>
        <v>2390</v>
      </c>
      <c r="AN33" s="35">
        <f>SUM(AO33/19600)</f>
        <v>0.85357142857142854</v>
      </c>
      <c r="AO33" s="36">
        <f>SUM(AA33+AC33+AE33+AG33+AI33+AK33+AM33)</f>
        <v>16730</v>
      </c>
      <c r="AQ33" s="223">
        <f t="shared" si="40"/>
        <v>0.77310787038482764</v>
      </c>
      <c r="AR33" s="38">
        <f t="shared" si="41"/>
        <v>71875.838709677424</v>
      </c>
      <c r="AS33" s="197">
        <f>SUM(AR33-AR32-AT33)</f>
        <v>-1840.0645161290158</v>
      </c>
      <c r="AT33" s="340"/>
      <c r="AU33" s="548"/>
      <c r="AV33" s="485">
        <f>IF(AT33&gt;0,AU33,AV32)</f>
        <v>1.05</v>
      </c>
      <c r="AW33" s="279">
        <f>-SUM('B5'!AI32)</f>
        <v>-176</v>
      </c>
      <c r="AX33" s="279">
        <f t="shared" si="17"/>
        <v>-1664.0645161290158</v>
      </c>
      <c r="AY33" s="37">
        <f t="shared" si="37"/>
        <v>-1840.0645161290158</v>
      </c>
      <c r="AZ33" s="100">
        <f>ELEC!A31</f>
        <v>0</v>
      </c>
      <c r="BA33" s="118">
        <f>'General information '!D32</f>
        <v>20.5</v>
      </c>
      <c r="BB33" s="204">
        <f>SUM('General information '!E32)</f>
        <v>0.79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-83.203225806450789</v>
      </c>
      <c r="BK33" s="538">
        <f>GEN!AF30</f>
        <v>0.24362500000006548</v>
      </c>
    </row>
    <row r="34" spans="1:63">
      <c r="A34" s="425">
        <f>ELEC!C32</f>
        <v>44680</v>
      </c>
      <c r="B34">
        <f>'B5'!B33</f>
        <v>233</v>
      </c>
      <c r="C34" s="203">
        <f t="shared" ref="C34:C36" si="48">B34*$B$4</f>
        <v>5013.2580645161288</v>
      </c>
      <c r="D34">
        <f t="shared" ref="D34:D36" si="49">SUM(B34)</f>
        <v>233</v>
      </c>
      <c r="E34" s="203">
        <f t="shared" ref="E34:E36" si="50">D34*$B$4</f>
        <v>5013.2580645161288</v>
      </c>
      <c r="F34">
        <f t="shared" ref="F34:F36" si="51">SUM(D34)</f>
        <v>233</v>
      </c>
      <c r="G34" s="203">
        <f t="shared" ref="G34:G36" si="52">F34*$B$4</f>
        <v>5013.2580645161288</v>
      </c>
      <c r="H34" s="203">
        <f t="shared" ref="H34:H36" si="53">SUM(F34)</f>
        <v>233</v>
      </c>
      <c r="I34" s="203">
        <f t="shared" ref="I34:I36" si="54">H34*$B$4</f>
        <v>5013.2580645161288</v>
      </c>
      <c r="J34" s="203">
        <f t="shared" ref="J34:J36" si="55">SUM(H34)</f>
        <v>233</v>
      </c>
      <c r="K34" s="203">
        <f t="shared" ref="K34:K36" si="56">J34*$B$4</f>
        <v>5013.2580645161288</v>
      </c>
      <c r="L34" s="203">
        <f t="shared" ref="L34:L36" si="57">SUM(J34)</f>
        <v>233</v>
      </c>
      <c r="M34" s="203">
        <f t="shared" ref="M34:M36" si="58">L34*$B$4</f>
        <v>5013.2580645161288</v>
      </c>
      <c r="N34" s="203">
        <f t="shared" ref="N34:N36" si="59">SUM(L34)</f>
        <v>233</v>
      </c>
      <c r="O34" s="203">
        <f t="shared" ref="O34:O36" si="60">N34*$B$4</f>
        <v>5013.2580645161288</v>
      </c>
      <c r="P34" s="203">
        <f t="shared" ref="P34:P36" si="61">SUM(N34)</f>
        <v>233</v>
      </c>
      <c r="Q34" s="203">
        <f t="shared" ref="Q34:Q36" si="62">P34*$B$4</f>
        <v>5013.2580645161288</v>
      </c>
      <c r="R34" s="203">
        <f t="shared" ref="R34:R36" si="63">SUM(P34)</f>
        <v>233</v>
      </c>
      <c r="S34" s="203">
        <f t="shared" ref="S34:S36" si="64">R34*$B$4</f>
        <v>5013.2580645161288</v>
      </c>
      <c r="T34" s="203">
        <f t="shared" ref="T34:T36" si="65">SUM(R34)</f>
        <v>233</v>
      </c>
      <c r="U34" s="203">
        <f t="shared" ref="U34:U36" si="66">T34*$B$4</f>
        <v>5013.2580645161288</v>
      </c>
      <c r="V34" s="203">
        <f t="shared" ref="V34:V36" si="67">SUM(T34)</f>
        <v>233</v>
      </c>
      <c r="W34" s="203">
        <f t="shared" ref="W34:W36" si="68">V34*$B$4</f>
        <v>5013.2580645161288</v>
      </c>
      <c r="X34" s="35">
        <f t="shared" ref="X34:X36" si="69">SUM(Y34/73370)</f>
        <v>0.75161290322580643</v>
      </c>
      <c r="Y34" s="36">
        <f t="shared" ref="Y34:Y36" si="70">SUM(C34+E34+G34+I34+K34+M34+O34+Q34+S34+U34+W34)</f>
        <v>55145.838709677417</v>
      </c>
      <c r="Z34" s="203">
        <f>'B5'!C33</f>
        <v>239</v>
      </c>
      <c r="AA34" s="203">
        <f t="shared" ref="AA34:AA36" si="71">SUM(Z34*$Z$4)</f>
        <v>2390</v>
      </c>
      <c r="AB34" s="203">
        <f t="shared" ref="AB34:AB36" si="72">SUM(Z34)</f>
        <v>239</v>
      </c>
      <c r="AC34" s="203">
        <f t="shared" ref="AC34:AC36" si="73">SUM(AB34*$Z$4)</f>
        <v>2390</v>
      </c>
      <c r="AD34" s="203">
        <f t="shared" ref="AD34:AD36" si="74">SUM(AB34)</f>
        <v>239</v>
      </c>
      <c r="AE34" s="203">
        <f t="shared" ref="AE34:AE36" si="75">SUM(AD34*$Z$4)</f>
        <v>2390</v>
      </c>
      <c r="AF34" s="203">
        <f t="shared" ref="AF34:AF36" si="76">SUM(AD34)</f>
        <v>239</v>
      </c>
      <c r="AG34" s="203">
        <f t="shared" ref="AG34:AG36" si="77">SUM(AF34*$Z$4)</f>
        <v>2390</v>
      </c>
      <c r="AH34" s="203">
        <f t="shared" ref="AH34:AH36" si="78">SUM(AF34)</f>
        <v>239</v>
      </c>
      <c r="AI34" s="203">
        <f t="shared" ref="AI34:AI36" si="79">SUM(AH34*$Z$4)</f>
        <v>2390</v>
      </c>
      <c r="AJ34" s="203">
        <f t="shared" ref="AJ34:AJ36" si="80">SUM(AH34)</f>
        <v>239</v>
      </c>
      <c r="AK34" s="203">
        <f t="shared" ref="AK34:AK36" si="81">SUM(AJ34*$Z$4)</f>
        <v>2390</v>
      </c>
      <c r="AL34" s="203">
        <f t="shared" ref="AL34:AL36" si="82">SUM(AJ34)</f>
        <v>239</v>
      </c>
      <c r="AM34" s="203">
        <f t="shared" ref="AM34:AM36" si="83">SUM(AL34*$Z$4)</f>
        <v>2390</v>
      </c>
      <c r="AN34" s="35">
        <f t="shared" ref="AN34:AN36" si="84">SUM(AO34/19600)</f>
        <v>0.85357142857142854</v>
      </c>
      <c r="AO34" s="36">
        <f t="shared" ref="AO34:AO36" si="85">SUM(AA34+AC34+AE34+AG34+AI34+AK34+AM34)</f>
        <v>16730</v>
      </c>
      <c r="AQ34" s="223">
        <f t="shared" ref="AQ34:AQ36" si="86">SUM(AR34/92970)</f>
        <v>0.77310787038482764</v>
      </c>
      <c r="AR34" s="38">
        <f t="shared" ref="AR34:AR36" si="87">Y34+AO34</f>
        <v>71875.838709677424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1.05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233</v>
      </c>
      <c r="C35" s="203">
        <f t="shared" si="48"/>
        <v>5013.2580645161288</v>
      </c>
      <c r="D35">
        <f t="shared" si="49"/>
        <v>233</v>
      </c>
      <c r="E35" s="203">
        <f t="shared" si="50"/>
        <v>5013.2580645161288</v>
      </c>
      <c r="F35">
        <f t="shared" si="51"/>
        <v>233</v>
      </c>
      <c r="G35" s="203">
        <f t="shared" si="52"/>
        <v>5013.2580645161288</v>
      </c>
      <c r="H35" s="203">
        <f t="shared" si="53"/>
        <v>233</v>
      </c>
      <c r="I35" s="203">
        <f t="shared" si="54"/>
        <v>5013.2580645161288</v>
      </c>
      <c r="J35" s="203">
        <f t="shared" si="55"/>
        <v>233</v>
      </c>
      <c r="K35" s="203">
        <f t="shared" si="56"/>
        <v>5013.2580645161288</v>
      </c>
      <c r="L35" s="203">
        <f t="shared" si="57"/>
        <v>233</v>
      </c>
      <c r="M35" s="203">
        <f t="shared" si="58"/>
        <v>5013.2580645161288</v>
      </c>
      <c r="N35" s="203">
        <f t="shared" si="59"/>
        <v>233</v>
      </c>
      <c r="O35" s="203">
        <f t="shared" si="60"/>
        <v>5013.2580645161288</v>
      </c>
      <c r="P35" s="203">
        <f t="shared" si="61"/>
        <v>233</v>
      </c>
      <c r="Q35" s="203">
        <f t="shared" si="62"/>
        <v>5013.2580645161288</v>
      </c>
      <c r="R35" s="203">
        <f t="shared" si="63"/>
        <v>233</v>
      </c>
      <c r="S35" s="203">
        <f t="shared" si="64"/>
        <v>5013.2580645161288</v>
      </c>
      <c r="T35" s="203">
        <f t="shared" si="65"/>
        <v>233</v>
      </c>
      <c r="U35" s="203">
        <f t="shared" si="66"/>
        <v>5013.2580645161288</v>
      </c>
      <c r="V35" s="203">
        <f t="shared" si="67"/>
        <v>233</v>
      </c>
      <c r="W35" s="203">
        <f t="shared" si="68"/>
        <v>5013.2580645161288</v>
      </c>
      <c r="X35" s="35">
        <f t="shared" si="69"/>
        <v>0.75161290322580643</v>
      </c>
      <c r="Y35" s="36">
        <f t="shared" si="70"/>
        <v>55145.838709677417</v>
      </c>
      <c r="Z35" s="203">
        <f>'B5'!C34</f>
        <v>239</v>
      </c>
      <c r="AA35" s="203">
        <f t="shared" si="71"/>
        <v>2390</v>
      </c>
      <c r="AB35" s="203">
        <f t="shared" si="72"/>
        <v>239</v>
      </c>
      <c r="AC35" s="203">
        <f t="shared" si="73"/>
        <v>2390</v>
      </c>
      <c r="AD35" s="203">
        <f t="shared" si="74"/>
        <v>239</v>
      </c>
      <c r="AE35" s="203">
        <f t="shared" si="75"/>
        <v>2390</v>
      </c>
      <c r="AF35" s="203">
        <f t="shared" si="76"/>
        <v>239</v>
      </c>
      <c r="AG35" s="203">
        <f t="shared" si="77"/>
        <v>2390</v>
      </c>
      <c r="AH35" s="203">
        <f t="shared" si="78"/>
        <v>239</v>
      </c>
      <c r="AI35" s="203">
        <f t="shared" si="79"/>
        <v>2390</v>
      </c>
      <c r="AJ35" s="203">
        <f t="shared" si="80"/>
        <v>239</v>
      </c>
      <c r="AK35" s="203">
        <f t="shared" si="81"/>
        <v>2390</v>
      </c>
      <c r="AL35" s="203">
        <f t="shared" si="82"/>
        <v>239</v>
      </c>
      <c r="AM35" s="203">
        <f t="shared" si="83"/>
        <v>2390</v>
      </c>
      <c r="AN35" s="35">
        <f t="shared" si="84"/>
        <v>0.85357142857142854</v>
      </c>
      <c r="AO35" s="36">
        <f t="shared" si="85"/>
        <v>16730</v>
      </c>
      <c r="AQ35" s="223">
        <f t="shared" si="86"/>
        <v>0.77310787038482764</v>
      </c>
      <c r="AR35" s="38">
        <f t="shared" si="87"/>
        <v>71875.838709677424</v>
      </c>
      <c r="AS35" s="197">
        <f t="shared" si="88"/>
        <v>0</v>
      </c>
      <c r="AT35" s="340"/>
      <c r="AU35" s="548"/>
      <c r="AV35" s="485">
        <f t="shared" si="89"/>
        <v>1.05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233</v>
      </c>
      <c r="C36" s="203">
        <f t="shared" si="48"/>
        <v>5013.2580645161288</v>
      </c>
      <c r="D36">
        <f t="shared" si="49"/>
        <v>233</v>
      </c>
      <c r="E36" s="203">
        <f t="shared" si="50"/>
        <v>5013.2580645161288</v>
      </c>
      <c r="F36">
        <f t="shared" si="51"/>
        <v>233</v>
      </c>
      <c r="G36" s="203">
        <f t="shared" si="52"/>
        <v>5013.2580645161288</v>
      </c>
      <c r="H36" s="203">
        <f t="shared" si="53"/>
        <v>233</v>
      </c>
      <c r="I36" s="203">
        <f t="shared" si="54"/>
        <v>5013.2580645161288</v>
      </c>
      <c r="J36" s="203">
        <f t="shared" si="55"/>
        <v>233</v>
      </c>
      <c r="K36" s="203">
        <f t="shared" si="56"/>
        <v>5013.2580645161288</v>
      </c>
      <c r="L36" s="203">
        <f t="shared" si="57"/>
        <v>233</v>
      </c>
      <c r="M36" s="203">
        <f t="shared" si="58"/>
        <v>5013.2580645161288</v>
      </c>
      <c r="N36" s="203">
        <f t="shared" si="59"/>
        <v>233</v>
      </c>
      <c r="O36" s="203">
        <f t="shared" si="60"/>
        <v>5013.2580645161288</v>
      </c>
      <c r="P36" s="203">
        <f t="shared" si="61"/>
        <v>233</v>
      </c>
      <c r="Q36" s="203">
        <f t="shared" si="62"/>
        <v>5013.2580645161288</v>
      </c>
      <c r="R36" s="203">
        <f t="shared" si="63"/>
        <v>233</v>
      </c>
      <c r="S36" s="203">
        <f t="shared" si="64"/>
        <v>5013.2580645161288</v>
      </c>
      <c r="T36" s="203">
        <f t="shared" si="65"/>
        <v>233</v>
      </c>
      <c r="U36" s="203">
        <f t="shared" si="66"/>
        <v>5013.2580645161288</v>
      </c>
      <c r="V36" s="203">
        <f t="shared" si="67"/>
        <v>233</v>
      </c>
      <c r="W36" s="203">
        <f t="shared" si="68"/>
        <v>5013.2580645161288</v>
      </c>
      <c r="X36" s="35">
        <f t="shared" si="69"/>
        <v>0.75161290322580643</v>
      </c>
      <c r="Y36" s="36">
        <f t="shared" si="70"/>
        <v>55145.838709677417</v>
      </c>
      <c r="Z36" s="203">
        <f>'B5'!C35</f>
        <v>239</v>
      </c>
      <c r="AA36" s="203">
        <f t="shared" si="71"/>
        <v>2390</v>
      </c>
      <c r="AB36" s="203">
        <f t="shared" si="72"/>
        <v>239</v>
      </c>
      <c r="AC36" s="203">
        <f t="shared" si="73"/>
        <v>2390</v>
      </c>
      <c r="AD36" s="203">
        <f t="shared" si="74"/>
        <v>239</v>
      </c>
      <c r="AE36" s="203">
        <f t="shared" si="75"/>
        <v>2390</v>
      </c>
      <c r="AF36" s="203">
        <f t="shared" si="76"/>
        <v>239</v>
      </c>
      <c r="AG36" s="203">
        <f t="shared" si="77"/>
        <v>2390</v>
      </c>
      <c r="AH36" s="203">
        <f t="shared" si="78"/>
        <v>239</v>
      </c>
      <c r="AI36" s="203">
        <f t="shared" si="79"/>
        <v>2390</v>
      </c>
      <c r="AJ36" s="203">
        <f t="shared" si="80"/>
        <v>239</v>
      </c>
      <c r="AK36" s="203">
        <f t="shared" si="81"/>
        <v>2390</v>
      </c>
      <c r="AL36" s="203">
        <f t="shared" si="82"/>
        <v>239</v>
      </c>
      <c r="AM36" s="203">
        <f t="shared" si="83"/>
        <v>2390</v>
      </c>
      <c r="AN36" s="35">
        <f t="shared" si="84"/>
        <v>0.85357142857142854</v>
      </c>
      <c r="AO36" s="36">
        <f t="shared" si="85"/>
        <v>16730</v>
      </c>
      <c r="AQ36" s="223">
        <f t="shared" si="86"/>
        <v>0.77310787038482764</v>
      </c>
      <c r="AR36" s="38">
        <f t="shared" si="87"/>
        <v>71875.838709677424</v>
      </c>
      <c r="AS36" s="197">
        <f t="shared" si="88"/>
        <v>0</v>
      </c>
      <c r="AT36" s="340"/>
      <c r="AU36" s="548"/>
      <c r="AV36" s="485">
        <f t="shared" si="89"/>
        <v>1.05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5</v>
      </c>
      <c r="AT37" s="203">
        <f>SUM(AT6:AT36)</f>
        <v>25182</v>
      </c>
      <c r="AU37" s="544">
        <f>SUM(AU6:AU36)/AS37</f>
        <v>1.0251999999999999</v>
      </c>
      <c r="AX37" s="203">
        <f>SUM(AX6:AX36)</f>
        <v>-24111.451612903242</v>
      </c>
      <c r="AY37" s="203">
        <f>SUM(AY6:AY36)</f>
        <v>-28625.451612903242</v>
      </c>
    </row>
    <row r="38" spans="1:63">
      <c r="AS38" s="206"/>
      <c r="AT38" s="82">
        <f>+AT37*AU37</f>
        <v>25816.586399999997</v>
      </c>
    </row>
    <row r="40" spans="1:63">
      <c r="AS40" s="165">
        <f>SUM(AS6:AS36)/'EDl log'!A35</f>
        <v>-4770.90860215054</v>
      </c>
      <c r="AT40" s="203"/>
    </row>
    <row r="41" spans="1:63">
      <c r="AX41">
        <v>43309</v>
      </c>
    </row>
    <row r="42" spans="1:63">
      <c r="AR42" s="203">
        <f>AR36-22000</f>
        <v>49875.838709677424</v>
      </c>
      <c r="AU42" s="203"/>
      <c r="AX42">
        <f>AX37/AX41</f>
        <v>-0.55673073986707711</v>
      </c>
    </row>
    <row r="43" spans="1:63">
      <c r="AR43">
        <f>AR42/5500</f>
        <v>9.0683343108504406</v>
      </c>
    </row>
    <row r="44" spans="1:63">
      <c r="AR44">
        <f>AR43*2</f>
        <v>18.136668621700881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F22" sqref="F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2159.501122580677</v>
      </c>
      <c r="R6" s="285">
        <f t="shared" si="13"/>
        <v>2319.4642624369512</v>
      </c>
      <c r="S6" s="287">
        <f>SUM(ELEC!N6)</f>
        <v>6534</v>
      </c>
      <c r="T6" s="321">
        <f t="shared" ref="T6:T30" si="16">IF(S6&gt;0,R6/S6,0)</f>
        <v>0.35498381733041801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1799.9866322580422</v>
      </c>
      <c r="R7" s="285">
        <f t="shared" si="13"/>
        <v>1998.4346809037027</v>
      </c>
      <c r="S7" s="287">
        <f>SUM(ELEC!N7)</f>
        <v>4892</v>
      </c>
      <c r="T7" s="321">
        <f t="shared" si="16"/>
        <v>0.40851076878652959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1685.4949419354966</v>
      </c>
      <c r="R8" s="285">
        <f t="shared" si="13"/>
        <v>1845.4580817917708</v>
      </c>
      <c r="S8" s="287">
        <f>SUM(ELEC!N8)</f>
        <v>5576</v>
      </c>
      <c r="T8" s="321">
        <f>IF(S8&gt;0,R8/S8,0)</f>
        <v>0.33096450534285704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v>1117038</v>
      </c>
      <c r="C9" s="254">
        <f t="shared" si="0"/>
        <v>287</v>
      </c>
      <c r="D9" s="295">
        <f t="shared" si="14"/>
        <v>288</v>
      </c>
      <c r="E9" s="295">
        <f t="shared" si="15"/>
        <v>1117039</v>
      </c>
      <c r="F9" s="623">
        <f t="shared" si="8"/>
        <v>161410</v>
      </c>
      <c r="G9" s="160">
        <f t="shared" si="1"/>
        <v>0</v>
      </c>
      <c r="H9" s="623">
        <v>554191</v>
      </c>
      <c r="I9" s="161">
        <f t="shared" si="2"/>
        <v>198</v>
      </c>
      <c r="J9" s="623">
        <v>401437</v>
      </c>
      <c r="K9" s="162">
        <f>J9-J8</f>
        <v>90</v>
      </c>
      <c r="L9" s="284">
        <f t="shared" si="3"/>
        <v>0</v>
      </c>
      <c r="M9" s="284">
        <f t="shared" si="4"/>
        <v>14.710447761194029</v>
      </c>
      <c r="N9" s="284">
        <f t="shared" si="5"/>
        <v>4.7761194029850742</v>
      </c>
      <c r="O9" s="284">
        <f t="shared" si="6"/>
        <v>159.96313985627418</v>
      </c>
      <c r="P9" s="285">
        <f t="shared" si="12"/>
        <v>179.44970702045327</v>
      </c>
      <c r="Q9" s="285">
        <f>SUM(-tanks!AX11*tanks!$AU$37)</f>
        <v>1789.0401419354816</v>
      </c>
      <c r="R9" s="285">
        <f>SUM(P9:Q9)</f>
        <v>1968.489848955935</v>
      </c>
      <c r="S9" s="287">
        <f>SUM(ELEC!N9)</f>
        <v>4455</v>
      </c>
      <c r="T9" s="321">
        <f t="shared" si="16"/>
        <v>0.44186079662310551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f t="shared" si="7"/>
        <v>1117038</v>
      </c>
      <c r="C10" s="254">
        <f t="shared" si="0"/>
        <v>0</v>
      </c>
      <c r="D10" s="295">
        <f t="shared" si="14"/>
        <v>0</v>
      </c>
      <c r="E10" s="295">
        <f t="shared" si="15"/>
        <v>1117038</v>
      </c>
      <c r="F10" s="623">
        <f t="shared" si="8"/>
        <v>161410</v>
      </c>
      <c r="G10" s="160">
        <f t="shared" si="1"/>
        <v>0</v>
      </c>
      <c r="H10" s="623">
        <f t="shared" si="9"/>
        <v>554191</v>
      </c>
      <c r="I10" s="161">
        <f t="shared" si="2"/>
        <v>0</v>
      </c>
      <c r="J10" s="623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890.07202580644571</v>
      </c>
      <c r="R10" s="285">
        <f t="shared" si="13"/>
        <v>1050.0351656627199</v>
      </c>
      <c r="S10" s="287">
        <f>SUM(ELEC!N10)</f>
        <v>4790</v>
      </c>
      <c r="T10" s="321">
        <f t="shared" si="16"/>
        <v>0.21921402205902293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1117038</v>
      </c>
      <c r="C11" s="254">
        <f t="shared" si="0"/>
        <v>0</v>
      </c>
      <c r="D11" s="295">
        <f t="shared" si="14"/>
        <v>0</v>
      </c>
      <c r="E11" s="295">
        <f t="shared" si="15"/>
        <v>1117038</v>
      </c>
      <c r="F11" s="623">
        <f t="shared" si="8"/>
        <v>161410</v>
      </c>
      <c r="G11" s="160">
        <f t="shared" si="1"/>
        <v>0</v>
      </c>
      <c r="H11" s="623">
        <f t="shared" si="9"/>
        <v>554191</v>
      </c>
      <c r="I11" s="161">
        <f t="shared" si="2"/>
        <v>0</v>
      </c>
      <c r="J11" s="623">
        <f t="shared" si="10"/>
        <v>401437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1117038</v>
      </c>
      <c r="C12" s="254">
        <f t="shared" si="0"/>
        <v>0</v>
      </c>
      <c r="D12" s="295">
        <f t="shared" si="14"/>
        <v>0</v>
      </c>
      <c r="E12" s="295">
        <f t="shared" si="15"/>
        <v>1117038</v>
      </c>
      <c r="F12" s="623">
        <f t="shared" si="8"/>
        <v>161410</v>
      </c>
      <c r="G12" s="160">
        <f t="shared" si="1"/>
        <v>0</v>
      </c>
      <c r="H12" s="623">
        <f t="shared" si="9"/>
        <v>554191</v>
      </c>
      <c r="I12" s="161">
        <f t="shared" si="2"/>
        <v>0</v>
      </c>
      <c r="J12" s="623">
        <f t="shared" si="10"/>
        <v>401437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v>1117309</v>
      </c>
      <c r="C13" s="254">
        <f t="shared" si="0"/>
        <v>271</v>
      </c>
      <c r="D13" s="295">
        <f t="shared" si="14"/>
        <v>271</v>
      </c>
      <c r="E13" s="295">
        <f t="shared" si="15"/>
        <v>1117309</v>
      </c>
      <c r="F13" s="623">
        <f t="shared" si="8"/>
        <v>161410</v>
      </c>
      <c r="G13" s="160">
        <f t="shared" si="1"/>
        <v>0</v>
      </c>
      <c r="H13" s="623">
        <v>554462</v>
      </c>
      <c r="I13" s="161">
        <f t="shared" si="2"/>
        <v>271</v>
      </c>
      <c r="J13" s="623">
        <f t="shared" si="10"/>
        <v>401437</v>
      </c>
      <c r="K13" s="162">
        <f t="shared" si="11"/>
        <v>0</v>
      </c>
      <c r="L13" s="284">
        <f t="shared" si="3"/>
        <v>0</v>
      </c>
      <c r="M13" s="284">
        <f t="shared" si="4"/>
        <v>20.133996683250416</v>
      </c>
      <c r="N13" s="284">
        <f t="shared" si="5"/>
        <v>0</v>
      </c>
      <c r="O13" s="284">
        <f t="shared" si="6"/>
        <v>159.96313985627418</v>
      </c>
      <c r="P13" s="285">
        <f t="shared" si="12"/>
        <v>180.0971365395246</v>
      </c>
      <c r="Q13" s="285">
        <f>SUM(-tanks!AX15*tanks!$AU$37)</f>
        <v>787.55202580644573</v>
      </c>
      <c r="R13" s="285">
        <f t="shared" si="13"/>
        <v>967.64916234597035</v>
      </c>
      <c r="S13" s="287">
        <f>SUM(ELEC!N13)</f>
        <v>5071</v>
      </c>
      <c r="T13" s="321">
        <f>IF(S13&gt;0,R13/S13,0)</f>
        <v>0.19082018583040236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v>1117466</v>
      </c>
      <c r="C14" s="254">
        <f t="shared" si="0"/>
        <v>157</v>
      </c>
      <c r="D14" s="295">
        <f t="shared" si="14"/>
        <v>158</v>
      </c>
      <c r="E14" s="295">
        <f t="shared" si="15"/>
        <v>1117467</v>
      </c>
      <c r="F14" s="623">
        <f t="shared" si="8"/>
        <v>161410</v>
      </c>
      <c r="G14" s="160">
        <f t="shared" si="1"/>
        <v>0</v>
      </c>
      <c r="H14" s="623">
        <v>554620</v>
      </c>
      <c r="I14" s="161">
        <f t="shared" si="2"/>
        <v>158</v>
      </c>
      <c r="J14" s="623">
        <f t="shared" si="10"/>
        <v>401437</v>
      </c>
      <c r="K14" s="162">
        <f>J14-J13</f>
        <v>0</v>
      </c>
      <c r="L14" s="284">
        <f>SUM(G14*$Y$28)/1507.5</f>
        <v>0</v>
      </c>
      <c r="M14" s="284">
        <f>SUM(I14*$Y$27)/1507.5</f>
        <v>11.738640132669984</v>
      </c>
      <c r="N14" s="284">
        <f>SUM(K14*$Y$26)/1507.5</f>
        <v>0</v>
      </c>
      <c r="O14" s="284">
        <f t="shared" si="6"/>
        <v>159.96313985627418</v>
      </c>
      <c r="P14" s="285">
        <f>SUM(L14:O14)</f>
        <v>171.70177998894417</v>
      </c>
      <c r="Q14" s="285">
        <f>SUM(-tanks!AX16*tanks!$AU$37)</f>
        <v>1418.9429419355117</v>
      </c>
      <c r="R14" s="285">
        <f>SUM(P14:Q14)</f>
        <v>1590.644721924456</v>
      </c>
      <c r="S14" s="287">
        <f>SUM(ELEC!N14)</f>
        <v>6481</v>
      </c>
      <c r="T14" s="321">
        <f>IF(S14&gt;0,R14/S14,0)</f>
        <v>0.24543198918754142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v>1117553</v>
      </c>
      <c r="C15" s="254">
        <f t="shared" si="0"/>
        <v>87</v>
      </c>
      <c r="D15" s="295">
        <f t="shared" si="14"/>
        <v>86</v>
      </c>
      <c r="E15" s="295">
        <f t="shared" si="15"/>
        <v>1117552</v>
      </c>
      <c r="F15" s="623">
        <v>161410</v>
      </c>
      <c r="G15" s="160">
        <f t="shared" si="1"/>
        <v>0</v>
      </c>
      <c r="H15" s="625">
        <v>554706</v>
      </c>
      <c r="I15" s="161">
        <f t="shared" si="2"/>
        <v>86</v>
      </c>
      <c r="J15" s="623">
        <v>401437</v>
      </c>
      <c r="K15" s="162">
        <f>J15-J14</f>
        <v>0</v>
      </c>
      <c r="L15" s="284">
        <f>SUM(G15*$Y$28)/1507.5</f>
        <v>0</v>
      </c>
      <c r="M15" s="284">
        <f>SUM(I15*$Y$27)/1507.5</f>
        <v>6.3893864013266999</v>
      </c>
      <c r="N15" s="284">
        <f>SUM(K15*$Y$26)/1507.5</f>
        <v>0</v>
      </c>
      <c r="O15" s="284">
        <f t="shared" si="6"/>
        <v>159.96313985627418</v>
      </c>
      <c r="P15" s="285">
        <f>SUM(L15:O15)</f>
        <v>166.35252625760089</v>
      </c>
      <c r="Q15" s="285">
        <f>SUM(-tanks!AX17*tanks!$AU$37)</f>
        <v>1969.1446322580421</v>
      </c>
      <c r="R15" s="285">
        <f>SUM(P15:Q15)</f>
        <v>2135.4971585156432</v>
      </c>
      <c r="S15" s="287">
        <f>SUM(ELEC!N15)</f>
        <v>2164</v>
      </c>
      <c r="T15" s="321">
        <f>IF(S15&gt;0,R15/S15,0)</f>
        <v>0.98682863147672972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1117553</v>
      </c>
      <c r="C16" s="254">
        <f t="shared" si="0"/>
        <v>0</v>
      </c>
      <c r="D16" s="295">
        <f t="shared" si="14"/>
        <v>0</v>
      </c>
      <c r="E16" s="295">
        <f t="shared" si="15"/>
        <v>1117553</v>
      </c>
      <c r="F16" s="623">
        <f t="shared" si="8"/>
        <v>161410</v>
      </c>
      <c r="G16" s="160">
        <f t="shared" si="1"/>
        <v>0</v>
      </c>
      <c r="H16" s="623">
        <f t="shared" si="9"/>
        <v>554706</v>
      </c>
      <c r="I16" s="161">
        <f t="shared" si="2"/>
        <v>0</v>
      </c>
      <c r="J16" s="623">
        <f t="shared" si="10"/>
        <v>401437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973.80771612903595</v>
      </c>
      <c r="R16" s="285">
        <f>SUM(P16:Q16)</f>
        <v>1133.7708559853102</v>
      </c>
      <c r="S16" s="287">
        <f>SUM(ELEC!N16)</f>
        <v>5387</v>
      </c>
      <c r="T16" s="321">
        <f>IF(S16&gt;0,R16/S16,0)</f>
        <v>0.21046423909138856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1117553</v>
      </c>
      <c r="C17" s="254">
        <f t="shared" si="0"/>
        <v>0</v>
      </c>
      <c r="D17" s="295">
        <f t="shared" si="14"/>
        <v>0</v>
      </c>
      <c r="E17" s="295">
        <f t="shared" si="15"/>
        <v>1117553</v>
      </c>
      <c r="F17" s="623">
        <f t="shared" si="8"/>
        <v>161410</v>
      </c>
      <c r="G17" s="160">
        <f>F17-F16</f>
        <v>0</v>
      </c>
      <c r="H17" s="623">
        <f t="shared" si="9"/>
        <v>554706</v>
      </c>
      <c r="I17" s="161">
        <f t="shared" si="2"/>
        <v>0</v>
      </c>
      <c r="J17" s="623">
        <f t="shared" si="10"/>
        <v>401437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1117553</v>
      </c>
      <c r="C18" s="254">
        <f>SUM(B18-B17)</f>
        <v>0</v>
      </c>
      <c r="D18" s="295">
        <f>SUM(G18+I18+K18)</f>
        <v>0</v>
      </c>
      <c r="E18" s="295">
        <f t="shared" si="15"/>
        <v>1117553</v>
      </c>
      <c r="F18" s="623">
        <f t="shared" si="8"/>
        <v>161410</v>
      </c>
      <c r="G18" s="160">
        <f t="shared" si="1"/>
        <v>0</v>
      </c>
      <c r="H18" s="623">
        <f t="shared" si="9"/>
        <v>554706</v>
      </c>
      <c r="I18" s="161">
        <f t="shared" si="2"/>
        <v>0</v>
      </c>
      <c r="J18" s="623">
        <f t="shared" si="10"/>
        <v>401437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1117553</v>
      </c>
      <c r="C19" s="254">
        <f t="shared" si="0"/>
        <v>0</v>
      </c>
      <c r="D19" s="295">
        <f t="shared" si="14"/>
        <v>0</v>
      </c>
      <c r="E19" s="295">
        <f t="shared" si="15"/>
        <v>1117553</v>
      </c>
      <c r="F19" s="623">
        <f t="shared" si="8"/>
        <v>161410</v>
      </c>
      <c r="G19" s="160">
        <f t="shared" si="1"/>
        <v>0</v>
      </c>
      <c r="H19" s="623">
        <f t="shared" si="9"/>
        <v>554706</v>
      </c>
      <c r="I19" s="161">
        <f t="shared" si="2"/>
        <v>0</v>
      </c>
      <c r="J19" s="623">
        <f t="shared" si="10"/>
        <v>401437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1117553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554706</v>
      </c>
      <c r="I20" s="161">
        <f t="shared" si="2"/>
        <v>0</v>
      </c>
      <c r="J20" s="623">
        <f t="shared" si="10"/>
        <v>401437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v>1117981</v>
      </c>
      <c r="C21" s="254">
        <f t="shared" si="0"/>
        <v>428</v>
      </c>
      <c r="D21" s="295">
        <f t="shared" si="14"/>
        <v>429</v>
      </c>
      <c r="E21" s="295">
        <f t="shared" si="15"/>
        <v>1117982</v>
      </c>
      <c r="F21" s="623">
        <f t="shared" si="8"/>
        <v>161410</v>
      </c>
      <c r="G21" s="160">
        <f t="shared" si="1"/>
        <v>0</v>
      </c>
      <c r="H21" s="623">
        <v>555135</v>
      </c>
      <c r="I21" s="161">
        <f t="shared" si="2"/>
        <v>429</v>
      </c>
      <c r="J21" s="623">
        <f t="shared" si="10"/>
        <v>401437</v>
      </c>
      <c r="K21" s="162">
        <f t="shared" si="11"/>
        <v>0</v>
      </c>
      <c r="L21" s="284">
        <f t="shared" si="17"/>
        <v>0</v>
      </c>
      <c r="M21" s="284">
        <f t="shared" si="18"/>
        <v>31.872636815920398</v>
      </c>
      <c r="N21" s="284">
        <f t="shared" si="19"/>
        <v>0</v>
      </c>
      <c r="O21" s="284">
        <f t="shared" si="6"/>
        <v>159.96313985627418</v>
      </c>
      <c r="P21" s="285">
        <f t="shared" si="12"/>
        <v>191.83577667219458</v>
      </c>
      <c r="Q21" s="285">
        <f>SUM(-tanks!AX23*tanks!$AU$37)</f>
        <v>1386.4672516129215</v>
      </c>
      <c r="R21" s="285">
        <f t="shared" si="13"/>
        <v>1578.3030282851159</v>
      </c>
      <c r="S21" s="287">
        <f>SUM(ELEC!N21)</f>
        <v>4153</v>
      </c>
      <c r="T21" s="321">
        <f t="shared" si="16"/>
        <v>0.38003925554662077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44670</v>
      </c>
      <c r="B22" s="623">
        <v>1117981</v>
      </c>
      <c r="C22" s="254">
        <f t="shared" si="0"/>
        <v>0</v>
      </c>
      <c r="D22" s="295">
        <f t="shared" si="14"/>
        <v>0</v>
      </c>
      <c r="E22" s="295">
        <f t="shared" si="15"/>
        <v>1117981</v>
      </c>
      <c r="F22" s="623">
        <f t="shared" si="8"/>
        <v>161410</v>
      </c>
      <c r="G22" s="160">
        <f t="shared" si="1"/>
        <v>0</v>
      </c>
      <c r="H22" s="623">
        <f t="shared" si="9"/>
        <v>555135</v>
      </c>
      <c r="I22" s="161">
        <f t="shared" si="2"/>
        <v>0</v>
      </c>
      <c r="J22" s="623">
        <f t="shared" si="10"/>
        <v>401437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1739.4998322580423</v>
      </c>
      <c r="R22" s="285">
        <f t="shared" si="13"/>
        <v>1899.4629721143165</v>
      </c>
      <c r="S22" s="287">
        <f>SUM(ELEC!N22)</f>
        <v>4878</v>
      </c>
      <c r="T22" s="321">
        <f t="shared" si="16"/>
        <v>0.38939380322146711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44671</v>
      </c>
      <c r="B23" s="623">
        <f t="shared" si="7"/>
        <v>1117981</v>
      </c>
      <c r="C23" s="254">
        <f t="shared" si="0"/>
        <v>0</v>
      </c>
      <c r="D23" s="295">
        <f t="shared" si="14"/>
        <v>0</v>
      </c>
      <c r="E23" s="295">
        <f t="shared" si="15"/>
        <v>1117981</v>
      </c>
      <c r="F23" s="623">
        <f t="shared" si="8"/>
        <v>161410</v>
      </c>
      <c r="G23" s="160">
        <f t="shared" si="1"/>
        <v>0</v>
      </c>
      <c r="H23" s="623">
        <f t="shared" si="9"/>
        <v>555135</v>
      </c>
      <c r="I23" s="161">
        <f t="shared" si="2"/>
        <v>0</v>
      </c>
      <c r="J23" s="623">
        <f t="shared" si="10"/>
        <v>401437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837.78682580644579</v>
      </c>
      <c r="R23" s="285">
        <f t="shared" si="13"/>
        <v>997.74996566272</v>
      </c>
      <c r="S23" s="287">
        <f>SUM(ELEC!N23)</f>
        <v>4410</v>
      </c>
      <c r="T23" s="321">
        <f t="shared" si="16"/>
        <v>0.22624715774664853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44672</v>
      </c>
      <c r="B24" s="623">
        <f t="shared" si="7"/>
        <v>1117981</v>
      </c>
      <c r="C24" s="254">
        <f t="shared" si="0"/>
        <v>0</v>
      </c>
      <c r="D24" s="295">
        <f t="shared" si="14"/>
        <v>0</v>
      </c>
      <c r="E24" s="295">
        <f t="shared" si="15"/>
        <v>1117981</v>
      </c>
      <c r="F24" s="623">
        <f t="shared" si="8"/>
        <v>161410</v>
      </c>
      <c r="G24" s="160">
        <f t="shared" si="1"/>
        <v>0</v>
      </c>
      <c r="H24" s="623">
        <f t="shared" si="9"/>
        <v>555135</v>
      </c>
      <c r="I24" s="161">
        <f t="shared" si="2"/>
        <v>0</v>
      </c>
      <c r="J24" s="623">
        <f t="shared" si="10"/>
        <v>401437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44673</v>
      </c>
      <c r="B25" s="623">
        <f t="shared" si="7"/>
        <v>1117981</v>
      </c>
      <c r="C25" s="254">
        <f t="shared" si="0"/>
        <v>0</v>
      </c>
      <c r="D25" s="295">
        <f t="shared" si="14"/>
        <v>0</v>
      </c>
      <c r="E25" s="295">
        <f t="shared" si="15"/>
        <v>1117981</v>
      </c>
      <c r="F25" s="623">
        <f t="shared" si="8"/>
        <v>161410</v>
      </c>
      <c r="G25" s="160">
        <f t="shared" si="1"/>
        <v>0</v>
      </c>
      <c r="H25" s="623">
        <f t="shared" si="9"/>
        <v>555135</v>
      </c>
      <c r="I25" s="161">
        <f t="shared" si="2"/>
        <v>0</v>
      </c>
      <c r="J25" s="623">
        <f t="shared" si="10"/>
        <v>401437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1117981</v>
      </c>
      <c r="C26" s="254">
        <f t="shared" si="0"/>
        <v>0</v>
      </c>
      <c r="D26" s="295">
        <f t="shared" si="14"/>
        <v>0</v>
      </c>
      <c r="E26" s="295">
        <f t="shared" si="15"/>
        <v>1117981</v>
      </c>
      <c r="F26" s="623">
        <f t="shared" si="8"/>
        <v>161410</v>
      </c>
      <c r="G26" s="160">
        <f t="shared" si="1"/>
        <v>0</v>
      </c>
      <c r="H26" s="623">
        <f t="shared" si="9"/>
        <v>555135</v>
      </c>
      <c r="I26" s="161">
        <f t="shared" si="2"/>
        <v>0</v>
      </c>
      <c r="J26" s="623">
        <f t="shared" si="10"/>
        <v>401437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401437</v>
      </c>
      <c r="X26" s="172" t="s">
        <v>199</v>
      </c>
      <c r="Y26" s="172">
        <v>80</v>
      </c>
      <c r="Z26" s="172">
        <v>1</v>
      </c>
      <c r="AA26" s="323">
        <f>(W26-V26)*Z26</f>
        <v>90</v>
      </c>
      <c r="AB26" s="323">
        <f>AA26*Y26</f>
        <v>7200</v>
      </c>
      <c r="AC26" s="244">
        <f>AC9</f>
        <v>1033333</v>
      </c>
      <c r="AD26" s="476">
        <f>SUM(K36)</f>
        <v>5.1487414187643021E-2</v>
      </c>
    </row>
    <row r="27" spans="1:32" ht="20.100000000000001" customHeight="1">
      <c r="A27" s="163">
        <f>ELEC!C27</f>
        <v>44675</v>
      </c>
      <c r="B27" s="623">
        <f t="shared" si="7"/>
        <v>1117981</v>
      </c>
      <c r="C27" s="254">
        <f t="shared" si="0"/>
        <v>0</v>
      </c>
      <c r="D27" s="295">
        <f t="shared" si="14"/>
        <v>0</v>
      </c>
      <c r="E27" s="295">
        <f t="shared" si="15"/>
        <v>1117981</v>
      </c>
      <c r="F27" s="623">
        <f t="shared" si="8"/>
        <v>161410</v>
      </c>
      <c r="G27" s="160">
        <f t="shared" si="1"/>
        <v>0</v>
      </c>
      <c r="H27" s="623">
        <f t="shared" si="9"/>
        <v>555135</v>
      </c>
      <c r="I27" s="161">
        <f t="shared" si="2"/>
        <v>0</v>
      </c>
      <c r="J27" s="623">
        <f t="shared" si="10"/>
        <v>401437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555135</v>
      </c>
      <c r="X27" s="172" t="s">
        <v>212</v>
      </c>
      <c r="Y27" s="172">
        <v>112</v>
      </c>
      <c r="Z27" s="172">
        <v>1</v>
      </c>
      <c r="AA27" s="323">
        <f>(W27-V27)*Z27</f>
        <v>1660</v>
      </c>
      <c r="AB27" s="323">
        <f>SUM(AA27*Y27)</f>
        <v>185920</v>
      </c>
      <c r="AC27" s="244">
        <f>AC10</f>
        <v>6200000</v>
      </c>
      <c r="AD27" s="476">
        <f>SUM(I36)</f>
        <v>0.94965675057208254</v>
      </c>
    </row>
    <row r="28" spans="1:32" ht="20.100000000000001" customHeight="1">
      <c r="A28" s="163">
        <f>ELEC!C28</f>
        <v>44676</v>
      </c>
      <c r="B28" s="623">
        <f t="shared" si="7"/>
        <v>1117981</v>
      </c>
      <c r="C28" s="254">
        <f t="shared" si="0"/>
        <v>0</v>
      </c>
      <c r="D28" s="295">
        <f t="shared" si="14"/>
        <v>0</v>
      </c>
      <c r="E28" s="295">
        <f>B27+D28</f>
        <v>1117981</v>
      </c>
      <c r="F28" s="623">
        <f t="shared" si="8"/>
        <v>161410</v>
      </c>
      <c r="G28" s="160">
        <f t="shared" si="1"/>
        <v>0</v>
      </c>
      <c r="H28" s="623">
        <f t="shared" si="9"/>
        <v>555135</v>
      </c>
      <c r="I28" s="161">
        <f t="shared" si="2"/>
        <v>0</v>
      </c>
      <c r="J28" s="623">
        <f t="shared" si="10"/>
        <v>401437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1942.4894322580869</v>
      </c>
      <c r="R28" s="285">
        <f t="shared" si="13"/>
        <v>2102.4525721143609</v>
      </c>
      <c r="S28" s="287">
        <f>SUM(ELEC!N28)</f>
        <v>5374</v>
      </c>
      <c r="T28" s="321">
        <f t="shared" si="16"/>
        <v>0.39122675327770023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1117981</v>
      </c>
      <c r="C29" s="254">
        <f t="shared" si="0"/>
        <v>0</v>
      </c>
      <c r="D29" s="295">
        <f t="shared" si="14"/>
        <v>0</v>
      </c>
      <c r="E29" s="295">
        <f>B28+D29</f>
        <v>1117981</v>
      </c>
      <c r="F29" s="623">
        <f t="shared" si="8"/>
        <v>161410</v>
      </c>
      <c r="G29" s="160">
        <f t="shared" si="1"/>
        <v>0</v>
      </c>
      <c r="H29" s="623">
        <f t="shared" si="9"/>
        <v>555135</v>
      </c>
      <c r="I29" s="161">
        <f t="shared" si="2"/>
        <v>0</v>
      </c>
      <c r="J29" s="623">
        <f t="shared" si="10"/>
        <v>401437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2181.0303225806174</v>
      </c>
      <c r="R29" s="285">
        <f t="shared" si="13"/>
        <v>2340.9934624368916</v>
      </c>
      <c r="S29" s="287">
        <f>SUM(ELEC!N29)</f>
        <v>6229</v>
      </c>
      <c r="T29" s="321">
        <f t="shared" si="16"/>
        <v>0.37582171495214184</v>
      </c>
      <c r="V29" s="213"/>
      <c r="W29" s="214"/>
      <c r="X29" s="214"/>
      <c r="Y29" s="215"/>
      <c r="Z29" s="3"/>
      <c r="AA29" s="323">
        <f>SUM(AA26:AA28)</f>
        <v>1750</v>
      </c>
      <c r="AB29" s="323">
        <f>SUM(AB26:AB28)</f>
        <v>193120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1117981</v>
      </c>
      <c r="C30" s="254">
        <f t="shared" si="0"/>
        <v>0</v>
      </c>
      <c r="D30" s="295">
        <f t="shared" si="14"/>
        <v>0</v>
      </c>
      <c r="E30" s="295">
        <f t="shared" si="15"/>
        <v>1117981</v>
      </c>
      <c r="F30" s="623">
        <f t="shared" si="8"/>
        <v>161410</v>
      </c>
      <c r="G30" s="160">
        <f t="shared" si="1"/>
        <v>0</v>
      </c>
      <c r="H30" s="623">
        <f t="shared" si="9"/>
        <v>555135</v>
      </c>
      <c r="I30" s="161">
        <f t="shared" si="2"/>
        <v>0</v>
      </c>
      <c r="J30" s="623">
        <f t="shared" si="10"/>
        <v>401437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1452.2454064516412</v>
      </c>
      <c r="R30" s="285">
        <f t="shared" si="13"/>
        <v>1612.2085463079154</v>
      </c>
      <c r="S30" s="287">
        <f>SUM(ELEC!N30)</f>
        <v>5846</v>
      </c>
      <c r="T30" s="321">
        <f t="shared" si="16"/>
        <v>0.27577977186245561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7427453</v>
      </c>
      <c r="AC30" s="244"/>
    </row>
    <row r="31" spans="1:32" ht="20.100000000000001" customHeight="1">
      <c r="A31" s="163">
        <f>ELEC!C31</f>
        <v>44679</v>
      </c>
      <c r="B31" s="623">
        <f t="shared" si="7"/>
        <v>1117981</v>
      </c>
      <c r="C31" s="254">
        <f>SUM(B31-B30)</f>
        <v>0</v>
      </c>
      <c r="D31" s="295">
        <f t="shared" si="14"/>
        <v>0</v>
      </c>
      <c r="E31" s="295">
        <f>B30+D31</f>
        <v>1117981</v>
      </c>
      <c r="F31" s="623">
        <f t="shared" si="8"/>
        <v>161410</v>
      </c>
      <c r="G31" s="160">
        <f>F31-F30</f>
        <v>0</v>
      </c>
      <c r="H31" s="623">
        <f t="shared" si="9"/>
        <v>555135</v>
      </c>
      <c r="I31" s="161">
        <f>H31-H30</f>
        <v>0</v>
      </c>
      <c r="J31" s="623">
        <f t="shared" si="10"/>
        <v>401437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1705.9989419354667</v>
      </c>
      <c r="R31" s="285">
        <f>SUM(P31:Q31)</f>
        <v>1865.962081791741</v>
      </c>
      <c r="S31" s="287">
        <f>SUM(ELEC!N31)</f>
        <v>4078</v>
      </c>
      <c r="T31" s="321">
        <f>IF(S31&gt;0,R31/S31,0)</f>
        <v>0.45756794551048086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1117981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1117981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555135</v>
      </c>
      <c r="I32" s="161">
        <f t="shared" ref="I32:I34" si="24">H32-H31</f>
        <v>0</v>
      </c>
      <c r="J32" s="623">
        <f t="shared" si="10"/>
        <v>401437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175</v>
      </c>
      <c r="X32" s="222">
        <f>SUM(W32/A35)</f>
        <v>29.166666666666668</v>
      </c>
      <c r="Y32" s="250">
        <f>SUM(X32/1)</f>
        <v>29.166666666666668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1117981</v>
      </c>
      <c r="C33" s="254">
        <f t="shared" si="20"/>
        <v>0</v>
      </c>
      <c r="D33" s="295">
        <f t="shared" si="21"/>
        <v>0</v>
      </c>
      <c r="E33" s="295">
        <f t="shared" si="22"/>
        <v>1117981</v>
      </c>
      <c r="F33" s="623">
        <f t="shared" si="8"/>
        <v>161410</v>
      </c>
      <c r="G33" s="160">
        <f t="shared" si="23"/>
        <v>0</v>
      </c>
      <c r="H33" s="623">
        <f t="shared" si="9"/>
        <v>555135</v>
      </c>
      <c r="I33" s="161">
        <f t="shared" si="24"/>
        <v>0</v>
      </c>
      <c r="J33" s="623">
        <f t="shared" si="10"/>
        <v>401437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817019.83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1117981</v>
      </c>
      <c r="C34" s="254">
        <f t="shared" si="20"/>
        <v>0</v>
      </c>
      <c r="D34" s="295">
        <f t="shared" si="21"/>
        <v>0</v>
      </c>
      <c r="E34" s="295">
        <f t="shared" si="22"/>
        <v>1117981</v>
      </c>
      <c r="F34" s="623">
        <f t="shared" si="8"/>
        <v>161410</v>
      </c>
      <c r="G34" s="160">
        <f t="shared" si="23"/>
        <v>0</v>
      </c>
      <c r="H34" s="623">
        <f t="shared" si="9"/>
        <v>555135</v>
      </c>
      <c r="I34" s="161">
        <f t="shared" si="24"/>
        <v>0</v>
      </c>
      <c r="J34" s="623">
        <f t="shared" si="10"/>
        <v>401437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8244472.8300000001</v>
      </c>
      <c r="AC34" s="244">
        <f>SUM(AC30)</f>
        <v>0</v>
      </c>
    </row>
    <row r="35" spans="1:32" ht="15.75" thickBot="1">
      <c r="A35" s="501">
        <f>A37-COUNTIF(C4:C33,0)</f>
        <v>6</v>
      </c>
      <c r="C35" s="173">
        <f>SUM(C4:C34)/A35</f>
        <v>291.33333333333331</v>
      </c>
      <c r="D35" s="173"/>
      <c r="E35" s="173"/>
      <c r="F35" s="564"/>
      <c r="G35" s="564">
        <f>SUM(G4:G34)/A35</f>
        <v>0</v>
      </c>
      <c r="H35" s="173"/>
      <c r="I35" s="173">
        <f>SUM(I4:I34)/A35</f>
        <v>276.66666666666669</v>
      </c>
      <c r="K35" s="173">
        <f>SUM(K4:K34)/A35</f>
        <v>15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1.0011441647597255</v>
      </c>
      <c r="G36" s="225">
        <f>IF(C35&gt;0,G35/C35,0)</f>
        <v>0</v>
      </c>
      <c r="H36" s="212"/>
      <c r="I36" s="225">
        <f>SUM(I35/C35)</f>
        <v>0.94965675057208254</v>
      </c>
      <c r="J36" s="212"/>
      <c r="K36" s="225">
        <f>SUM(K35/C35)</f>
        <v>5.1487414187643021E-2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4927.0003316749589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4927.0003316749589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9"/>
      <c r="AC45" s="669"/>
      <c r="AD45" s="542"/>
      <c r="AE45" s="17"/>
      <c r="AF45" s="17"/>
    </row>
    <row r="46" spans="1:32">
      <c r="V46" s="669"/>
      <c r="W46" s="669"/>
      <c r="X46" s="669"/>
      <c r="Y46" s="669"/>
      <c r="Z46" s="508"/>
      <c r="AA46" s="508"/>
      <c r="AB46" s="669"/>
      <c r="AC46" s="669"/>
      <c r="AD46" s="542"/>
      <c r="AE46" s="17"/>
      <c r="AF46" s="17"/>
    </row>
    <row r="47" spans="1:32">
      <c r="V47" s="669"/>
      <c r="W47" s="669"/>
      <c r="X47" s="669"/>
      <c r="Y47" s="669"/>
      <c r="Z47" s="669"/>
      <c r="AA47" s="669"/>
      <c r="AB47" s="669"/>
      <c r="AC47" s="669"/>
      <c r="AD47" s="542"/>
      <c r="AE47" s="17"/>
      <c r="AF47" s="17"/>
    </row>
    <row r="48" spans="1:32">
      <c r="V48" s="670"/>
      <c r="W48" s="670"/>
      <c r="X48" s="671"/>
      <c r="Y48" s="671"/>
      <c r="Z48" s="671"/>
      <c r="AA48" s="509"/>
      <c r="AB48" s="669"/>
      <c r="AC48" s="669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32" sqref="E3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>
        <v>34</v>
      </c>
      <c r="C10" s="37">
        <v>18</v>
      </c>
      <c r="D10" s="26">
        <f t="shared" si="0"/>
        <v>26</v>
      </c>
      <c r="E10" s="378">
        <v>0.45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>
        <v>21</v>
      </c>
      <c r="C11" s="37">
        <v>16</v>
      </c>
      <c r="D11" s="26">
        <f t="shared" si="0"/>
        <v>18.5</v>
      </c>
      <c r="E11" s="378">
        <v>0.75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>
        <v>22</v>
      </c>
      <c r="C14" s="37">
        <v>15</v>
      </c>
      <c r="D14" s="26">
        <f t="shared" si="3"/>
        <v>18.5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>
        <v>21</v>
      </c>
      <c r="C15" s="37">
        <v>16</v>
      </c>
      <c r="D15" s="26">
        <f>(C15+B15)/2</f>
        <v>18.5</v>
      </c>
      <c r="E15" s="378">
        <v>0.82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>
        <v>20</v>
      </c>
      <c r="C16" s="37">
        <v>16</v>
      </c>
      <c r="D16" s="26">
        <f t="shared" si="3"/>
        <v>18</v>
      </c>
      <c r="E16" s="325">
        <v>0.57999999999999996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>
        <v>20</v>
      </c>
      <c r="C17" s="37">
        <v>17</v>
      </c>
      <c r="D17" s="26">
        <f t="shared" si="3"/>
        <v>18.5</v>
      </c>
      <c r="E17" s="410">
        <v>0.59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>
        <v>35</v>
      </c>
      <c r="C22" s="37">
        <v>19</v>
      </c>
      <c r="D22" s="26">
        <f>(C22+B22)/2</f>
        <v>27</v>
      </c>
      <c r="E22" s="325">
        <v>0.41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>
        <v>21</v>
      </c>
      <c r="C23" s="37">
        <v>16</v>
      </c>
      <c r="D23" s="26">
        <f>(C23+B23)/2</f>
        <v>18.5</v>
      </c>
      <c r="E23" s="378">
        <v>0.82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>
        <v>20</v>
      </c>
      <c r="C24" s="37">
        <v>16</v>
      </c>
      <c r="D24" s="26">
        <f t="shared" si="3"/>
        <v>18</v>
      </c>
      <c r="E24" s="325">
        <v>0.66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>
        <v>23</v>
      </c>
      <c r="C29" s="37">
        <v>18</v>
      </c>
      <c r="D29" s="26">
        <f t="shared" si="3"/>
        <v>20.5</v>
      </c>
      <c r="E29" s="325">
        <v>0.79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>
        <v>25</v>
      </c>
      <c r="C30" s="37">
        <v>16</v>
      </c>
      <c r="D30" s="26">
        <f t="shared" si="3"/>
        <v>20.5</v>
      </c>
      <c r="E30" s="327">
        <v>0.75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>
        <v>23</v>
      </c>
      <c r="C31" s="37">
        <v>17</v>
      </c>
      <c r="D31" s="268">
        <f>(C31+B31)/2</f>
        <v>20</v>
      </c>
      <c r="E31" s="326">
        <v>0.84</v>
      </c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>
        <v>22</v>
      </c>
      <c r="C32" s="37">
        <v>19</v>
      </c>
      <c r="D32" s="26">
        <f t="shared" si="3"/>
        <v>20.5</v>
      </c>
      <c r="E32" s="325">
        <v>0.79</v>
      </c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54.416666666666664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4455</v>
      </c>
      <c r="D7" s="3">
        <f t="shared" si="0"/>
        <v>320.00000000160071</v>
      </c>
      <c r="E7" s="3">
        <f>ELEC!Q9</f>
        <v>4134.9999999983993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-109.89999999999998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4790</v>
      </c>
      <c r="D8" s="3">
        <f t="shared" si="0"/>
        <v>161.99999999938882</v>
      </c>
      <c r="E8" s="3">
        <f>ELEC!Q10</f>
        <v>4628.0000000006112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-15.599999999999994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-11.600000000000023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5071</v>
      </c>
      <c r="D11" s="3">
        <f t="shared" si="0"/>
        <v>166.9999999977299</v>
      </c>
      <c r="E11" s="3">
        <f>ELEC!Q13</f>
        <v>4904.0000000022701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-22.899999999999977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6481</v>
      </c>
      <c r="D12" s="3">
        <f t="shared" si="0"/>
        <v>277.00000000209548</v>
      </c>
      <c r="E12" s="3">
        <f>ELEC!Q14</f>
        <v>6203.9999999979045</v>
      </c>
      <c r="F12" s="3">
        <f>GEN!Z12</f>
        <v>10</v>
      </c>
      <c r="G12" s="3">
        <f>WATER!C15+WATER!H15</f>
        <v>0</v>
      </c>
      <c r="H12" s="3">
        <f>WATER!L15</f>
        <v>10</v>
      </c>
      <c r="I12" s="15">
        <f>WATER!BC15+WATER!BD15+WATER!BE16-Sheet1!G12</f>
        <v>-26.399999999999977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2164</v>
      </c>
      <c r="D13" s="3">
        <f t="shared" si="0"/>
        <v>78.000000000669388</v>
      </c>
      <c r="E13" s="3">
        <f>ELEC!Q15</f>
        <v>2085.9999999993306</v>
      </c>
      <c r="F13" s="3">
        <f>GEN!Z13</f>
        <v>15</v>
      </c>
      <c r="G13" s="3">
        <f>WATER!C16+WATER!H16</f>
        <v>0</v>
      </c>
      <c r="H13" s="3">
        <f>WATER!L16</f>
        <v>0</v>
      </c>
      <c r="I13" s="15">
        <f>WATER!BC16+WATER!BD16+WATER!BE17-Sheet1!G13</f>
        <v>-38.700000000000003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5387</v>
      </c>
      <c r="D14" s="3">
        <f t="shared" si="0"/>
        <v>202.99999999889405</v>
      </c>
      <c r="E14" s="3">
        <f>ELEC!Q16</f>
        <v>5184.0000000011059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-17.800000000000011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11</v>
      </c>
      <c r="G15" s="3">
        <f>WATER!C18+WATER!H18</f>
        <v>0</v>
      </c>
      <c r="H15" s="3">
        <f>WATER!L18</f>
        <v>0</v>
      </c>
      <c r="I15" s="15">
        <f>WATER!BC18+WATER!BD18+WATER!BE19-Sheet1!G15</f>
        <v>-6.9000000000000199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4153</v>
      </c>
      <c r="D19" s="3">
        <f t="shared" si="0"/>
        <v>154.00000000020373</v>
      </c>
      <c r="E19" s="3">
        <f>ELEC!Q21</f>
        <v>3998.9999999997963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37.600000000000009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4878</v>
      </c>
      <c r="D20" s="3">
        <f t="shared" si="0"/>
        <v>464.99999999953434</v>
      </c>
      <c r="E20" s="3">
        <f>ELEC!Q22</f>
        <v>4413.0000000004657</v>
      </c>
      <c r="F20" s="3">
        <f>GEN!Z20</f>
        <v>9</v>
      </c>
      <c r="G20" s="3">
        <f>WATER!C23+WATER!H23</f>
        <v>62</v>
      </c>
      <c r="H20" s="3">
        <f>WATER!L23</f>
        <v>9</v>
      </c>
      <c r="I20" s="15">
        <f>WATER!BC23+WATER!BD23+WATER!BE24-Sheet1!G20</f>
        <v>-80.30000000000004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4410</v>
      </c>
      <c r="D21" s="3">
        <f t="shared" si="0"/>
        <v>49.999999999417923</v>
      </c>
      <c r="E21" s="3">
        <f>ELEC!Q23</f>
        <v>4360.0000000005821</v>
      </c>
      <c r="F21" s="3">
        <f>GEN!Z21</f>
        <v>9</v>
      </c>
      <c r="G21" s="3">
        <f>WATER!C24+WATER!H24</f>
        <v>0</v>
      </c>
      <c r="H21" s="3">
        <f>WATER!L24</f>
        <v>1</v>
      </c>
      <c r="I21" s="15">
        <f>WATER!BC24+WATER!BD24+WATER!BE25-Sheet1!G21</f>
        <v>-23.600000000000009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11</v>
      </c>
      <c r="G22" s="3">
        <f>WATER!C25+WATER!H25</f>
        <v>0</v>
      </c>
      <c r="H22" s="3">
        <f>WATER!L25</f>
        <v>1</v>
      </c>
      <c r="I22" s="15">
        <f>WATER!BC25+WATER!BD25+WATER!BE26-Sheet1!G22</f>
        <v>-10.899999999999977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5374</v>
      </c>
      <c r="D26" s="3">
        <f t="shared" si="0"/>
        <v>-75.000000000523869</v>
      </c>
      <c r="E26" s="3">
        <f>ELEC!Q28</f>
        <v>5449.0000000005239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-28.000000000000014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6229</v>
      </c>
      <c r="D27" s="3">
        <f t="shared" si="0"/>
        <v>-115.99999999752617</v>
      </c>
      <c r="E27" s="3">
        <f>ELEC!Q29</f>
        <v>6344.9999999975262</v>
      </c>
      <c r="F27" s="3">
        <f>GEN!Z27</f>
        <v>11</v>
      </c>
      <c r="G27" s="3">
        <f>WATER!C30+WATER!H30</f>
        <v>0</v>
      </c>
      <c r="H27" s="3">
        <f>WATER!L30</f>
        <v>0</v>
      </c>
      <c r="I27" s="15">
        <f>WATER!BC30+WATER!BD30+WATER!BE31-Sheet1!G27</f>
        <v>-86.999999999999972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5846</v>
      </c>
      <c r="D28" s="3">
        <f t="shared" si="0"/>
        <v>-91.000000001717126</v>
      </c>
      <c r="E28" s="3">
        <f>ELEC!Q30</f>
        <v>5937.0000000017171</v>
      </c>
      <c r="F28" s="3">
        <f>GEN!Z28</f>
        <v>14</v>
      </c>
      <c r="G28" s="3">
        <f>WATER!C31+WATER!H31</f>
        <v>0</v>
      </c>
      <c r="H28" s="3">
        <f>WATER!L31</f>
        <v>0</v>
      </c>
      <c r="I28" s="15">
        <f>WATER!BC31+WATER!BD31+WATER!BE32-Sheet1!G28</f>
        <v>25.699999999999989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4078</v>
      </c>
      <c r="D29" s="3">
        <f t="shared" si="0"/>
        <v>179.99999999895226</v>
      </c>
      <c r="E29" s="3">
        <f>ELEC!Q31</f>
        <v>3898.0000000010477</v>
      </c>
      <c r="F29" s="3">
        <f>GEN!Z29</f>
        <v>14</v>
      </c>
      <c r="G29" s="3">
        <f>WATER!C32+WATER!H32</f>
        <v>0</v>
      </c>
      <c r="H29" s="3">
        <f>WATER!L32</f>
        <v>0</v>
      </c>
      <c r="I29" s="15">
        <f>WATER!BC32+WATER!BD32+WATER!BE33-Sheet1!G29</f>
        <v>22.699999999999996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10</v>
      </c>
      <c r="G30" s="3">
        <f>WATER!C33+WATER!H33</f>
        <v>95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4"/>
      <c r="B1" s="682" t="s">
        <v>119</v>
      </c>
      <c r="C1" s="682" t="s">
        <v>118</v>
      </c>
      <c r="D1" s="686" t="s">
        <v>113</v>
      </c>
      <c r="E1" s="686" t="s">
        <v>114</v>
      </c>
      <c r="F1" s="687" t="s">
        <v>120</v>
      </c>
      <c r="G1" s="688" t="s">
        <v>75</v>
      </c>
      <c r="H1" s="679" t="s">
        <v>115</v>
      </c>
      <c r="I1" s="680" t="s">
        <v>116</v>
      </c>
      <c r="J1" s="679" t="s">
        <v>117</v>
      </c>
      <c r="K1" s="678" t="s">
        <v>121</v>
      </c>
      <c r="L1" s="678" t="s">
        <v>122</v>
      </c>
      <c r="M1" s="678" t="s">
        <v>123</v>
      </c>
      <c r="N1" s="678" t="s">
        <v>124</v>
      </c>
    </row>
    <row r="2" spans="1:14">
      <c r="A2" s="685"/>
      <c r="B2" s="683"/>
      <c r="C2" s="683"/>
      <c r="D2" s="686"/>
      <c r="E2" s="686"/>
      <c r="F2" s="687"/>
      <c r="G2" s="688"/>
      <c r="H2" s="679"/>
      <c r="I2" s="681"/>
      <c r="J2" s="679"/>
      <c r="K2" s="678"/>
      <c r="L2" s="678"/>
      <c r="M2" s="678"/>
      <c r="N2" s="67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165</v>
      </c>
      <c r="C10" s="76">
        <f>'B5'!AH10</f>
        <v>0</v>
      </c>
      <c r="D10" s="76">
        <f>GEN!AI8</f>
        <v>1064.2827004215289</v>
      </c>
      <c r="E10" s="239">
        <f t="shared" si="0"/>
        <v>1229.2827004215289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4134.9999999983993</v>
      </c>
      <c r="J10" s="79">
        <f>ELEC!R9</f>
        <v>320.00000000160071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157</v>
      </c>
      <c r="C11" s="76">
        <f>'B5'!AH11</f>
        <v>0</v>
      </c>
      <c r="D11" s="76">
        <f>GEN!AI9</f>
        <v>1191.1729957807481</v>
      </c>
      <c r="E11" s="239">
        <f t="shared" si="0"/>
        <v>1348.1729957807481</v>
      </c>
      <c r="F11" s="75">
        <f>WATER!L11</f>
        <v>0</v>
      </c>
      <c r="G11" s="78">
        <f>WATER!BG11</f>
        <v>-3.9999999999999716</v>
      </c>
      <c r="H11" s="79">
        <f>ELEC!AF10</f>
        <v>0</v>
      </c>
      <c r="I11" s="79">
        <f>ELEC!Q10</f>
        <v>4628.0000000006112</v>
      </c>
      <c r="J11" s="79">
        <f>ELEC!R10</f>
        <v>161.99999999938882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-11.600000000000023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345</v>
      </c>
      <c r="C14" s="76">
        <f>'B5'!AH14</f>
        <v>0</v>
      </c>
      <c r="D14" s="76">
        <f>GEN!AI12</f>
        <v>1262.2109704647194</v>
      </c>
      <c r="E14" s="239">
        <f t="shared" si="0"/>
        <v>1607.2109704647194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4904.0000000022701</v>
      </c>
      <c r="J14" s="79">
        <f>ELEC!R13</f>
        <v>166.9999999977299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327</v>
      </c>
      <c r="C15" s="76">
        <f>'B5'!AH15</f>
        <v>59</v>
      </c>
      <c r="D15" s="76">
        <f>GEN!AI13</f>
        <v>1596.8101265817393</v>
      </c>
      <c r="E15" s="239">
        <f t="shared" si="0"/>
        <v>1982.8101265817393</v>
      </c>
      <c r="F15" s="75">
        <f>WATER!L15</f>
        <v>10</v>
      </c>
      <c r="G15" s="78">
        <f>WATER!BG15</f>
        <v>-22.899999999999977</v>
      </c>
      <c r="H15" s="79">
        <f>ELEC!AF14</f>
        <v>0</v>
      </c>
      <c r="I15" s="79">
        <f>ELEC!Q14</f>
        <v>6203.9999999979045</v>
      </c>
      <c r="J15" s="79">
        <f>ELEC!R14</f>
        <v>277.00000000209548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260</v>
      </c>
      <c r="C16" s="76">
        <f>'B5'!AH16</f>
        <v>36</v>
      </c>
      <c r="D16" s="76">
        <f>GEN!AI14</f>
        <v>536.90295358632568</v>
      </c>
      <c r="E16" s="239">
        <f t="shared" si="0"/>
        <v>832.90295358632568</v>
      </c>
      <c r="F16" s="75">
        <f>WATER!L16</f>
        <v>0</v>
      </c>
      <c r="G16" s="78">
        <f>WATER!BG16</f>
        <v>-3.5</v>
      </c>
      <c r="H16" s="79">
        <f>ELEC!AF15</f>
        <v>0</v>
      </c>
      <c r="I16" s="79">
        <f>ELEC!Q15</f>
        <v>2085.9999999993306</v>
      </c>
      <c r="J16" s="79">
        <f>ELEC!R15</f>
        <v>78.000000000669388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370</v>
      </c>
      <c r="C17" s="76">
        <f>'B5'!AH17</f>
        <v>0</v>
      </c>
      <c r="D17" s="76">
        <f>GEN!AI15</f>
        <v>1334.2784810129431</v>
      </c>
      <c r="E17" s="239">
        <f t="shared" si="0"/>
        <v>1704.2784810129431</v>
      </c>
      <c r="F17" s="75">
        <f>WATER!L17</f>
        <v>0</v>
      </c>
      <c r="G17" s="78">
        <f>WATER!BG17</f>
        <v>-30.700000000000003</v>
      </c>
      <c r="H17" s="79">
        <f>ELEC!AF16</f>
        <v>0</v>
      </c>
      <c r="I17" s="79">
        <f>ELEC!Q16</f>
        <v>5184.0000000011059</v>
      </c>
      <c r="J17" s="79">
        <f>ELEC!R16</f>
        <v>202.99999999889405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-6.9000000000000199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251</v>
      </c>
      <c r="C22" s="76">
        <f>'B5'!AH22</f>
        <v>0</v>
      </c>
      <c r="D22" s="76">
        <f>GEN!AI20</f>
        <v>1029.2784810126059</v>
      </c>
      <c r="E22" s="239">
        <f t="shared" si="0"/>
        <v>1280.2784810126059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3998.9999999997963</v>
      </c>
      <c r="J22" s="79">
        <f>ELEC!R21</f>
        <v>154.00000000020373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323</v>
      </c>
      <c r="C23" s="76">
        <f>'B5'!AH23</f>
        <v>57</v>
      </c>
      <c r="D23" s="76">
        <f>GEN!AI21</f>
        <v>1135.8354430380946</v>
      </c>
      <c r="E23" s="239">
        <f t="shared" si="0"/>
        <v>1515.8354430380946</v>
      </c>
      <c r="F23" s="75">
        <f>WATER!L23</f>
        <v>9</v>
      </c>
      <c r="G23" s="78">
        <f>WATER!BG23</f>
        <v>37.600000000000009</v>
      </c>
      <c r="H23" s="79">
        <f>ELEC!AF22</f>
        <v>0</v>
      </c>
      <c r="I23" s="79">
        <f>ELEC!Q22</f>
        <v>4413.0000000004657</v>
      </c>
      <c r="J23" s="79">
        <f>ELEC!R22</f>
        <v>464.99999999953434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232</v>
      </c>
      <c r="C24" s="76">
        <f>'B5'!AH24</f>
        <v>34</v>
      </c>
      <c r="D24" s="76">
        <f>GEN!AI22</f>
        <v>1122.1940928271542</v>
      </c>
      <c r="E24" s="239">
        <f t="shared" si="0"/>
        <v>1388.1940928271542</v>
      </c>
      <c r="F24" s="75">
        <f>WATER!L24</f>
        <v>1</v>
      </c>
      <c r="G24" s="78">
        <f>WATER!BG24</f>
        <v>-13.600000000000037</v>
      </c>
      <c r="H24" s="79">
        <f>ELEC!AF23</f>
        <v>0</v>
      </c>
      <c r="I24" s="79">
        <f>ELEC!Q23</f>
        <v>4360.0000000005821</v>
      </c>
      <c r="J24" s="79">
        <f>ELEC!R23</f>
        <v>49.999999999417923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1</v>
      </c>
      <c r="G25" s="78">
        <f>WATER!BG25</f>
        <v>-10.899999999999977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182</v>
      </c>
      <c r="C29" s="76">
        <f>'B5'!AH29</f>
        <v>0</v>
      </c>
      <c r="D29" s="76">
        <f>GEN!AI27</f>
        <v>1402.4852320676455</v>
      </c>
      <c r="E29" s="77">
        <f t="shared" si="0"/>
        <v>1584.4852320676455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5449.0000000005239</v>
      </c>
      <c r="J29" s="79">
        <f>ELEC!R28</f>
        <v>-75.000000000523869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278</v>
      </c>
      <c r="C30" s="76">
        <f>'B5'!AH30</f>
        <v>48</v>
      </c>
      <c r="D30" s="76">
        <f>GEN!AI28</f>
        <v>1633.1012658221482</v>
      </c>
      <c r="E30" s="77">
        <f t="shared" si="0"/>
        <v>1959.1012658221482</v>
      </c>
      <c r="F30" s="75">
        <f>WATER!L30</f>
        <v>0</v>
      </c>
      <c r="G30" s="78">
        <f>WATER!BG30</f>
        <v>-28.000000000000014</v>
      </c>
      <c r="H30" s="79">
        <f>ELEC!AF29</f>
        <v>0</v>
      </c>
      <c r="I30" s="79">
        <f>ELEC!Q29</f>
        <v>6344.9999999975262</v>
      </c>
      <c r="J30" s="79">
        <f>ELEC!R29</f>
        <v>-115.99999999752617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280</v>
      </c>
      <c r="C31" s="76">
        <f>'B5'!AH31</f>
        <v>0</v>
      </c>
      <c r="D31" s="76">
        <f>GEN!AI29</f>
        <v>1528.0886075953788</v>
      </c>
      <c r="E31" s="77">
        <f t="shared" si="0"/>
        <v>1808.0886075953788</v>
      </c>
      <c r="F31" s="75">
        <f>WATER!L31</f>
        <v>0</v>
      </c>
      <c r="G31" s="78">
        <f>WATER!BG31</f>
        <v>-67.999999999999957</v>
      </c>
      <c r="H31" s="79">
        <f>ELEC!AF30</f>
        <v>0</v>
      </c>
      <c r="I31" s="79">
        <f>ELEC!Q30</f>
        <v>5937.0000000017171</v>
      </c>
      <c r="J31" s="79">
        <f>ELEC!R30</f>
        <v>-91.000000001717126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176</v>
      </c>
      <c r="C32" s="76">
        <f>'B5'!AH32</f>
        <v>0</v>
      </c>
      <c r="D32" s="76">
        <f>GEN!AI30</f>
        <v>1003.2827004222107</v>
      </c>
      <c r="E32" s="77">
        <f t="shared" si="0"/>
        <v>1179.2827004222108</v>
      </c>
      <c r="F32" s="75">
        <f>WATER!L32</f>
        <v>0</v>
      </c>
      <c r="G32" s="78">
        <f>WATER!BG32</f>
        <v>-9.800000000000054</v>
      </c>
      <c r="H32" s="79">
        <f>ELEC!AF31</f>
        <v>0</v>
      </c>
      <c r="I32" s="79">
        <f>ELEC!Q31</f>
        <v>3898.0000000010477</v>
      </c>
      <c r="J32" s="79">
        <f>ELEC!R31</f>
        <v>179.99999999895226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32.50000000000005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1</v>
      </c>
      <c r="G24">
        <f t="shared" si="1"/>
        <v>107</v>
      </c>
    </row>
    <row r="25" spans="3:7">
      <c r="C25" s="99">
        <v>42449</v>
      </c>
      <c r="D25">
        <f>'B5'!AL24</f>
        <v>3</v>
      </c>
      <c r="E25">
        <f t="shared" si="0"/>
        <v>270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3</v>
      </c>
      <c r="E30">
        <f t="shared" si="0"/>
        <v>270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3</v>
      </c>
      <c r="E31">
        <f t="shared" si="0"/>
        <v>270</v>
      </c>
      <c r="F31">
        <f>'B5'!AM30</f>
        <v>1</v>
      </c>
      <c r="G31">
        <f t="shared" si="1"/>
        <v>107</v>
      </c>
    </row>
    <row r="32" spans="3:7">
      <c r="C32" s="99">
        <v>42456</v>
      </c>
      <c r="D32">
        <f>'B5'!AL31</f>
        <v>4</v>
      </c>
      <c r="E32">
        <f t="shared" si="0"/>
        <v>360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2</v>
      </c>
      <c r="E33">
        <f t="shared" si="0"/>
        <v>180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26" sqref="H2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>
        <v>1.5</v>
      </c>
      <c r="C15" s="604">
        <v>8</v>
      </c>
      <c r="D15" s="604">
        <v>0</v>
      </c>
      <c r="E15" s="604">
        <v>0</v>
      </c>
      <c r="F15" s="604">
        <v>0</v>
      </c>
      <c r="G15" s="605">
        <v>0</v>
      </c>
      <c r="H15" s="610">
        <v>7062</v>
      </c>
      <c r="I15" s="477">
        <f t="shared" si="4"/>
        <v>10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7062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7062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7062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7062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7062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7062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7062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>
        <v>0.5</v>
      </c>
      <c r="C23" s="604">
        <v>8</v>
      </c>
      <c r="D23" s="604">
        <v>0</v>
      </c>
      <c r="E23" s="604">
        <v>0</v>
      </c>
      <c r="F23" s="604">
        <v>0</v>
      </c>
      <c r="G23" s="605">
        <v>0</v>
      </c>
      <c r="H23" s="610">
        <v>7071</v>
      </c>
      <c r="I23" s="477">
        <f t="shared" si="4"/>
        <v>9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>
        <v>1</v>
      </c>
      <c r="C24" s="604">
        <v>7.9</v>
      </c>
      <c r="D24" s="604">
        <v>0</v>
      </c>
      <c r="E24" s="604">
        <v>0</v>
      </c>
      <c r="F24" s="604">
        <v>0</v>
      </c>
      <c r="G24" s="605">
        <v>0</v>
      </c>
      <c r="H24" s="610">
        <v>7072</v>
      </c>
      <c r="I24" s="477">
        <f t="shared" si="4"/>
        <v>1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>
        <v>1.4</v>
      </c>
      <c r="C25" s="604">
        <v>7.9</v>
      </c>
      <c r="D25" s="604">
        <v>0</v>
      </c>
      <c r="E25" s="604">
        <v>0</v>
      </c>
      <c r="F25" s="604">
        <v>0</v>
      </c>
      <c r="G25" s="605">
        <v>0</v>
      </c>
      <c r="H25" s="610">
        <v>7073</v>
      </c>
      <c r="I25" s="477">
        <f t="shared" si="4"/>
        <v>1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7073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7073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7073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7073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7073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7073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7073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7073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7073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7073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7073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7" t="s">
        <v>161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</row>
    <row r="2" spans="1:28" ht="19.5">
      <c r="A2" s="718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</row>
    <row r="3" spans="1:28" ht="19.5">
      <c r="A3" s="718" t="s">
        <v>162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8" t="s">
        <v>404</v>
      </c>
      <c r="B5" s="718"/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</row>
    <row r="6" spans="1:28" ht="15.75" thickBot="1">
      <c r="A6" s="719"/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18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34</v>
      </c>
      <c r="O15" s="261">
        <f>'General information '!C10</f>
        <v>18</v>
      </c>
      <c r="P15" s="261">
        <f t="shared" si="0"/>
        <v>7.6999999999999993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16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21</v>
      </c>
      <c r="O16" s="261">
        <f>'General information '!C11</f>
        <v>16</v>
      </c>
      <c r="P16" s="261">
        <f t="shared" si="0"/>
        <v>0.19999999999999929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15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22</v>
      </c>
      <c r="O19" s="261">
        <f>'General information '!C14</f>
        <v>15</v>
      </c>
      <c r="P19" s="261">
        <f t="shared" si="0"/>
        <v>0.19999999999999929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16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21</v>
      </c>
      <c r="O20" s="261">
        <f>'General information '!C15</f>
        <v>16</v>
      </c>
      <c r="P20" s="261">
        <f t="shared" si="0"/>
        <v>0.19999999999999929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16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20</v>
      </c>
      <c r="O21" s="261">
        <f>'General information '!C16</f>
        <v>16</v>
      </c>
      <c r="P21" s="261">
        <f t="shared" si="0"/>
        <v>-0.30000000000000071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17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20</v>
      </c>
      <c r="O22" s="261">
        <f>'General information '!C17</f>
        <v>17</v>
      </c>
      <c r="P22" s="261">
        <f t="shared" si="0"/>
        <v>0.19999999999999929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-958.00000000000023</v>
      </c>
      <c r="AB23" s="134">
        <f>SUM(AB10:AB22)</f>
        <v>55.09999999999998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19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35</v>
      </c>
      <c r="O27" s="261">
        <f>'General information '!C22</f>
        <v>19</v>
      </c>
      <c r="P27" s="261">
        <f t="shared" si="0"/>
        <v>8.6999999999999993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16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21</v>
      </c>
      <c r="O28" s="261">
        <f>'General information '!C23</f>
        <v>16</v>
      </c>
      <c r="P28" s="261">
        <f t="shared" si="0"/>
        <v>0.19999999999999929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16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20</v>
      </c>
      <c r="O29" s="261">
        <f>'General information '!C24</f>
        <v>16</v>
      </c>
      <c r="P29" s="261">
        <f t="shared" si="0"/>
        <v>-0.30000000000000071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18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23</v>
      </c>
      <c r="O34" s="261">
        <f>'General information '!C29</f>
        <v>18</v>
      </c>
      <c r="P34" s="261">
        <f t="shared" si="0"/>
        <v>2.1999999999999993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16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25</v>
      </c>
      <c r="O35" s="261">
        <f>'General information '!C30</f>
        <v>16</v>
      </c>
      <c r="P35" s="261">
        <f t="shared" si="0"/>
        <v>2.1999999999999993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17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23</v>
      </c>
      <c r="O36" s="261">
        <f>'General information '!C31</f>
        <v>17</v>
      </c>
      <c r="P36" s="261">
        <f t="shared" si="0"/>
        <v>1.6999999999999993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19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22</v>
      </c>
      <c r="O37" s="261">
        <f>'General information '!C32</f>
        <v>19</v>
      </c>
      <c r="P37" s="261">
        <f t="shared" si="0"/>
        <v>2.1999999999999993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-4822.0000000000009</v>
      </c>
      <c r="O86" s="142">
        <f>C43+G43+K43+O43+S43+W43+C81+G81+K81+O81+S81+W81</f>
        <v>54.899999999999984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H37" sqref="H37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28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252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25182</v>
      </c>
      <c r="C8" s="466">
        <f>SUM(tanks!AU37)</f>
        <v>1.0251999999999999</v>
      </c>
      <c r="D8" s="191">
        <f>SUM(B8*C8)*D4</f>
        <v>38918503.997999996</v>
      </c>
      <c r="E8" s="192">
        <f>SUM(D8/D4/F4)</f>
        <v>860.55287999999985</v>
      </c>
      <c r="F8" s="192">
        <f>SUM(E8*F4)</f>
        <v>25816.586399999997</v>
      </c>
      <c r="G8" s="570">
        <f>E8*$G$4</f>
        <v>24095.480639999994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1750</v>
      </c>
      <c r="C10" s="181"/>
      <c r="D10" s="183">
        <f>'EDl log'!AB30</f>
        <v>7427453</v>
      </c>
      <c r="E10" s="182">
        <f>SUM(D10/D4/F4)</f>
        <v>164.2333443891653</v>
      </c>
      <c r="F10" s="182">
        <f>SUM(E10*F4)</f>
        <v>4927.0003316749589</v>
      </c>
      <c r="G10" s="478">
        <f>E10*$G$4</f>
        <v>4598.5336428966284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1298.1195577224985</v>
      </c>
      <c r="F12" s="180">
        <f>SUM(F6:F10)</f>
        <v>38943.586731674957</v>
      </c>
      <c r="G12" s="179">
        <f>SUM(G6:G10)</f>
        <v>36894.01428289662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-43234.885717103374</v>
      </c>
      <c r="I14" s="406">
        <f>SUM(G12-I12)</f>
        <v>-14349.905437533489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54.416666666666664</v>
      </c>
      <c r="C16" s="415">
        <f>'[14]Utility Cost '!$B$16</f>
        <v>17.583333333333332</v>
      </c>
      <c r="D16" s="415"/>
      <c r="E16" s="576">
        <f>B16-C16</f>
        <v>36.833333333333329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175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-65</v>
      </c>
      <c r="F18" s="495">
        <f>B18-D18</f>
        <v>-27.666666666666657</v>
      </c>
    </row>
    <row r="19" spans="1:10">
      <c r="A19" s="489" t="s">
        <v>412</v>
      </c>
      <c r="B19" s="493">
        <f>GEN!AL34</f>
        <v>16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10.9375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2022-05-05T07:33:51Z</dcterms:modified>
</cp:coreProperties>
</file>