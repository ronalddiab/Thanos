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J26" i="6"/>
  <c r="E26" i="3" s="1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5" i="3" l="1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<sst xmlns="http://schemas.openxmlformats.org/spreadsheetml/2006/main" count="296" uniqueCount="138">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</sst>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3680.0000000005111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600.00000000015598</v>
      </c>
      <c r="F25" s="33">
        <f>'FS Desroches Daily'!F27</f>
        <v>600.00000000037801</v>
      </c>
      <c r="G25" s="32">
        <f>'FS Desroches Daily'!H27</f>
        <v>1500.0000000000568</v>
      </c>
      <c r="H25" s="33">
        <f>'FS Desroches Daily'!J27</f>
        <v>799.99999999991189</v>
      </c>
      <c r="I25" s="32">
        <f>'FS Desroches Daily'!L27</f>
        <v>1700.0000000000348</v>
      </c>
      <c r="J25" s="33">
        <f>'FS Desroches Daily'!N27</f>
        <v>499.99999999994492</v>
      </c>
      <c r="K25" s="13">
        <f>'FS Desroches Daily'!P27</f>
        <v>1</v>
      </c>
      <c r="L25" s="32">
        <f>'FS Desroches Daily'!R27</f>
        <v>3</v>
      </c>
      <c r="M25" s="32">
        <f>'FS Desroches Daily'!T27</f>
        <v>245.59999999997672</v>
      </c>
      <c r="N25" s="32">
        <f>'FS Desroches Daily'!V27</f>
        <v>150.09999999997672</v>
      </c>
      <c r="O25" s="32">
        <f>'FS Desroches Daily'!X27</f>
        <v>60.000000000002274</v>
      </c>
      <c r="P25" s="32">
        <f>'FS Desroches Daily'!Z27</f>
        <v>599.99999999993395</v>
      </c>
      <c r="Q25" s="32">
        <f>'FS Desroches Daily'!AB27</f>
        <v>69.999999999993179</v>
      </c>
      <c r="R25" s="32">
        <f>'FS Desroches Daily'!AD27</f>
        <v>89.999999999974989</v>
      </c>
      <c r="S25" s="32">
        <f>'FS Desroches Daily'!AF27</f>
        <v>250</v>
      </c>
      <c r="T25" s="32">
        <f>'FS Desroches Daily'!AH27</f>
        <v>0.90000000000009095</v>
      </c>
      <c r="U25" s="36">
        <f>'FS Desroches Daily'!AJ27</f>
        <v>269.99999999998181</v>
      </c>
      <c r="V25" s="36">
        <f>'FS Desroches Daily'!AL27</f>
        <v>3.9999999999992042E-2</v>
      </c>
      <c r="W25" s="36">
        <f>'FS Desroches Daily'!AN27</f>
        <v>3.9999999999992042E-2</v>
      </c>
      <c r="X25" s="36">
        <f>'FS Desroches Daily'!AP27</f>
        <v>3.0000000000001137E-2</v>
      </c>
      <c r="Y25" s="36">
        <f>'FS Desroches Daily'!AR27</f>
        <v>30.000000000001137</v>
      </c>
      <c r="Z25" s="36">
        <f>'FS Desroches Daily'!AT27</f>
        <v>19.99999999998181</v>
      </c>
      <c r="AA25" s="36">
        <f>'FS Desroches Daily'!AT27</f>
        <v>19.99999999998181</v>
      </c>
      <c r="AB25" s="36">
        <f>'FS Desroches Daily'!AV27</f>
        <v>9.9999999999909051</v>
      </c>
      <c r="AC25" s="36">
        <f>'FS Desroches Daily'!AZ27</f>
        <v>9.9999999999909051</v>
      </c>
      <c r="AD25" s="36">
        <f>'FS Desroches Daily'!BB27</f>
        <v>19.99999999998181</v>
      </c>
      <c r="AE25" s="36">
        <f>'FS Desroches Daily'!BD27</f>
        <v>9.9999999999909051</v>
      </c>
      <c r="AF25" s="32">
        <f>'FS Desroches Daily'!BF27</f>
        <v>22</v>
      </c>
      <c r="AG25" s="33">
        <f>'FS Desroches Daily'!BH27</f>
        <v>20.000000000010232</v>
      </c>
      <c r="AH25" s="33">
        <f>'FS Desroches Daily'!BJ27</f>
        <v>30.000000000029559</v>
      </c>
      <c r="AI25" s="33">
        <f>'FS Desroches Daily'!BL27</f>
        <v>19.99999999998181</v>
      </c>
      <c r="AJ25" s="33">
        <f>'FS Desroches Daily'!BN27</f>
        <v>20.000000000010232</v>
      </c>
      <c r="AK25" s="33">
        <f>'FS Desroches Daily'!BP27</f>
        <v>30.000000000029559</v>
      </c>
      <c r="AL25" s="33">
        <f>'FS Desroches Daily'!BR27</f>
        <v>9</v>
      </c>
      <c r="AM25" s="33">
        <f>'FS Desroches Daily'!BT27</f>
        <v>9.9999999999909051</v>
      </c>
      <c r="AN25" s="33">
        <f>'FS Desroches Daily'!BV27</f>
        <v>6</v>
      </c>
      <c r="AO25" s="33">
        <f>'FS Desroches Daily'!BX27</f>
        <v>9.9999999999909051</v>
      </c>
      <c r="AP25" s="33">
        <f>'FS Desroches Daily'!BZ27</f>
        <v>18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40.099999999998545</v>
      </c>
      <c r="AU25" s="32">
        <f>'FS Desroches Daily'!CJ27</f>
        <v>187</v>
      </c>
      <c r="AV25" s="32">
        <f>'FS Desroches Daily'!CL27</f>
        <v>319.99999999993634</v>
      </c>
      <c r="AW25" s="32">
        <f>'FS Desroches Daily'!CM27</f>
        <v>23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 t="str">
        <f>'FS Desroches Daily'!D28</f>
        <v>0</v>
      </c>
      <c r="F26" s="33" t="str">
        <f>'FS Desroches Daily'!F28</f>
        <v>0</v>
      </c>
      <c r="G26" s="32" t="str">
        <f>'FS Desroches Daily'!H28</f>
        <v>0</v>
      </c>
      <c r="H26" s="33" t="str">
        <f>'FS Desroches Daily'!J28</f>
        <v>0</v>
      </c>
      <c r="I26" s="32" t="str">
        <f>'FS Desroches Daily'!L28</f>
        <v>0</v>
      </c>
      <c r="J26" s="33" t="str">
        <f>'FS Desroches Daily'!N28</f>
        <v/>
      </c>
      <c r="K26" s="13" t="str">
        <f>'FS Desroches Daily'!P28</f>
        <v/>
      </c>
      <c r="L26" s="32" t="str">
        <f>'FS Desroches Daily'!R28</f>
        <v/>
      </c>
      <c r="M26" s="32" t="str">
        <f>'FS Desroches Daily'!T28</f>
        <v/>
      </c>
      <c r="N26" s="32" t="str">
        <f>'FS Desroches Daily'!V28</f>
        <v/>
      </c>
      <c r="O26" s="32" t="str">
        <f>'FS Desroches Daily'!X28</f>
        <v/>
      </c>
      <c r="P26" s="32" t="str">
        <f>'FS Desroches Daily'!Z28</f>
        <v/>
      </c>
      <c r="Q26" s="32" t="str">
        <f>'FS Desroches Daily'!AB28</f>
        <v/>
      </c>
      <c r="R26" s="32" t="str">
        <f>'FS Desroches Daily'!AD28</f>
        <v/>
      </c>
      <c r="S26" s="32" t="str">
        <f>'FS Desroches Daily'!AF28</f>
        <v/>
      </c>
      <c r="T26" s="32" t="str">
        <f>'FS Desroches Daily'!AH28</f>
        <v/>
      </c>
      <c r="U26" s="36" t="str">
        <f>'FS Desroches Daily'!AJ28</f>
        <v/>
      </c>
      <c r="V26" s="36" t="str">
        <f>'FS Desroches Daily'!AL28</f>
        <v/>
      </c>
      <c r="W26" s="36" t="str">
        <f>'FS Desroches Daily'!AN28</f>
        <v/>
      </c>
      <c r="X26" s="36" t="str">
        <f>'FS Desroches Daily'!AP28</f>
        <v/>
      </c>
      <c r="Y26" s="36" t="str">
        <f>'FS Desroches Daily'!AR28</f>
        <v/>
      </c>
      <c r="Z26" s="36" t="str">
        <f>'FS Desroches Daily'!AT28</f>
        <v/>
      </c>
      <c r="AA26" s="36" t="str">
        <f>'FS Desroches Daily'!AT28</f>
        <v/>
      </c>
      <c r="AB26" s="36" t="str">
        <f>'FS Desroches Daily'!AV28</f>
        <v/>
      </c>
      <c r="AC26" s="36" t="str">
        <f>'FS Desroches Daily'!AZ28</f>
        <v/>
      </c>
      <c r="AD26" s="36" t="str">
        <f>'FS Desroches Daily'!BB28</f>
        <v/>
      </c>
      <c r="AE26" s="36" t="str">
        <f>'FS Desroches Daily'!BD28</f>
        <v/>
      </c>
      <c r="AF26" s="32" t="str">
        <f>'FS Desroches Daily'!BF28</f>
        <v/>
      </c>
      <c r="AG26" s="33" t="str">
        <f>'FS Desroches Daily'!BH28</f>
        <v/>
      </c>
      <c r="AH26" s="33" t="str">
        <f>'FS Desroches Daily'!BJ28</f>
        <v/>
      </c>
      <c r="AI26" s="33" t="str">
        <f>'FS Desroches Daily'!BL28</f>
        <v/>
      </c>
      <c r="AJ26" s="33" t="str">
        <f>'FS Desroches Daily'!BN28</f>
        <v/>
      </c>
      <c r="AK26" s="33" t="str">
        <f>'FS Desroches Daily'!BP28</f>
        <v/>
      </c>
      <c r="AL26" s="33" t="str">
        <f>'FS Desroches Daily'!BR28</f>
        <v/>
      </c>
      <c r="AM26" s="33" t="str">
        <f>'FS Desroches Daily'!BT28</f>
        <v/>
      </c>
      <c r="AN26" s="33" t="str">
        <f>'FS Desroches Daily'!BV28</f>
        <v/>
      </c>
      <c r="AO26" s="33" t="str">
        <f>'FS Desroches Daily'!BX28</f>
        <v/>
      </c>
      <c r="AP26" s="33" t="str">
        <f>'FS Desroches Daily'!BZ28</f>
        <v/>
      </c>
      <c r="AQ26" s="32" t="str">
        <f>'FS Desroches Daily'!CB28</f>
        <v/>
      </c>
      <c r="AR26" s="32" t="str">
        <f>'FS Desroches Daily'!CD28</f>
        <v/>
      </c>
      <c r="AS26" s="32" t="str">
        <f>'FS Desroches Daily'!CF28</f>
        <v/>
      </c>
      <c r="AT26" s="32" t="str">
        <f>'FS Desroches Daily'!CH28</f>
        <v/>
      </c>
      <c r="AU26" s="32" t="str">
        <f>'FS Desroches Daily'!CJ28</f>
        <v/>
      </c>
      <c r="AV26" s="32" t="str">
        <f>'FS Desroches Daily'!CL28</f>
        <v/>
      </c>
      <c r="AW26" s="32">
        <f>'FS Desroches Daily'!CM28</f>
        <v>0</v>
      </c>
      <c r="AX26" s="32" t="str">
        <f>IF(LPG!F33-LPG!F32&lt;0,"0",(LPG!F33-LPG!F32)*1.8315)</f>
        <v>0</v>
      </c>
      <c r="AY26" s="32" t="str">
        <f>IF(LPG!H33-LPG!H32&lt;0,"0",(LPG!H33-LPG!H32)*1.8315)</f>
        <v>0</v>
      </c>
      <c r="AZ26" s="32" t="str">
        <f>IF(LPG!J33-LPG!J32&lt;0,"0",(LPG!J33-LPG!J32)*1.8315)</f>
        <v>0</v>
      </c>
      <c r="BA26" s="32" t="str">
        <f>IF(LPG!M33-LPG!M32&lt;0,"0",(LPG!M33-LPG!M32)*1.8315)</f>
        <v>0</v>
      </c>
      <c r="BB26" s="32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15700.000000000055</v>
      </c>
      <c r="F33" s="17">
        <f t="shared" ref="F33:BC33" si="1">SUM(F2:F32)</f>
        <v>13700.000000000049</v>
      </c>
      <c r="G33" s="17">
        <f t="shared" si="1"/>
        <v>38000.000000000269</v>
      </c>
      <c r="H33" s="17">
        <f t="shared" si="1"/>
        <v>22799.999999999935</v>
      </c>
      <c r="I33" s="17">
        <f t="shared" si="1"/>
        <v>45400.000000000109</v>
      </c>
      <c r="J33" s="17">
        <f t="shared" si="1"/>
        <v>11000.000000000124</v>
      </c>
      <c r="K33" s="17">
        <f t="shared" si="1"/>
        <v>17</v>
      </c>
      <c r="L33" s="17">
        <f t="shared" si="1"/>
        <v>92</v>
      </c>
      <c r="M33" s="17">
        <f t="shared" si="1"/>
        <v>4061.5</v>
      </c>
      <c r="N33" s="17">
        <f t="shared" si="1"/>
        <v>2372</v>
      </c>
      <c r="O33" s="17">
        <f t="shared" si="1"/>
        <v>1829.9999999999841</v>
      </c>
      <c r="P33" s="17">
        <f t="shared" si="1"/>
        <v>9599.9999999998345</v>
      </c>
      <c r="Q33" s="17">
        <f t="shared" si="1"/>
        <v>1629.9999999999955</v>
      </c>
      <c r="R33" s="17">
        <f t="shared" si="1"/>
        <v>2829.9999999999841</v>
      </c>
      <c r="S33" s="17">
        <f t="shared" si="1"/>
        <v>3930.0000000000068</v>
      </c>
      <c r="T33" s="17">
        <f t="shared" si="1"/>
        <v>28.600000000000136</v>
      </c>
      <c r="U33" s="36">
        <f t="shared" si="1"/>
        <v>4969.9999999999709</v>
      </c>
      <c r="V33" s="36">
        <f t="shared" si="1"/>
        <v>360.56000000001347</v>
      </c>
      <c r="W33" s="36">
        <f t="shared" si="1"/>
        <v>350.44999999999391</v>
      </c>
      <c r="X33" s="36">
        <f t="shared" si="1"/>
        <v>310.38000000000193</v>
      </c>
      <c r="Y33" s="36">
        <f t="shared" si="1"/>
        <v>820.0000000000216</v>
      </c>
      <c r="Z33" s="36">
        <f t="shared" si="1"/>
        <v>1005.7500000000091</v>
      </c>
      <c r="AA33" s="36">
        <f t="shared" si="1"/>
        <v>1005.7500000000091</v>
      </c>
      <c r="AB33" s="36">
        <f t="shared" si="1"/>
        <v>459.99999999997954</v>
      </c>
      <c r="AC33" s="36">
        <f t="shared" si="1"/>
        <v>600.00000000002274</v>
      </c>
      <c r="AD33" s="36">
        <f t="shared" si="1"/>
        <v>439.99999999999773</v>
      </c>
      <c r="AE33" s="36">
        <f t="shared" si="1"/>
        <v>349.99999999999432</v>
      </c>
      <c r="AF33" s="17">
        <f t="shared" si="1"/>
        <v>596</v>
      </c>
      <c r="AG33" s="33">
        <f t="shared" si="1"/>
        <v>530.00000000000114</v>
      </c>
      <c r="AH33" s="33">
        <f t="shared" si="1"/>
        <v>670.00000000001592</v>
      </c>
      <c r="AI33" s="33">
        <f t="shared" si="1"/>
        <v>530.00000000000114</v>
      </c>
      <c r="AJ33" s="33">
        <f t="shared" si="1"/>
        <v>620.00000000000455</v>
      </c>
      <c r="AK33" s="33">
        <f t="shared" si="1"/>
        <v>910.00000000002501</v>
      </c>
      <c r="AL33" s="33">
        <f t="shared" si="1"/>
        <v>246</v>
      </c>
      <c r="AM33" s="33">
        <f t="shared" si="1"/>
        <v>259.99999999999091</v>
      </c>
      <c r="AN33" s="33">
        <f t="shared" si="1"/>
        <v>439</v>
      </c>
      <c r="AO33" s="33">
        <f t="shared" si="1"/>
        <v>629.99999999999545</v>
      </c>
      <c r="AP33" s="33">
        <f t="shared" si="1"/>
        <v>585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1309.6999999999971</v>
      </c>
      <c r="AU33" s="17">
        <f t="shared" si="1"/>
        <v>4770</v>
      </c>
      <c r="AV33" s="17">
        <f t="shared" si="1"/>
        <v>9370.0000000000055</v>
      </c>
      <c r="AW33" s="17">
        <f t="shared" si="1"/>
        <v>652.6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168.49799999999996</v>
      </c>
      <c r="BC33" s="17">
        <f t="shared" si="1"/>
        <v>0</v>
      </c>
    </row>
    <row r="35" spans="5:55" x14ac:dyDescent="0.25">
      <c r="E35" s="39">
        <f>E33/E37</f>
        <v>0.17002750763499297</v>
      </c>
      <c r="G35" s="30">
        <f>G33-M36</f>
        <v>31566.500000000269</v>
      </c>
      <c r="AE35" s="36">
        <f>SUM(U33:AE33)</f>
        <v>10672.890000000018</v>
      </c>
      <c r="AG35" s="33">
        <f>SUM(AG33:AP33)</f>
        <v>5420.0000000000337</v>
      </c>
    </row>
    <row r="36" spans="5:55" x14ac:dyDescent="0.25">
      <c r="G36" s="30">
        <f>G35-633*14</f>
        <v>22704.500000000269</v>
      </c>
      <c r="M36" s="30">
        <f>M33+N33</f>
        <v>6433.5</v>
      </c>
    </row>
    <row r="37" spans="5:55" x14ac:dyDescent="0.25">
      <c r="E37" s="17">
        <f>E33+F33+G33+H33+J33-633*14</f>
        <v>92338.000000000437</v>
      </c>
      <c r="G37" s="38">
        <f>M36/E37</f>
        <v>6.9673373908899577E-2</v>
      </c>
      <c r="M37" s="36">
        <f>AE35</f>
        <v>10672.890000000018</v>
      </c>
    </row>
    <row r="38" spans="5:55" x14ac:dyDescent="0.25">
      <c r="L38" s="28">
        <f>M38/E37</f>
        <v>5.8697394355520023E-2</v>
      </c>
      <c r="M38" s="30">
        <f>AG35</f>
        <v>5420.0000000000337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R34" sqref="R3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>
        <v>1.7251000000000001</v>
      </c>
      <c r="D27" s="66">
        <f t="shared" si="0"/>
        <v>600.00000000015598</v>
      </c>
      <c r="E27" s="60">
        <v>2.7242000000000002</v>
      </c>
      <c r="F27" s="66">
        <f t="shared" si="1"/>
        <v>600.00000000037801</v>
      </c>
      <c r="G27" s="60">
        <v>2.5891000000000002</v>
      </c>
      <c r="H27" s="66">
        <f t="shared" si="2"/>
        <v>1500.0000000000568</v>
      </c>
      <c r="I27" s="60">
        <v>1.2529999999999999</v>
      </c>
      <c r="J27" s="66">
        <f t="shared" si="3"/>
        <v>799.99999999991189</v>
      </c>
      <c r="K27" s="60">
        <v>1.9452</v>
      </c>
      <c r="L27" s="66">
        <f t="shared" si="4"/>
        <v>1700.0000000000348</v>
      </c>
      <c r="M27" s="60">
        <v>1.2114</v>
      </c>
      <c r="N27" s="66">
        <f t="shared" si="5"/>
        <v>499.99999999994492</v>
      </c>
      <c r="O27" s="60">
        <v>12593</v>
      </c>
      <c r="P27" s="69">
        <f t="shared" si="42"/>
        <v>1</v>
      </c>
      <c r="Q27" s="60">
        <v>5514</v>
      </c>
      <c r="R27" s="69">
        <f t="shared" si="6"/>
        <v>3</v>
      </c>
      <c r="S27" s="60">
        <v>834899.5</v>
      </c>
      <c r="T27" s="69">
        <f t="shared" si="7"/>
        <v>245.59999999997672</v>
      </c>
      <c r="U27" s="60">
        <v>340236</v>
      </c>
      <c r="V27" s="69">
        <f t="shared" si="8"/>
        <v>150.09999999997672</v>
      </c>
      <c r="W27" s="60">
        <v>334</v>
      </c>
      <c r="X27" s="67">
        <f t="shared" si="9"/>
        <v>60.000000000002274</v>
      </c>
      <c r="Y27" s="60">
        <v>2.4007999999999998</v>
      </c>
      <c r="Z27" s="67">
        <f t="shared" si="10"/>
        <v>599.99999999993395</v>
      </c>
      <c r="AA27" s="60">
        <v>328.37</v>
      </c>
      <c r="AB27" s="67">
        <f t="shared" si="11"/>
        <v>69.999999999993179</v>
      </c>
      <c r="AC27" s="60">
        <v>310.94</v>
      </c>
      <c r="AD27" s="67">
        <f t="shared" si="12"/>
        <v>89.999999999974989</v>
      </c>
      <c r="AE27" s="60">
        <v>486.58</v>
      </c>
      <c r="AF27" s="67">
        <f t="shared" si="13"/>
        <v>250</v>
      </c>
      <c r="AG27" s="60">
        <v>1261.9000000000001</v>
      </c>
      <c r="AH27" s="69">
        <f t="shared" si="14"/>
        <v>0.90000000000009095</v>
      </c>
      <c r="AI27" s="60">
        <v>422.45</v>
      </c>
      <c r="AJ27" s="67">
        <f t="shared" si="15"/>
        <v>269.99999999998181</v>
      </c>
      <c r="AK27" s="60">
        <v>151.13999999999999</v>
      </c>
      <c r="AL27" s="67">
        <f t="shared" si="43"/>
        <v>3.9999999999992042E-2</v>
      </c>
      <c r="AM27" s="60">
        <v>150.66999999999999</v>
      </c>
      <c r="AN27" s="67">
        <f t="shared" si="44"/>
        <v>3.9999999999992042E-2</v>
      </c>
      <c r="AO27" s="60">
        <v>147.19</v>
      </c>
      <c r="AP27" s="67">
        <f t="shared" si="45"/>
        <v>3.0000000000001137E-2</v>
      </c>
      <c r="AQ27" s="60">
        <v>218.36</v>
      </c>
      <c r="AR27" s="67">
        <f t="shared" si="16"/>
        <v>30.000000000001137</v>
      </c>
      <c r="AS27" s="60">
        <v>344.69</v>
      </c>
      <c r="AT27" s="67">
        <f t="shared" si="17"/>
        <v>19.99999999998181</v>
      </c>
      <c r="AU27" s="60">
        <v>265.89</v>
      </c>
      <c r="AV27" s="67">
        <f t="shared" si="18"/>
        <v>9.9999999999909051</v>
      </c>
      <c r="AW27" s="60">
        <v>293.45999999999998</v>
      </c>
      <c r="AX27" s="67">
        <f t="shared" si="19"/>
        <v>9.9999999999909051</v>
      </c>
      <c r="AY27" s="60">
        <v>344.69</v>
      </c>
      <c r="AZ27" s="67">
        <f t="shared" si="20"/>
        <v>9.9999999999909051</v>
      </c>
      <c r="BA27" s="60">
        <v>364.53</v>
      </c>
      <c r="BB27" s="67">
        <f t="shared" si="21"/>
        <v>19.99999999998181</v>
      </c>
      <c r="BC27" s="60">
        <v>231.16</v>
      </c>
      <c r="BD27" s="67">
        <f t="shared" si="22"/>
        <v>9.9999999999909051</v>
      </c>
      <c r="BE27" s="61">
        <v>29453</v>
      </c>
      <c r="BF27" s="69">
        <f t="shared" si="38"/>
        <v>22</v>
      </c>
      <c r="BG27" s="62">
        <v>225.05</v>
      </c>
      <c r="BH27" s="67">
        <f t="shared" si="23"/>
        <v>20.000000000010232</v>
      </c>
      <c r="BI27" s="62">
        <v>282.72000000000003</v>
      </c>
      <c r="BJ27" s="67">
        <f t="shared" si="39"/>
        <v>30.000000000029559</v>
      </c>
      <c r="BK27" s="62">
        <v>230.57</v>
      </c>
      <c r="BL27" s="67">
        <f t="shared" si="24"/>
        <v>19.99999999998181</v>
      </c>
      <c r="BM27" s="62">
        <v>213.77</v>
      </c>
      <c r="BN27" s="67">
        <f t="shared" si="25"/>
        <v>20.000000000010232</v>
      </c>
      <c r="BO27" s="62">
        <v>278.56</v>
      </c>
      <c r="BP27" s="67">
        <f t="shared" si="26"/>
        <v>30.000000000029559</v>
      </c>
      <c r="BQ27" s="62">
        <v>38922</v>
      </c>
      <c r="BR27" s="67">
        <f t="shared" si="27"/>
        <v>9</v>
      </c>
      <c r="BS27" s="62">
        <v>193.42</v>
      </c>
      <c r="BT27" s="67">
        <f t="shared" si="41"/>
        <v>9.9999999999909051</v>
      </c>
      <c r="BU27" s="62">
        <v>30160</v>
      </c>
      <c r="BV27" s="67">
        <f t="shared" si="29"/>
        <v>6</v>
      </c>
      <c r="BW27" s="62">
        <v>223.97</v>
      </c>
      <c r="BX27" s="67">
        <f t="shared" si="30"/>
        <v>9.9999999999909051</v>
      </c>
      <c r="BY27" s="62">
        <v>49050</v>
      </c>
      <c r="BZ27" s="69">
        <f t="shared" si="31"/>
        <v>18</v>
      </c>
      <c r="CA27" s="62">
        <v>27508.400000000001</v>
      </c>
      <c r="CB27" s="69">
        <f t="shared" si="32"/>
        <v>0</v>
      </c>
      <c r="CC27" s="62">
        <v>11251.4</v>
      </c>
      <c r="CD27" s="69">
        <f t="shared" si="33"/>
        <v>0</v>
      </c>
      <c r="CE27" s="62">
        <v>5488.9</v>
      </c>
      <c r="CF27" s="69">
        <f t="shared" si="34"/>
        <v>0</v>
      </c>
      <c r="CG27" s="62">
        <v>46723.6</v>
      </c>
      <c r="CH27" s="69">
        <f t="shared" si="35"/>
        <v>40.099999999998545</v>
      </c>
      <c r="CI27" s="62">
        <v>861165</v>
      </c>
      <c r="CJ27" s="69">
        <f t="shared" si="36"/>
        <v>187</v>
      </c>
      <c r="CK27" s="62">
        <v>576.4</v>
      </c>
      <c r="CL27" s="66">
        <f t="shared" si="37"/>
        <v>319.99999999993634</v>
      </c>
      <c r="CM27" s="67">
        <v>23</v>
      </c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 t="str">
        <f t="shared" si="0"/>
        <v>0</v>
      </c>
      <c r="E28" s="60"/>
      <c r="F28" s="66" t="str">
        <f t="shared" si="1"/>
        <v>0</v>
      </c>
      <c r="G28" s="60"/>
      <c r="H28" s="66" t="str">
        <f t="shared" si="2"/>
        <v>0</v>
      </c>
      <c r="I28" s="60"/>
      <c r="J28" s="66" t="str">
        <f t="shared" si="3"/>
        <v>0</v>
      </c>
      <c r="K28" s="60"/>
      <c r="L28" s="66" t="str">
        <f t="shared" si="4"/>
        <v>0</v>
      </c>
      <c r="M28" s="60"/>
      <c r="N28" s="66" t="str">
        <f t="shared" si="5"/>
        <v/>
      </c>
      <c r="O28" s="60"/>
      <c r="P28" s="69" t="str">
        <f t="shared" si="42"/>
        <v/>
      </c>
      <c r="Q28" s="60"/>
      <c r="R28" s="69" t="str">
        <f t="shared" si="6"/>
        <v/>
      </c>
      <c r="S28" s="60"/>
      <c r="T28" s="69" t="str">
        <f t="shared" si="7"/>
        <v/>
      </c>
      <c r="U28" s="60"/>
      <c r="V28" s="69" t="str">
        <f t="shared" si="8"/>
        <v/>
      </c>
      <c r="W28" s="60"/>
      <c r="X28" s="67" t="str">
        <f t="shared" si="9"/>
        <v/>
      </c>
      <c r="Y28" s="60"/>
      <c r="Z28" s="67" t="str">
        <f t="shared" si="10"/>
        <v/>
      </c>
      <c r="AA28" s="60"/>
      <c r="AB28" s="67" t="str">
        <f t="shared" si="11"/>
        <v/>
      </c>
      <c r="AC28" s="60"/>
      <c r="AD28" s="67" t="str">
        <f t="shared" si="12"/>
        <v/>
      </c>
      <c r="AE28" s="60"/>
      <c r="AF28" s="67" t="str">
        <f t="shared" si="13"/>
        <v/>
      </c>
      <c r="AG28" s="60"/>
      <c r="AH28" s="69" t="str">
        <f t="shared" si="14"/>
        <v/>
      </c>
      <c r="AI28" s="60"/>
      <c r="AJ28" s="67" t="str">
        <f t="shared" si="15"/>
        <v/>
      </c>
      <c r="AK28" s="60"/>
      <c r="AL28" s="67" t="str">
        <f t="shared" si="43"/>
        <v/>
      </c>
      <c r="AM28" s="60"/>
      <c r="AN28" s="67" t="str">
        <f t="shared" si="44"/>
        <v/>
      </c>
      <c r="AO28" s="60"/>
      <c r="AP28" s="67" t="str">
        <f t="shared" si="45"/>
        <v/>
      </c>
      <c r="AQ28" s="60"/>
      <c r="AR28" s="67" t="str">
        <f t="shared" si="16"/>
        <v/>
      </c>
      <c r="AS28" s="60"/>
      <c r="AT28" s="67" t="str">
        <f t="shared" si="17"/>
        <v/>
      </c>
      <c r="AU28" s="60"/>
      <c r="AV28" s="67" t="str">
        <f t="shared" si="18"/>
        <v/>
      </c>
      <c r="AW28" s="60"/>
      <c r="AX28" s="67" t="str">
        <f t="shared" si="19"/>
        <v/>
      </c>
      <c r="AY28" s="60"/>
      <c r="AZ28" s="67" t="str">
        <f t="shared" si="20"/>
        <v/>
      </c>
      <c r="BA28" s="60"/>
      <c r="BB28" s="67" t="str">
        <f t="shared" si="21"/>
        <v/>
      </c>
      <c r="BC28" s="60"/>
      <c r="BD28" s="67" t="str">
        <f t="shared" si="22"/>
        <v/>
      </c>
      <c r="BE28" s="61"/>
      <c r="BF28" s="69" t="str">
        <f t="shared" si="38"/>
        <v/>
      </c>
      <c r="BG28" s="62"/>
      <c r="BH28" s="67" t="str">
        <f t="shared" si="23"/>
        <v/>
      </c>
      <c r="BI28" s="62"/>
      <c r="BJ28" s="67" t="str">
        <f t="shared" si="39"/>
        <v/>
      </c>
      <c r="BK28" s="62"/>
      <c r="BL28" s="67" t="str">
        <f t="shared" si="24"/>
        <v/>
      </c>
      <c r="BM28" s="62"/>
      <c r="BN28" s="67" t="str">
        <f t="shared" si="25"/>
        <v/>
      </c>
      <c r="BO28" s="62"/>
      <c r="BP28" s="67" t="str">
        <f t="shared" si="26"/>
        <v/>
      </c>
      <c r="BQ28" s="62"/>
      <c r="BR28" s="67" t="str">
        <f t="shared" si="27"/>
        <v/>
      </c>
      <c r="BS28" s="62"/>
      <c r="BT28" s="67" t="str">
        <f t="shared" si="41"/>
        <v/>
      </c>
      <c r="BU28" s="62"/>
      <c r="BV28" s="67" t="str">
        <f t="shared" si="29"/>
        <v/>
      </c>
      <c r="BW28" s="62"/>
      <c r="BX28" s="67" t="str">
        <f t="shared" si="30"/>
        <v/>
      </c>
      <c r="BY28" s="62"/>
      <c r="BZ28" s="69" t="str">
        <f t="shared" si="31"/>
        <v/>
      </c>
      <c r="CA28" s="62"/>
      <c r="CB28" s="69" t="str">
        <f t="shared" si="32"/>
        <v/>
      </c>
      <c r="CC28" s="62"/>
      <c r="CD28" s="69" t="str">
        <f t="shared" si="33"/>
        <v/>
      </c>
      <c r="CE28" s="62"/>
      <c r="CF28" s="69" t="str">
        <f t="shared" si="34"/>
        <v/>
      </c>
      <c r="CG28" s="62"/>
      <c r="CH28" s="69" t="str">
        <f t="shared" si="35"/>
        <v/>
      </c>
      <c r="CI28" s="62"/>
      <c r="CJ28" s="69" t="str">
        <f t="shared" si="36"/>
        <v/>
      </c>
      <c r="CK28" s="62"/>
      <c r="CL28" s="66" t="str">
        <f t="shared" si="37"/>
        <v/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32" sqref="Q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5</v>
      </c>
      <c r="O32" s="40">
        <v>0</v>
      </c>
      <c r="P32" s="40">
        <v>85</v>
      </c>
      <c r="Q32" s="40">
        <v>2606</v>
      </c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2020-06-25T07:20:04Z</dcterms:modified>
</cp:coreProperties>
</file>