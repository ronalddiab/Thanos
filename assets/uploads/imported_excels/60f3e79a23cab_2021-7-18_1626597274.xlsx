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firstSheet="1"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7" i="4" l="1"/>
  <c r="R37" i="4"/>
  <c r="N37" i="4"/>
  <c r="M37" i="4"/>
  <c r="L37" i="4"/>
  <c r="P37" i="4"/>
  <c r="J37" i="4"/>
  <c r="H37" i="4"/>
  <c r="F37" i="4"/>
  <c r="D37" i="4"/>
  <c r="C36" i="4"/>
  <c r="E36" i="4"/>
  <c r="O36" i="4"/>
  <c r="K36" i="4"/>
  <c r="I35" i="4"/>
  <c r="G35" i="4"/>
  <c r="G29" i="4"/>
  <c r="I29" i="4"/>
  <c r="M21" i="3"/>
  <c r="E23" i="3"/>
  <c r="E24" i="3" s="1"/>
  <c r="E19" i="3"/>
  <c r="AL38" i="3"/>
  <c r="AI38" i="3"/>
  <c r="AG38" i="3"/>
  <c r="AE38" i="3"/>
  <c r="AC38" i="3"/>
  <c r="AA38" i="3"/>
  <c r="Y38" i="3"/>
  <c r="X38" i="3"/>
  <c r="U38" i="3"/>
  <c r="V38" i="3" s="1"/>
  <c r="R38" i="3" l="1"/>
  <c r="S38" i="3" s="1"/>
  <c r="P38" i="3"/>
  <c r="O38" i="3"/>
  <c r="M38" i="3"/>
  <c r="K38" i="3"/>
  <c r="H38" i="3"/>
  <c r="I38" i="3" s="1"/>
  <c r="F38" i="3"/>
  <c r="AK38" i="3" s="1"/>
  <c r="F37" i="3"/>
  <c r="F28" i="3"/>
  <c r="C23" i="3"/>
  <c r="C24" i="3" s="1"/>
  <c r="G23" i="3"/>
  <c r="G24" i="3" s="1"/>
  <c r="J23" i="3"/>
  <c r="J24" i="3" s="1"/>
  <c r="L23" i="3"/>
  <c r="L24" i="3" s="1"/>
  <c r="N23" i="3"/>
  <c r="N24" i="3" s="1"/>
  <c r="Q24" i="3"/>
  <c r="Q23" i="3"/>
  <c r="T23" i="3"/>
  <c r="T24" i="3" s="1"/>
  <c r="W23" i="3"/>
  <c r="W24" i="3" s="1"/>
  <c r="AA15" i="3"/>
  <c r="Z23" i="3"/>
  <c r="Z24" i="3" s="1"/>
  <c r="AC15" i="3"/>
  <c r="AB23" i="3"/>
  <c r="AB24" i="3" s="1"/>
  <c r="AE15" i="3"/>
  <c r="AD23" i="3"/>
  <c r="AD24" i="3" s="1"/>
  <c r="AI15" i="3"/>
  <c r="AG15" i="3"/>
  <c r="AF24" i="3"/>
  <c r="AF23" i="3"/>
  <c r="AH24" i="3"/>
  <c r="AH23" i="3"/>
  <c r="AI8" i="3"/>
  <c r="D8" i="3" l="1"/>
  <c r="F8" i="3"/>
  <c r="H8" i="3"/>
  <c r="I8" i="3" s="1"/>
  <c r="K8" i="3"/>
  <c r="M8" i="3"/>
  <c r="O8" i="3"/>
  <c r="P8" i="3" s="1"/>
  <c r="R8" i="3"/>
  <c r="S8" i="3"/>
  <c r="U8" i="3"/>
  <c r="V8" i="3" s="1"/>
  <c r="D39" i="5" l="1"/>
  <c r="F39" i="5" s="1"/>
  <c r="H39" i="5"/>
  <c r="J39" i="5"/>
  <c r="L39" i="5"/>
  <c r="N39" i="5"/>
  <c r="P39" i="5"/>
  <c r="R39" i="5"/>
  <c r="T39" i="5"/>
  <c r="V39" i="5"/>
  <c r="X39" i="5"/>
  <c r="Z39" i="5"/>
  <c r="AB39" i="5"/>
  <c r="AD39" i="5"/>
  <c r="AF39" i="5"/>
  <c r="AH39" i="5"/>
  <c r="AJ39" i="5"/>
  <c r="AL39" i="5"/>
  <c r="AN39" i="5"/>
  <c r="AP39" i="5"/>
  <c r="AR39" i="5"/>
  <c r="AT39" i="5"/>
  <c r="AV39" i="5"/>
  <c r="AX39" i="5"/>
  <c r="AZ39" i="5"/>
  <c r="BB39" i="5"/>
  <c r="BD39" i="5"/>
  <c r="BF39" i="5"/>
  <c r="AN9" i="5"/>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E39" i="5" l="1"/>
  <c r="BH39" i="5" s="1"/>
  <c r="BI39" i="5"/>
  <c r="V18" i="5" l="1"/>
  <c r="H11" i="3" l="1"/>
  <c r="X8" i="3" l="1"/>
  <c r="Y8" i="3" s="1"/>
  <c r="AA8" i="3"/>
  <c r="AC8" i="3"/>
  <c r="AE8" i="3"/>
  <c r="AG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AL38" i="5"/>
  <c r="AL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I13" i="8"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I28" i="8" s="1"/>
  <c r="R34" i="4"/>
  <c r="H30" i="8" s="1"/>
  <c r="R20" i="4"/>
  <c r="H16" i="8" s="1"/>
  <c r="S8" i="4"/>
  <c r="I4" i="8" s="1"/>
  <c r="M23" i="4"/>
  <c r="M28" i="4"/>
  <c r="N31" i="4"/>
  <c r="S31" i="4" s="1"/>
  <c r="I27" i="8" s="1"/>
  <c r="N24" i="4"/>
  <c r="S24" i="4" s="1"/>
  <c r="I20" i="8" s="1"/>
  <c r="M27" i="4"/>
  <c r="R12" i="4"/>
  <c r="H8" i="8" s="1"/>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L30" i="8"/>
  <c r="M30" i="8" s="1"/>
  <c r="G29" i="10" s="1"/>
  <c r="G28" i="6"/>
  <c r="L29" i="8"/>
  <c r="M29" i="8" s="1"/>
  <c r="G28" i="10" s="1"/>
  <c r="L3" i="8" l="1"/>
  <c r="M3" i="8" s="1"/>
  <c r="G2" i="10" s="1"/>
  <c r="G2" i="6"/>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<sst xmlns="http://schemas.openxmlformats.org/spreadsheetml/2006/main" count="1420" uniqueCount="404">
  <si>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</si>
  <si>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</si>
  <si>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</si>
  <si>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</si>
  <si>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</si>
  <si>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</si>
  <si>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</si>
  <si>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</si>
  <si>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</si>
  <si>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</si>
  <si>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</si>
  <si>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</si>
  <si>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</si>
  <si>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</si>
  <si>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</si>
  <si>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</si>
  <si>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</si>
  <si>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</si>
  <si>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</si>
  <si>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</si>
  <si>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</si>
  <si>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</si>
  <si>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</si>
  <si>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</si>
  <si>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</si>
  <si>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</si>
  <si>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</si>
  <si>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</si>
  <si>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</si>
  <si>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</si>
  <si>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</si>
  <si>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</si>
  <si>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</si>
  <si>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</si>
  <si>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</si>
  <si>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</si>
  <si>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</si>
  <si>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</si>
  <si>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</si>
  <si>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</si>
  <si>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</si>
  <si>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</si>
  <si>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</si>
  <si>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</si>
  <si>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</si>
  <si>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</si>
  <si>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</si>
  <si>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</si>
  <si>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</si>
  <si>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</si>
  <si>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</si>
  <si>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</si>
  <si>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</si>
  <si>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</si>
  <si>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</si>
  <si>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</si>
  <si>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</si>
  <si>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</si>
  <si>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</si>
  <si>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</si>
  <si>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</si>
  <si>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</si>
  <si>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</si>
  <si>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</si>
  <si>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</si>
  <si>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</si>
  <si>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</si>
  <si>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</si>
  <si>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</si>
  <si>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</si>
  <si>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</si>
  <si>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</si>
  <si>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</si>
  <si>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</si>
  <si>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</si>
  <si>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</si>
  <si>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</si>
  <si>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</si>
  <si>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</si>
  <si>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</si>
  <si>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</si>
  <si>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</si>
  <si>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</si>
  <si>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</si>
  <si>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</si>
  <si>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</si>
  <si>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</si>
  <si>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</si>
  <si>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</si>
  <si>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</si>
  <si>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</si>
  <si>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</si>
  <si>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</si>
  <si>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</si>
  <si>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</si>
  <si>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</si>
  <si>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</si>
  <si>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</si>
  <si>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</si>
  <si>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</si>
  <si>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</si>
  <si>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</si>
  <si>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</si>
  <si>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</si>
  <si>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</si>
  <si>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</si>
  <si>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</si>
  <si>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</si>
  <si>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</si>
  <si>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</si>
  <si>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</si>
  <si>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</si>
  <si>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</si>
  <si>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</si>
  <si>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</si>
  <si>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</si>
  <si>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</si>
  <si>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</si>
  <si>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</si>
  <si>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</si>
  <si>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</si>
  <si>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</si>
  <si>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</si>
  <si>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</si>
  <si>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</si>
  <si>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</si>
  <si>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</si>
  <si>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</si>
  <si>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</si>
  <si>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</si>
  <si>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</si>
  <si>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</si>
  <si>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</si>
  <si>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</si>
  <si>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</si>
  <si>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</si>
  <si>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</si>
  <si>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</si>
  <si>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</si>
  <si>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</si>
  <si>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</si>
  <si>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</si>
  <si>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</si>
  <si>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</si>
  <si>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</si>
  <si>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</si>
  <si>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</si>
  <si>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</si>
  <si>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</si>
  <si>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</si>
  <si>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</si>
  <si>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</si>
  <si>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</si>
  <si>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</si>
  <si>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</si>
  <si>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</si>
  <si>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</si>
  <si>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</si>
  <si>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</si>
  <si>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</si>
  <si>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</si>
  <si>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</si>
  <si>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</si>
  <si>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</si>
  <si>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</si>
  <si>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</si>
  <si>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</si>
  <si>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</si>
  <si>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</si>
  <si>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</si>
  <si>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</si>
  <si>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</si>
  <si>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</si>
  <si>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</si>
  <si>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</si>
  <si>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</si>
  <si>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</si>
  <si>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</si>
  <si>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</si>
  <si>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</si>
  <si>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</si>
  <si>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</si>
  <si>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</si>
  <si>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</si>
  <si>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</si>
  <si>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</si>
  <si>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</si>
  <si>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</si>
  <si>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</si>
  <si>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</si>
  <si>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</si>
  <si>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</si>
  <si>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</si>
  <si>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</si>
  <si>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</si>
  <si>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</si>
  <si>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</si>
  <si>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</si>
  <si>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</si>
  <si>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</si>
  <si>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</si>
  <si>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</si>
  <si>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</si>
  <si>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</si>
  <si>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</si>
  <si>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</si>
  <si>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</si>
  <si>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</si>
  <si>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</si>
  <si>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</si>
  <si>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</si>
  <si>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</si>
  <si>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</si>
  <si>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</si>
  <si>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</si>
  <si>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</si>
  <si>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</si>
  <si>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</si>
  <si>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</si>
  <si>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</si>
  <si>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</si>
  <si>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</si>
  <si>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</si>
  <si>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</si>
  <si>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</si>
  <si>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</si>
  <si>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</si>
  <si>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</si>
  <si>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</si>
  <si>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</si>
  <si>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</si>
  <si>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</si>
  <si>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</si>
  <si>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</si>
  <si>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</si>
  <si>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</si>
  <si>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</si>
  <si>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</si>
  <si>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</si>
  <si>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</si>
  <si>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</si>
  <si>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</si>
  <si>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</si>
  <si>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</si>
  <si>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</si>
  <si>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</si>
  <si>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</si>
  <si>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</si>
  <si>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</si>
  <si>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</si>
  <si>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</si>
  <si>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</si>
  <si>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</si>
  <si>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</si>
  <si>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</si>
  <si>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</si>
  <si>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</si>
  <si>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</si>
  <si>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</si>
  <si>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</si>
  <si>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</si>
  <si>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</si>
  <si>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</si>
  <si>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</si>
  <si>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</si>
  <si>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</si>
  <si>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</si>
  <si>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</si>
  <si>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</si>
  <si>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</si>
  <si>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</si>
  <si>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</si>
  <si>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</si>
  <si>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</si>
  <si>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</si>
  <si>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</si>
  <si>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</si>
  <si>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</si>
  <si>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</si>
  <si>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</si>
  <si>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</si>
  <si>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</si>
  <si>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</si>
  <si>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</si>
  <si>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</si>
  <si>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</si>
  <si>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</si>
  <si>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</si>
  <si>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</si>
  <si>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</si>
  <si>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</si>
  <si>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</si>
  <si>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</si>
  <si>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</si>
  <si>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</si>
  <si>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</si>
  <si>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</si>
  <si>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</si>
  <si>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</si>
  <si>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</si>
  <si>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</si>
  <si>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</si>
  <si>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</si>
  <si>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</si>
  <si>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</si>
  <si>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</si>
  <si>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</si>
  <si>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</si>
  <si>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</si>
  <si>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</si>
  <si>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</si>
  <si>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</si>
  <si>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</si>
  <si>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</si>
  <si>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</si>
  <si>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</si>
  <si>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</si>
  <si>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</si>
  <si>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</si>
  <si>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</si>
  <si>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</si>
  <si>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</si>
  <si>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</si>
  <si>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</si>
  <si>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</si>
  <si>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</si>
  <si>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</si>
  <si>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</si>
  <si>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</si>
  <si>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</si>
  <si>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</si>
  <si>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</si>
  <si>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</si>
  <si>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</si>
  <si>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</si>
  <si>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</si>
  <si>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</si>
  <si>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</si>
  <si>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</si>
  <si>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</si>
  <si>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</si>
  <si>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</si>
  <si>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</si>
  <si>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</si>
  <si>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</si>
  <si>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</si>
  <si>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</si>
  <si>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</si>
  <si>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</si>
  <si>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</si>
  <si>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</si>
  <si>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</si>
  <si>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</si>
  <si>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</si>
  <si>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</si>
  <si>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</si>
  <si>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</si>
  <si>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</si>
  <si>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</si>
  <si>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</si>
  <si>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</si>
  <si>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</si>
  <si>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</si>
  <si>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</si>
  <si>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</si>
  <si>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</si>
  <si>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</si>
  <si>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</si>
  <si>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</si>
  <si>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</si>
  <si>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</si>
  <si>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</si>
  <si>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</si>
  <si>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</si>
  <si>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</si>
  <si>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</si>
  <si>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</si>
  <si>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</si>
  <si>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</si>
  <si>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</si>
  <si>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</si>
  <si>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</si>
  <si>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</si>
  <si>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</si>
  <si>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</si>
  <si>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</si>
  <si>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</si>
  <si>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</si>
  <si>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</si>
  <si>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</si>
  <si>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</si>
  <si>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</si>
  <si>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</si>
  <si>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</si>
  <si>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</si>
  <si>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</si>
  <si>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</si>
  <si>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</si>
  <si>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</si>
  <si>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</si>
  <si>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</si>
  <si>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</si>
  <si>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</si>
  <si>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July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</si>
</sst>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0" fontId="0" fillId="6" borderId="28" xfId="0" quotePrefix="1" applyFill="1" applyBorder="1" applyProtection="1">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0" fontId="16" fillId="6" borderId="2" xfId="0" applyFont="1" applyFill="1" applyBorder="1" applyAlignment="1" applyProtection="1">
      <alignment horizontal="center" vertical="center"/>
      <protection locked="0"/>
    </xf>
    <xf numFmtId="165" fontId="7" fillId="0" borderId="2" xfId="0" applyNumberFormat="1" applyFont="1" applyBorder="1" applyAlignment="1">
      <alignment horizontal="center" vertical="center"/>
    </xf>
    <xf numFmtId="1" fontId="16" fillId="6" borderId="2" xfId="0" applyNumberFormat="1" applyFont="1" applyFill="1" applyBorder="1" applyAlignment="1" applyProtection="1">
      <alignment horizontal="center" vertical="center"/>
      <protection locked="0"/>
    </xf>
    <xf numFmtId="1" fontId="16" fillId="0" borderId="2" xfId="0" applyNumberFormat="1" applyFont="1" applyBorder="1" applyAlignment="1" applyProtection="1">
      <alignment horizontal="center" vertical="center"/>
      <protection locked="0"/>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D36" sqref="D35:D3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3" t="s">
        <v>3</v>
      </c>
      <c r="B1" s="183" t="s">
        <v>4</v>
      </c>
      <c r="C1" s="184" t="s">
        <v>5</v>
      </c>
      <c r="D1" s="183" t="s">
        <v>63</v>
      </c>
      <c r="E1" s="185" t="s">
        <v>394</v>
      </c>
      <c r="F1" s="186" t="s">
        <v>395</v>
      </c>
      <c r="G1" s="185" t="s">
        <v>401</v>
      </c>
      <c r="H1" s="186" t="s">
        <v>396</v>
      </c>
      <c r="I1" s="185" t="s">
        <v>397</v>
      </c>
      <c r="J1" s="187" t="s">
        <v>398</v>
      </c>
      <c r="K1" s="185" t="s">
        <v>399</v>
      </c>
      <c r="L1" s="185" t="s">
        <v>62</v>
      </c>
    </row>
    <row r="2" spans="1:12">
      <c r="A2" s="188" t="s">
        <v>400</v>
      </c>
      <c r="B2" s="189">
        <v>1</v>
      </c>
      <c r="C2" s="190">
        <v>7</v>
      </c>
      <c r="D2" s="189">
        <v>2020</v>
      </c>
      <c r="E2" s="119">
        <f>Combine!G3</f>
        <v>296670</v>
      </c>
      <c r="F2" s="191">
        <v>1.2932999999999999</v>
      </c>
      <c r="G2" s="119">
        <f>Combine!M3</f>
        <v>3634.7623931623925</v>
      </c>
      <c r="H2" s="192">
        <v>8.3285999999999998</v>
      </c>
      <c r="I2" s="119">
        <f>Combine!J3</f>
        <v>562.5245000000001</v>
      </c>
      <c r="J2" s="191">
        <v>8.3256999999999994</v>
      </c>
      <c r="K2" s="119">
        <f>Combine!N3</f>
        <v>366</v>
      </c>
      <c r="L2" s="119">
        <f>Combine!O3</f>
        <v>845</v>
      </c>
    </row>
    <row r="3" spans="1:12">
      <c r="A3" s="188" t="s">
        <v>400</v>
      </c>
      <c r="B3" s="189">
        <v>2</v>
      </c>
      <c r="C3" s="190">
        <v>7</v>
      </c>
      <c r="D3" s="189">
        <v>2020</v>
      </c>
      <c r="E3" s="119">
        <f>Combine!G4</f>
        <v>283385</v>
      </c>
      <c r="F3" s="191">
        <v>1.2932999999999999</v>
      </c>
      <c r="G3" s="119">
        <f>Combine!M4</f>
        <v>3993.6795648795619</v>
      </c>
      <c r="H3" s="192">
        <v>8.3285999999999998</v>
      </c>
      <c r="I3" s="119">
        <f>Combine!J4</f>
        <v>476.33309999999926</v>
      </c>
      <c r="J3" s="191">
        <v>8.3256999999999994</v>
      </c>
      <c r="K3" s="119">
        <f>Combine!N4</f>
        <v>352</v>
      </c>
      <c r="L3" s="119">
        <f>Combine!O4</f>
        <v>813</v>
      </c>
    </row>
    <row r="4" spans="1:12">
      <c r="A4" s="188" t="s">
        <v>400</v>
      </c>
      <c r="B4" s="189">
        <v>3</v>
      </c>
      <c r="C4" s="190">
        <v>7</v>
      </c>
      <c r="D4" s="189">
        <v>2020</v>
      </c>
      <c r="E4" s="119">
        <f>Combine!G5</f>
        <v>289290</v>
      </c>
      <c r="F4" s="191">
        <v>1.2932999999999999</v>
      </c>
      <c r="G4" s="119">
        <f>Combine!M5</f>
        <v>3804.630924630932</v>
      </c>
      <c r="H4" s="192">
        <v>8.3285999999999998</v>
      </c>
      <c r="I4" s="119">
        <f>Combine!J5</f>
        <v>458.50530000000072</v>
      </c>
      <c r="J4" s="191">
        <v>8.3256999999999994</v>
      </c>
      <c r="K4" s="119">
        <f>Combine!N5</f>
        <v>362</v>
      </c>
      <c r="L4" s="119">
        <f>Combine!O5</f>
        <v>837</v>
      </c>
    </row>
    <row r="5" spans="1:12">
      <c r="A5" s="188" t="s">
        <v>400</v>
      </c>
      <c r="B5" s="189">
        <v>4</v>
      </c>
      <c r="C5" s="190">
        <v>7</v>
      </c>
      <c r="D5" s="189">
        <v>2020</v>
      </c>
      <c r="E5" s="119">
        <f>Combine!G6</f>
        <v>298541</v>
      </c>
      <c r="F5" s="191">
        <v>1.2932999999999999</v>
      </c>
      <c r="G5" s="119">
        <f>Combine!M6</f>
        <v>4195.6177156177228</v>
      </c>
      <c r="H5" s="192">
        <v>8.3285999999999998</v>
      </c>
      <c r="I5" s="119">
        <f>Combine!J6</f>
        <v>528.52569999999957</v>
      </c>
      <c r="J5" s="191">
        <v>8.3256999999999994</v>
      </c>
      <c r="K5" s="119">
        <f>Combine!N6</f>
        <v>398</v>
      </c>
      <c r="L5" s="119">
        <f>Combine!O6</f>
        <v>926</v>
      </c>
    </row>
    <row r="6" spans="1:12">
      <c r="A6" s="188" t="s">
        <v>400</v>
      </c>
      <c r="B6" s="189">
        <v>5</v>
      </c>
      <c r="C6" s="190">
        <v>7</v>
      </c>
      <c r="D6" s="189">
        <v>2020</v>
      </c>
      <c r="E6" s="119">
        <f>Combine!G7</f>
        <v>295437</v>
      </c>
      <c r="F6" s="191">
        <v>1.2932999999999999</v>
      </c>
      <c r="G6" s="119">
        <f>Combine!M7</f>
        <v>3672.4090132090028</v>
      </c>
      <c r="H6" s="192">
        <v>8.3285999999999998</v>
      </c>
      <c r="I6" s="119">
        <f>Combine!J7</f>
        <v>540.72140000000002</v>
      </c>
      <c r="J6" s="191">
        <v>8.3256999999999994</v>
      </c>
      <c r="K6" s="119">
        <f>Combine!N7</f>
        <v>347</v>
      </c>
      <c r="L6" s="119">
        <f>Combine!O7</f>
        <v>808</v>
      </c>
    </row>
    <row r="7" spans="1:12">
      <c r="A7" s="188" t="s">
        <v>400</v>
      </c>
      <c r="B7" s="189">
        <v>6</v>
      </c>
      <c r="C7" s="190">
        <v>7</v>
      </c>
      <c r="D7" s="189">
        <v>2020</v>
      </c>
      <c r="E7" s="119">
        <f>Combine!G8</f>
        <v>291497</v>
      </c>
      <c r="F7" s="191">
        <v>1.2932999999999999</v>
      </c>
      <c r="G7" s="119">
        <f>Combine!M8</f>
        <v>4235.8290598290687</v>
      </c>
      <c r="H7" s="192">
        <v>8.3285999999999998</v>
      </c>
      <c r="I7" s="119">
        <f>Combine!J8</f>
        <v>554.14549999999997</v>
      </c>
      <c r="J7" s="191">
        <v>8.3256999999999994</v>
      </c>
      <c r="K7" s="119">
        <f>Combine!N8</f>
        <v>355</v>
      </c>
      <c r="L7" s="119">
        <f>Combine!O8</f>
        <v>828</v>
      </c>
    </row>
    <row r="8" spans="1:12">
      <c r="A8" s="188" t="s">
        <v>400</v>
      </c>
      <c r="B8" s="189">
        <v>7</v>
      </c>
      <c r="C8" s="190">
        <v>7</v>
      </c>
      <c r="D8" s="189">
        <v>2020</v>
      </c>
      <c r="E8" s="119">
        <f>Combine!G9</f>
        <v>290448</v>
      </c>
      <c r="F8" s="191">
        <v>1.2932999999999999</v>
      </c>
      <c r="G8" s="119">
        <f>Combine!M9</f>
        <v>3992.9286713286601</v>
      </c>
      <c r="H8" s="192">
        <v>8.3285999999999998</v>
      </c>
      <c r="I8" s="119">
        <f>Combine!J9</f>
        <v>523.74320000000012</v>
      </c>
      <c r="J8" s="191">
        <v>8.3256999999999994</v>
      </c>
      <c r="K8" s="119">
        <f>Combine!N9</f>
        <v>349</v>
      </c>
      <c r="L8" s="119">
        <f>Combine!O9</f>
        <v>816</v>
      </c>
    </row>
    <row r="9" spans="1:12">
      <c r="A9" s="188" t="s">
        <v>400</v>
      </c>
      <c r="B9" s="189">
        <v>8</v>
      </c>
      <c r="C9" s="190">
        <v>7</v>
      </c>
      <c r="D9" s="189">
        <v>2020</v>
      </c>
      <c r="E9" s="119">
        <f>Combine!G10</f>
        <v>285742</v>
      </c>
      <c r="F9" s="191">
        <v>1.2932999999999999</v>
      </c>
      <c r="G9" s="119">
        <f>Combine!M10</f>
        <v>3859.0147630147644</v>
      </c>
      <c r="H9" s="192">
        <v>8.3285999999999998</v>
      </c>
      <c r="I9" s="119">
        <f>Combine!J10</f>
        <v>571.76250000000005</v>
      </c>
      <c r="J9" s="191">
        <v>8.3256999999999994</v>
      </c>
      <c r="K9" s="119">
        <f>Combine!N10</f>
        <v>346</v>
      </c>
      <c r="L9" s="119">
        <f>Combine!O10</f>
        <v>807</v>
      </c>
    </row>
    <row r="10" spans="1:12">
      <c r="A10" s="188" t="s">
        <v>400</v>
      </c>
      <c r="B10" s="189">
        <v>9</v>
      </c>
      <c r="C10" s="190">
        <v>7</v>
      </c>
      <c r="D10" s="189">
        <v>2020</v>
      </c>
      <c r="E10" s="119">
        <f>Combine!G11</f>
        <v>284623</v>
      </c>
      <c r="F10" s="191">
        <v>1.2932999999999999</v>
      </c>
      <c r="G10" s="119">
        <f>Combine!M11</f>
        <v>2864.2822066822187</v>
      </c>
      <c r="H10" s="192">
        <v>8.3285999999999998</v>
      </c>
      <c r="I10" s="119">
        <f>Combine!J11</f>
        <v>492.98610000000025</v>
      </c>
      <c r="J10" s="191">
        <v>8.3256999999999994</v>
      </c>
      <c r="K10" s="119">
        <f>Combine!N11</f>
        <v>348</v>
      </c>
      <c r="L10" s="119">
        <f>Combine!O11</f>
        <v>813</v>
      </c>
    </row>
    <row r="11" spans="1:12">
      <c r="A11" s="188" t="s">
        <v>400</v>
      </c>
      <c r="B11" s="189">
        <v>10</v>
      </c>
      <c r="C11" s="190">
        <v>7</v>
      </c>
      <c r="D11" s="189">
        <v>2020</v>
      </c>
      <c r="E11" s="119">
        <f>Combine!G12</f>
        <v>283042</v>
      </c>
      <c r="F11" s="191">
        <v>1.2932999999999999</v>
      </c>
      <c r="G11" s="119">
        <f>Combine!M12</f>
        <v>2795.1577311577262</v>
      </c>
      <c r="H11" s="192">
        <v>8.3285999999999998</v>
      </c>
      <c r="I11" s="119">
        <f>Combine!J12</f>
        <v>509.67749999999961</v>
      </c>
      <c r="J11" s="191">
        <v>8.3256999999999994</v>
      </c>
      <c r="K11" s="119">
        <f>Combine!N12</f>
        <v>385</v>
      </c>
      <c r="L11" s="119">
        <f>Combine!O12</f>
        <v>887</v>
      </c>
    </row>
    <row r="12" spans="1:12">
      <c r="A12" s="188" t="s">
        <v>400</v>
      </c>
      <c r="B12" s="189">
        <v>11</v>
      </c>
      <c r="C12" s="190">
        <v>7</v>
      </c>
      <c r="D12" s="189">
        <v>2020</v>
      </c>
      <c r="E12" s="119">
        <f>Combine!G13</f>
        <v>285341</v>
      </c>
      <c r="F12" s="191">
        <v>1.2932999999999999</v>
      </c>
      <c r="G12" s="119">
        <f>Combine!M13</f>
        <v>5151.2851592851621</v>
      </c>
      <c r="H12" s="192">
        <v>8.3285999999999998</v>
      </c>
      <c r="I12" s="119">
        <f>Combine!J13</f>
        <v>537.34919999999966</v>
      </c>
      <c r="J12" s="191">
        <v>8.3256999999999994</v>
      </c>
      <c r="K12" s="119">
        <f>Combine!N13</f>
        <v>430</v>
      </c>
      <c r="L12" s="119">
        <f>Combine!O13</f>
        <v>998</v>
      </c>
    </row>
    <row r="13" spans="1:12">
      <c r="A13" s="188" t="s">
        <v>400</v>
      </c>
      <c r="B13" s="189">
        <v>12</v>
      </c>
      <c r="C13" s="190">
        <v>7</v>
      </c>
      <c r="D13" s="189">
        <v>2020</v>
      </c>
      <c r="E13" s="119">
        <f>Combine!G14</f>
        <v>280286</v>
      </c>
      <c r="F13" s="191">
        <v>1.2932999999999999</v>
      </c>
      <c r="G13" s="119">
        <f>Combine!M14</f>
        <v>3887.9975135975083</v>
      </c>
      <c r="H13" s="192">
        <v>8.3285999999999998</v>
      </c>
      <c r="I13" s="119">
        <f>Combine!J14</f>
        <v>842.39700000000062</v>
      </c>
      <c r="J13" s="191">
        <v>8.3256999999999994</v>
      </c>
      <c r="K13" s="119">
        <f>Combine!N14</f>
        <v>358</v>
      </c>
      <c r="L13" s="119">
        <f>Combine!O14</f>
        <v>827</v>
      </c>
    </row>
    <row r="14" spans="1:12">
      <c r="A14" s="188" t="s">
        <v>400</v>
      </c>
      <c r="B14" s="189">
        <v>13</v>
      </c>
      <c r="C14" s="190">
        <v>7</v>
      </c>
      <c r="D14" s="189">
        <v>2020</v>
      </c>
      <c r="E14" s="119">
        <f>Combine!G15</f>
        <v>282819</v>
      </c>
      <c r="F14" s="191">
        <v>1.2932999999999999</v>
      </c>
      <c r="G14" s="119">
        <f>Combine!M15</f>
        <v>4125.6366744366669</v>
      </c>
      <c r="H14" s="192">
        <v>8.3285999999999998</v>
      </c>
      <c r="I14" s="119">
        <f>Combine!J15</f>
        <v>746.15899999999942</v>
      </c>
      <c r="J14" s="191">
        <v>8.3256999999999994</v>
      </c>
      <c r="K14" s="119">
        <f>Combine!N15</f>
        <v>355</v>
      </c>
      <c r="L14" s="119">
        <f>Combine!O15</f>
        <v>812</v>
      </c>
    </row>
    <row r="15" spans="1:12">
      <c r="A15" s="188" t="s">
        <v>400</v>
      </c>
      <c r="B15" s="189">
        <v>14</v>
      </c>
      <c r="C15" s="190">
        <v>7</v>
      </c>
      <c r="D15" s="189">
        <v>2020</v>
      </c>
      <c r="E15" s="119">
        <f>Combine!G16</f>
        <v>284973</v>
      </c>
      <c r="F15" s="191">
        <v>1.2932999999999999</v>
      </c>
      <c r="G15" s="119">
        <f>Combine!M16</f>
        <v>5337.5738927739021</v>
      </c>
      <c r="H15" s="192">
        <v>8.3285999999999998</v>
      </c>
      <c r="I15" s="119">
        <f>Combine!J16</f>
        <v>710.70900000000074</v>
      </c>
      <c r="J15" s="191">
        <v>8.3256999999999994</v>
      </c>
      <c r="K15" s="119">
        <f>Combine!N16</f>
        <v>355</v>
      </c>
      <c r="L15" s="119">
        <f>Combine!O16</f>
        <v>816</v>
      </c>
    </row>
    <row r="16" spans="1:12">
      <c r="A16" s="188" t="s">
        <v>400</v>
      </c>
      <c r="B16" s="189">
        <v>15</v>
      </c>
      <c r="C16" s="190">
        <v>7</v>
      </c>
      <c r="D16" s="189">
        <v>2020</v>
      </c>
      <c r="E16" s="119">
        <f>Combine!G17</f>
        <v>267456</v>
      </c>
      <c r="F16" s="191">
        <v>1.2932999999999999</v>
      </c>
      <c r="G16" s="119">
        <f>Combine!M17</f>
        <v>3909.7212121212096</v>
      </c>
      <c r="H16" s="192">
        <v>8.3285999999999998</v>
      </c>
      <c r="I16" s="119">
        <f>Combine!J17</f>
        <v>752.07999999999925</v>
      </c>
      <c r="J16" s="191">
        <v>8.3256999999999994</v>
      </c>
      <c r="K16" s="119">
        <f>Combine!N17</f>
        <v>362</v>
      </c>
      <c r="L16" s="119">
        <f>Combine!O17</f>
        <v>837</v>
      </c>
    </row>
    <row r="17" spans="1:12">
      <c r="A17" s="188" t="s">
        <v>400</v>
      </c>
      <c r="B17" s="189">
        <v>16</v>
      </c>
      <c r="C17" s="190">
        <v>7</v>
      </c>
      <c r="D17" s="189">
        <v>2020</v>
      </c>
      <c r="E17" s="119">
        <f>Combine!G18</f>
        <v>268993.33333333349</v>
      </c>
      <c r="F17" s="191">
        <v>1.2932999999999999</v>
      </c>
      <c r="G17" s="119">
        <f>Combine!M18</f>
        <v>3899.7569541569524</v>
      </c>
      <c r="H17" s="192">
        <v>8.3285999999999998</v>
      </c>
      <c r="I17" s="119">
        <f>Combine!J18</f>
        <v>677.46490000000028</v>
      </c>
      <c r="J17" s="191">
        <v>8.3256999999999994</v>
      </c>
      <c r="K17" s="119">
        <f>Combine!N18</f>
        <v>360</v>
      </c>
      <c r="L17" s="119">
        <f>Combine!O18</f>
        <v>832</v>
      </c>
    </row>
    <row r="18" spans="1:12">
      <c r="A18" s="188" t="s">
        <v>400</v>
      </c>
      <c r="B18" s="189">
        <v>17</v>
      </c>
      <c r="C18" s="190">
        <v>7</v>
      </c>
      <c r="D18" s="189">
        <v>2020</v>
      </c>
      <c r="E18" s="119">
        <f>Combine!G19</f>
        <v>268993.33333333349</v>
      </c>
      <c r="F18" s="191">
        <v>1.2932999999999999</v>
      </c>
      <c r="G18" s="119">
        <f>Combine!M19</f>
        <v>3352.6924630924627</v>
      </c>
      <c r="H18" s="192">
        <v>8.3285999999999998</v>
      </c>
      <c r="I18" s="119">
        <f>Combine!J19</f>
        <v>530.3878000000002</v>
      </c>
      <c r="J18" s="191">
        <v>8.3256999999999994</v>
      </c>
      <c r="K18" s="119">
        <f>Combine!N19</f>
        <v>362</v>
      </c>
      <c r="L18" s="119">
        <f>Combine!O19</f>
        <v>839</v>
      </c>
    </row>
    <row r="19" spans="1:12">
      <c r="A19" s="188" t="s">
        <v>400</v>
      </c>
      <c r="B19" s="189">
        <v>18</v>
      </c>
      <c r="C19" s="190">
        <v>7</v>
      </c>
      <c r="D19" s="189">
        <v>2020</v>
      </c>
      <c r="E19" s="119">
        <f>Combine!G20</f>
        <v>268993.33333333296</v>
      </c>
      <c r="F19" s="191">
        <v>1.2932999999999999</v>
      </c>
      <c r="G19" s="119">
        <f>Combine!M20</f>
        <v>3867.7693861693892</v>
      </c>
      <c r="H19" s="192">
        <v>8.3285999999999998</v>
      </c>
      <c r="I19" s="119">
        <f>Combine!J20</f>
        <v>432.25330000000014</v>
      </c>
      <c r="J19" s="191">
        <v>8.3256999999999994</v>
      </c>
      <c r="K19" s="119">
        <f>Combine!N20</f>
        <v>383</v>
      </c>
      <c r="L19" s="119">
        <f>Combine!O20</f>
        <v>892</v>
      </c>
    </row>
    <row r="20" spans="1:12">
      <c r="A20" s="188" t="s">
        <v>400</v>
      </c>
      <c r="B20" s="189">
        <v>19</v>
      </c>
      <c r="C20" s="190">
        <v>7</v>
      </c>
      <c r="D20" s="189">
        <v>2020</v>
      </c>
      <c r="E20" s="119">
        <f>Combine!G21</f>
        <v>266691</v>
      </c>
      <c r="F20" s="191">
        <v>1.2932999999999999</v>
      </c>
      <c r="G20" s="119">
        <f>Combine!M21</f>
        <v>3381.1928515928553</v>
      </c>
      <c r="H20" s="192">
        <v>8.3285999999999998</v>
      </c>
      <c r="I20" s="119">
        <f>Combine!J21</f>
        <v>462.02879999999931</v>
      </c>
      <c r="J20" s="191">
        <v>8.3256999999999994</v>
      </c>
      <c r="K20" s="119">
        <f>Combine!N21</f>
        <v>351</v>
      </c>
      <c r="L20" s="119">
        <f>Combine!O21</f>
        <v>816</v>
      </c>
    </row>
    <row r="21" spans="1:12">
      <c r="A21" s="188" t="s">
        <v>400</v>
      </c>
      <c r="B21" s="189">
        <v>20</v>
      </c>
      <c r="C21" s="190">
        <v>7</v>
      </c>
      <c r="D21" s="189">
        <v>2020</v>
      </c>
      <c r="E21" s="119">
        <f>Combine!G22</f>
        <v>263117</v>
      </c>
      <c r="F21" s="191">
        <v>1.2932999999999999</v>
      </c>
      <c r="G21" s="119">
        <f>Combine!M22</f>
        <v>3614.4596736596664</v>
      </c>
      <c r="H21" s="192">
        <v>8.3285999999999998</v>
      </c>
      <c r="I21" s="119">
        <f>Combine!J22</f>
        <v>468.78430000000043</v>
      </c>
      <c r="J21" s="191">
        <v>8.3256999999999994</v>
      </c>
      <c r="K21" s="119">
        <f>Combine!N22</f>
        <v>348</v>
      </c>
      <c r="L21" s="119">
        <f>Combine!O22</f>
        <v>804</v>
      </c>
    </row>
    <row r="22" spans="1:12">
      <c r="A22" s="188" t="s">
        <v>400</v>
      </c>
      <c r="B22" s="189">
        <v>21</v>
      </c>
      <c r="C22" s="190">
        <v>7</v>
      </c>
      <c r="D22" s="189">
        <v>2020</v>
      </c>
      <c r="E22" s="119">
        <f>Combine!G23</f>
        <v>261657</v>
      </c>
      <c r="F22" s="191">
        <v>1.2932999999999999</v>
      </c>
      <c r="G22" s="119">
        <f>Combine!M23</f>
        <v>3876.8596736596833</v>
      </c>
      <c r="H22" s="192">
        <v>8.3285999999999998</v>
      </c>
      <c r="I22" s="119">
        <f>Combine!J23</f>
        <v>460.26079999999968</v>
      </c>
      <c r="J22" s="191">
        <v>8.3256999999999994</v>
      </c>
      <c r="K22" s="119">
        <f>Combine!N23</f>
        <v>348</v>
      </c>
      <c r="L22" s="119">
        <f>Combine!O23</f>
        <v>809</v>
      </c>
    </row>
    <row r="23" spans="1:12">
      <c r="A23" s="188" t="s">
        <v>400</v>
      </c>
      <c r="B23" s="189">
        <v>22</v>
      </c>
      <c r="C23" s="190">
        <v>7</v>
      </c>
      <c r="D23" s="189">
        <v>2020</v>
      </c>
      <c r="E23" s="119">
        <f>Combine!G24</f>
        <v>262879</v>
      </c>
      <c r="F23" s="191">
        <v>1.2932999999999999</v>
      </c>
      <c r="G23" s="119">
        <f>Combine!M24</f>
        <v>3388.6620046619923</v>
      </c>
      <c r="H23" s="192">
        <v>8.3285999999999998</v>
      </c>
      <c r="I23" s="119">
        <f>Combine!J24</f>
        <v>475.43310000000054</v>
      </c>
      <c r="J23" s="191">
        <v>8.3256999999999994</v>
      </c>
      <c r="K23" s="119">
        <f>Combine!N24</f>
        <v>353</v>
      </c>
      <c r="L23" s="119">
        <f>Combine!O24</f>
        <v>825</v>
      </c>
    </row>
    <row r="24" spans="1:12">
      <c r="A24" s="188" t="s">
        <v>400</v>
      </c>
      <c r="B24" s="189">
        <v>23</v>
      </c>
      <c r="C24" s="190">
        <v>7</v>
      </c>
      <c r="D24" s="189">
        <v>2020</v>
      </c>
      <c r="E24" s="119">
        <f>Combine!G25</f>
        <v>266642</v>
      </c>
      <c r="F24" s="191">
        <v>1.2932999999999999</v>
      </c>
      <c r="G24" s="119">
        <f>Combine!M25</f>
        <v>3701.3146853146977</v>
      </c>
      <c r="H24" s="192">
        <v>8.3285999999999998</v>
      </c>
      <c r="I24" s="119">
        <f>Combine!J25</f>
        <v>436.59049999999934</v>
      </c>
      <c r="J24" s="191">
        <v>8.3256999999999994</v>
      </c>
      <c r="K24" s="119">
        <f>Combine!N25</f>
        <v>361</v>
      </c>
      <c r="L24" s="119">
        <f>Combine!O25</f>
        <v>832</v>
      </c>
    </row>
    <row r="25" spans="1:12">
      <c r="A25" s="188" t="s">
        <v>400</v>
      </c>
      <c r="B25" s="189">
        <v>24</v>
      </c>
      <c r="C25" s="190">
        <v>7</v>
      </c>
      <c r="D25" s="189">
        <v>2020</v>
      </c>
      <c r="E25" s="119">
        <f>Combine!G26</f>
        <v>265151</v>
      </c>
      <c r="F25" s="191">
        <v>1.2932999999999999</v>
      </c>
      <c r="G25" s="119">
        <f>Combine!M26</f>
        <v>3218.4540792540756</v>
      </c>
      <c r="H25" s="192">
        <v>8.3285999999999998</v>
      </c>
      <c r="I25" s="119">
        <f>Combine!J26</f>
        <v>426.19050000000027</v>
      </c>
      <c r="J25" s="191">
        <v>8.3256999999999994</v>
      </c>
      <c r="K25" s="119">
        <f>Combine!N26</f>
        <v>386</v>
      </c>
      <c r="L25" s="119">
        <f>Combine!O26</f>
        <v>894</v>
      </c>
    </row>
    <row r="26" spans="1:12">
      <c r="A26" s="188" t="s">
        <v>400</v>
      </c>
      <c r="B26" s="189">
        <v>25</v>
      </c>
      <c r="C26" s="190">
        <v>7</v>
      </c>
      <c r="D26" s="189">
        <v>2020</v>
      </c>
      <c r="E26" s="119">
        <f>Combine!G27</f>
        <v>267845</v>
      </c>
      <c r="F26" s="191">
        <v>1.2932999999999999</v>
      </c>
      <c r="G26" s="119">
        <f>Combine!M27</f>
        <v>3797.9885003884979</v>
      </c>
      <c r="H26" s="192">
        <v>8.3285999999999998</v>
      </c>
      <c r="I26" s="119">
        <f>Combine!J27</f>
        <v>428.26170000000019</v>
      </c>
      <c r="J26" s="191">
        <v>8.3256999999999994</v>
      </c>
      <c r="K26" s="119">
        <f>Combine!N27</f>
        <v>388</v>
      </c>
      <c r="L26" s="119">
        <f>Combine!O27</f>
        <v>907</v>
      </c>
    </row>
    <row r="27" spans="1:12">
      <c r="A27" s="188" t="s">
        <v>400</v>
      </c>
      <c r="B27" s="189">
        <v>26</v>
      </c>
      <c r="C27" s="190">
        <v>7</v>
      </c>
      <c r="D27" s="189">
        <v>2020</v>
      </c>
      <c r="E27" s="119">
        <f>Combine!G28</f>
        <v>265336</v>
      </c>
      <c r="F27" s="191">
        <v>1.2932999999999999</v>
      </c>
      <c r="G27" s="119">
        <f>Combine!M28</f>
        <v>3609.6857808857776</v>
      </c>
      <c r="H27" s="192">
        <v>8.3285999999999998</v>
      </c>
      <c r="I27" s="119">
        <f>Combine!J28</f>
        <v>470.94899999999978</v>
      </c>
      <c r="J27" s="191">
        <v>8.3256999999999994</v>
      </c>
      <c r="K27" s="119">
        <f>Combine!N28</f>
        <v>357</v>
      </c>
      <c r="L27" s="119">
        <f>Combine!O28</f>
        <v>832</v>
      </c>
    </row>
    <row r="28" spans="1:12">
      <c r="A28" s="188" t="s">
        <v>400</v>
      </c>
      <c r="B28" s="189">
        <v>27</v>
      </c>
      <c r="C28" s="190">
        <v>7</v>
      </c>
      <c r="D28" s="189">
        <v>2020</v>
      </c>
      <c r="E28" s="119">
        <f>Combine!G29</f>
        <v>272071</v>
      </c>
      <c r="F28" s="191">
        <v>1.2932999999999999</v>
      </c>
      <c r="G28" s="119">
        <f>Combine!M29</f>
        <v>3470.4174048174136</v>
      </c>
      <c r="H28" s="192">
        <v>8.3285999999999998</v>
      </c>
      <c r="I28" s="119">
        <f>Combine!J29</f>
        <v>385.86830000000009</v>
      </c>
      <c r="J28" s="191">
        <v>8.3256999999999994</v>
      </c>
      <c r="K28" s="119">
        <f>Combine!N29</f>
        <v>366</v>
      </c>
      <c r="L28" s="119">
        <f>Combine!O29</f>
        <v>863</v>
      </c>
    </row>
    <row r="29" spans="1:12">
      <c r="A29" s="188" t="s">
        <v>400</v>
      </c>
      <c r="B29" s="189">
        <v>28</v>
      </c>
      <c r="C29" s="190">
        <v>7</v>
      </c>
      <c r="D29" s="189">
        <v>2020</v>
      </c>
      <c r="E29" s="119">
        <f>Combine!G30</f>
        <v>269099</v>
      </c>
      <c r="F29" s="191">
        <v>1.2932999999999999</v>
      </c>
      <c r="G29" s="119">
        <f>Combine!M30</f>
        <v>3606.2657342657262</v>
      </c>
      <c r="H29" s="192">
        <v>8.3285999999999998</v>
      </c>
      <c r="I29" s="119">
        <f>Combine!J30</f>
        <v>494.4393</v>
      </c>
      <c r="J29" s="191">
        <v>8.3256999999999994</v>
      </c>
      <c r="K29" s="119">
        <f>Combine!N30</f>
        <v>352</v>
      </c>
      <c r="L29" s="119">
        <f>Combine!O30</f>
        <v>833</v>
      </c>
    </row>
    <row r="30" spans="1:12">
      <c r="A30" s="188" t="s">
        <v>400</v>
      </c>
      <c r="B30" s="189">
        <v>29</v>
      </c>
      <c r="C30" s="190">
        <v>7</v>
      </c>
      <c r="D30" s="189">
        <v>2020</v>
      </c>
      <c r="E30" s="119">
        <f>Combine!G31</f>
        <v>252607</v>
      </c>
      <c r="F30" s="191">
        <v>1.2932999999999999</v>
      </c>
      <c r="G30" s="119">
        <f>Combine!M31</f>
        <v>3471.7376845376821</v>
      </c>
      <c r="H30" s="192">
        <v>8.3285999999999998</v>
      </c>
      <c r="I30" s="119">
        <f>Combine!J31</f>
        <v>469.50024999999948</v>
      </c>
      <c r="J30" s="191">
        <v>8.3256999999999994</v>
      </c>
      <c r="K30" s="119">
        <f>Combine!N31</f>
        <v>343</v>
      </c>
      <c r="L30" s="119">
        <f>Combine!O31</f>
        <v>811</v>
      </c>
    </row>
    <row r="31" spans="1:12">
      <c r="A31" s="188" t="s">
        <v>400</v>
      </c>
      <c r="B31" s="189">
        <v>30</v>
      </c>
      <c r="C31" s="190">
        <v>7</v>
      </c>
      <c r="D31" s="189">
        <v>2020</v>
      </c>
      <c r="E31" s="119">
        <f>Combine!G32</f>
        <v>248655</v>
      </c>
      <c r="F31" s="191">
        <v>1.2932999999999999</v>
      </c>
      <c r="G31" s="119">
        <f>Combine!M32</f>
        <v>3302.2986790986815</v>
      </c>
      <c r="H31" s="192">
        <v>8.3285999999999998</v>
      </c>
      <c r="I31" s="119">
        <f>Combine!J32</f>
        <v>362.32525000000044</v>
      </c>
      <c r="J31" s="191">
        <v>8.3256999999999994</v>
      </c>
      <c r="K31" s="119">
        <f>Combine!N32</f>
        <v>335</v>
      </c>
      <c r="L31" s="119">
        <f>Combine!O32</f>
        <v>792</v>
      </c>
    </row>
    <row r="32" spans="1:12">
      <c r="A32" s="188" t="s">
        <v>400</v>
      </c>
      <c r="B32" s="189">
        <v>31</v>
      </c>
      <c r="C32" s="190">
        <v>7</v>
      </c>
      <c r="D32" s="189">
        <v>2020</v>
      </c>
      <c r="E32" s="119">
        <f>Combine!G33</f>
        <v>245714</v>
      </c>
      <c r="F32" s="191">
        <v>1.2932999999999999</v>
      </c>
      <c r="G32" s="119">
        <f>Combine!M33</f>
        <v>3302.2986790986815</v>
      </c>
      <c r="H32" s="192">
        <v>8.3285999999999998</v>
      </c>
      <c r="I32" s="119">
        <f>Combine!J33</f>
        <v>361.7067000000003</v>
      </c>
      <c r="J32" s="191">
        <v>8.3256999999999994</v>
      </c>
      <c r="K32" s="119">
        <f>Combine!N33</f>
        <v>339</v>
      </c>
      <c r="L32" s="119">
        <f>Combine!O33</f>
        <v>797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T13" sqref="T1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195" t="s">
        <v>65</v>
      </c>
      <c r="O1" s="196"/>
      <c r="P1" s="197"/>
    </row>
    <row r="2" spans="1:17" s="2" customFormat="1" ht="60" customHeight="1">
      <c r="A2" s="4" t="s">
        <v>3</v>
      </c>
      <c r="B2" s="5" t="s">
        <v>4</v>
      </c>
      <c r="C2" s="5" t="s">
        <v>5</v>
      </c>
      <c r="D2" s="117"/>
      <c r="E2" s="122" t="s">
        <v>6</v>
      </c>
      <c r="F2" s="143" t="s">
        <v>6</v>
      </c>
      <c r="G2" s="153" t="s">
        <v>6</v>
      </c>
      <c r="H2" s="154" t="s">
        <v>9</v>
      </c>
      <c r="I2" s="144" t="s">
        <v>9</v>
      </c>
      <c r="J2" s="153" t="s">
        <v>9</v>
      </c>
      <c r="K2" s="122" t="s">
        <v>7</v>
      </c>
      <c r="L2" s="108">
        <v>335</v>
      </c>
      <c r="M2" s="128" t="s">
        <v>8</v>
      </c>
      <c r="N2" s="160" t="s">
        <v>10</v>
      </c>
      <c r="O2" s="5" t="s">
        <v>11</v>
      </c>
      <c r="P2" s="159" t="s">
        <v>12</v>
      </c>
      <c r="Q2" s="148" t="s">
        <v>393</v>
      </c>
    </row>
    <row r="3" spans="1:17" ht="15.75">
      <c r="A3" s="7" t="s">
        <v>14</v>
      </c>
      <c r="B3" s="7">
        <v>1</v>
      </c>
      <c r="C3" s="7">
        <v>7</v>
      </c>
      <c r="D3" s="118">
        <v>2020</v>
      </c>
      <c r="E3" s="149">
        <f>'Athens Daily - EL'!AK8</f>
        <v>259115</v>
      </c>
      <c r="F3" s="151">
        <f>'Athens Daily - EL'!AL8</f>
        <v>37555</v>
      </c>
      <c r="G3" s="129">
        <f>SUM(E3,F3)</f>
        <v>296670</v>
      </c>
      <c r="H3" s="149">
        <f>'Athens Daily - Water'!R7</f>
        <v>434.17450000000008</v>
      </c>
      <c r="I3" s="119">
        <f>'Athens Daily - Water'!S7</f>
        <v>128.35</v>
      </c>
      <c r="J3" s="125">
        <f t="shared" ref="J3:J33" si="0">SUM(H3,I3)</f>
        <v>562.5245000000001</v>
      </c>
      <c r="K3" s="149">
        <f>'Athens Daily - Gas'!BH9</f>
        <v>89496.575999999972</v>
      </c>
      <c r="L3" s="119">
        <f>'Athens Daily - Gas'!BI9</f>
        <v>50841.600000000006</v>
      </c>
      <c r="M3" s="129">
        <f>SUM(K3,L3)/38.61</f>
        <v>3634.7623931623925</v>
      </c>
      <c r="N3" s="158">
        <f>Occ!G10</f>
        <v>366</v>
      </c>
      <c r="O3" s="101">
        <f>Occ!H10</f>
        <v>845</v>
      </c>
      <c r="P3" s="157">
        <v>918</v>
      </c>
      <c r="Q3" s="166"/>
    </row>
    <row r="4" spans="1:17" ht="15.75">
      <c r="A4" s="7" t="s">
        <v>14</v>
      </c>
      <c r="B4" s="7">
        <v>2</v>
      </c>
      <c r="C4" s="7">
        <v>7</v>
      </c>
      <c r="D4" s="118">
        <v>2020</v>
      </c>
      <c r="E4" s="149">
        <f>'Athens Daily - EL'!AK9</f>
        <v>253315</v>
      </c>
      <c r="F4" s="151">
        <f>'Athens Daily - EL'!AL9</f>
        <v>30070</v>
      </c>
      <c r="G4" s="129">
        <f t="shared" ref="G4:G33" si="1">SUM(E4,F4)</f>
        <v>283385</v>
      </c>
      <c r="H4" s="149">
        <f>'Athens Daily - Water'!R8</f>
        <v>351.18309999999929</v>
      </c>
      <c r="I4" s="119">
        <f>'Athens Daily - Water'!S8</f>
        <v>125.15</v>
      </c>
      <c r="J4" s="125">
        <f t="shared" si="0"/>
        <v>476.33309999999926</v>
      </c>
      <c r="K4" s="149">
        <f>'Athens Daily - Gas'!BH10</f>
        <v>98477.567999999883</v>
      </c>
      <c r="L4" s="119">
        <f>'Athens Daily - Gas'!BI10</f>
        <v>55718.400000000001</v>
      </c>
      <c r="M4" s="129">
        <f t="shared" ref="M4:M33" si="2">SUM(K4,L4)/38.61</f>
        <v>3993.6795648795619</v>
      </c>
      <c r="N4" s="158">
        <f>Occ!G11</f>
        <v>352</v>
      </c>
      <c r="O4" s="101">
        <f>Occ!H11</f>
        <v>813</v>
      </c>
      <c r="P4" s="157">
        <v>918</v>
      </c>
      <c r="Q4" s="166"/>
    </row>
    <row r="5" spans="1:17" ht="15.75">
      <c r="A5" s="7" t="s">
        <v>14</v>
      </c>
      <c r="B5" s="7">
        <v>3</v>
      </c>
      <c r="C5" s="7">
        <v>7</v>
      </c>
      <c r="D5" s="118">
        <v>2020</v>
      </c>
      <c r="E5" s="149">
        <f>'Athens Daily - EL'!AK10</f>
        <v>259001</v>
      </c>
      <c r="F5" s="151">
        <f>'Athens Daily - EL'!AL10</f>
        <v>30289</v>
      </c>
      <c r="G5" s="129">
        <f t="shared" si="1"/>
        <v>289290</v>
      </c>
      <c r="H5" s="149">
        <f>'Athens Daily - Water'!R9</f>
        <v>315.50530000000072</v>
      </c>
      <c r="I5" s="119">
        <f>'Athens Daily - Water'!S9</f>
        <v>143</v>
      </c>
      <c r="J5" s="125">
        <f t="shared" si="0"/>
        <v>458.50530000000072</v>
      </c>
      <c r="K5" s="149">
        <f>'Athens Daily - Gas'!BH11</f>
        <v>94202.400000000285</v>
      </c>
      <c r="L5" s="119">
        <f>'Athens Daily - Gas'!BI11</f>
        <v>52694.400000000001</v>
      </c>
      <c r="M5" s="129">
        <f t="shared" si="2"/>
        <v>3804.630924630932</v>
      </c>
      <c r="N5" s="158">
        <f>Occ!G12</f>
        <v>362</v>
      </c>
      <c r="O5" s="101">
        <f>Occ!H12</f>
        <v>837</v>
      </c>
      <c r="P5" s="157">
        <v>918</v>
      </c>
      <c r="Q5" s="166"/>
    </row>
    <row r="6" spans="1:17" ht="15.75">
      <c r="A6" s="7" t="s">
        <v>14</v>
      </c>
      <c r="B6" s="7">
        <v>4</v>
      </c>
      <c r="C6" s="7">
        <v>7</v>
      </c>
      <c r="D6" s="118">
        <v>2020</v>
      </c>
      <c r="E6" s="149">
        <f>'Athens Daily - EL'!AK11</f>
        <v>262908.5</v>
      </c>
      <c r="F6" s="151">
        <f>'Athens Daily - EL'!AL11</f>
        <v>35632.5</v>
      </c>
      <c r="G6" s="129">
        <f t="shared" si="1"/>
        <v>298541</v>
      </c>
      <c r="H6" s="149">
        <f>'Athens Daily - Water'!R10</f>
        <v>382.1256999999996</v>
      </c>
      <c r="I6" s="119">
        <f>'Athens Daily - Water'!S10</f>
        <v>146.4</v>
      </c>
      <c r="J6" s="125">
        <f t="shared" si="0"/>
        <v>528.52569999999957</v>
      </c>
      <c r="K6" s="149">
        <f>'Athens Daily - Gas'!BH12</f>
        <v>104220.00000000028</v>
      </c>
      <c r="L6" s="119">
        <f>'Athens Daily - Gas'!BI12</f>
        <v>57772.800000000003</v>
      </c>
      <c r="M6" s="129">
        <f t="shared" si="2"/>
        <v>4195.6177156177228</v>
      </c>
      <c r="N6" s="158">
        <f>Occ!G13</f>
        <v>398</v>
      </c>
      <c r="O6" s="101">
        <f>Occ!H13</f>
        <v>926</v>
      </c>
      <c r="P6" s="157">
        <v>918</v>
      </c>
      <c r="Q6" s="166"/>
    </row>
    <row r="7" spans="1:17" ht="15.75">
      <c r="A7" s="7" t="s">
        <v>14</v>
      </c>
      <c r="B7" s="7">
        <v>5</v>
      </c>
      <c r="C7" s="7">
        <v>7</v>
      </c>
      <c r="D7" s="118">
        <v>2020</v>
      </c>
      <c r="E7" s="149">
        <f>'Athens Daily - EL'!AK12</f>
        <v>258803.5</v>
      </c>
      <c r="F7" s="151">
        <f>'Athens Daily - EL'!AL12</f>
        <v>36633.5</v>
      </c>
      <c r="G7" s="129">
        <f t="shared" si="1"/>
        <v>295437</v>
      </c>
      <c r="H7" s="149">
        <f>'Athens Daily - Water'!R11</f>
        <v>413.12139999999999</v>
      </c>
      <c r="I7" s="119">
        <f>'Athens Daily - Water'!S11</f>
        <v>127.6</v>
      </c>
      <c r="J7" s="125">
        <f t="shared" si="0"/>
        <v>540.72140000000002</v>
      </c>
      <c r="K7" s="149">
        <f>'Athens Daily - Gas'!BH13</f>
        <v>92447.711999999592</v>
      </c>
      <c r="L7" s="119">
        <f>'Athens Daily - Gas'!BI13</f>
        <v>49344</v>
      </c>
      <c r="M7" s="129">
        <f t="shared" si="2"/>
        <v>3672.4090132090028</v>
      </c>
      <c r="N7" s="158">
        <f>Occ!G14</f>
        <v>347</v>
      </c>
      <c r="O7" s="101">
        <f>Occ!H14</f>
        <v>808</v>
      </c>
      <c r="P7" s="157">
        <v>918</v>
      </c>
      <c r="Q7" s="166"/>
    </row>
    <row r="8" spans="1:17" ht="15.75">
      <c r="A8" s="7" t="s">
        <v>14</v>
      </c>
      <c r="B8" s="7">
        <v>6</v>
      </c>
      <c r="C8" s="7">
        <v>7</v>
      </c>
      <c r="D8" s="118">
        <v>2020</v>
      </c>
      <c r="E8" s="149">
        <f>'Athens Daily - EL'!AK13</f>
        <v>257316</v>
      </c>
      <c r="F8" s="151">
        <f>'Athens Daily - EL'!AL13</f>
        <v>34181</v>
      </c>
      <c r="G8" s="129">
        <f t="shared" si="1"/>
        <v>291497</v>
      </c>
      <c r="H8" s="149">
        <f>'Athens Daily - Water'!R12</f>
        <v>409.49549999999999</v>
      </c>
      <c r="I8" s="119">
        <f>'Athens Daily - Water'!S12</f>
        <v>144.65</v>
      </c>
      <c r="J8" s="125">
        <f t="shared" si="0"/>
        <v>554.14549999999997</v>
      </c>
      <c r="K8" s="149">
        <f>'Athens Daily - Gas'!BH14</f>
        <v>104409.36000000034</v>
      </c>
      <c r="L8" s="119">
        <f>'Athens Daily - Gas'!BI14</f>
        <v>59136</v>
      </c>
      <c r="M8" s="129">
        <f t="shared" si="2"/>
        <v>4235.8290598290687</v>
      </c>
      <c r="N8" s="158">
        <f>Occ!G15</f>
        <v>355</v>
      </c>
      <c r="O8" s="101">
        <f>Occ!H15</f>
        <v>828</v>
      </c>
      <c r="P8" s="157">
        <v>918</v>
      </c>
      <c r="Q8" s="166"/>
    </row>
    <row r="9" spans="1:17" ht="15.75">
      <c r="A9" s="7" t="s">
        <v>14</v>
      </c>
      <c r="B9" s="7">
        <v>7</v>
      </c>
      <c r="C9" s="7">
        <v>7</v>
      </c>
      <c r="D9" s="118">
        <v>2020</v>
      </c>
      <c r="E9" s="149">
        <f>'Athens Daily - EL'!AK14</f>
        <v>256906</v>
      </c>
      <c r="F9" s="151">
        <f>'Athens Daily - EL'!AL14</f>
        <v>33542</v>
      </c>
      <c r="G9" s="129">
        <f t="shared" si="1"/>
        <v>290448</v>
      </c>
      <c r="H9" s="149">
        <f>'Athens Daily - Water'!R13</f>
        <v>362.29320000000007</v>
      </c>
      <c r="I9" s="119">
        <f>'Athens Daily - Water'!S13</f>
        <v>161.44999999999999</v>
      </c>
      <c r="J9" s="125">
        <f t="shared" si="0"/>
        <v>523.74320000000012</v>
      </c>
      <c r="K9" s="149">
        <f>'Athens Daily - Gas'!BH15</f>
        <v>98045.375999999553</v>
      </c>
      <c r="L9" s="119">
        <f>'Athens Daily - Gas'!BI15</f>
        <v>56121.599999999999</v>
      </c>
      <c r="M9" s="129">
        <f t="shared" si="2"/>
        <v>3992.9286713286601</v>
      </c>
      <c r="N9" s="158">
        <f>Occ!G16</f>
        <v>349</v>
      </c>
      <c r="O9" s="101">
        <f>Occ!H16</f>
        <v>816</v>
      </c>
      <c r="P9" s="157">
        <v>918</v>
      </c>
      <c r="Q9" s="166"/>
    </row>
    <row r="10" spans="1:17">
      <c r="A10" s="7" t="s">
        <v>14</v>
      </c>
      <c r="B10" s="7">
        <v>8</v>
      </c>
      <c r="C10" s="7">
        <v>7</v>
      </c>
      <c r="D10" s="118">
        <v>2020</v>
      </c>
      <c r="E10" s="149">
        <f>'Athens Daily - EL'!AK15</f>
        <v>252842.5</v>
      </c>
      <c r="F10" s="151">
        <f>'Athens Daily - EL'!AL15</f>
        <v>32899.5</v>
      </c>
      <c r="G10" s="129">
        <f t="shared" si="1"/>
        <v>285742</v>
      </c>
      <c r="H10" s="149">
        <f>'Athens Daily - Water'!R14</f>
        <v>407.5625</v>
      </c>
      <c r="I10" s="119">
        <f>'Athens Daily - Water'!S14</f>
        <v>164.2</v>
      </c>
      <c r="J10" s="125">
        <f t="shared" si="0"/>
        <v>571.76250000000005</v>
      </c>
      <c r="K10" s="149">
        <f>'Athens Daily - Gas'!BH16</f>
        <v>95054.160000000062</v>
      </c>
      <c r="L10" s="119">
        <f>'Athens Daily - Gas'!BI16</f>
        <v>53942.400000000001</v>
      </c>
      <c r="M10" s="129">
        <f t="shared" si="2"/>
        <v>3859.0147630147644</v>
      </c>
      <c r="N10" s="158">
        <f>Occ!G17</f>
        <v>346</v>
      </c>
      <c r="O10" s="101">
        <f>Occ!H17</f>
        <v>807</v>
      </c>
      <c r="P10" s="157">
        <v>918</v>
      </c>
      <c r="Q10" s="99"/>
    </row>
    <row r="11" spans="1:17">
      <c r="A11" s="7" t="s">
        <v>14</v>
      </c>
      <c r="B11" s="7">
        <v>9</v>
      </c>
      <c r="C11" s="7">
        <v>7</v>
      </c>
      <c r="D11" s="118">
        <v>2020</v>
      </c>
      <c r="E11" s="149">
        <f>'Athens Daily - EL'!AK16</f>
        <v>252731.5</v>
      </c>
      <c r="F11" s="151">
        <f>'Athens Daily - EL'!AL16</f>
        <v>31891.5</v>
      </c>
      <c r="G11" s="129">
        <f t="shared" si="1"/>
        <v>284623</v>
      </c>
      <c r="H11" s="149">
        <f>'Athens Daily - Water'!R15</f>
        <v>347.28610000000026</v>
      </c>
      <c r="I11" s="119">
        <f>'Athens Daily - Water'!S15</f>
        <v>145.69999999999999</v>
      </c>
      <c r="J11" s="125">
        <f t="shared" si="0"/>
        <v>492.98610000000025</v>
      </c>
      <c r="K11" s="149">
        <f>'Athens Daily - Gas'!BH17</f>
        <v>101085.93600000045</v>
      </c>
      <c r="L11" s="119">
        <f>'Athens Daily - Gas'!BI17</f>
        <v>9504</v>
      </c>
      <c r="M11" s="129">
        <f t="shared" si="2"/>
        <v>2864.2822066822187</v>
      </c>
      <c r="N11" s="158">
        <f>Occ!G18</f>
        <v>348</v>
      </c>
      <c r="O11" s="101">
        <f>Occ!H18</f>
        <v>813</v>
      </c>
      <c r="P11" s="157">
        <v>918</v>
      </c>
      <c r="Q11" s="99"/>
    </row>
    <row r="12" spans="1:17" ht="15.75">
      <c r="A12" s="7" t="s">
        <v>14</v>
      </c>
      <c r="B12" s="7">
        <v>10</v>
      </c>
      <c r="C12" s="7">
        <v>7</v>
      </c>
      <c r="D12" s="118">
        <v>2020</v>
      </c>
      <c r="E12" s="149">
        <f>'Athens Daily - EL'!AK17</f>
        <v>252023.5</v>
      </c>
      <c r="F12" s="151">
        <f>'Athens Daily - EL'!AL17</f>
        <v>31018.5</v>
      </c>
      <c r="G12" s="129">
        <f t="shared" si="1"/>
        <v>283042</v>
      </c>
      <c r="H12" s="149">
        <f>'Athens Daily - Water'!R16</f>
        <v>353.6274999999996</v>
      </c>
      <c r="I12" s="119">
        <f>'Athens Daily - Water'!S16</f>
        <v>156.05000000000001</v>
      </c>
      <c r="J12" s="125">
        <f t="shared" si="0"/>
        <v>509.67749999999961</v>
      </c>
      <c r="K12" s="149">
        <f>'Athens Daily - Gas'!BH18</f>
        <v>53143.439999999799</v>
      </c>
      <c r="L12" s="119">
        <f>'Athens Daily - Gas'!BI18</f>
        <v>54777.599999999999</v>
      </c>
      <c r="M12" s="129">
        <f t="shared" si="2"/>
        <v>2795.1577311577262</v>
      </c>
      <c r="N12" s="158">
        <f>Occ!G19</f>
        <v>385</v>
      </c>
      <c r="O12" s="101">
        <f>Occ!H19</f>
        <v>887</v>
      </c>
      <c r="P12" s="157">
        <v>918</v>
      </c>
      <c r="Q12" s="166"/>
    </row>
    <row r="13" spans="1:17" ht="15.75">
      <c r="A13" s="7" t="s">
        <v>14</v>
      </c>
      <c r="B13" s="7">
        <v>11</v>
      </c>
      <c r="C13" s="7">
        <v>7</v>
      </c>
      <c r="D13" s="118">
        <v>2020</v>
      </c>
      <c r="E13" s="149">
        <f>'Athens Daily - EL'!AK18</f>
        <v>257820.5</v>
      </c>
      <c r="F13" s="151">
        <f>'Athens Daily - EL'!AL18</f>
        <v>27520.5</v>
      </c>
      <c r="G13" s="129">
        <f t="shared" si="1"/>
        <v>285341</v>
      </c>
      <c r="H13" s="149">
        <f>'Athens Daily - Water'!R17</f>
        <v>406.34919999999966</v>
      </c>
      <c r="I13" s="119">
        <f>'Athens Daily - Water'!S17</f>
        <v>131</v>
      </c>
      <c r="J13" s="125">
        <f t="shared" si="0"/>
        <v>537.34919999999966</v>
      </c>
      <c r="K13" s="149">
        <f>'Athens Daily - Gas'!BH19</f>
        <v>142798.32000000012</v>
      </c>
      <c r="L13" s="119">
        <f>'Athens Daily - Gas'!BI19</f>
        <v>56092.800000000003</v>
      </c>
      <c r="M13" s="129">
        <f t="shared" si="2"/>
        <v>5151.2851592851621</v>
      </c>
      <c r="N13" s="158">
        <f>Occ!G20</f>
        <v>430</v>
      </c>
      <c r="O13" s="101">
        <f>Occ!H20</f>
        <v>998</v>
      </c>
      <c r="P13" s="157">
        <v>918</v>
      </c>
      <c r="Q13" s="166"/>
    </row>
    <row r="14" spans="1:17" ht="15.75">
      <c r="A14" s="7" t="s">
        <v>14</v>
      </c>
      <c r="B14" s="7">
        <v>12</v>
      </c>
      <c r="C14" s="7">
        <v>7</v>
      </c>
      <c r="D14" s="118">
        <v>2020</v>
      </c>
      <c r="E14" s="149">
        <f>'Athens Daily - EL'!AK19</f>
        <v>253135.5</v>
      </c>
      <c r="F14" s="151">
        <f>'Athens Daily - EL'!AL19</f>
        <v>27150.5</v>
      </c>
      <c r="G14" s="129">
        <f t="shared" si="1"/>
        <v>280286</v>
      </c>
      <c r="H14" s="149">
        <f>'Athens Daily - Water'!R18</f>
        <v>688.09700000000066</v>
      </c>
      <c r="I14" s="119">
        <f>'Athens Daily - Water'!S18</f>
        <v>154.30000000000001</v>
      </c>
      <c r="J14" s="125">
        <f t="shared" si="0"/>
        <v>842.39700000000062</v>
      </c>
      <c r="K14" s="149">
        <f>'Athens Daily - Gas'!BH20</f>
        <v>95856.383999999787</v>
      </c>
      <c r="L14" s="119">
        <f>'Athens Daily - Gas'!BI20</f>
        <v>54259.199999999997</v>
      </c>
      <c r="M14" s="129">
        <f t="shared" si="2"/>
        <v>3887.9975135975083</v>
      </c>
      <c r="N14" s="158">
        <f>Occ!G21</f>
        <v>358</v>
      </c>
      <c r="O14" s="101">
        <f>Occ!H21</f>
        <v>827</v>
      </c>
      <c r="P14" s="157">
        <v>918</v>
      </c>
      <c r="Q14" s="166"/>
    </row>
    <row r="15" spans="1:17">
      <c r="A15" s="7" t="s">
        <v>14</v>
      </c>
      <c r="B15" s="7">
        <v>13</v>
      </c>
      <c r="C15" s="7">
        <v>7</v>
      </c>
      <c r="D15" s="118">
        <v>2020</v>
      </c>
      <c r="E15" s="149">
        <f>'Athens Daily - EL'!AK20</f>
        <v>252939.5</v>
      </c>
      <c r="F15" s="167">
        <f>'Athens Daily - EL'!AL20</f>
        <v>29879.5</v>
      </c>
      <c r="G15" s="129">
        <f t="shared" si="1"/>
        <v>282819</v>
      </c>
      <c r="H15" s="149">
        <f>'Athens Daily - Water'!R19</f>
        <v>601.10899999999947</v>
      </c>
      <c r="I15" s="119">
        <f>'Athens Daily - Water'!S19</f>
        <v>145.05000000000001</v>
      </c>
      <c r="J15" s="125">
        <f t="shared" si="0"/>
        <v>746.15899999999942</v>
      </c>
      <c r="K15" s="149">
        <f>'Athens Daily - Gas'!BH21</f>
        <v>102228.43199999971</v>
      </c>
      <c r="L15" s="119">
        <f>'Athens Daily - Gas'!BI21</f>
        <v>57062.400000000001</v>
      </c>
      <c r="M15" s="129">
        <f t="shared" si="2"/>
        <v>4125.6366744366669</v>
      </c>
      <c r="N15" s="158">
        <f>Occ!G22</f>
        <v>355</v>
      </c>
      <c r="O15" s="101">
        <f>Occ!H22</f>
        <v>812</v>
      </c>
      <c r="P15" s="157">
        <v>918</v>
      </c>
      <c r="Q15" s="163"/>
    </row>
    <row r="16" spans="1:17">
      <c r="A16" s="7" t="s">
        <v>14</v>
      </c>
      <c r="B16" s="7">
        <v>14</v>
      </c>
      <c r="C16" s="7">
        <v>7</v>
      </c>
      <c r="D16" s="118">
        <v>2020</v>
      </c>
      <c r="E16" s="149">
        <f>'Athens Daily - EL'!AK21</f>
        <v>253271.5</v>
      </c>
      <c r="F16" s="151">
        <f>'Athens Daily - EL'!AL21</f>
        <v>31701.5</v>
      </c>
      <c r="G16" s="129">
        <f t="shared" si="1"/>
        <v>284973</v>
      </c>
      <c r="H16" s="149">
        <f>'Athens Daily - Water'!R20</f>
        <v>552.20900000000074</v>
      </c>
      <c r="I16" s="119">
        <f>'Athens Daily - Water'!S20</f>
        <v>158.5</v>
      </c>
      <c r="J16" s="125">
        <f t="shared" si="0"/>
        <v>710.70900000000074</v>
      </c>
      <c r="K16" s="149">
        <f>'Athens Daily - Gas'!BH22</f>
        <v>100272.52800000034</v>
      </c>
      <c r="L16" s="119">
        <f>'Athens Daily - Gas'!BI22</f>
        <v>105811.20000000001</v>
      </c>
      <c r="M16" s="129">
        <f t="shared" si="2"/>
        <v>5337.5738927739021</v>
      </c>
      <c r="N16" s="158">
        <f>Occ!G23</f>
        <v>355</v>
      </c>
      <c r="O16" s="101">
        <f>Occ!H23</f>
        <v>816</v>
      </c>
      <c r="P16" s="157">
        <v>918</v>
      </c>
      <c r="Q16" s="163"/>
    </row>
    <row r="17" spans="1:17">
      <c r="A17" s="7" t="s">
        <v>14</v>
      </c>
      <c r="B17" s="7">
        <v>15</v>
      </c>
      <c r="C17" s="7">
        <v>7</v>
      </c>
      <c r="D17" s="118">
        <v>2020</v>
      </c>
      <c r="E17" s="149">
        <f>'Athens Daily - EL'!AK22</f>
        <v>236660.5</v>
      </c>
      <c r="F17" s="151">
        <f>'Athens Daily - EL'!AL22</f>
        <v>30795.5</v>
      </c>
      <c r="G17" s="129">
        <f t="shared" si="1"/>
        <v>267456</v>
      </c>
      <c r="H17" s="149">
        <f>'Athens Daily - Water'!R21</f>
        <v>595.1299999999992</v>
      </c>
      <c r="I17" s="119">
        <f>'Athens Daily - Water'!S21</f>
        <v>156.94999999999999</v>
      </c>
      <c r="J17" s="125">
        <f t="shared" si="0"/>
        <v>752.07999999999925</v>
      </c>
      <c r="K17" s="149">
        <f>'Athens Daily - Gas'!BH23</f>
        <v>96186.335999999894</v>
      </c>
      <c r="L17" s="119">
        <f>'Athens Daily - Gas'!BI23</f>
        <v>54768</v>
      </c>
      <c r="M17" s="129">
        <f t="shared" si="2"/>
        <v>3909.7212121212096</v>
      </c>
      <c r="N17" s="158">
        <f>Occ!G24</f>
        <v>362</v>
      </c>
      <c r="O17" s="101">
        <f>Occ!H24</f>
        <v>837</v>
      </c>
      <c r="P17" s="157">
        <v>918</v>
      </c>
      <c r="Q17" s="163"/>
    </row>
    <row r="18" spans="1:17">
      <c r="A18" s="7" t="s">
        <v>14</v>
      </c>
      <c r="B18" s="7">
        <v>16</v>
      </c>
      <c r="C18" s="7">
        <v>7</v>
      </c>
      <c r="D18" s="118">
        <v>2020</v>
      </c>
      <c r="E18" s="149">
        <f>'Athens Daily - EL'!AK23</f>
        <v>238217.50000000038</v>
      </c>
      <c r="F18" s="151">
        <f>'Athens Daily - EL'!AL23</f>
        <v>30775.833333333136</v>
      </c>
      <c r="G18" s="129">
        <f t="shared" si="1"/>
        <v>268993.33333333349</v>
      </c>
      <c r="H18" s="149">
        <f>'Athens Daily - Water'!R22</f>
        <v>527.06490000000031</v>
      </c>
      <c r="I18" s="119">
        <f>'Athens Daily - Water'!S22</f>
        <v>150.4</v>
      </c>
      <c r="J18" s="125">
        <f t="shared" si="0"/>
        <v>677.46490000000028</v>
      </c>
      <c r="K18" s="149">
        <f>'Athens Daily - Gas'!BH24</f>
        <v>92201.615999999922</v>
      </c>
      <c r="L18" s="119">
        <f>'Athens Daily - Gas'!BI24</f>
        <v>58368</v>
      </c>
      <c r="M18" s="129">
        <f t="shared" si="2"/>
        <v>3899.7569541569524</v>
      </c>
      <c r="N18" s="158">
        <f>Occ!G25</f>
        <v>360</v>
      </c>
      <c r="O18" s="101">
        <f>Occ!H25</f>
        <v>832</v>
      </c>
      <c r="P18" s="157">
        <v>918</v>
      </c>
      <c r="Q18" s="162"/>
    </row>
    <row r="19" spans="1:17">
      <c r="A19" s="7" t="s">
        <v>14</v>
      </c>
      <c r="B19" s="7">
        <v>17</v>
      </c>
      <c r="C19" s="7">
        <v>7</v>
      </c>
      <c r="D19" s="118">
        <v>2020</v>
      </c>
      <c r="E19" s="149">
        <f>'Athens Daily - EL'!AK24</f>
        <v>238217.50000000038</v>
      </c>
      <c r="F19" s="151">
        <f>'Athens Daily - EL'!AL24</f>
        <v>30775.833333333136</v>
      </c>
      <c r="G19" s="129">
        <f t="shared" si="1"/>
        <v>268993.33333333349</v>
      </c>
      <c r="H19" s="149">
        <f>'Athens Daily - Water'!R23</f>
        <v>377.08780000000024</v>
      </c>
      <c r="I19" s="119">
        <f>'Athens Daily - Water'!S23</f>
        <v>153.30000000000001</v>
      </c>
      <c r="J19" s="125">
        <f t="shared" si="0"/>
        <v>530.3878000000002</v>
      </c>
      <c r="K19" s="149">
        <f>'Athens Daily - Gas'!BH25</f>
        <v>78692.255999999994</v>
      </c>
      <c r="L19" s="119">
        <f>'Athens Daily - Gas'!BI25</f>
        <v>50755.199999999997</v>
      </c>
      <c r="M19" s="129">
        <f t="shared" si="2"/>
        <v>3352.6924630924627</v>
      </c>
      <c r="N19" s="158">
        <f>Occ!G26</f>
        <v>362</v>
      </c>
      <c r="O19" s="101">
        <f>Occ!H26</f>
        <v>839</v>
      </c>
      <c r="P19" s="157">
        <v>918</v>
      </c>
      <c r="Q19" s="162"/>
    </row>
    <row r="20" spans="1:17">
      <c r="A20" s="7" t="s">
        <v>14</v>
      </c>
      <c r="B20" s="7">
        <v>18</v>
      </c>
      <c r="C20" s="7">
        <v>7</v>
      </c>
      <c r="D20" s="118">
        <v>2020</v>
      </c>
      <c r="E20" s="149">
        <f>'Athens Daily - EL'!AK25</f>
        <v>238217.49999999924</v>
      </c>
      <c r="F20" s="151">
        <f>'Athens Daily - EL'!AL25</f>
        <v>30775.833333333729</v>
      </c>
      <c r="G20" s="129">
        <f t="shared" si="1"/>
        <v>268993.33333333296</v>
      </c>
      <c r="H20" s="149">
        <f>'Athens Daily - Water'!R24</f>
        <v>292.45330000000013</v>
      </c>
      <c r="I20" s="119">
        <f>'Athens Daily - Water'!S24</f>
        <v>139.80000000000001</v>
      </c>
      <c r="J20" s="125">
        <f t="shared" si="0"/>
        <v>432.25330000000014</v>
      </c>
      <c r="K20" s="149">
        <f>'Athens Daily - Gas'!BH26</f>
        <v>91216.176000000123</v>
      </c>
      <c r="L20" s="119">
        <f>'Athens Daily - Gas'!BI26</f>
        <v>58118.400000000001</v>
      </c>
      <c r="M20" s="129">
        <f t="shared" si="2"/>
        <v>3867.7693861693892</v>
      </c>
      <c r="N20" s="158">
        <f>Occ!G27</f>
        <v>383</v>
      </c>
      <c r="O20" s="101">
        <f>Occ!H27</f>
        <v>892</v>
      </c>
      <c r="P20" s="157">
        <v>918</v>
      </c>
      <c r="Q20" s="162"/>
    </row>
    <row r="21" spans="1:17">
      <c r="A21" s="7" t="s">
        <v>14</v>
      </c>
      <c r="B21" s="7">
        <v>19</v>
      </c>
      <c r="C21" s="7">
        <v>7</v>
      </c>
      <c r="D21" s="118">
        <v>2020</v>
      </c>
      <c r="E21" s="149">
        <f>'Athens Daily - EL'!AK26</f>
        <v>236890.5</v>
      </c>
      <c r="F21" s="151">
        <f>'Athens Daily - EL'!AL26</f>
        <v>29800.5</v>
      </c>
      <c r="G21" s="129">
        <f t="shared" si="1"/>
        <v>266691</v>
      </c>
      <c r="H21" s="149">
        <f>'Athens Daily - Water'!R25</f>
        <v>298.82879999999932</v>
      </c>
      <c r="I21" s="119">
        <f>'Athens Daily - Water'!S25</f>
        <v>163.19999999999999</v>
      </c>
      <c r="J21" s="125">
        <f t="shared" si="0"/>
        <v>462.02879999999931</v>
      </c>
      <c r="K21" s="149">
        <f>'Athens Daily - Gas'!BH27</f>
        <v>79495.056000000142</v>
      </c>
      <c r="L21" s="171">
        <f>'Athens Daily - Gas'!BI27</f>
        <v>51052.800000000003</v>
      </c>
      <c r="M21" s="129">
        <f t="shared" si="2"/>
        <v>3381.1928515928553</v>
      </c>
      <c r="N21" s="158">
        <f>Occ!G28</f>
        <v>351</v>
      </c>
      <c r="O21" s="101">
        <f>Occ!H28</f>
        <v>816</v>
      </c>
      <c r="P21" s="157">
        <v>918</v>
      </c>
      <c r="Q21" s="162"/>
    </row>
    <row r="22" spans="1:17">
      <c r="A22" s="7" t="s">
        <v>14</v>
      </c>
      <c r="B22" s="7">
        <v>20</v>
      </c>
      <c r="C22" s="7">
        <v>7</v>
      </c>
      <c r="D22" s="118">
        <v>2020</v>
      </c>
      <c r="E22" s="149">
        <f>'Athens Daily - EL'!AK27</f>
        <v>233041</v>
      </c>
      <c r="F22" s="151">
        <f>'Athens Daily - EL'!AL27</f>
        <v>30076</v>
      </c>
      <c r="G22" s="129">
        <f t="shared" si="1"/>
        <v>263117</v>
      </c>
      <c r="H22" s="149">
        <f>'Athens Daily - Water'!R26</f>
        <v>318.83430000000044</v>
      </c>
      <c r="I22" s="119">
        <f>'Athens Daily - Water'!S26</f>
        <v>149.94999999999999</v>
      </c>
      <c r="J22" s="125">
        <f t="shared" si="0"/>
        <v>468.78430000000043</v>
      </c>
      <c r="K22" s="149">
        <f>'Athens Daily - Gas'!BH28</f>
        <v>85035.887999999715</v>
      </c>
      <c r="L22" s="119">
        <f>'Athens Daily - Gas'!BI28</f>
        <v>54518.400000000001</v>
      </c>
      <c r="M22" s="129">
        <f t="shared" si="2"/>
        <v>3614.4596736596664</v>
      </c>
      <c r="N22" s="158">
        <f>Occ!G29</f>
        <v>348</v>
      </c>
      <c r="O22" s="101">
        <f>Occ!H29</f>
        <v>804</v>
      </c>
      <c r="P22" s="157">
        <v>918</v>
      </c>
      <c r="Q22" s="163"/>
    </row>
    <row r="23" spans="1:17">
      <c r="A23" s="7" t="s">
        <v>14</v>
      </c>
      <c r="B23" s="7">
        <v>21</v>
      </c>
      <c r="C23" s="7">
        <v>7</v>
      </c>
      <c r="D23" s="118">
        <v>2020</v>
      </c>
      <c r="E23" s="149">
        <f>'Athens Daily - EL'!AK28</f>
        <v>232251</v>
      </c>
      <c r="F23" s="151">
        <f>'Athens Daily - EL'!AL28</f>
        <v>29406</v>
      </c>
      <c r="G23" s="129">
        <f t="shared" si="1"/>
        <v>261657</v>
      </c>
      <c r="H23" s="170">
        <f>'Athens Daily - Water'!R27</f>
        <v>287.66079999999965</v>
      </c>
      <c r="I23" s="171">
        <f>'Athens Daily - Water'!S27</f>
        <v>172.6</v>
      </c>
      <c r="J23" s="125">
        <f t="shared" si="0"/>
        <v>460.26079999999968</v>
      </c>
      <c r="K23" s="149">
        <f>'Athens Daily - Gas'!BH29</f>
        <v>90539.952000000369</v>
      </c>
      <c r="L23" s="119">
        <f>'Athens Daily - Gas'!BI29</f>
        <v>59145.599999999999</v>
      </c>
      <c r="M23" s="129">
        <f t="shared" si="2"/>
        <v>3876.8596736596833</v>
      </c>
      <c r="N23" s="158">
        <f>Occ!G30</f>
        <v>348</v>
      </c>
      <c r="O23" s="101">
        <f>Occ!H30</f>
        <v>809</v>
      </c>
      <c r="P23" s="157">
        <v>918</v>
      </c>
      <c r="Q23" s="163"/>
    </row>
    <row r="24" spans="1:17">
      <c r="A24" s="7" t="s">
        <v>14</v>
      </c>
      <c r="B24" s="7">
        <v>22</v>
      </c>
      <c r="C24" s="7">
        <v>7</v>
      </c>
      <c r="D24" s="118">
        <v>2020</v>
      </c>
      <c r="E24" s="149">
        <f>'Athens Daily - EL'!AK29</f>
        <v>233127</v>
      </c>
      <c r="F24" s="151">
        <f>'Athens Daily - EL'!AL29</f>
        <v>29752</v>
      </c>
      <c r="G24" s="129">
        <f t="shared" si="1"/>
        <v>262879</v>
      </c>
      <c r="H24" s="170">
        <f>'Athens Daily - Water'!R28</f>
        <v>300.78310000000056</v>
      </c>
      <c r="I24" s="171">
        <f>'Athens Daily - Water'!S28</f>
        <v>174.65</v>
      </c>
      <c r="J24" s="125">
        <f t="shared" si="0"/>
        <v>475.43310000000054</v>
      </c>
      <c r="K24" s="149">
        <f>'Athens Daily - Gas'!BH30</f>
        <v>79802.639999999519</v>
      </c>
      <c r="L24" s="119">
        <f>'Athens Daily - Gas'!BI30</f>
        <v>51033.600000000006</v>
      </c>
      <c r="M24" s="129">
        <f t="shared" si="2"/>
        <v>3388.6620046619923</v>
      </c>
      <c r="N24" s="158">
        <f>Occ!G31</f>
        <v>353</v>
      </c>
      <c r="O24" s="101">
        <f>Occ!H31</f>
        <v>825</v>
      </c>
      <c r="P24" s="157">
        <v>918</v>
      </c>
      <c r="Q24" s="163"/>
    </row>
    <row r="25" spans="1:17">
      <c r="A25" s="7" t="s">
        <v>14</v>
      </c>
      <c r="B25" s="7">
        <v>23</v>
      </c>
      <c r="C25" s="7">
        <v>7</v>
      </c>
      <c r="D25" s="118">
        <v>2020</v>
      </c>
      <c r="E25" s="149">
        <f>'Athens Daily - EL'!AK30</f>
        <v>235813.5</v>
      </c>
      <c r="F25" s="151">
        <f>'Athens Daily - EL'!AL30</f>
        <v>30828.5</v>
      </c>
      <c r="G25" s="129">
        <f t="shared" si="1"/>
        <v>266642</v>
      </c>
      <c r="H25" s="170">
        <f>'Athens Daily - Water'!R29</f>
        <v>286.34049999999934</v>
      </c>
      <c r="I25" s="171">
        <f>'Athens Daily - Water'!S29</f>
        <v>150.25</v>
      </c>
      <c r="J25" s="125">
        <f t="shared" si="0"/>
        <v>436.59049999999934</v>
      </c>
      <c r="K25" s="170">
        <f>'Athens Daily - Gas'!BH31</f>
        <v>86382.960000000472</v>
      </c>
      <c r="L25" s="119">
        <f>'Athens Daily - Gas'!BI31</f>
        <v>56524.800000000003</v>
      </c>
      <c r="M25" s="129">
        <f t="shared" si="2"/>
        <v>3701.3146853146977</v>
      </c>
      <c r="N25" s="158">
        <f>Occ!G32</f>
        <v>361</v>
      </c>
      <c r="O25" s="101">
        <f>Occ!H32</f>
        <v>832</v>
      </c>
      <c r="P25" s="157">
        <v>918</v>
      </c>
      <c r="Q25" s="163"/>
    </row>
    <row r="26" spans="1:17">
      <c r="A26" s="7" t="s">
        <v>14</v>
      </c>
      <c r="B26" s="7">
        <v>24</v>
      </c>
      <c r="C26" s="7">
        <v>7</v>
      </c>
      <c r="D26" s="118">
        <v>2020</v>
      </c>
      <c r="E26" s="149">
        <f>'Athens Daily - EL'!AK31</f>
        <v>234330.5</v>
      </c>
      <c r="F26" s="151">
        <f>'Athens Daily - EL'!AL31</f>
        <v>30820.5</v>
      </c>
      <c r="G26" s="129">
        <f t="shared" si="1"/>
        <v>265151</v>
      </c>
      <c r="H26" s="170">
        <f>'Athens Daily - Water'!R30</f>
        <v>273.34050000000025</v>
      </c>
      <c r="I26" s="171">
        <f>'Athens Daily - Water'!S30</f>
        <v>152.85</v>
      </c>
      <c r="J26" s="125">
        <f t="shared" si="0"/>
        <v>426.19050000000027</v>
      </c>
      <c r="K26" s="149">
        <f>'Athens Daily - Gas'!BH32</f>
        <v>75861.31199999986</v>
      </c>
      <c r="L26" s="119">
        <f>'Athens Daily - Gas'!BI32</f>
        <v>48403.199999999997</v>
      </c>
      <c r="M26" s="129">
        <f t="shared" si="2"/>
        <v>3218.4540792540756</v>
      </c>
      <c r="N26" s="158">
        <f>Occ!G33</f>
        <v>386</v>
      </c>
      <c r="O26" s="101">
        <f>Occ!H33</f>
        <v>894</v>
      </c>
      <c r="P26" s="157">
        <v>918</v>
      </c>
      <c r="Q26" s="163"/>
    </row>
    <row r="27" spans="1:17">
      <c r="A27" s="7" t="s">
        <v>14</v>
      </c>
      <c r="B27" s="7">
        <v>25</v>
      </c>
      <c r="C27" s="7">
        <v>7</v>
      </c>
      <c r="D27" s="118">
        <v>2020</v>
      </c>
      <c r="E27" s="149">
        <f>'Athens Daily - EL'!AK32</f>
        <v>237587.5</v>
      </c>
      <c r="F27" s="151">
        <f>'Athens Daily - EL'!AL32</f>
        <v>30257.5</v>
      </c>
      <c r="G27" s="129">
        <f t="shared" si="1"/>
        <v>267845</v>
      </c>
      <c r="H27" s="170">
        <f>'Athens Daily - Water'!R31</f>
        <v>282.3117000000002</v>
      </c>
      <c r="I27" s="171">
        <f>'Athens Daily - Water'!S31</f>
        <v>145.94999999999999</v>
      </c>
      <c r="J27" s="125">
        <f t="shared" si="0"/>
        <v>428.26170000000019</v>
      </c>
      <c r="K27" s="149">
        <f>'Athens Daily - Gas'!BH33</f>
        <v>89395.535999999891</v>
      </c>
      <c r="L27" s="119">
        <f>'Athens Daily - Gas'!BI33</f>
        <v>57244.800000000003</v>
      </c>
      <c r="M27" s="129">
        <f t="shared" si="2"/>
        <v>3797.9885003884979</v>
      </c>
      <c r="N27" s="158">
        <f>Occ!G34</f>
        <v>388</v>
      </c>
      <c r="O27" s="101">
        <f>Occ!H34</f>
        <v>907</v>
      </c>
      <c r="P27" s="157">
        <v>918</v>
      </c>
      <c r="Q27" s="161"/>
    </row>
    <row r="28" spans="1:17">
      <c r="A28" s="7" t="s">
        <v>14</v>
      </c>
      <c r="B28" s="7">
        <v>26</v>
      </c>
      <c r="C28" s="7">
        <v>7</v>
      </c>
      <c r="D28" s="118">
        <v>2020</v>
      </c>
      <c r="E28" s="149">
        <f>'Athens Daily - EL'!AK33</f>
        <v>235103</v>
      </c>
      <c r="F28" s="151">
        <f>'Athens Daily - EL'!AL33</f>
        <v>30233</v>
      </c>
      <c r="G28" s="129">
        <f t="shared" si="1"/>
        <v>265336</v>
      </c>
      <c r="H28" s="149">
        <f>'Athens Daily - Water'!R32</f>
        <v>314.2489999999998</v>
      </c>
      <c r="I28" s="119">
        <f>'Athens Daily - Water'!S32</f>
        <v>156.69999999999999</v>
      </c>
      <c r="J28" s="125">
        <f t="shared" si="0"/>
        <v>470.94899999999978</v>
      </c>
      <c r="K28" s="149">
        <f>'Athens Daily - Gas'!BH34</f>
        <v>85696.367999999871</v>
      </c>
      <c r="L28" s="119">
        <f>'Athens Daily - Gas'!BI34</f>
        <v>53673.599999999999</v>
      </c>
      <c r="M28" s="129">
        <f t="shared" si="2"/>
        <v>3609.6857808857776</v>
      </c>
      <c r="N28" s="158">
        <f>Occ!G35</f>
        <v>357</v>
      </c>
      <c r="O28" s="101">
        <f>Occ!H35</f>
        <v>832</v>
      </c>
      <c r="P28" s="157">
        <v>918</v>
      </c>
      <c r="Q28" s="161"/>
    </row>
    <row r="29" spans="1:17">
      <c r="A29" s="7" t="s">
        <v>14</v>
      </c>
      <c r="B29" s="7">
        <v>27</v>
      </c>
      <c r="C29" s="7">
        <v>7</v>
      </c>
      <c r="D29" s="118">
        <v>2020</v>
      </c>
      <c r="E29" s="149">
        <f>'Athens Daily - EL'!AK34</f>
        <v>240908</v>
      </c>
      <c r="F29" s="151">
        <f>'Athens Daily - EL'!AL34</f>
        <v>31163</v>
      </c>
      <c r="G29" s="129">
        <f t="shared" si="1"/>
        <v>272071</v>
      </c>
      <c r="H29" s="149">
        <f>'Athens Daily - Water'!R33</f>
        <v>294.86830000000009</v>
      </c>
      <c r="I29" s="119">
        <f>'Athens Daily - Water'!S33</f>
        <v>91</v>
      </c>
      <c r="J29" s="125">
        <f t="shared" si="0"/>
        <v>385.86830000000009</v>
      </c>
      <c r="K29" s="149">
        <f>'Athens Daily - Gas'!BH35</f>
        <v>81951.216000000335</v>
      </c>
      <c r="L29" s="119">
        <f>'Athens Daily - Gas'!BI35</f>
        <v>52041.600000000006</v>
      </c>
      <c r="M29" s="129">
        <f t="shared" si="2"/>
        <v>3470.4174048174136</v>
      </c>
      <c r="N29" s="158">
        <f>Occ!G36</f>
        <v>366</v>
      </c>
      <c r="O29" s="101">
        <f>Occ!H36</f>
        <v>863</v>
      </c>
      <c r="P29" s="157">
        <v>918</v>
      </c>
      <c r="Q29" s="161"/>
    </row>
    <row r="30" spans="1:17">
      <c r="A30" s="7" t="s">
        <v>14</v>
      </c>
      <c r="B30" s="7">
        <v>28</v>
      </c>
      <c r="C30" s="7">
        <v>7</v>
      </c>
      <c r="D30" s="118">
        <v>2020</v>
      </c>
      <c r="E30" s="149">
        <f>'Athens Daily - EL'!AK35</f>
        <v>238687</v>
      </c>
      <c r="F30" s="151">
        <f>'Athens Daily - EL'!AL35</f>
        <v>30412</v>
      </c>
      <c r="G30" s="129">
        <f t="shared" si="1"/>
        <v>269099</v>
      </c>
      <c r="H30" s="149">
        <f>'Athens Daily - Water'!R34</f>
        <v>299.9393</v>
      </c>
      <c r="I30" s="119">
        <f>'Athens Daily - Water'!S34</f>
        <v>194.5</v>
      </c>
      <c r="J30" s="125">
        <f t="shared" si="0"/>
        <v>494.4393</v>
      </c>
      <c r="K30" s="149">
        <f>'Athens Daily - Gas'!BH36</f>
        <v>85276.319999999687</v>
      </c>
      <c r="L30" s="119">
        <f>'Athens Daily - Gas'!BI36</f>
        <v>53961.599999999999</v>
      </c>
      <c r="M30" s="129">
        <f t="shared" si="2"/>
        <v>3606.2657342657262</v>
      </c>
      <c r="N30" s="158">
        <f>Occ!G37</f>
        <v>352</v>
      </c>
      <c r="O30" s="101">
        <f>Occ!H37</f>
        <v>833</v>
      </c>
      <c r="P30" s="157">
        <v>918</v>
      </c>
      <c r="Q30" s="161"/>
    </row>
    <row r="31" spans="1:17">
      <c r="A31" s="7" t="s">
        <v>14</v>
      </c>
      <c r="B31" s="7">
        <v>29</v>
      </c>
      <c r="C31" s="7">
        <v>7</v>
      </c>
      <c r="D31" s="118">
        <v>2020</v>
      </c>
      <c r="E31" s="149">
        <f>'Athens Daily - EL'!AK36</f>
        <v>222693.5</v>
      </c>
      <c r="F31" s="151">
        <f>'Athens Daily - EL'!AL36</f>
        <v>29913.5</v>
      </c>
      <c r="G31" s="129">
        <f t="shared" si="1"/>
        <v>252607</v>
      </c>
      <c r="H31" s="149">
        <f>'Athens Daily - Water'!R35</f>
        <v>302.60024999999951</v>
      </c>
      <c r="I31" s="119">
        <f>'Athens Daily - Water'!S35</f>
        <v>166.9</v>
      </c>
      <c r="J31" s="125">
        <f t="shared" si="0"/>
        <v>469.50024999999948</v>
      </c>
      <c r="K31" s="149">
        <f>'Athens Daily - Gas'!BH37</f>
        <v>79688.591999999888</v>
      </c>
      <c r="L31" s="119">
        <f>'Athens Daily - Gas'!BI37</f>
        <v>54355.200000000004</v>
      </c>
      <c r="M31" s="129">
        <f t="shared" si="2"/>
        <v>3471.7376845376821</v>
      </c>
      <c r="N31" s="158">
        <f>Occ!G38</f>
        <v>343</v>
      </c>
      <c r="O31" s="101">
        <f>Occ!H38</f>
        <v>811</v>
      </c>
      <c r="P31" s="157">
        <v>918</v>
      </c>
      <c r="Q31" s="161"/>
    </row>
    <row r="32" spans="1:17">
      <c r="A32" s="7" t="s">
        <v>14</v>
      </c>
      <c r="B32" s="7">
        <v>30</v>
      </c>
      <c r="C32" s="7">
        <v>7</v>
      </c>
      <c r="D32" s="118">
        <v>2020</v>
      </c>
      <c r="E32" s="149">
        <f>'Athens Daily - EL'!AK37</f>
        <v>220147.5</v>
      </c>
      <c r="F32" s="151">
        <f>'Athens Daily - EL'!AL37</f>
        <v>28507.5</v>
      </c>
      <c r="G32" s="129">
        <f t="shared" si="1"/>
        <v>248655</v>
      </c>
      <c r="H32" s="149">
        <f>'Athens Daily - Water'!R36</f>
        <v>224.60025000000041</v>
      </c>
      <c r="I32" s="119">
        <f>'Athens Daily - Water'!S36</f>
        <v>137.72499999999999</v>
      </c>
      <c r="J32" s="125">
        <f t="shared" si="0"/>
        <v>362.32525000000044</v>
      </c>
      <c r="K32" s="149">
        <f>'Athens Daily - Gas'!BH38</f>
        <v>76991.352000000101</v>
      </c>
      <c r="L32" s="119">
        <f>'Athens Daily - Gas'!BI38</f>
        <v>50510.400000000001</v>
      </c>
      <c r="M32" s="129">
        <f t="shared" si="2"/>
        <v>3302.2986790986815</v>
      </c>
      <c r="N32" s="158">
        <f>Occ!G39</f>
        <v>335</v>
      </c>
      <c r="O32" s="101">
        <f>Occ!H39</f>
        <v>792</v>
      </c>
      <c r="P32" s="157">
        <v>918</v>
      </c>
      <c r="Q32" s="161"/>
    </row>
    <row r="33" spans="1:17" ht="15.75" thickBot="1">
      <c r="A33" s="7" t="s">
        <v>14</v>
      </c>
      <c r="B33" s="7">
        <v>31</v>
      </c>
      <c r="C33" s="7">
        <v>7</v>
      </c>
      <c r="D33" s="118">
        <v>2020</v>
      </c>
      <c r="E33" s="150">
        <f>'Athens Daily - EL'!AK38</f>
        <v>219684.5</v>
      </c>
      <c r="F33" s="152">
        <f>'Athens Daily - EL'!AL38</f>
        <v>26029.5</v>
      </c>
      <c r="G33" s="130">
        <f t="shared" si="1"/>
        <v>245714</v>
      </c>
      <c r="H33" s="150">
        <f>'Athens Daily - Water'!R37</f>
        <v>223.98170000000027</v>
      </c>
      <c r="I33" s="123">
        <f>'Athens Daily - Water'!S37</f>
        <v>137.72499999999999</v>
      </c>
      <c r="J33" s="126">
        <f t="shared" si="0"/>
        <v>361.7067000000003</v>
      </c>
      <c r="K33" s="150">
        <f>'Athens Daily - Gas'!BH39</f>
        <v>76991.352000000101</v>
      </c>
      <c r="L33" s="123">
        <f>'Athens Daily - Gas'!BI39</f>
        <v>50510.400000000001</v>
      </c>
      <c r="M33" s="130">
        <f t="shared" si="2"/>
        <v>3302.2986790986815</v>
      </c>
      <c r="N33" s="165">
        <f>Occ!G40</f>
        <v>339</v>
      </c>
      <c r="O33" s="156">
        <f>Occ!H40</f>
        <v>797</v>
      </c>
      <c r="P33" s="155">
        <v>918</v>
      </c>
      <c r="Q33" s="161"/>
    </row>
    <row r="35" spans="1:17">
      <c r="N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C39" sqref="C39"/>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403</v>
      </c>
      <c r="D7" s="132"/>
      <c r="E7" s="132"/>
      <c r="F7" s="132"/>
      <c r="G7" s="132"/>
      <c r="H7" s="132"/>
      <c r="I7" s="132"/>
      <c r="J7" s="131"/>
      <c r="K7" s="131"/>
      <c r="L7" s="131"/>
      <c r="M7" s="131"/>
      <c r="N7" s="131"/>
    </row>
    <row r="8" spans="1:14" ht="15.75" thickBot="1">
      <c r="A8" s="131"/>
      <c r="B8" s="131" t="s">
        <v>21</v>
      </c>
      <c r="C8" s="135"/>
      <c r="D8" s="135"/>
      <c r="E8" s="135"/>
      <c r="F8" s="135"/>
      <c r="G8" s="198" t="s">
        <v>22</v>
      </c>
      <c r="H8" s="199"/>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63</v>
      </c>
      <c r="D10" s="142">
        <v>133</v>
      </c>
      <c r="E10" s="141">
        <v>303</v>
      </c>
      <c r="F10" s="142">
        <v>712</v>
      </c>
      <c r="G10" s="164">
        <f>SUM(C10+E10)</f>
        <v>366</v>
      </c>
      <c r="H10" s="142">
        <f>D10+F10</f>
        <v>845</v>
      </c>
      <c r="I10" s="139">
        <v>918</v>
      </c>
      <c r="J10" s="131"/>
      <c r="K10" s="131"/>
      <c r="L10" s="131"/>
      <c r="M10" s="131"/>
      <c r="N10" s="131"/>
    </row>
    <row r="11" spans="1:14">
      <c r="A11" s="131"/>
      <c r="B11" s="140" t="s">
        <v>29</v>
      </c>
      <c r="C11" s="141">
        <v>48</v>
      </c>
      <c r="D11" s="142">
        <v>100</v>
      </c>
      <c r="E11" s="141">
        <v>304</v>
      </c>
      <c r="F11" s="142">
        <v>713</v>
      </c>
      <c r="G11" s="164">
        <f t="shared" ref="G11:G40" si="0">SUM(C11+E11)</f>
        <v>352</v>
      </c>
      <c r="H11" s="142">
        <f t="shared" ref="H11:H14" si="1">D11+F11</f>
        <v>813</v>
      </c>
      <c r="I11" s="139">
        <v>918</v>
      </c>
      <c r="J11" s="131"/>
      <c r="K11" s="131"/>
      <c r="L11" s="131"/>
      <c r="M11" s="131"/>
      <c r="N11" s="131"/>
    </row>
    <row r="12" spans="1:14">
      <c r="A12" s="131"/>
      <c r="B12" s="140" t="s">
        <v>30</v>
      </c>
      <c r="C12" s="141">
        <v>57</v>
      </c>
      <c r="D12" s="142">
        <v>115</v>
      </c>
      <c r="E12" s="141">
        <v>305</v>
      </c>
      <c r="F12" s="142">
        <v>722</v>
      </c>
      <c r="G12" s="164">
        <f t="shared" si="0"/>
        <v>362</v>
      </c>
      <c r="H12" s="142">
        <f t="shared" si="1"/>
        <v>837</v>
      </c>
      <c r="I12" s="139">
        <v>918</v>
      </c>
      <c r="J12" s="131"/>
      <c r="K12" s="131"/>
      <c r="L12" s="131"/>
      <c r="M12" s="131"/>
      <c r="N12" s="131"/>
    </row>
    <row r="13" spans="1:14">
      <c r="A13" s="131"/>
      <c r="B13" s="140" t="s">
        <v>31</v>
      </c>
      <c r="C13" s="141">
        <v>94</v>
      </c>
      <c r="D13" s="142">
        <v>212</v>
      </c>
      <c r="E13" s="141">
        <v>304</v>
      </c>
      <c r="F13" s="142">
        <v>714</v>
      </c>
      <c r="G13" s="164">
        <f t="shared" si="0"/>
        <v>398</v>
      </c>
      <c r="H13" s="142">
        <f t="shared" si="1"/>
        <v>926</v>
      </c>
      <c r="I13" s="139">
        <v>918</v>
      </c>
      <c r="J13" s="131"/>
      <c r="K13" s="131"/>
      <c r="L13" s="131"/>
      <c r="M13" s="131"/>
      <c r="N13" s="131"/>
    </row>
    <row r="14" spans="1:14">
      <c r="A14" s="131"/>
      <c r="B14" s="140" t="s">
        <v>32</v>
      </c>
      <c r="C14" s="141">
        <v>44</v>
      </c>
      <c r="D14" s="142">
        <v>90</v>
      </c>
      <c r="E14" s="141">
        <v>303</v>
      </c>
      <c r="F14" s="142">
        <v>718</v>
      </c>
      <c r="G14" s="164">
        <f t="shared" si="0"/>
        <v>347</v>
      </c>
      <c r="H14" s="142">
        <f t="shared" si="1"/>
        <v>808</v>
      </c>
      <c r="I14" s="139">
        <v>918</v>
      </c>
      <c r="J14" s="131"/>
      <c r="K14" s="131"/>
      <c r="L14" s="131"/>
      <c r="M14" s="131"/>
      <c r="N14" s="131"/>
    </row>
    <row r="15" spans="1:14">
      <c r="A15" s="131"/>
      <c r="B15" s="140" t="s">
        <v>33</v>
      </c>
      <c r="C15" s="141">
        <v>51</v>
      </c>
      <c r="D15" s="142">
        <v>108</v>
      </c>
      <c r="E15" s="141">
        <v>304</v>
      </c>
      <c r="F15" s="142">
        <v>720</v>
      </c>
      <c r="G15" s="164">
        <f t="shared" si="0"/>
        <v>355</v>
      </c>
      <c r="H15" s="142">
        <f t="shared" ref="H15:H40" si="2">D15+F15</f>
        <v>828</v>
      </c>
      <c r="I15" s="139">
        <v>918</v>
      </c>
      <c r="J15" s="131"/>
      <c r="K15" s="131"/>
      <c r="L15" s="131"/>
      <c r="M15" s="131"/>
      <c r="N15" s="131"/>
    </row>
    <row r="16" spans="1:14">
      <c r="A16" s="131"/>
      <c r="B16" s="140" t="s">
        <v>34</v>
      </c>
      <c r="C16" s="141">
        <v>45</v>
      </c>
      <c r="D16" s="142">
        <v>93</v>
      </c>
      <c r="E16" s="141">
        <v>304</v>
      </c>
      <c r="F16" s="142">
        <v>723</v>
      </c>
      <c r="G16" s="164">
        <f t="shared" si="0"/>
        <v>349</v>
      </c>
      <c r="H16" s="142">
        <f t="shared" si="2"/>
        <v>816</v>
      </c>
      <c r="I16" s="139">
        <v>918</v>
      </c>
      <c r="J16" s="131"/>
      <c r="K16" s="131"/>
      <c r="L16" s="131"/>
      <c r="M16" s="131"/>
      <c r="N16" s="131"/>
    </row>
    <row r="17" spans="1:14">
      <c r="A17" s="131"/>
      <c r="B17" s="140" t="s">
        <v>35</v>
      </c>
      <c r="C17" s="141">
        <v>42</v>
      </c>
      <c r="D17" s="142">
        <v>83</v>
      </c>
      <c r="E17" s="141">
        <v>304</v>
      </c>
      <c r="F17" s="142">
        <v>724</v>
      </c>
      <c r="G17" s="164">
        <f t="shared" si="0"/>
        <v>346</v>
      </c>
      <c r="H17" s="142">
        <f t="shared" si="2"/>
        <v>807</v>
      </c>
      <c r="I17" s="139">
        <v>918</v>
      </c>
      <c r="J17" s="131"/>
      <c r="K17" s="131"/>
      <c r="L17" s="131"/>
      <c r="M17" s="131"/>
      <c r="N17" s="131"/>
    </row>
    <row r="18" spans="1:14">
      <c r="A18" s="131"/>
      <c r="B18" s="140" t="s">
        <v>36</v>
      </c>
      <c r="C18" s="141">
        <v>44</v>
      </c>
      <c r="D18" s="142">
        <v>89</v>
      </c>
      <c r="E18" s="141">
        <v>304</v>
      </c>
      <c r="F18" s="142">
        <v>724</v>
      </c>
      <c r="G18" s="164">
        <f t="shared" si="0"/>
        <v>348</v>
      </c>
      <c r="H18" s="142">
        <f t="shared" si="2"/>
        <v>813</v>
      </c>
      <c r="I18" s="139">
        <v>918</v>
      </c>
      <c r="J18" s="131"/>
      <c r="K18" s="131"/>
      <c r="L18" s="131"/>
      <c r="M18" s="131"/>
      <c r="N18" s="131"/>
    </row>
    <row r="19" spans="1:14">
      <c r="A19" s="131"/>
      <c r="B19" s="140" t="s">
        <v>37</v>
      </c>
      <c r="C19" s="141">
        <v>79</v>
      </c>
      <c r="D19" s="142">
        <v>162</v>
      </c>
      <c r="E19" s="141">
        <v>306</v>
      </c>
      <c r="F19" s="142">
        <v>725</v>
      </c>
      <c r="G19" s="164">
        <f t="shared" si="0"/>
        <v>385</v>
      </c>
      <c r="H19" s="142">
        <f t="shared" si="2"/>
        <v>887</v>
      </c>
      <c r="I19" s="139">
        <v>918</v>
      </c>
      <c r="J19" s="131"/>
      <c r="K19" s="131"/>
      <c r="L19" s="131"/>
      <c r="M19" s="131"/>
      <c r="N19" s="131"/>
    </row>
    <row r="20" spans="1:14">
      <c r="A20" s="131"/>
      <c r="B20" s="140" t="s">
        <v>38</v>
      </c>
      <c r="C20" s="141">
        <v>124</v>
      </c>
      <c r="D20" s="142">
        <v>272</v>
      </c>
      <c r="E20" s="141">
        <v>306</v>
      </c>
      <c r="F20" s="142">
        <v>726</v>
      </c>
      <c r="G20" s="164">
        <f t="shared" si="0"/>
        <v>430</v>
      </c>
      <c r="H20" s="142">
        <f t="shared" si="2"/>
        <v>998</v>
      </c>
      <c r="I20" s="139">
        <v>918</v>
      </c>
      <c r="J20" s="131"/>
      <c r="K20" s="131"/>
      <c r="L20" s="131"/>
      <c r="M20" s="131"/>
      <c r="N20" s="131"/>
    </row>
    <row r="21" spans="1:14">
      <c r="A21" s="131"/>
      <c r="B21" s="140" t="s">
        <v>39</v>
      </c>
      <c r="C21" s="141">
        <v>52</v>
      </c>
      <c r="D21" s="142">
        <v>99</v>
      </c>
      <c r="E21" s="164">
        <v>306</v>
      </c>
      <c r="F21" s="142">
        <v>728</v>
      </c>
      <c r="G21" s="164">
        <f t="shared" ref="G21:G34" si="3">SUM(C21+E21)</f>
        <v>358</v>
      </c>
      <c r="H21" s="142">
        <f t="shared" ref="H21:H34" si="4">D21+F21</f>
        <v>827</v>
      </c>
      <c r="I21" s="139">
        <v>918</v>
      </c>
      <c r="J21" s="131"/>
      <c r="K21" s="131"/>
      <c r="L21" s="131"/>
      <c r="M21" s="131"/>
      <c r="N21" s="131"/>
    </row>
    <row r="22" spans="1:14">
      <c r="A22" s="131"/>
      <c r="B22" s="140" t="s">
        <v>40</v>
      </c>
      <c r="C22" s="141">
        <v>47</v>
      </c>
      <c r="D22" s="142">
        <v>81</v>
      </c>
      <c r="E22" s="164">
        <v>308</v>
      </c>
      <c r="F22" s="142">
        <v>731</v>
      </c>
      <c r="G22" s="164">
        <f t="shared" si="3"/>
        <v>355</v>
      </c>
      <c r="H22" s="142">
        <f t="shared" si="4"/>
        <v>812</v>
      </c>
      <c r="I22" s="139">
        <v>918</v>
      </c>
      <c r="J22" s="131"/>
      <c r="K22" s="131"/>
      <c r="L22" s="131"/>
      <c r="M22" s="131"/>
      <c r="N22" s="131"/>
    </row>
    <row r="23" spans="1:14">
      <c r="A23" s="131"/>
      <c r="B23" s="140" t="s">
        <v>41</v>
      </c>
      <c r="C23" s="141">
        <v>45</v>
      </c>
      <c r="D23" s="142">
        <v>85</v>
      </c>
      <c r="E23" s="164">
        <v>310</v>
      </c>
      <c r="F23" s="142">
        <v>731</v>
      </c>
      <c r="G23" s="164">
        <f t="shared" si="3"/>
        <v>355</v>
      </c>
      <c r="H23" s="142">
        <f t="shared" si="4"/>
        <v>816</v>
      </c>
      <c r="I23" s="139">
        <v>918</v>
      </c>
      <c r="J23" s="131"/>
      <c r="K23" s="131"/>
      <c r="L23" s="131"/>
      <c r="M23" s="131"/>
      <c r="N23" s="131"/>
    </row>
    <row r="24" spans="1:14">
      <c r="A24" s="131"/>
      <c r="B24" s="140" t="s">
        <v>42</v>
      </c>
      <c r="C24" s="141">
        <v>53</v>
      </c>
      <c r="D24" s="142">
        <v>107</v>
      </c>
      <c r="E24" s="164">
        <v>309</v>
      </c>
      <c r="F24" s="142">
        <v>730</v>
      </c>
      <c r="G24" s="164">
        <f t="shared" si="3"/>
        <v>362</v>
      </c>
      <c r="H24" s="142">
        <f t="shared" si="4"/>
        <v>837</v>
      </c>
      <c r="I24" s="139">
        <v>918</v>
      </c>
      <c r="J24" s="131"/>
      <c r="K24" s="131"/>
      <c r="L24" s="131"/>
      <c r="M24" s="131"/>
      <c r="N24" s="131"/>
    </row>
    <row r="25" spans="1:14">
      <c r="A25" s="131"/>
      <c r="B25" s="140" t="s">
        <v>43</v>
      </c>
      <c r="C25" s="141">
        <v>50</v>
      </c>
      <c r="D25" s="142">
        <v>100</v>
      </c>
      <c r="E25" s="164">
        <v>310</v>
      </c>
      <c r="F25" s="142">
        <v>732</v>
      </c>
      <c r="G25" s="164">
        <f t="shared" si="3"/>
        <v>360</v>
      </c>
      <c r="H25" s="142">
        <f t="shared" si="4"/>
        <v>832</v>
      </c>
      <c r="I25" s="139">
        <v>918</v>
      </c>
      <c r="J25" s="131"/>
      <c r="K25" s="131"/>
      <c r="L25" s="131"/>
      <c r="M25" s="131"/>
      <c r="N25" s="131"/>
    </row>
    <row r="26" spans="1:14">
      <c r="A26" s="131"/>
      <c r="B26" s="140" t="s">
        <v>44</v>
      </c>
      <c r="C26" s="141">
        <v>52</v>
      </c>
      <c r="D26" s="142">
        <v>104</v>
      </c>
      <c r="E26" s="164">
        <v>310</v>
      </c>
      <c r="F26" s="142">
        <v>735</v>
      </c>
      <c r="G26" s="164">
        <f t="shared" si="3"/>
        <v>362</v>
      </c>
      <c r="H26" s="142">
        <f t="shared" si="4"/>
        <v>839</v>
      </c>
      <c r="I26" s="139">
        <v>918</v>
      </c>
      <c r="J26" s="131"/>
      <c r="K26" s="131"/>
      <c r="L26" s="131"/>
      <c r="M26" s="131"/>
      <c r="N26" s="131"/>
    </row>
    <row r="27" spans="1:14">
      <c r="A27" s="131"/>
      <c r="B27" s="140" t="s">
        <v>45</v>
      </c>
      <c r="C27" s="141">
        <v>75</v>
      </c>
      <c r="D27" s="142">
        <v>158</v>
      </c>
      <c r="E27" s="164">
        <v>308</v>
      </c>
      <c r="F27" s="142">
        <v>734</v>
      </c>
      <c r="G27" s="164">
        <f t="shared" si="3"/>
        <v>383</v>
      </c>
      <c r="H27" s="142">
        <f t="shared" si="4"/>
        <v>892</v>
      </c>
      <c r="I27" s="139">
        <v>918</v>
      </c>
      <c r="J27" s="131"/>
      <c r="K27" s="131"/>
      <c r="L27" s="131"/>
      <c r="M27" s="131"/>
      <c r="N27" s="131"/>
    </row>
    <row r="28" spans="1:14">
      <c r="A28" s="131"/>
      <c r="B28" s="140" t="s">
        <v>46</v>
      </c>
      <c r="C28" s="141">
        <v>42</v>
      </c>
      <c r="D28" s="142">
        <v>87</v>
      </c>
      <c r="E28" s="164">
        <v>309</v>
      </c>
      <c r="F28" s="142">
        <v>729</v>
      </c>
      <c r="G28" s="164">
        <f t="shared" si="3"/>
        <v>351</v>
      </c>
      <c r="H28" s="142">
        <f t="shared" si="4"/>
        <v>816</v>
      </c>
      <c r="I28" s="139">
        <v>918</v>
      </c>
      <c r="J28" s="131"/>
      <c r="K28" s="131"/>
      <c r="L28" s="131"/>
      <c r="M28" s="131"/>
      <c r="N28" s="131"/>
    </row>
    <row r="29" spans="1:14">
      <c r="A29" s="131"/>
      <c r="B29" s="140" t="s">
        <v>47</v>
      </c>
      <c r="C29" s="141">
        <v>39</v>
      </c>
      <c r="D29" s="142">
        <v>75</v>
      </c>
      <c r="E29" s="164">
        <v>309</v>
      </c>
      <c r="F29" s="142">
        <v>729</v>
      </c>
      <c r="G29" s="164">
        <f t="shared" si="3"/>
        <v>348</v>
      </c>
      <c r="H29" s="142">
        <f t="shared" si="4"/>
        <v>804</v>
      </c>
      <c r="I29" s="139">
        <v>918</v>
      </c>
      <c r="J29" s="131"/>
      <c r="K29" s="131"/>
      <c r="L29" s="131"/>
      <c r="M29" s="131"/>
      <c r="N29" s="131"/>
    </row>
    <row r="30" spans="1:14">
      <c r="A30" s="131"/>
      <c r="B30" s="140" t="s">
        <v>48</v>
      </c>
      <c r="C30" s="141">
        <v>40</v>
      </c>
      <c r="D30" s="142">
        <v>81</v>
      </c>
      <c r="E30" s="164">
        <v>308</v>
      </c>
      <c r="F30" s="142">
        <v>728</v>
      </c>
      <c r="G30" s="164">
        <f t="shared" si="3"/>
        <v>348</v>
      </c>
      <c r="H30" s="142">
        <f t="shared" si="4"/>
        <v>809</v>
      </c>
      <c r="I30" s="139">
        <v>918</v>
      </c>
      <c r="J30" s="131"/>
      <c r="K30" s="131"/>
      <c r="L30" s="131"/>
      <c r="M30" s="131"/>
      <c r="N30" s="131"/>
    </row>
    <row r="31" spans="1:14">
      <c r="A31" s="131"/>
      <c r="B31" s="140" t="s">
        <v>49</v>
      </c>
      <c r="C31" s="141">
        <v>46</v>
      </c>
      <c r="D31" s="142">
        <v>98</v>
      </c>
      <c r="E31" s="164">
        <v>307</v>
      </c>
      <c r="F31" s="142">
        <v>727</v>
      </c>
      <c r="G31" s="164">
        <f t="shared" si="3"/>
        <v>353</v>
      </c>
      <c r="H31" s="142">
        <f t="shared" si="4"/>
        <v>825</v>
      </c>
      <c r="I31" s="139">
        <v>918</v>
      </c>
      <c r="J31" s="131"/>
      <c r="K31" s="131"/>
      <c r="L31" s="131"/>
      <c r="M31" s="131"/>
      <c r="N31" s="131"/>
    </row>
    <row r="32" spans="1:14">
      <c r="A32" s="131"/>
      <c r="B32" s="140" t="s">
        <v>50</v>
      </c>
      <c r="C32" s="141">
        <v>55</v>
      </c>
      <c r="D32" s="142">
        <v>107</v>
      </c>
      <c r="E32" s="164">
        <v>306</v>
      </c>
      <c r="F32" s="142">
        <v>725</v>
      </c>
      <c r="G32" s="164">
        <f t="shared" si="3"/>
        <v>361</v>
      </c>
      <c r="H32" s="142">
        <f t="shared" si="4"/>
        <v>832</v>
      </c>
      <c r="I32" s="139">
        <v>918</v>
      </c>
      <c r="J32" s="131"/>
      <c r="K32" s="131"/>
      <c r="L32" s="131"/>
      <c r="M32" s="131"/>
      <c r="N32" s="131"/>
    </row>
    <row r="33" spans="1:14">
      <c r="A33" s="131"/>
      <c r="B33" s="140" t="s">
        <v>51</v>
      </c>
      <c r="C33" s="141">
        <v>80</v>
      </c>
      <c r="D33" s="142">
        <v>169</v>
      </c>
      <c r="E33" s="164">
        <v>306</v>
      </c>
      <c r="F33" s="142">
        <v>725</v>
      </c>
      <c r="G33" s="164">
        <f t="shared" si="3"/>
        <v>386</v>
      </c>
      <c r="H33" s="142">
        <f t="shared" si="4"/>
        <v>894</v>
      </c>
      <c r="I33" s="139">
        <v>918</v>
      </c>
      <c r="J33" s="131"/>
      <c r="K33" s="131"/>
      <c r="L33" s="131"/>
      <c r="M33" s="131"/>
      <c r="N33" s="131"/>
    </row>
    <row r="34" spans="1:14">
      <c r="A34" s="131"/>
      <c r="B34" s="140" t="s">
        <v>52</v>
      </c>
      <c r="C34" s="141">
        <v>83</v>
      </c>
      <c r="D34" s="142">
        <v>184</v>
      </c>
      <c r="E34" s="164">
        <v>305</v>
      </c>
      <c r="F34" s="142">
        <v>723</v>
      </c>
      <c r="G34" s="164">
        <f t="shared" si="3"/>
        <v>388</v>
      </c>
      <c r="H34" s="142">
        <f t="shared" si="4"/>
        <v>907</v>
      </c>
      <c r="I34" s="139">
        <v>918</v>
      </c>
      <c r="J34" s="131"/>
      <c r="K34" s="131"/>
      <c r="L34" s="131"/>
      <c r="M34" s="131"/>
      <c r="N34" s="131"/>
    </row>
    <row r="35" spans="1:14">
      <c r="A35" s="131"/>
      <c r="B35" s="140" t="s">
        <v>53</v>
      </c>
      <c r="C35" s="141">
        <v>52</v>
      </c>
      <c r="D35" s="142">
        <v>109</v>
      </c>
      <c r="E35" s="141">
        <v>305</v>
      </c>
      <c r="F35" s="142">
        <v>723</v>
      </c>
      <c r="G35" s="164">
        <f t="shared" si="0"/>
        <v>357</v>
      </c>
      <c r="H35" s="142">
        <f t="shared" si="2"/>
        <v>832</v>
      </c>
      <c r="I35" s="139">
        <v>918</v>
      </c>
      <c r="J35" s="131"/>
      <c r="K35" s="131"/>
      <c r="L35" s="131"/>
      <c r="M35" s="131"/>
      <c r="N35" s="131"/>
    </row>
    <row r="36" spans="1:14">
      <c r="A36" s="131"/>
      <c r="B36" s="140" t="s">
        <v>54</v>
      </c>
      <c r="C36" s="141">
        <v>60</v>
      </c>
      <c r="D36" s="142">
        <v>137</v>
      </c>
      <c r="E36" s="141">
        <v>306</v>
      </c>
      <c r="F36" s="142">
        <v>726</v>
      </c>
      <c r="G36" s="164">
        <f t="shared" si="0"/>
        <v>366</v>
      </c>
      <c r="H36" s="142">
        <f t="shared" si="2"/>
        <v>863</v>
      </c>
      <c r="I36" s="139">
        <v>918</v>
      </c>
      <c r="J36" s="131"/>
      <c r="K36" s="131"/>
      <c r="L36" s="131"/>
      <c r="M36" s="131"/>
      <c r="N36" s="131"/>
    </row>
    <row r="37" spans="1:14">
      <c r="A37" s="131"/>
      <c r="B37" s="140" t="s">
        <v>55</v>
      </c>
      <c r="C37" s="141">
        <v>47</v>
      </c>
      <c r="D37" s="142">
        <v>109</v>
      </c>
      <c r="E37" s="141">
        <v>305</v>
      </c>
      <c r="F37" s="142">
        <v>724</v>
      </c>
      <c r="G37" s="164">
        <f t="shared" si="0"/>
        <v>352</v>
      </c>
      <c r="H37" s="142">
        <f t="shared" si="2"/>
        <v>833</v>
      </c>
      <c r="I37" s="139">
        <v>918</v>
      </c>
      <c r="J37" s="131"/>
      <c r="K37" s="131"/>
      <c r="L37" s="131"/>
      <c r="M37" s="131"/>
      <c r="N37" s="131"/>
    </row>
    <row r="38" spans="1:14" s="178" customFormat="1">
      <c r="A38" s="172"/>
      <c r="B38" s="194" t="s">
        <v>56</v>
      </c>
      <c r="C38" s="174">
        <v>39</v>
      </c>
      <c r="D38" s="175">
        <v>88</v>
      </c>
      <c r="E38" s="174">
        <v>304</v>
      </c>
      <c r="F38" s="175">
        <v>723</v>
      </c>
      <c r="G38" s="176">
        <f t="shared" si="0"/>
        <v>343</v>
      </c>
      <c r="H38" s="175">
        <f t="shared" si="2"/>
        <v>811</v>
      </c>
      <c r="I38" s="177">
        <v>918</v>
      </c>
      <c r="J38" s="172"/>
      <c r="K38" s="172"/>
      <c r="L38" s="172"/>
      <c r="M38" s="172"/>
      <c r="N38" s="172"/>
    </row>
    <row r="39" spans="1:14" s="178" customFormat="1">
      <c r="A39" s="172"/>
      <c r="B39" s="173" t="s">
        <v>57</v>
      </c>
      <c r="C39" s="174">
        <v>31</v>
      </c>
      <c r="D39" s="175">
        <v>66</v>
      </c>
      <c r="E39" s="174">
        <v>304</v>
      </c>
      <c r="F39" s="175">
        <v>726</v>
      </c>
      <c r="G39" s="176">
        <f t="shared" si="0"/>
        <v>335</v>
      </c>
      <c r="H39" s="175">
        <f t="shared" si="2"/>
        <v>792</v>
      </c>
      <c r="I39" s="177">
        <v>918</v>
      </c>
      <c r="J39" s="172"/>
      <c r="K39" s="172"/>
      <c r="L39" s="172"/>
      <c r="M39" s="172"/>
      <c r="N39" s="172"/>
    </row>
    <row r="40" spans="1:14" s="178" customFormat="1" ht="15.75" thickBot="1">
      <c r="A40" s="172"/>
      <c r="B40" s="173" t="s">
        <v>402</v>
      </c>
      <c r="C40" s="179">
        <v>41</v>
      </c>
      <c r="D40" s="180">
        <v>84</v>
      </c>
      <c r="E40" s="179">
        <v>298</v>
      </c>
      <c r="F40" s="180">
        <v>713</v>
      </c>
      <c r="G40" s="181">
        <f t="shared" si="0"/>
        <v>339</v>
      </c>
      <c r="H40" s="180">
        <f t="shared" si="2"/>
        <v>797</v>
      </c>
      <c r="I40" s="177">
        <v>918</v>
      </c>
      <c r="J40" s="172"/>
      <c r="K40" s="172"/>
      <c r="L40" s="172"/>
      <c r="M40" s="172"/>
      <c r="N40" s="172"/>
    </row>
    <row r="42" spans="1:14" ht="13.5" customHeight="1"/>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1">
        <f>'Athens Daily - EL'!AK8</f>
        <v>259115</v>
      </c>
      <c r="F2" s="101"/>
      <c r="G2" s="101">
        <f>'Athens Daily - Gas'!BH9</f>
        <v>89496.575999999972</v>
      </c>
      <c r="H2" s="101">
        <f>G2/38.3</f>
        <v>2336.7252219321144</v>
      </c>
      <c r="I2" s="101"/>
      <c r="J2" s="101">
        <f>'Athens Daily - Water'!R7</f>
        <v>434.17450000000008</v>
      </c>
      <c r="K2" s="101"/>
      <c r="L2" s="102">
        <v>142</v>
      </c>
      <c r="M2" s="101">
        <f>L2*2</f>
        <v>284</v>
      </c>
      <c r="N2" s="99">
        <v>10</v>
      </c>
    </row>
    <row r="3" spans="1:14">
      <c r="A3" s="7" t="s">
        <v>14</v>
      </c>
      <c r="B3" s="7">
        <v>2</v>
      </c>
      <c r="C3" s="7">
        <v>1</v>
      </c>
      <c r="D3" s="7">
        <v>2021</v>
      </c>
      <c r="E3" s="101">
        <f>'Athens Daily - EL'!AK9</f>
        <v>253315</v>
      </c>
      <c r="F3" s="101"/>
      <c r="G3" s="101">
        <f>'Athens Daily - Gas'!BH10</f>
        <v>98477.567999999883</v>
      </c>
      <c r="H3" s="101">
        <f t="shared" ref="H3:H32" si="0">G3/38.3</f>
        <v>2571.2158746736263</v>
      </c>
      <c r="I3" s="101"/>
      <c r="J3" s="101">
        <f>'Athens Daily - Water'!R8</f>
        <v>351.18309999999929</v>
      </c>
      <c r="K3" s="101"/>
      <c r="L3" s="102">
        <v>102</v>
      </c>
      <c r="M3" s="101">
        <f t="shared" ref="M3:M32" si="1">L3*2</f>
        <v>204</v>
      </c>
      <c r="N3" s="99">
        <v>12</v>
      </c>
    </row>
    <row r="4" spans="1:14">
      <c r="A4" s="7" t="s">
        <v>14</v>
      </c>
      <c r="B4" s="7">
        <v>3</v>
      </c>
      <c r="C4" s="7">
        <v>1</v>
      </c>
      <c r="D4" s="7">
        <v>2021</v>
      </c>
      <c r="E4" s="101">
        <f>'Athens Daily - EL'!AK10</f>
        <v>259001</v>
      </c>
      <c r="F4" s="101"/>
      <c r="G4" s="101">
        <f>'Athens Daily - Gas'!BH11</f>
        <v>94202.400000000285</v>
      </c>
      <c r="H4" s="101">
        <f t="shared" si="0"/>
        <v>2459.592689295047</v>
      </c>
      <c r="I4" s="101"/>
      <c r="J4" s="101">
        <f>'Athens Daily - Water'!R9</f>
        <v>315.50530000000072</v>
      </c>
      <c r="K4" s="101"/>
      <c r="L4" s="102">
        <v>55</v>
      </c>
      <c r="M4" s="101">
        <f t="shared" si="1"/>
        <v>110</v>
      </c>
      <c r="N4" s="99">
        <v>15</v>
      </c>
    </row>
    <row r="5" spans="1:14">
      <c r="A5" s="7" t="s">
        <v>14</v>
      </c>
      <c r="B5" s="7">
        <v>4</v>
      </c>
      <c r="C5" s="7">
        <v>1</v>
      </c>
      <c r="D5" s="7">
        <v>2021</v>
      </c>
      <c r="E5" s="101">
        <f>'Athens Daily - EL'!AK11</f>
        <v>262908.5</v>
      </c>
      <c r="F5" s="101"/>
      <c r="G5" s="101">
        <f>'Athens Daily - Gas'!BH12</f>
        <v>104220.00000000028</v>
      </c>
      <c r="H5" s="101">
        <f t="shared" si="0"/>
        <v>2721.1488250652815</v>
      </c>
      <c r="I5" s="101"/>
      <c r="J5" s="101">
        <f>'Athens Daily - Water'!R10</f>
        <v>382.1256999999996</v>
      </c>
      <c r="K5" s="101"/>
      <c r="L5" s="102">
        <v>45</v>
      </c>
      <c r="M5" s="101">
        <f t="shared" si="1"/>
        <v>90</v>
      </c>
      <c r="N5" s="99">
        <v>17</v>
      </c>
    </row>
    <row r="6" spans="1:14">
      <c r="A6" s="7" t="s">
        <v>14</v>
      </c>
      <c r="B6" s="7">
        <v>5</v>
      </c>
      <c r="C6" s="7">
        <v>1</v>
      </c>
      <c r="D6" s="7">
        <v>2021</v>
      </c>
      <c r="E6" s="101">
        <f>'Athens Daily - EL'!AK12</f>
        <v>258803.5</v>
      </c>
      <c r="F6" s="101"/>
      <c r="G6" s="101">
        <f>'Athens Daily - Gas'!BH13</f>
        <v>92447.711999999592</v>
      </c>
      <c r="H6" s="101">
        <f t="shared" si="0"/>
        <v>2413.7783812010339</v>
      </c>
      <c r="I6" s="101"/>
      <c r="J6" s="101">
        <f>'Athens Daily - Water'!R11</f>
        <v>413.12139999999999</v>
      </c>
      <c r="K6" s="101"/>
      <c r="L6" s="102">
        <v>34</v>
      </c>
      <c r="M6" s="101">
        <f t="shared" si="1"/>
        <v>68</v>
      </c>
      <c r="N6" s="99">
        <v>15</v>
      </c>
    </row>
    <row r="7" spans="1:14">
      <c r="A7" s="7" t="s">
        <v>14</v>
      </c>
      <c r="B7" s="7">
        <v>6</v>
      </c>
      <c r="C7" s="7">
        <v>1</v>
      </c>
      <c r="D7" s="7">
        <v>2021</v>
      </c>
      <c r="E7" s="101">
        <f>'Athens Daily - EL'!AK13</f>
        <v>257316</v>
      </c>
      <c r="F7" s="101"/>
      <c r="G7" s="101">
        <f>'Athens Daily - Gas'!BH14</f>
        <v>104409.36000000034</v>
      </c>
      <c r="H7" s="101">
        <f t="shared" si="0"/>
        <v>2726.0929503916541</v>
      </c>
      <c r="I7" s="101"/>
      <c r="J7" s="101">
        <f>'Athens Daily - Water'!R12</f>
        <v>409.49549999999999</v>
      </c>
      <c r="K7" s="101"/>
      <c r="L7" s="102">
        <v>36</v>
      </c>
      <c r="M7" s="101">
        <f t="shared" si="1"/>
        <v>72</v>
      </c>
      <c r="N7" s="99"/>
    </row>
    <row r="8" spans="1:14">
      <c r="A8" s="7" t="s">
        <v>14</v>
      </c>
      <c r="B8" s="7">
        <v>7</v>
      </c>
      <c r="C8" s="7">
        <v>1</v>
      </c>
      <c r="D8" s="7">
        <v>2021</v>
      </c>
      <c r="E8" s="101">
        <f>'Athens Daily - EL'!AK14</f>
        <v>256906</v>
      </c>
      <c r="F8" s="101"/>
      <c r="G8" s="101">
        <f>'Athens Daily - Gas'!BH15</f>
        <v>98045.375999999553</v>
      </c>
      <c r="H8" s="101">
        <f t="shared" si="0"/>
        <v>2559.9314882506415</v>
      </c>
      <c r="I8" s="101"/>
      <c r="J8" s="101">
        <f>'Athens Daily - Water'!R13</f>
        <v>362.29320000000007</v>
      </c>
      <c r="K8" s="101"/>
      <c r="L8" s="102">
        <v>60</v>
      </c>
      <c r="M8" s="101">
        <f t="shared" si="1"/>
        <v>120</v>
      </c>
      <c r="N8" s="99"/>
    </row>
    <row r="9" spans="1:14">
      <c r="A9" s="7" t="s">
        <v>14</v>
      </c>
      <c r="B9" s="7">
        <v>8</v>
      </c>
      <c r="C9" s="7">
        <v>1</v>
      </c>
      <c r="D9" s="7">
        <v>2021</v>
      </c>
      <c r="E9" s="101">
        <f>'Athens Daily - EL'!AK15</f>
        <v>252842.5</v>
      </c>
      <c r="F9" s="101"/>
      <c r="G9" s="101">
        <f>'Athens Daily - Gas'!BH16</f>
        <v>95054.160000000062</v>
      </c>
      <c r="H9" s="101">
        <f t="shared" si="0"/>
        <v>2481.8318537859027</v>
      </c>
      <c r="I9" s="101"/>
      <c r="J9" s="101">
        <f>'Athens Daily - Water'!R14</f>
        <v>407.5625</v>
      </c>
      <c r="K9" s="101"/>
      <c r="L9" s="102">
        <v>64</v>
      </c>
      <c r="M9" s="101">
        <f t="shared" si="1"/>
        <v>128</v>
      </c>
      <c r="N9" s="99"/>
    </row>
    <row r="10" spans="1:14">
      <c r="A10" s="7" t="s">
        <v>14</v>
      </c>
      <c r="B10" s="7">
        <v>9</v>
      </c>
      <c r="C10" s="7">
        <v>1</v>
      </c>
      <c r="D10" s="7">
        <v>2021</v>
      </c>
      <c r="E10" s="101">
        <f>'Athens Daily - EL'!AK16</f>
        <v>252731.5</v>
      </c>
      <c r="F10" s="101"/>
      <c r="G10" s="101">
        <f>'Athens Daily - Gas'!BH17</f>
        <v>101085.93600000045</v>
      </c>
      <c r="H10" s="101">
        <f t="shared" si="0"/>
        <v>2639.3194778068005</v>
      </c>
      <c r="I10" s="101"/>
      <c r="J10" s="101">
        <f>'Athens Daily - Water'!R15</f>
        <v>347.28610000000026</v>
      </c>
      <c r="K10" s="101"/>
      <c r="L10" s="102">
        <v>100</v>
      </c>
      <c r="M10" s="101">
        <f t="shared" si="1"/>
        <v>200</v>
      </c>
      <c r="N10" s="99">
        <v>9</v>
      </c>
    </row>
    <row r="11" spans="1:14">
      <c r="A11" s="7" t="s">
        <v>14</v>
      </c>
      <c r="B11" s="7">
        <v>10</v>
      </c>
      <c r="C11" s="7">
        <v>1</v>
      </c>
      <c r="D11" s="7">
        <v>2021</v>
      </c>
      <c r="E11" s="101">
        <f>'Athens Daily - EL'!AK17</f>
        <v>252023.5</v>
      </c>
      <c r="F11" s="101"/>
      <c r="G11" s="101">
        <f>'Athens Daily - Gas'!BH18</f>
        <v>53143.439999999799</v>
      </c>
      <c r="H11" s="101">
        <f t="shared" si="0"/>
        <v>1387.5571801566527</v>
      </c>
      <c r="I11" s="101"/>
      <c r="J11" s="101">
        <f>'Athens Daily - Water'!R16</f>
        <v>353.6274999999996</v>
      </c>
      <c r="K11" s="101"/>
      <c r="L11" s="102">
        <v>63</v>
      </c>
      <c r="M11" s="101">
        <f t="shared" si="1"/>
        <v>126</v>
      </c>
      <c r="N11" s="99">
        <v>12</v>
      </c>
    </row>
    <row r="12" spans="1:14">
      <c r="A12" s="7" t="s">
        <v>14</v>
      </c>
      <c r="B12" s="7">
        <v>11</v>
      </c>
      <c r="C12" s="7">
        <v>1</v>
      </c>
      <c r="D12" s="7">
        <v>2021</v>
      </c>
      <c r="E12" s="101">
        <f>'Athens Daily - EL'!AK18</f>
        <v>257820.5</v>
      </c>
      <c r="F12" s="101"/>
      <c r="G12" s="101">
        <f>'Athens Daily - Gas'!BH19</f>
        <v>142798.32000000012</v>
      </c>
      <c r="H12" s="101">
        <f t="shared" si="0"/>
        <v>3728.4156657963481</v>
      </c>
      <c r="I12" s="101"/>
      <c r="J12" s="101">
        <f>'Athens Daily - Water'!R17</f>
        <v>406.34919999999966</v>
      </c>
      <c r="K12" s="101"/>
      <c r="L12" s="102">
        <v>39</v>
      </c>
      <c r="M12" s="101">
        <f t="shared" si="1"/>
        <v>78</v>
      </c>
      <c r="N12" s="99">
        <v>12</v>
      </c>
    </row>
    <row r="13" spans="1:14">
      <c r="A13" s="7" t="s">
        <v>14</v>
      </c>
      <c r="B13" s="7">
        <v>12</v>
      </c>
      <c r="C13" s="7">
        <v>1</v>
      </c>
      <c r="D13" s="7">
        <v>2021</v>
      </c>
      <c r="E13" s="101">
        <f>'Athens Daily - EL'!AK19</f>
        <v>253135.5</v>
      </c>
      <c r="F13" s="101"/>
      <c r="G13" s="101">
        <f>'Athens Daily - Gas'!BH20</f>
        <v>95856.383999999787</v>
      </c>
      <c r="H13" s="101">
        <f t="shared" si="0"/>
        <v>2502.777650130543</v>
      </c>
      <c r="I13" s="101"/>
      <c r="J13" s="101">
        <f>'Athens Daily - Water'!R18</f>
        <v>688.09700000000066</v>
      </c>
      <c r="K13" s="101"/>
      <c r="L13" s="102">
        <v>43</v>
      </c>
      <c r="M13" s="101">
        <f t="shared" si="1"/>
        <v>86</v>
      </c>
      <c r="N13" s="99">
        <v>10</v>
      </c>
    </row>
    <row r="14" spans="1:14">
      <c r="A14" s="7" t="s">
        <v>14</v>
      </c>
      <c r="B14" s="7">
        <v>13</v>
      </c>
      <c r="C14" s="7">
        <v>1</v>
      </c>
      <c r="D14" s="7">
        <v>2021</v>
      </c>
      <c r="E14" s="101">
        <f>'Athens Daily - EL'!AK20</f>
        <v>252939.5</v>
      </c>
      <c r="F14" s="101"/>
      <c r="G14" s="101">
        <f>'Athens Daily - Gas'!BH21</f>
        <v>102228.43199999971</v>
      </c>
      <c r="H14" s="101">
        <f t="shared" si="0"/>
        <v>2669.1496605744051</v>
      </c>
      <c r="I14" s="101"/>
      <c r="J14" s="101">
        <f>'Athens Daily - Water'!R19</f>
        <v>601.10899999999947</v>
      </c>
      <c r="K14" s="101"/>
      <c r="L14" s="102">
        <v>46</v>
      </c>
      <c r="M14" s="101">
        <f t="shared" si="1"/>
        <v>92</v>
      </c>
      <c r="N14" s="99">
        <v>12</v>
      </c>
    </row>
    <row r="15" spans="1:14">
      <c r="A15" s="7" t="s">
        <v>14</v>
      </c>
      <c r="B15" s="7">
        <v>14</v>
      </c>
      <c r="C15" s="7">
        <v>1</v>
      </c>
      <c r="D15" s="7">
        <v>2021</v>
      </c>
      <c r="E15" s="101">
        <f>'Athens Daily - EL'!AK21</f>
        <v>253271.5</v>
      </c>
      <c r="F15" s="101"/>
      <c r="G15" s="101">
        <f>'Athens Daily - Gas'!BH22</f>
        <v>100272.52800000034</v>
      </c>
      <c r="H15" s="101">
        <f t="shared" si="0"/>
        <v>2618.0816710182858</v>
      </c>
      <c r="I15" s="101"/>
      <c r="J15" s="101">
        <f>'Athens Daily - Water'!R20</f>
        <v>552.20900000000074</v>
      </c>
      <c r="K15" s="101"/>
      <c r="L15" s="102">
        <v>55</v>
      </c>
      <c r="M15" s="101">
        <f t="shared" si="1"/>
        <v>110</v>
      </c>
      <c r="N15" s="99">
        <v>13</v>
      </c>
    </row>
    <row r="16" spans="1:14">
      <c r="A16" s="7" t="s">
        <v>14</v>
      </c>
      <c r="B16" s="7">
        <v>15</v>
      </c>
      <c r="C16" s="7">
        <v>1</v>
      </c>
      <c r="D16" s="7">
        <v>2021</v>
      </c>
      <c r="E16" s="101">
        <f>'Athens Daily - EL'!AK22</f>
        <v>236660.5</v>
      </c>
      <c r="F16" s="101"/>
      <c r="G16" s="101">
        <f>'Athens Daily - Gas'!BH23</f>
        <v>96186.335999999894</v>
      </c>
      <c r="H16" s="101">
        <f t="shared" si="0"/>
        <v>2511.3925848563945</v>
      </c>
      <c r="I16" s="101"/>
      <c r="J16" s="101">
        <f>'Athens Daily - Water'!R21</f>
        <v>595.1299999999992</v>
      </c>
      <c r="K16" s="101"/>
      <c r="L16" s="102">
        <v>74</v>
      </c>
      <c r="M16" s="101">
        <f t="shared" si="1"/>
        <v>148</v>
      </c>
      <c r="N16" s="99">
        <v>13</v>
      </c>
    </row>
    <row r="17" spans="1:14">
      <c r="A17" s="7" t="s">
        <v>14</v>
      </c>
      <c r="B17" s="7">
        <v>16</v>
      </c>
      <c r="C17" s="7">
        <v>1</v>
      </c>
      <c r="D17" s="7">
        <v>2021</v>
      </c>
      <c r="E17" s="101">
        <f>'Athens Daily - EL'!AK23</f>
        <v>238217.50000000038</v>
      </c>
      <c r="F17" s="101"/>
      <c r="G17" s="101">
        <f>'Athens Daily - Gas'!BH24</f>
        <v>92201.615999999922</v>
      </c>
      <c r="H17" s="101">
        <f t="shared" si="0"/>
        <v>2407.3528981723221</v>
      </c>
      <c r="I17" s="101"/>
      <c r="J17" s="101">
        <f>'Athens Daily - Water'!R22</f>
        <v>527.06490000000031</v>
      </c>
      <c r="K17" s="101"/>
      <c r="L17" s="102">
        <v>149</v>
      </c>
      <c r="M17" s="101">
        <f t="shared" si="1"/>
        <v>298</v>
      </c>
      <c r="N17" s="103"/>
    </row>
    <row r="18" spans="1:14">
      <c r="A18" s="7" t="s">
        <v>14</v>
      </c>
      <c r="B18" s="7">
        <v>17</v>
      </c>
      <c r="C18" s="7">
        <v>1</v>
      </c>
      <c r="D18" s="7">
        <v>2021</v>
      </c>
      <c r="E18" s="101">
        <f>'Athens Daily - EL'!AK24</f>
        <v>238217.50000000038</v>
      </c>
      <c r="F18" s="101"/>
      <c r="G18" s="101">
        <f>'Athens Daily - Gas'!BH25</f>
        <v>78692.255999999994</v>
      </c>
      <c r="H18" s="101">
        <f t="shared" si="0"/>
        <v>2054.6280939947783</v>
      </c>
      <c r="I18" s="101"/>
      <c r="J18" s="101">
        <f>'Athens Daily - Water'!R23</f>
        <v>377.08780000000024</v>
      </c>
      <c r="K18" s="101"/>
      <c r="L18" s="102">
        <v>64</v>
      </c>
      <c r="M18" s="101">
        <f t="shared" si="1"/>
        <v>128</v>
      </c>
      <c r="N18" s="103"/>
    </row>
    <row r="19" spans="1:14">
      <c r="A19" s="7" t="s">
        <v>14</v>
      </c>
      <c r="B19" s="7">
        <v>18</v>
      </c>
      <c r="C19" s="7">
        <v>1</v>
      </c>
      <c r="D19" s="7">
        <v>2021</v>
      </c>
      <c r="E19" s="101">
        <f>'Athens Daily - EL'!AK25</f>
        <v>238217.49999999924</v>
      </c>
      <c r="F19" s="101"/>
      <c r="G19" s="101">
        <f>'Athens Daily - Gas'!BH26</f>
        <v>91216.176000000123</v>
      </c>
      <c r="H19" s="101">
        <f t="shared" si="0"/>
        <v>2381.6233942558779</v>
      </c>
      <c r="I19" s="101"/>
      <c r="J19" s="101">
        <f>'Athens Daily - Water'!R24</f>
        <v>292.45330000000013</v>
      </c>
      <c r="K19" s="101"/>
      <c r="L19" s="102">
        <v>58</v>
      </c>
      <c r="M19" s="101">
        <f t="shared" si="1"/>
        <v>116</v>
      </c>
      <c r="N19" s="103"/>
    </row>
    <row r="20" spans="1:14">
      <c r="A20" s="7" t="s">
        <v>14</v>
      </c>
      <c r="B20" s="7">
        <v>19</v>
      </c>
      <c r="C20" s="7">
        <v>1</v>
      </c>
      <c r="D20" s="7">
        <v>2021</v>
      </c>
      <c r="E20" s="101">
        <f>'Athens Daily - EL'!AK26</f>
        <v>236890.5</v>
      </c>
      <c r="F20" s="101"/>
      <c r="G20" s="101">
        <f>'Athens Daily - Gas'!BH27</f>
        <v>79495.056000000142</v>
      </c>
      <c r="H20" s="101">
        <f t="shared" si="0"/>
        <v>2075.5889295039201</v>
      </c>
      <c r="I20" s="101"/>
      <c r="J20" s="101">
        <f>'Athens Daily - Water'!R25</f>
        <v>298.82879999999932</v>
      </c>
      <c r="K20" s="101"/>
      <c r="L20" s="102">
        <v>69</v>
      </c>
      <c r="M20" s="101">
        <f t="shared" si="1"/>
        <v>138</v>
      </c>
      <c r="N20" s="103"/>
    </row>
    <row r="21" spans="1:14">
      <c r="A21" s="7" t="s">
        <v>14</v>
      </c>
      <c r="B21" s="7">
        <v>20</v>
      </c>
      <c r="C21" s="7">
        <v>1</v>
      </c>
      <c r="D21" s="7">
        <v>2021</v>
      </c>
      <c r="E21" s="101">
        <f>'Athens Daily - EL'!AK27</f>
        <v>233041</v>
      </c>
      <c r="F21" s="101"/>
      <c r="G21" s="101">
        <f>'Athens Daily - Gas'!BH28</f>
        <v>85035.887999999715</v>
      </c>
      <c r="H21" s="101">
        <f t="shared" si="0"/>
        <v>2220.2581723237527</v>
      </c>
      <c r="I21" s="101"/>
      <c r="J21" s="101">
        <f>'Athens Daily - Water'!R26</f>
        <v>318.83430000000044</v>
      </c>
      <c r="K21" s="101"/>
      <c r="L21" s="102">
        <v>42</v>
      </c>
      <c r="M21" s="101">
        <f t="shared" si="1"/>
        <v>84</v>
      </c>
      <c r="N21" s="99"/>
    </row>
    <row r="22" spans="1:14">
      <c r="A22" s="7" t="s">
        <v>14</v>
      </c>
      <c r="B22" s="7">
        <v>21</v>
      </c>
      <c r="C22" s="7">
        <v>1</v>
      </c>
      <c r="D22" s="7">
        <v>2021</v>
      </c>
      <c r="E22" s="101">
        <f>'Athens Daily - EL'!AK28</f>
        <v>232251</v>
      </c>
      <c r="F22" s="101"/>
      <c r="G22" s="101">
        <f>'Athens Daily - Gas'!BH29</f>
        <v>90539.952000000369</v>
      </c>
      <c r="H22" s="101">
        <f t="shared" si="0"/>
        <v>2363.9674151436129</v>
      </c>
      <c r="I22" s="101"/>
      <c r="J22" s="101">
        <f>'Athens Daily - Water'!R27</f>
        <v>287.66079999999965</v>
      </c>
      <c r="K22" s="101"/>
      <c r="L22" s="102">
        <v>45</v>
      </c>
      <c r="M22" s="101">
        <f t="shared" si="1"/>
        <v>90</v>
      </c>
      <c r="N22" s="99"/>
    </row>
    <row r="23" spans="1:14">
      <c r="A23" s="7" t="s">
        <v>14</v>
      </c>
      <c r="B23" s="7">
        <v>22</v>
      </c>
      <c r="C23" s="7">
        <v>1</v>
      </c>
      <c r="D23" s="7">
        <v>2021</v>
      </c>
      <c r="E23" s="101">
        <f>'Athens Daily - EL'!AK29</f>
        <v>233127</v>
      </c>
      <c r="F23" s="101"/>
      <c r="G23" s="101">
        <f>'Athens Daily - Gas'!BH30</f>
        <v>79802.639999999519</v>
      </c>
      <c r="H23" s="101">
        <f t="shared" si="0"/>
        <v>2083.6198433420241</v>
      </c>
      <c r="I23" s="101"/>
      <c r="J23" s="101">
        <f>'Athens Daily - Water'!R28</f>
        <v>300.78310000000056</v>
      </c>
      <c r="K23" s="101"/>
      <c r="L23" s="102">
        <v>82</v>
      </c>
      <c r="M23" s="101">
        <f t="shared" si="1"/>
        <v>164</v>
      </c>
      <c r="N23" s="99">
        <v>19</v>
      </c>
    </row>
    <row r="24" spans="1:14">
      <c r="A24" s="7" t="s">
        <v>14</v>
      </c>
      <c r="B24" s="7">
        <v>23</v>
      </c>
      <c r="C24" s="7">
        <v>1</v>
      </c>
      <c r="D24" s="7">
        <v>2021</v>
      </c>
      <c r="E24" s="101">
        <f>'Athens Daily - EL'!AK30</f>
        <v>235813.5</v>
      </c>
      <c r="F24" s="101"/>
      <c r="G24" s="101">
        <f>'Athens Daily - Gas'!BH31</f>
        <v>86382.960000000472</v>
      </c>
      <c r="H24" s="101">
        <f t="shared" si="0"/>
        <v>2255.4297650130675</v>
      </c>
      <c r="I24" s="101"/>
      <c r="J24" s="101">
        <f>'Athens Daily - Water'!R29</f>
        <v>286.34049999999934</v>
      </c>
      <c r="K24" s="101"/>
      <c r="L24" s="102">
        <v>170</v>
      </c>
      <c r="M24" s="101">
        <f t="shared" si="1"/>
        <v>340</v>
      </c>
      <c r="N24" s="99">
        <v>20</v>
      </c>
    </row>
    <row r="25" spans="1:14">
      <c r="A25" s="7" t="s">
        <v>14</v>
      </c>
      <c r="B25" s="7">
        <v>24</v>
      </c>
      <c r="C25" s="7">
        <v>1</v>
      </c>
      <c r="D25" s="7">
        <v>2021</v>
      </c>
      <c r="E25" s="101">
        <f>'Athens Daily - EL'!AK31</f>
        <v>234330.5</v>
      </c>
      <c r="F25" s="101"/>
      <c r="G25" s="101">
        <f>'Athens Daily - Gas'!BH32</f>
        <v>75861.31199999986</v>
      </c>
      <c r="H25" s="101">
        <f t="shared" si="0"/>
        <v>1980.7131070496048</v>
      </c>
      <c r="I25" s="101"/>
      <c r="J25" s="101">
        <f>'Athens Daily - Water'!R30</f>
        <v>273.34050000000025</v>
      </c>
      <c r="K25" s="101"/>
      <c r="L25" s="102">
        <v>91</v>
      </c>
      <c r="M25" s="101">
        <f t="shared" si="1"/>
        <v>182</v>
      </c>
      <c r="N25" s="99">
        <v>19</v>
      </c>
    </row>
    <row r="26" spans="1:14">
      <c r="A26" s="7" t="s">
        <v>14</v>
      </c>
      <c r="B26" s="7">
        <v>25</v>
      </c>
      <c r="C26" s="7">
        <v>1</v>
      </c>
      <c r="D26" s="7">
        <v>2021</v>
      </c>
      <c r="E26" s="101">
        <f>'Athens Daily - EL'!AK32</f>
        <v>237587.5</v>
      </c>
      <c r="F26" s="101"/>
      <c r="G26" s="101">
        <f>'Athens Daily - Gas'!BH33</f>
        <v>89395.535999999891</v>
      </c>
      <c r="H26" s="101">
        <f t="shared" si="0"/>
        <v>2334.0871018276735</v>
      </c>
      <c r="I26" s="101"/>
      <c r="J26" s="101">
        <f>'Athens Daily - Water'!R31</f>
        <v>282.3117000000002</v>
      </c>
      <c r="K26" s="101"/>
      <c r="L26" s="102">
        <v>56</v>
      </c>
      <c r="M26" s="101">
        <f t="shared" si="1"/>
        <v>112</v>
      </c>
      <c r="N26" s="100"/>
    </row>
    <row r="27" spans="1:14">
      <c r="A27" s="7" t="s">
        <v>14</v>
      </c>
      <c r="B27" s="7">
        <v>26</v>
      </c>
      <c r="C27" s="7">
        <v>1</v>
      </c>
      <c r="D27" s="7">
        <v>2021</v>
      </c>
      <c r="E27" s="101">
        <f>'Athens Daily - EL'!AK33</f>
        <v>235103</v>
      </c>
      <c r="F27" s="101"/>
      <c r="G27" s="101">
        <f>'Athens Daily - Gas'!BH34</f>
        <v>85696.367999999871</v>
      </c>
      <c r="H27" s="101">
        <f t="shared" si="0"/>
        <v>2237.5030809399445</v>
      </c>
      <c r="I27" s="101"/>
      <c r="J27" s="101">
        <f>'Athens Daily - Water'!R32</f>
        <v>314.2489999999998</v>
      </c>
      <c r="K27" s="101"/>
      <c r="L27" s="101"/>
      <c r="M27" s="101">
        <f t="shared" si="1"/>
        <v>0</v>
      </c>
      <c r="N27" s="100"/>
    </row>
    <row r="28" spans="1:14">
      <c r="A28" s="7" t="s">
        <v>14</v>
      </c>
      <c r="B28" s="7">
        <v>27</v>
      </c>
      <c r="C28" s="7">
        <v>1</v>
      </c>
      <c r="D28" s="7">
        <v>2021</v>
      </c>
      <c r="E28" s="101">
        <f>'Athens Daily - EL'!AK34</f>
        <v>240908</v>
      </c>
      <c r="F28" s="101"/>
      <c r="G28" s="101">
        <f>'Athens Daily - Gas'!BH35</f>
        <v>81951.216000000335</v>
      </c>
      <c r="H28" s="101">
        <f t="shared" si="0"/>
        <v>2139.7184334203744</v>
      </c>
      <c r="I28" s="101"/>
      <c r="J28" s="101">
        <f>'Athens Daily - Water'!R33</f>
        <v>294.86830000000009</v>
      </c>
      <c r="K28" s="101"/>
      <c r="L28" s="101"/>
      <c r="M28" s="101">
        <f t="shared" si="1"/>
        <v>0</v>
      </c>
      <c r="N28" s="100"/>
    </row>
    <row r="29" spans="1:14">
      <c r="A29" s="7" t="s">
        <v>14</v>
      </c>
      <c r="B29" s="7">
        <v>28</v>
      </c>
      <c r="C29" s="7">
        <v>1</v>
      </c>
      <c r="D29" s="7">
        <v>2021</v>
      </c>
      <c r="E29" s="101">
        <f>'Athens Daily - EL'!AK35</f>
        <v>238687</v>
      </c>
      <c r="F29" s="101"/>
      <c r="G29" s="101">
        <f>'Athens Daily - Gas'!BH36</f>
        <v>85276.319999999687</v>
      </c>
      <c r="H29" s="101">
        <f t="shared" si="0"/>
        <v>2226.5357702349788</v>
      </c>
      <c r="I29" s="101"/>
      <c r="J29" s="101">
        <f>'Athens Daily - Water'!R34</f>
        <v>299.9393</v>
      </c>
      <c r="K29" s="101"/>
      <c r="L29" s="101"/>
      <c r="M29" s="101">
        <f t="shared" si="1"/>
        <v>0</v>
      </c>
      <c r="N29" s="100"/>
    </row>
    <row r="30" spans="1:14">
      <c r="A30" s="7" t="s">
        <v>14</v>
      </c>
      <c r="B30" s="7">
        <v>29</v>
      </c>
      <c r="C30" s="7">
        <v>1</v>
      </c>
      <c r="D30" s="7">
        <v>2021</v>
      </c>
      <c r="E30" s="101">
        <f>'Athens Daily - EL'!AK36</f>
        <v>222693.5</v>
      </c>
      <c r="F30" s="101"/>
      <c r="G30" s="101">
        <f>'Athens Daily - Gas'!BH37</f>
        <v>79688.591999999888</v>
      </c>
      <c r="H30" s="101">
        <f t="shared" si="0"/>
        <v>2080.6420887728432</v>
      </c>
      <c r="I30" s="101"/>
      <c r="J30" s="101">
        <f>'Athens Daily - Water'!R35</f>
        <v>302.60024999999951</v>
      </c>
      <c r="K30" s="101"/>
      <c r="L30" s="101"/>
      <c r="M30" s="101">
        <f t="shared" si="1"/>
        <v>0</v>
      </c>
      <c r="N30" s="100"/>
    </row>
    <row r="31" spans="1:14">
      <c r="A31" s="7" t="s">
        <v>14</v>
      </c>
      <c r="B31" s="7">
        <v>30</v>
      </c>
      <c r="C31" s="7">
        <v>1</v>
      </c>
      <c r="D31" s="7">
        <v>2021</v>
      </c>
      <c r="E31" s="101">
        <f>'Athens Daily - EL'!AK37</f>
        <v>220147.5</v>
      </c>
      <c r="F31" s="101"/>
      <c r="G31" s="101">
        <f>'Athens Daily - Gas'!BH38</f>
        <v>76991.352000000101</v>
      </c>
      <c r="H31" s="101">
        <f t="shared" si="0"/>
        <v>2010.2180678851203</v>
      </c>
      <c r="I31" s="101"/>
      <c r="J31" s="101">
        <f>'Athens Daily - Water'!R37</f>
        <v>223.98170000000027</v>
      </c>
      <c r="K31" s="101"/>
      <c r="L31" s="101"/>
      <c r="M31" s="101">
        <f t="shared" si="1"/>
        <v>0</v>
      </c>
      <c r="N31" s="100"/>
    </row>
    <row r="32" spans="1:14">
      <c r="A32" s="7" t="s">
        <v>14</v>
      </c>
      <c r="B32" s="7">
        <v>31</v>
      </c>
      <c r="C32" s="7">
        <v>1</v>
      </c>
      <c r="D32" s="7">
        <v>2021</v>
      </c>
      <c r="E32" s="101">
        <f>'Athens Daily - EL'!AK38</f>
        <v>219684.5</v>
      </c>
      <c r="F32" s="101"/>
      <c r="G32" s="101">
        <f>'Athens Daily - Gas'!BH39</f>
        <v>76991.352000000101</v>
      </c>
      <c r="H32" s="101">
        <f t="shared" si="0"/>
        <v>2010.2180678851203</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37555</v>
      </c>
      <c r="F2" s="7"/>
      <c r="G2" s="39">
        <f>'Athens Daily - Gas'!BI9</f>
        <v>50841.600000000006</v>
      </c>
      <c r="H2" s="7"/>
      <c r="I2" s="40">
        <f>'Athens Daily - Water'!S7</f>
        <v>128.35</v>
      </c>
      <c r="J2" s="7"/>
      <c r="K2" s="7">
        <v>286</v>
      </c>
      <c r="L2" s="7">
        <v>2</v>
      </c>
    </row>
    <row r="3" spans="1:12">
      <c r="A3" s="7" t="s">
        <v>14</v>
      </c>
      <c r="B3" s="7">
        <v>2</v>
      </c>
      <c r="C3" s="7">
        <v>1</v>
      </c>
      <c r="D3" s="7">
        <v>2021</v>
      </c>
      <c r="E3" s="7">
        <f>'Athens Daily - EL'!AL9</f>
        <v>30070</v>
      </c>
      <c r="F3" s="7"/>
      <c r="G3" s="39">
        <f>'Athens Daily - Gas'!BI10</f>
        <v>55718.400000000001</v>
      </c>
      <c r="H3" s="7"/>
      <c r="I3" s="40">
        <f>'Athens Daily - Water'!S8</f>
        <v>125.15</v>
      </c>
      <c r="J3" s="7"/>
      <c r="K3" s="7">
        <v>285</v>
      </c>
      <c r="L3" s="7">
        <v>2</v>
      </c>
    </row>
    <row r="4" spans="1:12">
      <c r="A4" s="7" t="s">
        <v>14</v>
      </c>
      <c r="B4" s="7">
        <v>3</v>
      </c>
      <c r="C4" s="7">
        <v>1</v>
      </c>
      <c r="D4" s="7">
        <v>2021</v>
      </c>
      <c r="E4" s="7">
        <f>'Athens Daily - EL'!AL10</f>
        <v>30289</v>
      </c>
      <c r="F4" s="7"/>
      <c r="G4" s="39">
        <f>'Athens Daily - Gas'!BI11</f>
        <v>52694.400000000001</v>
      </c>
      <c r="H4" s="7"/>
      <c r="I4" s="40">
        <f>'Athens Daily - Water'!S9</f>
        <v>143</v>
      </c>
      <c r="J4" s="7"/>
      <c r="K4" s="7">
        <v>282</v>
      </c>
      <c r="L4" s="7">
        <v>2</v>
      </c>
    </row>
    <row r="5" spans="1:12">
      <c r="A5" s="7" t="s">
        <v>14</v>
      </c>
      <c r="B5" s="7">
        <v>4</v>
      </c>
      <c r="C5" s="7">
        <v>1</v>
      </c>
      <c r="D5" s="7">
        <v>2021</v>
      </c>
      <c r="E5" s="7">
        <f>'Athens Daily - EL'!AL11</f>
        <v>35632.5</v>
      </c>
      <c r="F5" s="7"/>
      <c r="G5" s="39">
        <f>'Athens Daily - Gas'!BI12</f>
        <v>57772.800000000003</v>
      </c>
      <c r="H5" s="7"/>
      <c r="I5" s="40">
        <f>'Athens Daily - Water'!S10</f>
        <v>146.4</v>
      </c>
      <c r="J5" s="7"/>
      <c r="K5" s="7">
        <v>284</v>
      </c>
      <c r="L5" s="7">
        <v>2</v>
      </c>
    </row>
    <row r="6" spans="1:12">
      <c r="A6" s="7" t="s">
        <v>14</v>
      </c>
      <c r="B6" s="7">
        <v>5</v>
      </c>
      <c r="C6" s="7">
        <v>1</v>
      </c>
      <c r="D6" s="7">
        <v>2021</v>
      </c>
      <c r="E6" s="7">
        <f>'Athens Daily - EL'!AL12</f>
        <v>36633.5</v>
      </c>
      <c r="F6" s="7"/>
      <c r="G6" s="39">
        <f>'Athens Daily - Gas'!BI13</f>
        <v>49344</v>
      </c>
      <c r="H6" s="7"/>
      <c r="I6" s="40">
        <f>'Athens Daily - Water'!S11</f>
        <v>127.6</v>
      </c>
      <c r="J6" s="7"/>
      <c r="K6" s="7">
        <v>286</v>
      </c>
      <c r="L6" s="7">
        <v>2</v>
      </c>
    </row>
    <row r="7" spans="1:12">
      <c r="A7" s="7" t="s">
        <v>14</v>
      </c>
      <c r="B7" s="7">
        <v>6</v>
      </c>
      <c r="C7" s="7">
        <v>1</v>
      </c>
      <c r="D7" s="7">
        <v>2021</v>
      </c>
      <c r="E7" s="7">
        <f>'Athens Daily - EL'!AL13</f>
        <v>34181</v>
      </c>
      <c r="F7" s="7"/>
      <c r="G7" s="39">
        <f>'Athens Daily - Gas'!BI14</f>
        <v>59136</v>
      </c>
      <c r="H7" s="7"/>
      <c r="I7" s="40">
        <f>'Athens Daily - Water'!S12</f>
        <v>144.65</v>
      </c>
      <c r="J7" s="7"/>
      <c r="K7" s="7">
        <v>288</v>
      </c>
      <c r="L7" s="7">
        <v>2</v>
      </c>
    </row>
    <row r="8" spans="1:12">
      <c r="A8" s="7" t="s">
        <v>14</v>
      </c>
      <c r="B8" s="7">
        <v>7</v>
      </c>
      <c r="C8" s="7">
        <v>1</v>
      </c>
      <c r="D8" s="7">
        <v>2021</v>
      </c>
      <c r="E8" s="7">
        <f>'Athens Daily - EL'!AL14</f>
        <v>33542</v>
      </c>
      <c r="F8" s="7"/>
      <c r="G8" s="39">
        <f>'Athens Daily - Gas'!BI15</f>
        <v>56121.599999999999</v>
      </c>
      <c r="H8" s="7"/>
      <c r="I8" s="40">
        <f>'Athens Daily - Water'!S13</f>
        <v>161.44999999999999</v>
      </c>
      <c r="J8" s="7"/>
      <c r="K8" s="7">
        <v>286</v>
      </c>
      <c r="L8" s="7">
        <v>2</v>
      </c>
    </row>
    <row r="9" spans="1:12">
      <c r="A9" s="7" t="s">
        <v>14</v>
      </c>
      <c r="B9" s="7">
        <v>8</v>
      </c>
      <c r="C9" s="7">
        <v>1</v>
      </c>
      <c r="D9" s="7">
        <v>2021</v>
      </c>
      <c r="E9" s="7">
        <f>'Athens Daily - EL'!AL15</f>
        <v>32899.5</v>
      </c>
      <c r="F9" s="7"/>
      <c r="G9" s="39">
        <f>'Athens Daily - Gas'!BI16</f>
        <v>53942.400000000001</v>
      </c>
      <c r="H9" s="7"/>
      <c r="I9" s="40">
        <f>'Athens Daily - Water'!S14</f>
        <v>164.2</v>
      </c>
      <c r="J9" s="7"/>
      <c r="K9" s="7">
        <v>287</v>
      </c>
      <c r="L9" s="7">
        <v>2</v>
      </c>
    </row>
    <row r="10" spans="1:12">
      <c r="A10" s="7" t="s">
        <v>14</v>
      </c>
      <c r="B10" s="7">
        <v>9</v>
      </c>
      <c r="C10" s="7">
        <v>1</v>
      </c>
      <c r="D10" s="7">
        <v>2021</v>
      </c>
      <c r="E10" s="7">
        <f>'Athens Daily - EL'!AL16</f>
        <v>31891.5</v>
      </c>
      <c r="F10" s="7"/>
      <c r="G10" s="39">
        <f>'Athens Daily - Gas'!BI17</f>
        <v>9504</v>
      </c>
      <c r="H10" s="7"/>
      <c r="I10" s="40">
        <f>'Athens Daily - Water'!S15</f>
        <v>145.69999999999999</v>
      </c>
      <c r="J10" s="7"/>
      <c r="K10" s="7">
        <v>284</v>
      </c>
      <c r="L10" s="7">
        <v>2</v>
      </c>
    </row>
    <row r="11" spans="1:12">
      <c r="A11" s="7" t="s">
        <v>14</v>
      </c>
      <c r="B11" s="7">
        <v>10</v>
      </c>
      <c r="C11" s="7">
        <v>1</v>
      </c>
      <c r="D11" s="7">
        <v>2021</v>
      </c>
      <c r="E11" s="7">
        <f>'Athens Daily - EL'!AL17</f>
        <v>31018.5</v>
      </c>
      <c r="F11" s="7"/>
      <c r="G11" s="39">
        <f>'Athens Daily - Gas'!BI18</f>
        <v>54777.599999999999</v>
      </c>
      <c r="H11" s="7"/>
      <c r="I11" s="40">
        <f>'Athens Daily - Water'!S16</f>
        <v>156.05000000000001</v>
      </c>
      <c r="J11" s="7"/>
      <c r="K11" s="7">
        <v>284</v>
      </c>
      <c r="L11" s="7">
        <v>2</v>
      </c>
    </row>
    <row r="12" spans="1:12">
      <c r="A12" s="7" t="s">
        <v>14</v>
      </c>
      <c r="B12" s="7">
        <v>11</v>
      </c>
      <c r="C12" s="7">
        <v>1</v>
      </c>
      <c r="D12" s="7">
        <v>2021</v>
      </c>
      <c r="E12" s="7">
        <f>'Athens Daily - EL'!AL18</f>
        <v>27520.5</v>
      </c>
      <c r="F12" s="7"/>
      <c r="G12" s="39">
        <f>'Athens Daily - Gas'!BI19</f>
        <v>56092.800000000003</v>
      </c>
      <c r="H12" s="7"/>
      <c r="I12" s="40">
        <f>'Athens Daily - Water'!S17</f>
        <v>131</v>
      </c>
      <c r="J12" s="7"/>
      <c r="K12" s="7">
        <v>284</v>
      </c>
      <c r="L12" s="7">
        <v>2</v>
      </c>
    </row>
    <row r="13" spans="1:12">
      <c r="A13" s="7" t="s">
        <v>14</v>
      </c>
      <c r="B13" s="7">
        <v>12</v>
      </c>
      <c r="C13" s="7">
        <v>1</v>
      </c>
      <c r="D13" s="7">
        <v>2021</v>
      </c>
      <c r="E13" s="7">
        <f>'Athens Daily - EL'!AL19</f>
        <v>27150.5</v>
      </c>
      <c r="F13" s="7"/>
      <c r="G13" s="39">
        <f>'Athens Daily - Gas'!BI20</f>
        <v>54259.199999999997</v>
      </c>
      <c r="H13" s="7"/>
      <c r="I13" s="40">
        <f>'Athens Daily - Water'!S18</f>
        <v>154.30000000000001</v>
      </c>
      <c r="J13" s="7"/>
      <c r="K13" s="7">
        <v>286</v>
      </c>
      <c r="L13" s="7">
        <v>2</v>
      </c>
    </row>
    <row r="14" spans="1:12">
      <c r="A14" s="7" t="s">
        <v>14</v>
      </c>
      <c r="B14" s="7">
        <v>13</v>
      </c>
      <c r="C14" s="7">
        <v>1</v>
      </c>
      <c r="D14" s="7">
        <v>2021</v>
      </c>
      <c r="E14" s="7">
        <f>'Athens Daily - EL'!AL20</f>
        <v>29879.5</v>
      </c>
      <c r="F14" s="7"/>
      <c r="G14" s="39">
        <f>'Athens Daily - Gas'!BI21</f>
        <v>57062.400000000001</v>
      </c>
      <c r="H14" s="7"/>
      <c r="I14" s="40">
        <f>'Athens Daily - Water'!S19</f>
        <v>145.05000000000001</v>
      </c>
      <c r="J14" s="7"/>
      <c r="K14" s="7">
        <v>287</v>
      </c>
      <c r="L14" s="7">
        <v>2</v>
      </c>
    </row>
    <row r="15" spans="1:12">
      <c r="A15" s="7" t="s">
        <v>14</v>
      </c>
      <c r="B15" s="7">
        <v>14</v>
      </c>
      <c r="C15" s="7">
        <v>1</v>
      </c>
      <c r="D15" s="7">
        <v>2021</v>
      </c>
      <c r="E15" s="7">
        <f>'Athens Daily - EL'!AL21</f>
        <v>31701.5</v>
      </c>
      <c r="F15" s="7"/>
      <c r="G15" s="39">
        <f>'Athens Daily - Gas'!BI22</f>
        <v>105811.20000000001</v>
      </c>
      <c r="H15" s="7"/>
      <c r="I15" s="40">
        <f>'Athens Daily - Water'!S20</f>
        <v>158.5</v>
      </c>
      <c r="J15" s="7"/>
      <c r="K15" s="7">
        <v>287</v>
      </c>
      <c r="L15" s="7">
        <v>2</v>
      </c>
    </row>
    <row r="16" spans="1:12">
      <c r="A16" s="7" t="s">
        <v>14</v>
      </c>
      <c r="B16" s="7">
        <v>15</v>
      </c>
      <c r="C16" s="7">
        <v>1</v>
      </c>
      <c r="D16" s="7">
        <v>2021</v>
      </c>
      <c r="E16" s="7">
        <f>'Athens Daily - EL'!AL22</f>
        <v>30795.5</v>
      </c>
      <c r="F16" s="7"/>
      <c r="G16" s="39">
        <f>'Athens Daily - Gas'!BI23</f>
        <v>54768</v>
      </c>
      <c r="H16" s="7"/>
      <c r="I16" s="40">
        <f>'Athens Daily - Water'!S21</f>
        <v>156.94999999999999</v>
      </c>
      <c r="J16" s="7"/>
      <c r="K16" s="7">
        <v>288</v>
      </c>
      <c r="L16" s="7">
        <v>2</v>
      </c>
    </row>
    <row r="17" spans="1:12">
      <c r="A17" s="7" t="s">
        <v>14</v>
      </c>
      <c r="B17" s="7">
        <v>16</v>
      </c>
      <c r="C17" s="7">
        <v>1</v>
      </c>
      <c r="D17" s="7">
        <v>2021</v>
      </c>
      <c r="E17" s="7">
        <f>'Athens Daily - EL'!AL23</f>
        <v>30775.833333333136</v>
      </c>
      <c r="F17" s="7"/>
      <c r="G17" s="39">
        <f>'Athens Daily - Gas'!BI24</f>
        <v>58368</v>
      </c>
      <c r="H17" s="7"/>
      <c r="I17" s="40">
        <f>'Athens Daily - Water'!S22</f>
        <v>150.4</v>
      </c>
      <c r="J17" s="7"/>
      <c r="K17" s="7">
        <v>288</v>
      </c>
      <c r="L17" s="7">
        <v>2</v>
      </c>
    </row>
    <row r="18" spans="1:12">
      <c r="A18" s="7" t="s">
        <v>14</v>
      </c>
      <c r="B18" s="7">
        <v>17</v>
      </c>
      <c r="C18" s="7">
        <v>1</v>
      </c>
      <c r="D18" s="7">
        <v>2021</v>
      </c>
      <c r="E18" s="7">
        <f>'Athens Daily - EL'!AL24</f>
        <v>30775.833333333136</v>
      </c>
      <c r="F18" s="7"/>
      <c r="G18" s="39">
        <f>'Athens Daily - Gas'!BI25</f>
        <v>50755.199999999997</v>
      </c>
      <c r="H18" s="7"/>
      <c r="I18" s="40">
        <f>'Athens Daily - Water'!S23</f>
        <v>153.30000000000001</v>
      </c>
      <c r="J18" s="7"/>
      <c r="K18" s="7">
        <v>288</v>
      </c>
      <c r="L18" s="7">
        <v>2</v>
      </c>
    </row>
    <row r="19" spans="1:12">
      <c r="A19" s="7" t="s">
        <v>14</v>
      </c>
      <c r="B19" s="7">
        <v>18</v>
      </c>
      <c r="C19" s="7">
        <v>1</v>
      </c>
      <c r="D19" s="7">
        <v>2021</v>
      </c>
      <c r="E19" s="7">
        <f>'Athens Daily - EL'!AL25</f>
        <v>30775.833333333729</v>
      </c>
      <c r="F19" s="7"/>
      <c r="G19" s="39">
        <f>'Athens Daily - Gas'!BI26</f>
        <v>58118.400000000001</v>
      </c>
      <c r="H19" s="7"/>
      <c r="I19" s="40">
        <f>'Athens Daily - Water'!S24</f>
        <v>139.80000000000001</v>
      </c>
      <c r="J19" s="7"/>
      <c r="K19" s="7">
        <v>291</v>
      </c>
      <c r="L19" s="7">
        <v>2</v>
      </c>
    </row>
    <row r="20" spans="1:12">
      <c r="A20" s="7" t="s">
        <v>14</v>
      </c>
      <c r="B20" s="7">
        <v>19</v>
      </c>
      <c r="C20" s="7">
        <v>1</v>
      </c>
      <c r="D20" s="7">
        <v>2021</v>
      </c>
      <c r="E20" s="7">
        <f>'Athens Daily - EL'!AL26</f>
        <v>29800.5</v>
      </c>
      <c r="F20" s="7"/>
      <c r="G20" s="39">
        <f>'Athens Daily - Gas'!BI27</f>
        <v>51052.800000000003</v>
      </c>
      <c r="H20" s="7"/>
      <c r="I20" s="40">
        <f>'Athens Daily - Water'!S25</f>
        <v>163.19999999999999</v>
      </c>
      <c r="J20" s="7"/>
      <c r="K20" s="7">
        <v>290</v>
      </c>
      <c r="L20" s="7">
        <v>2</v>
      </c>
    </row>
    <row r="21" spans="1:12">
      <c r="A21" s="7" t="s">
        <v>14</v>
      </c>
      <c r="B21" s="7">
        <v>20</v>
      </c>
      <c r="C21" s="7">
        <v>1</v>
      </c>
      <c r="D21" s="7">
        <v>2021</v>
      </c>
      <c r="E21" s="7">
        <f>'Athens Daily - EL'!AL27</f>
        <v>30076</v>
      </c>
      <c r="F21" s="7"/>
      <c r="G21" s="39">
        <f>'Athens Daily - Gas'!BI28</f>
        <v>54518.400000000001</v>
      </c>
      <c r="H21" s="7"/>
      <c r="I21" s="40">
        <f>'Athens Daily - Water'!S26</f>
        <v>149.94999999999999</v>
      </c>
      <c r="J21" s="7"/>
      <c r="K21" s="7">
        <v>292</v>
      </c>
      <c r="L21" s="7">
        <v>2</v>
      </c>
    </row>
    <row r="22" spans="1:12">
      <c r="A22" s="7" t="s">
        <v>14</v>
      </c>
      <c r="B22" s="7">
        <v>21</v>
      </c>
      <c r="C22" s="7">
        <v>1</v>
      </c>
      <c r="D22" s="7">
        <v>2021</v>
      </c>
      <c r="E22" s="7">
        <f>'Athens Daily - EL'!AL28</f>
        <v>29406</v>
      </c>
      <c r="F22" s="7"/>
      <c r="G22" s="39">
        <f>'Athens Daily - Gas'!BI29</f>
        <v>59145.599999999999</v>
      </c>
      <c r="H22" s="7"/>
      <c r="I22" s="40">
        <f>'Athens Daily - Water'!S27</f>
        <v>172.6</v>
      </c>
      <c r="J22" s="7"/>
      <c r="K22" s="7">
        <v>293</v>
      </c>
      <c r="L22" s="7">
        <v>2</v>
      </c>
    </row>
    <row r="23" spans="1:12">
      <c r="A23" s="7" t="s">
        <v>14</v>
      </c>
      <c r="B23" s="7">
        <v>22</v>
      </c>
      <c r="C23" s="7">
        <v>1</v>
      </c>
      <c r="D23" s="7">
        <v>2021</v>
      </c>
      <c r="E23" s="7">
        <f>'Athens Daily - EL'!AL29</f>
        <v>29752</v>
      </c>
      <c r="F23" s="7"/>
      <c r="G23" s="39">
        <f>'Athens Daily - Gas'!BI30</f>
        <v>51033.600000000006</v>
      </c>
      <c r="H23" s="7"/>
      <c r="I23" s="40">
        <f>'Athens Daily - Water'!S28</f>
        <v>174.65</v>
      </c>
      <c r="J23" s="7"/>
      <c r="K23" s="7">
        <v>293</v>
      </c>
      <c r="L23" s="7">
        <v>2</v>
      </c>
    </row>
    <row r="24" spans="1:12">
      <c r="A24" s="7" t="s">
        <v>14</v>
      </c>
      <c r="B24" s="7">
        <v>23</v>
      </c>
      <c r="C24" s="7">
        <v>1</v>
      </c>
      <c r="D24" s="7">
        <v>2021</v>
      </c>
      <c r="E24" s="7">
        <f>'Athens Daily - EL'!AL30</f>
        <v>30828.5</v>
      </c>
      <c r="F24" s="7"/>
      <c r="G24" s="39">
        <f>'Athens Daily - Gas'!BI31</f>
        <v>56524.800000000003</v>
      </c>
      <c r="H24" s="7"/>
      <c r="I24" s="40">
        <f>'Athens Daily - Water'!S29</f>
        <v>150.25</v>
      </c>
      <c r="J24" s="7"/>
      <c r="K24" s="7">
        <v>294</v>
      </c>
      <c r="L24" s="7">
        <v>2</v>
      </c>
    </row>
    <row r="25" spans="1:12">
      <c r="A25" s="7" t="s">
        <v>14</v>
      </c>
      <c r="B25" s="7">
        <v>24</v>
      </c>
      <c r="C25" s="7">
        <v>1</v>
      </c>
      <c r="D25" s="7">
        <v>2021</v>
      </c>
      <c r="E25" s="7">
        <f>'Athens Daily - EL'!AL31</f>
        <v>30820.5</v>
      </c>
      <c r="F25" s="7"/>
      <c r="G25" s="39">
        <f>'Athens Daily - Gas'!BI32</f>
        <v>48403.199999999997</v>
      </c>
      <c r="H25" s="7"/>
      <c r="I25" s="40">
        <f>'Athens Daily - Water'!S30</f>
        <v>152.85</v>
      </c>
      <c r="J25" s="7"/>
      <c r="K25" s="7">
        <v>294</v>
      </c>
      <c r="L25" s="7">
        <v>2</v>
      </c>
    </row>
    <row r="26" spans="1:12">
      <c r="A26" s="7" t="s">
        <v>14</v>
      </c>
      <c r="B26" s="7">
        <v>25</v>
      </c>
      <c r="C26" s="7">
        <v>1</v>
      </c>
      <c r="D26" s="7">
        <v>2021</v>
      </c>
      <c r="E26" s="7">
        <f>'Athens Daily - EL'!AL32</f>
        <v>30257.5</v>
      </c>
      <c r="F26" s="7"/>
      <c r="G26" s="39">
        <f>'Athens Daily - Gas'!BI33</f>
        <v>57244.800000000003</v>
      </c>
      <c r="H26" s="7"/>
      <c r="I26" s="40">
        <f>'Athens Daily - Water'!S31</f>
        <v>145.94999999999999</v>
      </c>
      <c r="J26" s="7"/>
      <c r="K26" s="7">
        <v>291</v>
      </c>
      <c r="L26" s="7">
        <v>2</v>
      </c>
    </row>
    <row r="27" spans="1:12">
      <c r="A27" s="7" t="s">
        <v>14</v>
      </c>
      <c r="B27" s="7">
        <v>26</v>
      </c>
      <c r="C27" s="7">
        <v>1</v>
      </c>
      <c r="D27" s="7">
        <v>2021</v>
      </c>
      <c r="E27" s="7">
        <f>'Athens Daily - EL'!AL33</f>
        <v>30233</v>
      </c>
      <c r="F27" s="7"/>
      <c r="G27" s="39">
        <f>'Athens Daily - Gas'!BI34</f>
        <v>53673.599999999999</v>
      </c>
      <c r="H27" s="7"/>
      <c r="I27" s="40">
        <f>'Athens Daily - Water'!S32</f>
        <v>156.69999999999999</v>
      </c>
      <c r="J27" s="7"/>
      <c r="K27" s="7">
        <v>291</v>
      </c>
      <c r="L27" s="7">
        <v>2</v>
      </c>
    </row>
    <row r="28" spans="1:12">
      <c r="A28" s="7" t="s">
        <v>14</v>
      </c>
      <c r="B28" s="7">
        <v>27</v>
      </c>
      <c r="C28" s="7">
        <v>1</v>
      </c>
      <c r="D28" s="7">
        <v>2021</v>
      </c>
      <c r="E28" s="7">
        <f>'Athens Daily - EL'!AL34</f>
        <v>31163</v>
      </c>
      <c r="F28" s="7"/>
      <c r="G28" s="39">
        <f>'Athens Daily - Gas'!BI35</f>
        <v>52041.600000000006</v>
      </c>
      <c r="H28" s="7"/>
      <c r="I28" s="40">
        <f>'Athens Daily - Water'!S33</f>
        <v>91</v>
      </c>
      <c r="J28" s="7"/>
      <c r="K28" s="7">
        <v>288</v>
      </c>
      <c r="L28" s="7">
        <v>2</v>
      </c>
    </row>
    <row r="29" spans="1:12">
      <c r="A29" s="7" t="s">
        <v>14</v>
      </c>
      <c r="B29" s="7">
        <v>28</v>
      </c>
      <c r="C29" s="7">
        <v>1</v>
      </c>
      <c r="D29" s="7">
        <v>2021</v>
      </c>
      <c r="E29" s="7">
        <f>'Athens Daily - EL'!AL35</f>
        <v>30412</v>
      </c>
      <c r="F29" s="7"/>
      <c r="G29" s="39">
        <f>'Athens Daily - Gas'!BI36</f>
        <v>53961.599999999999</v>
      </c>
      <c r="H29" s="7"/>
      <c r="I29" s="40">
        <f>'Athens Daily - Water'!S34</f>
        <v>194.5</v>
      </c>
      <c r="J29" s="7"/>
      <c r="K29" s="7">
        <v>290</v>
      </c>
      <c r="L29" s="7">
        <v>2</v>
      </c>
    </row>
    <row r="30" spans="1:12">
      <c r="A30" s="7" t="s">
        <v>14</v>
      </c>
      <c r="B30" s="7">
        <v>29</v>
      </c>
      <c r="C30" s="7">
        <v>1</v>
      </c>
      <c r="D30" s="7">
        <v>2021</v>
      </c>
      <c r="E30" s="7">
        <f>'Athens Daily - EL'!AL36</f>
        <v>29913.5</v>
      </c>
      <c r="F30" s="7"/>
      <c r="G30" s="39">
        <f>'Athens Daily - Gas'!BI37</f>
        <v>54355.200000000004</v>
      </c>
      <c r="H30" s="7"/>
      <c r="I30" s="40">
        <f>'Athens Daily - Water'!S35</f>
        <v>166.9</v>
      </c>
      <c r="J30" s="7"/>
      <c r="K30" s="7">
        <v>291</v>
      </c>
      <c r="L30" s="7">
        <v>2</v>
      </c>
    </row>
    <row r="31" spans="1:12">
      <c r="A31" s="7" t="s">
        <v>14</v>
      </c>
      <c r="B31" s="7">
        <v>30</v>
      </c>
      <c r="C31" s="7">
        <v>1</v>
      </c>
      <c r="D31" s="7">
        <v>2021</v>
      </c>
      <c r="E31" s="7">
        <f>'Athens Daily - EL'!AL37</f>
        <v>28507.5</v>
      </c>
      <c r="F31" s="7"/>
      <c r="G31" s="39">
        <f>'Athens Daily - Gas'!BI38</f>
        <v>50510.400000000001</v>
      </c>
      <c r="H31" s="7"/>
      <c r="I31" s="40">
        <f>'Athens Daily - Water'!S37</f>
        <v>137.72499999999999</v>
      </c>
      <c r="J31" s="7"/>
      <c r="K31" s="7">
        <v>290</v>
      </c>
      <c r="L31" s="7">
        <v>2</v>
      </c>
    </row>
    <row r="32" spans="1:12">
      <c r="A32" s="7" t="s">
        <v>14</v>
      </c>
      <c r="B32" s="7">
        <v>31</v>
      </c>
      <c r="C32" s="7">
        <v>1</v>
      </c>
      <c r="D32" s="7">
        <v>2021</v>
      </c>
      <c r="E32" s="7">
        <f>'Athens Daily - EL'!AL38</f>
        <v>26029.5</v>
      </c>
      <c r="F32" s="7"/>
      <c r="G32" s="39">
        <f>'Athens Daily - Gas'!BI39</f>
        <v>50510.400000000001</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C7" activePane="bottomRight" state="frozen"/>
      <selection pane="topRight" activeCell="C2" sqref="C2"/>
      <selection pane="bottomLeft" activeCell="A7" sqref="A7"/>
      <selection pane="bottomRight" activeCell="N15" sqref="N15"/>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16" t="s">
        <v>64</v>
      </c>
      <c r="D1" s="216"/>
      <c r="E1" s="216" t="s">
        <v>64</v>
      </c>
      <c r="F1" s="216"/>
      <c r="G1" s="216" t="s">
        <v>64</v>
      </c>
      <c r="H1" s="216"/>
      <c r="I1" s="109"/>
      <c r="J1" s="216" t="s">
        <v>64</v>
      </c>
      <c r="K1" s="216"/>
      <c r="L1" s="216" t="s">
        <v>64</v>
      </c>
      <c r="M1" s="216"/>
      <c r="N1" s="202" t="s">
        <v>65</v>
      </c>
      <c r="O1" s="203"/>
      <c r="P1" s="204"/>
      <c r="Q1" s="202" t="s">
        <v>65</v>
      </c>
      <c r="R1" s="203"/>
      <c r="S1" s="204"/>
      <c r="T1" s="202" t="s">
        <v>65</v>
      </c>
      <c r="U1" s="203"/>
      <c r="V1" s="204"/>
      <c r="W1" s="202" t="s">
        <v>65</v>
      </c>
      <c r="X1" s="203"/>
      <c r="Y1" s="204"/>
      <c r="Z1" s="216" t="s">
        <v>66</v>
      </c>
      <c r="AA1" s="216"/>
      <c r="AB1" s="216" t="s">
        <v>66</v>
      </c>
      <c r="AC1" s="216"/>
      <c r="AD1" s="216" t="s">
        <v>66</v>
      </c>
      <c r="AE1" s="216"/>
      <c r="AF1" s="216" t="s">
        <v>66</v>
      </c>
      <c r="AG1" s="216"/>
      <c r="AH1" s="216" t="s">
        <v>66</v>
      </c>
      <c r="AI1" s="216"/>
    </row>
    <row r="2" spans="1:38" s="3" customFormat="1" ht="113.25" customHeight="1">
      <c r="A2" s="13"/>
      <c r="B2" s="14"/>
      <c r="C2" s="215" t="s">
        <v>67</v>
      </c>
      <c r="D2" s="215"/>
      <c r="E2" s="215" t="s">
        <v>68</v>
      </c>
      <c r="F2" s="215"/>
      <c r="G2" s="205" t="s">
        <v>69</v>
      </c>
      <c r="H2" s="206"/>
      <c r="I2" s="207"/>
      <c r="J2" s="215" t="s">
        <v>70</v>
      </c>
      <c r="K2" s="215"/>
      <c r="L2" s="215" t="s">
        <v>71</v>
      </c>
      <c r="M2" s="215"/>
      <c r="N2" s="205" t="s">
        <v>72</v>
      </c>
      <c r="O2" s="206"/>
      <c r="P2" s="207"/>
      <c r="Q2" s="205" t="s">
        <v>73</v>
      </c>
      <c r="R2" s="206"/>
      <c r="S2" s="207"/>
      <c r="T2" s="205" t="s">
        <v>74</v>
      </c>
      <c r="U2" s="206"/>
      <c r="V2" s="207"/>
      <c r="W2" s="205" t="s">
        <v>75</v>
      </c>
      <c r="X2" s="206"/>
      <c r="Y2" s="207"/>
      <c r="Z2" s="215" t="s">
        <v>76</v>
      </c>
      <c r="AA2" s="215"/>
      <c r="AB2" s="215" t="s">
        <v>77</v>
      </c>
      <c r="AC2" s="215"/>
      <c r="AD2" s="215" t="s">
        <v>78</v>
      </c>
      <c r="AE2" s="215"/>
      <c r="AF2" s="215" t="s">
        <v>77</v>
      </c>
      <c r="AG2" s="215"/>
      <c r="AH2" s="215" t="s">
        <v>79</v>
      </c>
      <c r="AI2" s="215"/>
      <c r="AJ2" s="116"/>
      <c r="AK2" s="116"/>
      <c r="AL2" s="116"/>
    </row>
    <row r="3" spans="1:38" s="25" customFormat="1" ht="30" customHeight="1">
      <c r="A3" s="107"/>
      <c r="B3" s="50"/>
      <c r="C3" s="208">
        <v>5003566</v>
      </c>
      <c r="D3" s="210"/>
      <c r="E3" s="208">
        <v>5003596</v>
      </c>
      <c r="F3" s="210"/>
      <c r="G3" s="208">
        <v>507329</v>
      </c>
      <c r="H3" s="209"/>
      <c r="I3" s="210"/>
      <c r="J3" s="208">
        <v>5003563</v>
      </c>
      <c r="K3" s="210"/>
      <c r="L3" s="208">
        <v>5003562</v>
      </c>
      <c r="M3" s="210"/>
      <c r="N3" s="208">
        <v>507155</v>
      </c>
      <c r="O3" s="209"/>
      <c r="P3" s="210"/>
      <c r="Q3" s="208">
        <v>5003077</v>
      </c>
      <c r="R3" s="209"/>
      <c r="S3" s="210"/>
      <c r="T3" s="208">
        <v>5003079</v>
      </c>
      <c r="U3" s="209"/>
      <c r="V3" s="210"/>
      <c r="W3" s="208">
        <v>5003078</v>
      </c>
      <c r="X3" s="209"/>
      <c r="Y3" s="210"/>
      <c r="Z3" s="208">
        <v>5003565</v>
      </c>
      <c r="AA3" s="210"/>
      <c r="AB3" s="208">
        <v>5003564</v>
      </c>
      <c r="AC3" s="210"/>
      <c r="AD3" s="208">
        <v>5003597</v>
      </c>
      <c r="AE3" s="210"/>
      <c r="AF3" s="208">
        <v>5003598</v>
      </c>
      <c r="AG3" s="210"/>
      <c r="AH3" s="208">
        <v>5003599</v>
      </c>
      <c r="AI3" s="210"/>
      <c r="AK3" s="217" t="s">
        <v>80</v>
      </c>
      <c r="AL3" s="217"/>
    </row>
    <row r="4" spans="1:38" s="24" customFormat="1" ht="30" customHeight="1">
      <c r="A4" s="107"/>
      <c r="B4" s="113"/>
      <c r="C4" s="211" t="s">
        <v>81</v>
      </c>
      <c r="D4" s="213"/>
      <c r="E4" s="211" t="s">
        <v>82</v>
      </c>
      <c r="F4" s="213"/>
      <c r="G4" s="211" t="s">
        <v>83</v>
      </c>
      <c r="H4" s="212"/>
      <c r="I4" s="213"/>
      <c r="J4" s="211" t="s">
        <v>84</v>
      </c>
      <c r="K4" s="213"/>
      <c r="L4" s="211" t="s">
        <v>85</v>
      </c>
      <c r="M4" s="213"/>
      <c r="N4" s="211" t="s">
        <v>86</v>
      </c>
      <c r="O4" s="212"/>
      <c r="P4" s="213"/>
      <c r="Q4" s="211" t="s">
        <v>87</v>
      </c>
      <c r="R4" s="212"/>
      <c r="S4" s="213"/>
      <c r="T4" s="211" t="s">
        <v>88</v>
      </c>
      <c r="U4" s="212"/>
      <c r="V4" s="213"/>
      <c r="W4" s="211" t="s">
        <v>89</v>
      </c>
      <c r="X4" s="212"/>
      <c r="Y4" s="213"/>
      <c r="Z4" s="211" t="s">
        <v>90</v>
      </c>
      <c r="AA4" s="213"/>
      <c r="AB4" s="211" t="s">
        <v>91</v>
      </c>
      <c r="AC4" s="213"/>
      <c r="AD4" s="211" t="s">
        <v>92</v>
      </c>
      <c r="AE4" s="213"/>
      <c r="AF4" s="211" t="s">
        <v>93</v>
      </c>
      <c r="AG4" s="213"/>
      <c r="AH4" s="211" t="s">
        <v>94</v>
      </c>
      <c r="AI4" s="213"/>
      <c r="AK4" s="217"/>
      <c r="AL4" s="217"/>
    </row>
    <row r="5" spans="1:38" s="8" customFormat="1" ht="30" customHeight="1">
      <c r="A5" s="107" t="s">
        <v>95</v>
      </c>
      <c r="B5" s="51"/>
      <c r="C5" s="200" t="s">
        <v>96</v>
      </c>
      <c r="D5" s="201"/>
      <c r="E5" s="200" t="s">
        <v>96</v>
      </c>
      <c r="F5" s="201"/>
      <c r="G5" s="200" t="s">
        <v>96</v>
      </c>
      <c r="H5" s="214"/>
      <c r="I5" s="201"/>
      <c r="J5" s="51" t="s">
        <v>96</v>
      </c>
      <c r="K5" s="51"/>
      <c r="L5" s="200" t="s">
        <v>96</v>
      </c>
      <c r="M5" s="201"/>
      <c r="N5" s="200" t="s">
        <v>96</v>
      </c>
      <c r="O5" s="214"/>
      <c r="P5" s="201"/>
      <c r="Q5" s="200" t="s">
        <v>97</v>
      </c>
      <c r="R5" s="214"/>
      <c r="S5" s="201"/>
      <c r="T5" s="200" t="s">
        <v>97</v>
      </c>
      <c r="U5" s="214"/>
      <c r="V5" s="201"/>
      <c r="W5" s="200" t="s">
        <v>97</v>
      </c>
      <c r="X5" s="214"/>
      <c r="Y5" s="201"/>
      <c r="Z5" s="200" t="s">
        <v>96</v>
      </c>
      <c r="AA5" s="201"/>
      <c r="AB5" s="200" t="s">
        <v>96</v>
      </c>
      <c r="AC5" s="201"/>
      <c r="AD5" s="200" t="s">
        <v>96</v>
      </c>
      <c r="AE5" s="201"/>
      <c r="AF5" s="200" t="s">
        <v>96</v>
      </c>
      <c r="AG5" s="201"/>
      <c r="AH5" s="200" t="s">
        <v>96</v>
      </c>
      <c r="AI5" s="201"/>
    </row>
    <row r="6" spans="1:38" s="10" customFormat="1" ht="50.1" hidden="1" customHeight="1">
      <c r="A6" s="107" t="s">
        <v>98</v>
      </c>
      <c r="B6" s="107"/>
      <c r="C6" s="107" t="s">
        <v>99</v>
      </c>
      <c r="D6" s="107" t="s">
        <v>100</v>
      </c>
      <c r="E6" s="107" t="s">
        <v>99</v>
      </c>
      <c r="F6" s="107" t="s">
        <v>100</v>
      </c>
      <c r="G6" s="107" t="s">
        <v>99</v>
      </c>
      <c r="H6" s="107" t="s">
        <v>100</v>
      </c>
      <c r="I6" s="107" t="s">
        <v>101</v>
      </c>
      <c r="J6" s="107" t="s">
        <v>99</v>
      </c>
      <c r="K6" s="107" t="s">
        <v>100</v>
      </c>
      <c r="L6" s="107" t="s">
        <v>99</v>
      </c>
      <c r="M6" s="107" t="s">
        <v>100</v>
      </c>
      <c r="N6" s="107" t="s">
        <v>99</v>
      </c>
      <c r="O6" s="107" t="s">
        <v>100</v>
      </c>
      <c r="P6" s="107" t="s">
        <v>101</v>
      </c>
      <c r="Q6" s="107" t="s">
        <v>99</v>
      </c>
      <c r="R6" s="107" t="s">
        <v>100</v>
      </c>
      <c r="S6" s="107" t="s">
        <v>101</v>
      </c>
      <c r="T6" s="107" t="s">
        <v>99</v>
      </c>
      <c r="U6" s="107" t="s">
        <v>100</v>
      </c>
      <c r="V6" s="107" t="s">
        <v>101</v>
      </c>
      <c r="W6" s="107" t="s">
        <v>99</v>
      </c>
      <c r="X6" s="107" t="s">
        <v>100</v>
      </c>
      <c r="Y6" s="107" t="s">
        <v>101</v>
      </c>
      <c r="Z6" s="107" t="s">
        <v>99</v>
      </c>
      <c r="AA6" s="107" t="s">
        <v>100</v>
      </c>
      <c r="AB6" s="107" t="s">
        <v>99</v>
      </c>
      <c r="AC6" s="107" t="s">
        <v>100</v>
      </c>
      <c r="AD6" s="107" t="s">
        <v>99</v>
      </c>
      <c r="AE6" s="107" t="s">
        <v>100</v>
      </c>
      <c r="AF6" s="107" t="s">
        <v>99</v>
      </c>
      <c r="AG6" s="107" t="s">
        <v>100</v>
      </c>
      <c r="AH6" s="107" t="s">
        <v>99</v>
      </c>
      <c r="AI6" s="107" t="s">
        <v>100</v>
      </c>
      <c r="AK6" s="107" t="s">
        <v>64</v>
      </c>
      <c r="AL6" s="107" t="s">
        <v>66</v>
      </c>
    </row>
    <row r="7" spans="1:38" s="147" customFormat="1" ht="39.950000000000003" customHeight="1">
      <c r="A7" s="145">
        <v>44012</v>
      </c>
      <c r="B7" s="146"/>
      <c r="C7" s="74">
        <v>271116</v>
      </c>
      <c r="D7" s="17"/>
      <c r="E7" s="74">
        <v>888603</v>
      </c>
      <c r="F7" s="17"/>
      <c r="G7" s="74">
        <v>683544</v>
      </c>
      <c r="H7" s="17"/>
      <c r="I7" s="17"/>
      <c r="J7" s="74">
        <v>491272</v>
      </c>
      <c r="K7" s="17"/>
      <c r="L7" s="74">
        <v>881107</v>
      </c>
      <c r="M7" s="17"/>
      <c r="N7" s="74">
        <v>640582</v>
      </c>
      <c r="O7" s="17"/>
      <c r="P7" s="17"/>
      <c r="Q7" s="74">
        <v>62072</v>
      </c>
      <c r="R7" s="17"/>
      <c r="S7" s="17"/>
      <c r="T7" s="74">
        <v>7694</v>
      </c>
      <c r="U7" s="17"/>
      <c r="V7" s="17"/>
      <c r="W7" s="74">
        <v>64348</v>
      </c>
      <c r="X7" s="17"/>
      <c r="Y7" s="17"/>
      <c r="Z7" s="74">
        <v>865407</v>
      </c>
      <c r="AA7" s="17"/>
      <c r="AB7" s="74">
        <v>311499</v>
      </c>
      <c r="AC7" s="17"/>
      <c r="AD7" s="74">
        <v>46749</v>
      </c>
      <c r="AE7" s="17"/>
      <c r="AF7" s="74">
        <v>190133</v>
      </c>
      <c r="AG7" s="17"/>
      <c r="AH7" s="74">
        <v>997483</v>
      </c>
      <c r="AI7" s="17"/>
      <c r="AK7" s="97"/>
      <c r="AL7" s="98"/>
    </row>
    <row r="8" spans="1:38" s="2" customFormat="1" ht="39.950000000000003" customHeight="1">
      <c r="A8" s="145">
        <v>44013</v>
      </c>
      <c r="B8" s="15"/>
      <c r="C8" s="49">
        <v>275078</v>
      </c>
      <c r="D8" s="17">
        <f>(C8-C7)*10</f>
        <v>39620</v>
      </c>
      <c r="E8" s="49">
        <v>894322</v>
      </c>
      <c r="F8" s="17">
        <f>(E8-E7)*10</f>
        <v>57190</v>
      </c>
      <c r="G8" s="49">
        <v>683933</v>
      </c>
      <c r="H8" s="17">
        <f>(G8-G7)*10</f>
        <v>3890</v>
      </c>
      <c r="I8" s="17">
        <f>H8*50%</f>
        <v>1945</v>
      </c>
      <c r="J8" s="49">
        <v>496750</v>
      </c>
      <c r="K8" s="17">
        <f>(J8-J7)*10</f>
        <v>54780</v>
      </c>
      <c r="L8" s="49">
        <v>889762</v>
      </c>
      <c r="M8" s="17">
        <f>(L8-L7)*10</f>
        <v>86550</v>
      </c>
      <c r="N8" s="49">
        <v>642291</v>
      </c>
      <c r="O8" s="17">
        <f t="shared" ref="O8:O24" si="0">(N8-N7)*10</f>
        <v>17090</v>
      </c>
      <c r="P8" s="17">
        <f>O8*50%</f>
        <v>8545</v>
      </c>
      <c r="Q8" s="49">
        <v>62767</v>
      </c>
      <c r="R8" s="17">
        <f t="shared" ref="R8:R24" si="1">(Q8-Q7)*10</f>
        <v>6950</v>
      </c>
      <c r="S8" s="17">
        <f>R8*50%</f>
        <v>3475</v>
      </c>
      <c r="T8" s="49">
        <v>8220</v>
      </c>
      <c r="U8" s="17">
        <f>(T8-T7)*10</f>
        <v>5260</v>
      </c>
      <c r="V8" s="17">
        <f>U8*50%</f>
        <v>2630</v>
      </c>
      <c r="W8" s="49">
        <v>65224</v>
      </c>
      <c r="X8" s="17">
        <f>(W8-W7)*10</f>
        <v>8760</v>
      </c>
      <c r="Y8" s="17">
        <f>X8*50%</f>
        <v>4380</v>
      </c>
      <c r="Z8" s="49">
        <v>866318</v>
      </c>
      <c r="AA8" s="17">
        <f>Z8-Z7</f>
        <v>911</v>
      </c>
      <c r="AB8" s="49">
        <v>313571</v>
      </c>
      <c r="AC8" s="17">
        <f>AB8-AB7</f>
        <v>2072</v>
      </c>
      <c r="AD8" s="49">
        <v>50414</v>
      </c>
      <c r="AE8" s="17">
        <f>AD8-AD7</f>
        <v>3665</v>
      </c>
      <c r="AF8" s="49">
        <v>192224</v>
      </c>
      <c r="AG8" s="17">
        <f>AF8-AF7</f>
        <v>2091</v>
      </c>
      <c r="AH8" s="49">
        <v>7269</v>
      </c>
      <c r="AI8" s="17">
        <f>AH8-AH7+1000000</f>
        <v>9786</v>
      </c>
      <c r="AK8" s="97">
        <f>SUM(D8,F8,I8,K8,M8,P8,S8,V8,Y8)</f>
        <v>259115</v>
      </c>
      <c r="AL8" s="98">
        <f>SUM(P8,S8,V8,Y8,AA8,AC8,AE8,AG8,AI8)</f>
        <v>37555</v>
      </c>
    </row>
    <row r="9" spans="1:38" ht="39.950000000000003" customHeight="1">
      <c r="A9" s="145">
        <v>44014</v>
      </c>
      <c r="B9" s="16"/>
      <c r="C9" s="49">
        <v>278972</v>
      </c>
      <c r="D9" s="17">
        <f t="shared" ref="D9:F25" si="2">(C9-C8)*10</f>
        <v>38940</v>
      </c>
      <c r="E9" s="49">
        <v>900046</v>
      </c>
      <c r="F9" s="17">
        <f t="shared" si="2"/>
        <v>57240</v>
      </c>
      <c r="G9" s="49">
        <v>685106</v>
      </c>
      <c r="H9" s="17">
        <f t="shared" ref="H9" si="3">(G9-G8)*10</f>
        <v>11730</v>
      </c>
      <c r="I9" s="17">
        <f t="shared" ref="I9:I24" si="4">H9*50%</f>
        <v>5865</v>
      </c>
      <c r="J9" s="49">
        <v>502194</v>
      </c>
      <c r="K9" s="17">
        <f t="shared" ref="K9" si="5">(J9-J8)*10</f>
        <v>54440</v>
      </c>
      <c r="L9" s="49">
        <v>898362</v>
      </c>
      <c r="M9" s="17">
        <f t="shared" ref="M9" si="6">(L9-L8)*10</f>
        <v>86000</v>
      </c>
      <c r="N9" s="49">
        <v>644005</v>
      </c>
      <c r="O9" s="17">
        <f t="shared" si="0"/>
        <v>17140</v>
      </c>
      <c r="P9" s="17">
        <f t="shared" ref="P9:P24" si="7">O9*50%</f>
        <v>8570</v>
      </c>
      <c r="Q9" s="49">
        <v>63104</v>
      </c>
      <c r="R9" s="17">
        <f t="shared" si="1"/>
        <v>3370</v>
      </c>
      <c r="S9" s="17">
        <f t="shared" ref="S9:S24" si="8">R9*50%</f>
        <v>1685</v>
      </c>
      <c r="T9" s="49">
        <v>8222</v>
      </c>
      <c r="U9" s="17">
        <f t="shared" ref="U9" si="9">(T9-T8)*10</f>
        <v>20</v>
      </c>
      <c r="V9" s="17">
        <f t="shared" ref="V9:V24" si="10">U9*50%</f>
        <v>10</v>
      </c>
      <c r="W9" s="49">
        <v>66354</v>
      </c>
      <c r="X9" s="17">
        <f t="shared" ref="X9" si="11">W9-W8</f>
        <v>1130</v>
      </c>
      <c r="Y9" s="17">
        <f t="shared" ref="Y9:Y24" si="12">X9*50%</f>
        <v>565</v>
      </c>
      <c r="Z9" s="49">
        <v>867252</v>
      </c>
      <c r="AA9" s="17">
        <f t="shared" ref="AA9" si="13">Z9-Z8</f>
        <v>934</v>
      </c>
      <c r="AB9" s="49">
        <v>315731</v>
      </c>
      <c r="AC9" s="17">
        <f t="shared" ref="AC9" si="14">AB9-AB8</f>
        <v>2160</v>
      </c>
      <c r="AD9" s="49">
        <v>54240</v>
      </c>
      <c r="AE9" s="17">
        <f t="shared" ref="AE9" si="15">AD9-AD8</f>
        <v>3826</v>
      </c>
      <c r="AF9" s="49">
        <v>194396</v>
      </c>
      <c r="AG9" s="17">
        <f t="shared" ref="AG9" si="16">AF9-AF8</f>
        <v>2172</v>
      </c>
      <c r="AH9" s="49">
        <v>17417</v>
      </c>
      <c r="AI9" s="17">
        <f t="shared" ref="AI9" si="17">AH9-AH8</f>
        <v>10148</v>
      </c>
      <c r="AK9" s="97">
        <f t="shared" ref="AK9:AK24" si="18">SUM(D9,F9,I9,K9,M9,P9,S9,V9,Y9)</f>
        <v>253315</v>
      </c>
      <c r="AL9" s="98">
        <f t="shared" ref="AL9:AL24" si="19">SUM(P9,S9,V9,Y9,AA9,AC9,AE9,AG9,AI9)</f>
        <v>30070</v>
      </c>
    </row>
    <row r="10" spans="1:38" ht="39.950000000000003" customHeight="1">
      <c r="A10" s="145">
        <v>44015</v>
      </c>
      <c r="B10" s="16"/>
      <c r="C10" s="49">
        <v>282653</v>
      </c>
      <c r="D10" s="17">
        <f t="shared" si="2"/>
        <v>36810</v>
      </c>
      <c r="E10" s="49">
        <v>905514</v>
      </c>
      <c r="F10" s="17">
        <f t="shared" si="2"/>
        <v>54680</v>
      </c>
      <c r="G10" s="49">
        <v>685997</v>
      </c>
      <c r="H10" s="17">
        <f t="shared" ref="H10" si="20">(G10-G9)*10</f>
        <v>8910</v>
      </c>
      <c r="I10" s="17">
        <f t="shared" si="4"/>
        <v>4455</v>
      </c>
      <c r="J10" s="49">
        <v>507827</v>
      </c>
      <c r="K10" s="17">
        <f t="shared" ref="K10" si="21">(J10-J9)*10</f>
        <v>56330</v>
      </c>
      <c r="L10" s="49">
        <v>907847</v>
      </c>
      <c r="M10" s="17">
        <f t="shared" ref="M10" si="22">(L10-L9)*10</f>
        <v>94850</v>
      </c>
      <c r="N10" s="49">
        <v>645615</v>
      </c>
      <c r="O10" s="17">
        <f t="shared" si="0"/>
        <v>16100</v>
      </c>
      <c r="P10" s="17">
        <f t="shared" si="7"/>
        <v>8050</v>
      </c>
      <c r="Q10" s="49">
        <v>63423</v>
      </c>
      <c r="R10" s="17">
        <f t="shared" si="1"/>
        <v>3190</v>
      </c>
      <c r="S10" s="17">
        <f t="shared" si="8"/>
        <v>1595</v>
      </c>
      <c r="T10" s="49">
        <v>8578</v>
      </c>
      <c r="U10" s="17">
        <f t="shared" ref="U10" si="23">(T10-T9)*10</f>
        <v>3560</v>
      </c>
      <c r="V10" s="17">
        <f t="shared" si="10"/>
        <v>1780</v>
      </c>
      <c r="W10" s="49">
        <v>67256</v>
      </c>
      <c r="X10" s="17">
        <f t="shared" ref="X10" si="24">W10-W9</f>
        <v>902</v>
      </c>
      <c r="Y10" s="17">
        <f t="shared" si="12"/>
        <v>451</v>
      </c>
      <c r="Z10" s="49">
        <v>868180</v>
      </c>
      <c r="AA10" s="17">
        <f t="shared" ref="AA10" si="25">Z10-Z9</f>
        <v>928</v>
      </c>
      <c r="AB10" s="49">
        <v>317818</v>
      </c>
      <c r="AC10" s="17">
        <f t="shared" ref="AC10" si="26">AB10-AB9</f>
        <v>2087</v>
      </c>
      <c r="AD10" s="49">
        <v>57913</v>
      </c>
      <c r="AE10" s="17">
        <f t="shared" ref="AE10" si="27">AD10-AD9</f>
        <v>3673</v>
      </c>
      <c r="AF10" s="49">
        <v>196505</v>
      </c>
      <c r="AG10" s="17">
        <f t="shared" ref="AG10" si="28">AF10-AF9</f>
        <v>2109</v>
      </c>
      <c r="AH10" s="49">
        <v>27033</v>
      </c>
      <c r="AI10" s="17">
        <f t="shared" ref="AI10" si="29">AH10-AH9</f>
        <v>9616</v>
      </c>
      <c r="AK10" s="97">
        <f t="shared" si="18"/>
        <v>259001</v>
      </c>
      <c r="AL10" s="98">
        <f t="shared" si="19"/>
        <v>30289</v>
      </c>
    </row>
    <row r="11" spans="1:38" ht="39.950000000000003" customHeight="1">
      <c r="A11" s="145">
        <v>44016</v>
      </c>
      <c r="B11" s="16"/>
      <c r="C11" s="49">
        <v>286635</v>
      </c>
      <c r="D11" s="17">
        <f t="shared" si="2"/>
        <v>39820</v>
      </c>
      <c r="E11" s="49">
        <v>911212</v>
      </c>
      <c r="F11" s="17">
        <f t="shared" si="2"/>
        <v>56980</v>
      </c>
      <c r="G11" s="49">
        <v>686624</v>
      </c>
      <c r="H11" s="17">
        <f>(G11-G10)*10</f>
        <v>6270</v>
      </c>
      <c r="I11" s="17">
        <f t="shared" si="4"/>
        <v>3135</v>
      </c>
      <c r="J11" s="49">
        <v>513423</v>
      </c>
      <c r="K11" s="17">
        <f t="shared" ref="K11" si="30">(J11-J10)*10</f>
        <v>55960</v>
      </c>
      <c r="L11" s="49">
        <v>916829</v>
      </c>
      <c r="M11" s="17">
        <f t="shared" ref="M11" si="31">(L11-L10)*10</f>
        <v>89820</v>
      </c>
      <c r="N11" s="49">
        <v>646951</v>
      </c>
      <c r="O11" s="17">
        <f t="shared" si="0"/>
        <v>13360</v>
      </c>
      <c r="P11" s="17">
        <f t="shared" si="7"/>
        <v>6680</v>
      </c>
      <c r="Q11" s="49">
        <v>64430</v>
      </c>
      <c r="R11" s="17">
        <f t="shared" si="1"/>
        <v>10070</v>
      </c>
      <c r="S11" s="17">
        <f t="shared" si="8"/>
        <v>5035</v>
      </c>
      <c r="T11" s="49">
        <v>9668</v>
      </c>
      <c r="U11" s="17">
        <f t="shared" ref="U11" si="32">(T11-T10)*10</f>
        <v>10900</v>
      </c>
      <c r="V11" s="17">
        <f t="shared" si="10"/>
        <v>5450</v>
      </c>
      <c r="W11" s="49">
        <v>67313</v>
      </c>
      <c r="X11" s="17">
        <f t="shared" ref="X11" si="33">W11-W10</f>
        <v>57</v>
      </c>
      <c r="Y11" s="17">
        <f t="shared" si="12"/>
        <v>28.5</v>
      </c>
      <c r="Z11" s="49">
        <v>869159</v>
      </c>
      <c r="AA11" s="17">
        <f t="shared" ref="AA11" si="34">Z11-Z10</f>
        <v>979</v>
      </c>
      <c r="AB11" s="49">
        <v>319798</v>
      </c>
      <c r="AC11" s="17">
        <f t="shared" ref="AC11" si="35">AB11-AB10</f>
        <v>1980</v>
      </c>
      <c r="AD11" s="49">
        <v>61603</v>
      </c>
      <c r="AE11" s="17">
        <f t="shared" ref="AE11" si="36">AD11-AD10</f>
        <v>3690</v>
      </c>
      <c r="AF11" s="49">
        <v>198549</v>
      </c>
      <c r="AG11" s="17">
        <f t="shared" ref="AG11" si="37">AF11-AF10</f>
        <v>2044</v>
      </c>
      <c r="AH11" s="49">
        <v>36779</v>
      </c>
      <c r="AI11" s="17">
        <f t="shared" ref="AI11" si="38">AH11-AH10</f>
        <v>9746</v>
      </c>
      <c r="AK11" s="97">
        <f t="shared" si="18"/>
        <v>262908.5</v>
      </c>
      <c r="AL11" s="98">
        <f t="shared" si="19"/>
        <v>35632.5</v>
      </c>
    </row>
    <row r="12" spans="1:38" ht="39.950000000000003" customHeight="1">
      <c r="A12" s="145">
        <v>44017</v>
      </c>
      <c r="B12" s="16"/>
      <c r="C12" s="49">
        <v>290668</v>
      </c>
      <c r="D12" s="17">
        <f t="shared" si="2"/>
        <v>40330</v>
      </c>
      <c r="E12" s="49">
        <v>916856</v>
      </c>
      <c r="F12" s="17">
        <f t="shared" si="2"/>
        <v>56440</v>
      </c>
      <c r="G12" s="49">
        <v>687019</v>
      </c>
      <c r="H12" s="17">
        <f t="shared" ref="H12" si="39">(G12-G11)*10</f>
        <v>3950</v>
      </c>
      <c r="I12" s="17">
        <f t="shared" si="4"/>
        <v>1975</v>
      </c>
      <c r="J12" s="49">
        <v>518798</v>
      </c>
      <c r="K12" s="17">
        <f t="shared" ref="K12" si="40">(J12-J11)*10</f>
        <v>53750</v>
      </c>
      <c r="L12" s="49">
        <v>925666</v>
      </c>
      <c r="M12" s="17">
        <f t="shared" ref="M12" si="41">(L12-L11)*10</f>
        <v>88370</v>
      </c>
      <c r="N12" s="49">
        <v>648318</v>
      </c>
      <c r="O12" s="17">
        <f t="shared" si="0"/>
        <v>13670</v>
      </c>
      <c r="P12" s="17">
        <f t="shared" si="7"/>
        <v>6835</v>
      </c>
      <c r="Q12" s="49">
        <v>65456</v>
      </c>
      <c r="R12" s="17">
        <f t="shared" si="1"/>
        <v>10260</v>
      </c>
      <c r="S12" s="17">
        <f t="shared" si="8"/>
        <v>5130</v>
      </c>
      <c r="T12" s="49">
        <v>10857</v>
      </c>
      <c r="U12" s="17">
        <f t="shared" ref="U12" si="42">(T12-T11)*10</f>
        <v>11890</v>
      </c>
      <c r="V12" s="17">
        <f t="shared" si="10"/>
        <v>5945</v>
      </c>
      <c r="W12" s="49">
        <v>67370</v>
      </c>
      <c r="X12" s="17">
        <f t="shared" ref="X12" si="43">W12-W11</f>
        <v>57</v>
      </c>
      <c r="Y12" s="17">
        <f t="shared" si="12"/>
        <v>28.5</v>
      </c>
      <c r="Z12" s="49">
        <v>870075</v>
      </c>
      <c r="AA12" s="17">
        <f t="shared" ref="AA12" si="44">Z12-Z11</f>
        <v>916</v>
      </c>
      <c r="AB12" s="49">
        <v>321786</v>
      </c>
      <c r="AC12" s="17">
        <f t="shared" ref="AC12" si="45">AB12-AB11</f>
        <v>1988</v>
      </c>
      <c r="AD12" s="49">
        <v>65317</v>
      </c>
      <c r="AE12" s="17">
        <f t="shared" ref="AE12" si="46">AD12-AD11</f>
        <v>3714</v>
      </c>
      <c r="AF12" s="49">
        <v>200631</v>
      </c>
      <c r="AG12" s="17">
        <f t="shared" ref="AG12" si="47">AF12-AF11</f>
        <v>2082</v>
      </c>
      <c r="AH12" s="49">
        <v>46774</v>
      </c>
      <c r="AI12" s="17">
        <f t="shared" ref="AI12" si="48">AH12-AH11</f>
        <v>9995</v>
      </c>
      <c r="AK12" s="97">
        <f t="shared" si="18"/>
        <v>258803.5</v>
      </c>
      <c r="AL12" s="98">
        <f t="shared" si="19"/>
        <v>36633.5</v>
      </c>
    </row>
    <row r="13" spans="1:38" ht="39.950000000000003" customHeight="1">
      <c r="A13" s="145">
        <v>44018</v>
      </c>
      <c r="B13" s="16"/>
      <c r="C13" s="49">
        <v>294502</v>
      </c>
      <c r="D13" s="17">
        <f t="shared" si="2"/>
        <v>38340</v>
      </c>
      <c r="E13" s="49">
        <v>922787</v>
      </c>
      <c r="F13" s="17">
        <f t="shared" si="2"/>
        <v>59310</v>
      </c>
      <c r="G13" s="49">
        <v>687421</v>
      </c>
      <c r="H13" s="17">
        <f t="shared" ref="H13" si="49">(G13-G12)*10</f>
        <v>4020</v>
      </c>
      <c r="I13" s="17">
        <f t="shared" si="4"/>
        <v>2010</v>
      </c>
      <c r="J13" s="49">
        <v>524433</v>
      </c>
      <c r="K13" s="17">
        <f t="shared" ref="K13" si="50">(J13-J12)*10</f>
        <v>56350</v>
      </c>
      <c r="L13" s="49">
        <v>934289</v>
      </c>
      <c r="M13" s="17">
        <f t="shared" ref="M13" si="51">(L13-L12)*10</f>
        <v>86230</v>
      </c>
      <c r="N13" s="49">
        <v>649713</v>
      </c>
      <c r="O13" s="17">
        <f t="shared" si="0"/>
        <v>13950</v>
      </c>
      <c r="P13" s="17">
        <f t="shared" si="7"/>
        <v>6975</v>
      </c>
      <c r="Q13" s="49">
        <v>66488</v>
      </c>
      <c r="R13" s="17">
        <f t="shared" si="1"/>
        <v>10320</v>
      </c>
      <c r="S13" s="17">
        <f t="shared" si="8"/>
        <v>5160</v>
      </c>
      <c r="T13" s="49">
        <v>11383</v>
      </c>
      <c r="U13" s="17">
        <f t="shared" ref="U13" si="52">(T13-T12)*10</f>
        <v>5260</v>
      </c>
      <c r="V13" s="17">
        <f t="shared" si="10"/>
        <v>2630</v>
      </c>
      <c r="W13" s="49">
        <v>67992</v>
      </c>
      <c r="X13" s="17">
        <f t="shared" ref="X13" si="53">W13-W12</f>
        <v>622</v>
      </c>
      <c r="Y13" s="17">
        <f t="shared" si="12"/>
        <v>311</v>
      </c>
      <c r="Z13" s="49">
        <v>870956</v>
      </c>
      <c r="AA13" s="17">
        <f t="shared" ref="AA13" si="54">Z13-Z12</f>
        <v>881</v>
      </c>
      <c r="AB13" s="49">
        <v>323992</v>
      </c>
      <c r="AC13" s="17">
        <f t="shared" ref="AC13" si="55">AB13-AB12</f>
        <v>2206</v>
      </c>
      <c r="AD13" s="49">
        <v>69103</v>
      </c>
      <c r="AE13" s="17">
        <f t="shared" ref="AE13" si="56">AD13-AD12</f>
        <v>3786</v>
      </c>
      <c r="AF13" s="49">
        <v>202750</v>
      </c>
      <c r="AG13" s="17">
        <f t="shared" ref="AG13" si="57">AF13-AF12</f>
        <v>2119</v>
      </c>
      <c r="AH13" s="49">
        <v>56887</v>
      </c>
      <c r="AI13" s="17">
        <f t="shared" ref="AI13" si="58">AH13-AH12</f>
        <v>10113</v>
      </c>
      <c r="AK13" s="97">
        <f t="shared" si="18"/>
        <v>257316</v>
      </c>
      <c r="AL13" s="98">
        <f t="shared" si="19"/>
        <v>34181</v>
      </c>
    </row>
    <row r="14" spans="1:38" ht="39.950000000000003" customHeight="1">
      <c r="A14" s="145">
        <v>44019</v>
      </c>
      <c r="B14" s="16"/>
      <c r="C14" s="49">
        <v>298340</v>
      </c>
      <c r="D14" s="17">
        <f t="shared" si="2"/>
        <v>38380</v>
      </c>
      <c r="E14" s="49">
        <v>928233</v>
      </c>
      <c r="F14" s="17">
        <f t="shared" si="2"/>
        <v>54460</v>
      </c>
      <c r="G14" s="49">
        <v>687918</v>
      </c>
      <c r="H14" s="17">
        <f t="shared" ref="H14" si="59">(G14-G13)*10</f>
        <v>4970</v>
      </c>
      <c r="I14" s="17">
        <f t="shared" si="4"/>
        <v>2485</v>
      </c>
      <c r="J14" s="49">
        <v>530248</v>
      </c>
      <c r="K14" s="17">
        <f t="shared" ref="K14" si="60">(J14-J13)*10</f>
        <v>58150</v>
      </c>
      <c r="L14" s="49">
        <v>943217</v>
      </c>
      <c r="M14" s="17">
        <f t="shared" ref="M14" si="61">(L14-L13)*10</f>
        <v>89280</v>
      </c>
      <c r="N14" s="49">
        <v>651401</v>
      </c>
      <c r="O14" s="17">
        <f t="shared" si="0"/>
        <v>16880</v>
      </c>
      <c r="P14" s="17">
        <f t="shared" si="7"/>
        <v>8440</v>
      </c>
      <c r="Q14" s="49">
        <v>67550</v>
      </c>
      <c r="R14" s="17">
        <f t="shared" si="1"/>
        <v>10620</v>
      </c>
      <c r="S14" s="17">
        <f t="shared" si="8"/>
        <v>5310</v>
      </c>
      <c r="T14" s="49">
        <v>11385</v>
      </c>
      <c r="U14" s="17">
        <f t="shared" ref="U14" si="62">(T14-T13)*10</f>
        <v>20</v>
      </c>
      <c r="V14" s="17">
        <f t="shared" si="10"/>
        <v>10</v>
      </c>
      <c r="W14" s="49">
        <v>68774</v>
      </c>
      <c r="X14" s="17">
        <f t="shared" ref="X14" si="63">W14-W13</f>
        <v>782</v>
      </c>
      <c r="Y14" s="17">
        <f t="shared" si="12"/>
        <v>391</v>
      </c>
      <c r="Z14" s="49">
        <v>871969</v>
      </c>
      <c r="AA14" s="17">
        <f t="shared" ref="AA14" si="64">Z14-Z13</f>
        <v>1013</v>
      </c>
      <c r="AB14" s="49">
        <v>326240</v>
      </c>
      <c r="AC14" s="17">
        <f t="shared" ref="AC14" si="65">AB14-AB13</f>
        <v>2248</v>
      </c>
      <c r="AD14" s="49">
        <v>72886</v>
      </c>
      <c r="AE14" s="17">
        <f t="shared" ref="AE14" si="66">AD14-AD13</f>
        <v>3783</v>
      </c>
      <c r="AF14" s="49">
        <v>204929</v>
      </c>
      <c r="AG14" s="17">
        <f t="shared" ref="AG14" si="67">AF14-AF13</f>
        <v>2179</v>
      </c>
      <c r="AH14" s="49">
        <v>67055</v>
      </c>
      <c r="AI14" s="17">
        <f t="shared" ref="AI14" si="68">AH14-AH13</f>
        <v>10168</v>
      </c>
      <c r="AK14" s="97">
        <f t="shared" si="18"/>
        <v>256906</v>
      </c>
      <c r="AL14" s="98">
        <f t="shared" si="19"/>
        <v>33542</v>
      </c>
    </row>
    <row r="15" spans="1:38" ht="39.950000000000003" customHeight="1">
      <c r="A15" s="145">
        <v>44020</v>
      </c>
      <c r="B15" s="16"/>
      <c r="C15" s="49">
        <v>302153</v>
      </c>
      <c r="D15" s="17">
        <f t="shared" si="2"/>
        <v>38130</v>
      </c>
      <c r="E15" s="49">
        <v>933532</v>
      </c>
      <c r="F15" s="17">
        <f t="shared" si="2"/>
        <v>52990</v>
      </c>
      <c r="G15" s="49">
        <v>688826</v>
      </c>
      <c r="H15" s="17">
        <f t="shared" ref="H15" si="69">(G15-G14)*10</f>
        <v>9080</v>
      </c>
      <c r="I15" s="17">
        <f t="shared" si="4"/>
        <v>4540</v>
      </c>
      <c r="J15" s="49">
        <v>535905</v>
      </c>
      <c r="K15" s="17">
        <f t="shared" ref="K15" si="70">(J15-J14)*10</f>
        <v>56570</v>
      </c>
      <c r="L15" s="49">
        <v>952191</v>
      </c>
      <c r="M15" s="17">
        <f t="shared" ref="M15" si="71">(L15-L14)*10</f>
        <v>89740</v>
      </c>
      <c r="N15" s="49">
        <v>652374</v>
      </c>
      <c r="O15" s="17">
        <f t="shared" si="0"/>
        <v>9730</v>
      </c>
      <c r="P15" s="17">
        <f t="shared" si="7"/>
        <v>4865</v>
      </c>
      <c r="Q15" s="49">
        <v>68601</v>
      </c>
      <c r="R15" s="17">
        <f t="shared" si="1"/>
        <v>10510</v>
      </c>
      <c r="S15" s="17">
        <f t="shared" si="8"/>
        <v>5255</v>
      </c>
      <c r="T15" s="49">
        <v>11456</v>
      </c>
      <c r="U15" s="17">
        <f t="shared" ref="U15" si="72">(T15-T14)*10</f>
        <v>710</v>
      </c>
      <c r="V15" s="17">
        <f t="shared" si="10"/>
        <v>355</v>
      </c>
      <c r="W15" s="49">
        <v>69569</v>
      </c>
      <c r="X15" s="17">
        <f t="shared" ref="X15" si="73">W15-W14</f>
        <v>795</v>
      </c>
      <c r="Y15" s="17">
        <f t="shared" si="12"/>
        <v>397.5</v>
      </c>
      <c r="Z15" s="277">
        <v>3900</v>
      </c>
      <c r="AA15" s="17">
        <f>Z15-3370+872389-Z14</f>
        <v>950</v>
      </c>
      <c r="AB15" s="277">
        <v>4140</v>
      </c>
      <c r="AC15" s="17">
        <f>AB15-3300+327525-AB14</f>
        <v>2125</v>
      </c>
      <c r="AD15" s="277">
        <v>4810</v>
      </c>
      <c r="AE15" s="17">
        <f>AD15-3370+78190-AD14</f>
        <v>6744</v>
      </c>
      <c r="AF15" s="277">
        <v>4160</v>
      </c>
      <c r="AG15" s="17">
        <f>AF15-3370+206333-AF14</f>
        <v>2194</v>
      </c>
      <c r="AH15" s="277">
        <v>9160</v>
      </c>
      <c r="AI15" s="17">
        <f>AH15-3370+71279-AH14</f>
        <v>10014</v>
      </c>
      <c r="AK15" s="97">
        <f t="shared" si="18"/>
        <v>252842.5</v>
      </c>
      <c r="AL15" s="98">
        <f t="shared" si="19"/>
        <v>32899.5</v>
      </c>
    </row>
    <row r="16" spans="1:38" ht="39.950000000000003" customHeight="1">
      <c r="A16" s="145">
        <v>44021</v>
      </c>
      <c r="B16" s="16"/>
      <c r="C16" s="49">
        <v>306009</v>
      </c>
      <c r="D16" s="17">
        <f t="shared" si="2"/>
        <v>38560</v>
      </c>
      <c r="E16" s="49">
        <v>938948</v>
      </c>
      <c r="F16" s="17">
        <f t="shared" si="2"/>
        <v>54160</v>
      </c>
      <c r="G16" s="49">
        <v>689248</v>
      </c>
      <c r="H16" s="17">
        <f t="shared" ref="H16" si="74">(G16-G15)*10</f>
        <v>4220</v>
      </c>
      <c r="I16" s="17">
        <f t="shared" si="4"/>
        <v>2110</v>
      </c>
      <c r="J16" s="49">
        <v>541539</v>
      </c>
      <c r="K16" s="17">
        <f t="shared" ref="K16" si="75">(J16-J15)*10</f>
        <v>56340</v>
      </c>
      <c r="L16" s="49">
        <v>961089</v>
      </c>
      <c r="M16" s="17">
        <f t="shared" ref="M16" si="76">(L16-L15)*10</f>
        <v>88980</v>
      </c>
      <c r="N16" s="49">
        <v>653255</v>
      </c>
      <c r="O16" s="17">
        <f t="shared" si="0"/>
        <v>8810</v>
      </c>
      <c r="P16" s="17">
        <f t="shared" si="7"/>
        <v>4405</v>
      </c>
      <c r="Q16" s="49">
        <v>69696</v>
      </c>
      <c r="R16" s="17">
        <f t="shared" si="1"/>
        <v>10950</v>
      </c>
      <c r="S16" s="17">
        <f t="shared" si="8"/>
        <v>5475</v>
      </c>
      <c r="T16" s="49">
        <v>11878</v>
      </c>
      <c r="U16" s="17">
        <f t="shared" ref="U16" si="77">(T16-T15)*10</f>
        <v>4220</v>
      </c>
      <c r="V16" s="17">
        <f t="shared" si="10"/>
        <v>2110</v>
      </c>
      <c r="W16" s="49">
        <v>70752</v>
      </c>
      <c r="X16" s="17">
        <f t="shared" ref="X16" si="78">W16-W15</f>
        <v>1183</v>
      </c>
      <c r="Y16" s="17">
        <f t="shared" si="12"/>
        <v>591.5</v>
      </c>
      <c r="Z16" s="277">
        <v>4860</v>
      </c>
      <c r="AA16" s="17">
        <f t="shared" ref="AA16" si="79">Z16-Z15</f>
        <v>960</v>
      </c>
      <c r="AB16" s="277">
        <v>6240</v>
      </c>
      <c r="AC16" s="17">
        <f t="shared" ref="AC16" si="80">AB16-AB15</f>
        <v>2100</v>
      </c>
      <c r="AD16" s="277">
        <v>8620</v>
      </c>
      <c r="AE16" s="17">
        <f t="shared" ref="AE16" si="81">AD16-AD15</f>
        <v>3810</v>
      </c>
      <c r="AF16" s="277">
        <v>6320</v>
      </c>
      <c r="AG16" s="17">
        <f t="shared" ref="AG16" si="82">AF16-AF15</f>
        <v>2160</v>
      </c>
      <c r="AH16" s="277">
        <v>19440</v>
      </c>
      <c r="AI16" s="17">
        <f t="shared" ref="AI16" si="83">AH16-AH15</f>
        <v>10280</v>
      </c>
      <c r="AK16" s="97">
        <f t="shared" si="18"/>
        <v>252731.5</v>
      </c>
      <c r="AL16" s="98">
        <f t="shared" si="19"/>
        <v>31891.5</v>
      </c>
    </row>
    <row r="17" spans="1:38" ht="39.950000000000003" customHeight="1">
      <c r="A17" s="145">
        <v>44022</v>
      </c>
      <c r="B17" s="16"/>
      <c r="C17" s="49">
        <v>309908</v>
      </c>
      <c r="D17" s="17">
        <f t="shared" si="2"/>
        <v>38990</v>
      </c>
      <c r="E17" s="49">
        <v>944504</v>
      </c>
      <c r="F17" s="17">
        <f t="shared" si="2"/>
        <v>55560</v>
      </c>
      <c r="G17" s="49">
        <v>690007</v>
      </c>
      <c r="H17" s="17">
        <f t="shared" ref="H17" si="84">(G17-G16)*10</f>
        <v>7590</v>
      </c>
      <c r="I17" s="17">
        <f t="shared" si="4"/>
        <v>3795</v>
      </c>
      <c r="J17" s="49">
        <v>546839</v>
      </c>
      <c r="K17" s="17">
        <f t="shared" ref="K17" si="85">(J17-J16)*10</f>
        <v>53000</v>
      </c>
      <c r="L17" s="49">
        <v>969983</v>
      </c>
      <c r="M17" s="17">
        <f t="shared" ref="M17" si="86">(L17-L16)*10</f>
        <v>88940</v>
      </c>
      <c r="N17" s="49">
        <v>654823</v>
      </c>
      <c r="O17" s="17">
        <f t="shared" si="0"/>
        <v>15680</v>
      </c>
      <c r="P17" s="17">
        <f t="shared" si="7"/>
        <v>7840</v>
      </c>
      <c r="Q17" s="49">
        <v>70402</v>
      </c>
      <c r="R17" s="17">
        <f t="shared" si="1"/>
        <v>7060</v>
      </c>
      <c r="S17" s="17">
        <f t="shared" si="8"/>
        <v>3530</v>
      </c>
      <c r="T17" s="49">
        <v>11885</v>
      </c>
      <c r="U17" s="17">
        <f t="shared" ref="U17" si="87">(T17-T16)*10</f>
        <v>70</v>
      </c>
      <c r="V17" s="17">
        <f t="shared" si="10"/>
        <v>35</v>
      </c>
      <c r="W17" s="49">
        <v>71419</v>
      </c>
      <c r="X17" s="17">
        <f t="shared" ref="X17" si="88">W17-W16</f>
        <v>667</v>
      </c>
      <c r="Y17" s="17">
        <f t="shared" si="12"/>
        <v>333.5</v>
      </c>
      <c r="Z17" s="277">
        <v>5820</v>
      </c>
      <c r="AA17" s="17">
        <f t="shared" ref="AA17" si="89">Z17-Z16</f>
        <v>960</v>
      </c>
      <c r="AB17" s="277">
        <v>8410</v>
      </c>
      <c r="AC17" s="17">
        <f t="shared" ref="AC17" si="90">AB17-AB16</f>
        <v>2170</v>
      </c>
      <c r="AD17" s="277">
        <v>12490</v>
      </c>
      <c r="AE17" s="17">
        <f t="shared" ref="AE17" si="91">AD17-AD16</f>
        <v>3870</v>
      </c>
      <c r="AF17" s="277">
        <v>8490</v>
      </c>
      <c r="AG17" s="17">
        <f t="shared" ref="AG17" si="92">AF17-AF16</f>
        <v>2170</v>
      </c>
      <c r="AH17" s="277">
        <v>29550</v>
      </c>
      <c r="AI17" s="17">
        <f t="shared" ref="AI17" si="93">AH17-AH16</f>
        <v>10110</v>
      </c>
      <c r="AK17" s="97">
        <f t="shared" si="18"/>
        <v>252023.5</v>
      </c>
      <c r="AL17" s="98">
        <f t="shared" si="19"/>
        <v>31018.5</v>
      </c>
    </row>
    <row r="18" spans="1:38" ht="39.950000000000003" customHeight="1">
      <c r="A18" s="145">
        <v>44023</v>
      </c>
      <c r="B18" s="16"/>
      <c r="C18" s="49">
        <v>313998</v>
      </c>
      <c r="D18" s="17">
        <f t="shared" si="2"/>
        <v>40900</v>
      </c>
      <c r="E18" s="49">
        <v>950085</v>
      </c>
      <c r="F18" s="17">
        <f t="shared" si="2"/>
        <v>55810</v>
      </c>
      <c r="G18" s="49">
        <v>691537</v>
      </c>
      <c r="H18" s="17">
        <f t="shared" ref="H18" si="94">(G18-G17)*10</f>
        <v>15300</v>
      </c>
      <c r="I18" s="17">
        <f t="shared" si="4"/>
        <v>7650</v>
      </c>
      <c r="J18" s="49">
        <v>552451</v>
      </c>
      <c r="K18" s="17">
        <f t="shared" ref="K18" si="95">(J18-J17)*10</f>
        <v>56120</v>
      </c>
      <c r="L18" s="49">
        <v>978897</v>
      </c>
      <c r="M18" s="17">
        <f t="shared" ref="M18" si="96">(L18-L17)*10</f>
        <v>89140</v>
      </c>
      <c r="N18" s="49">
        <v>656378</v>
      </c>
      <c r="O18" s="17">
        <f t="shared" si="0"/>
        <v>15550</v>
      </c>
      <c r="P18" s="17">
        <f t="shared" si="7"/>
        <v>7775</v>
      </c>
      <c r="Q18" s="49">
        <v>70404</v>
      </c>
      <c r="R18" s="17">
        <f t="shared" si="1"/>
        <v>20</v>
      </c>
      <c r="S18" s="17">
        <f t="shared" si="8"/>
        <v>10</v>
      </c>
      <c r="T18" s="49">
        <v>11887</v>
      </c>
      <c r="U18" s="17">
        <f t="shared" ref="U18" si="97">(T18-T17)*10</f>
        <v>20</v>
      </c>
      <c r="V18" s="17">
        <f t="shared" si="10"/>
        <v>10</v>
      </c>
      <c r="W18" s="49">
        <v>72230</v>
      </c>
      <c r="X18" s="17">
        <f t="shared" ref="X18" si="98">W18-W17</f>
        <v>811</v>
      </c>
      <c r="Y18" s="17">
        <f t="shared" si="12"/>
        <v>405.5</v>
      </c>
      <c r="Z18" s="277">
        <v>6810</v>
      </c>
      <c r="AA18" s="17">
        <f t="shared" ref="AA18" si="99">Z18-Z17</f>
        <v>990</v>
      </c>
      <c r="AB18" s="277">
        <v>10570</v>
      </c>
      <c r="AC18" s="17">
        <f t="shared" ref="AC18" si="100">AB18-AB17</f>
        <v>2160</v>
      </c>
      <c r="AD18" s="277">
        <v>16320</v>
      </c>
      <c r="AE18" s="17">
        <f t="shared" ref="AE18" si="101">AD18-AD17</f>
        <v>3830</v>
      </c>
      <c r="AF18" s="277">
        <v>10640</v>
      </c>
      <c r="AG18" s="17">
        <f t="shared" ref="AG18" si="102">AF18-AF17</f>
        <v>2150</v>
      </c>
      <c r="AH18" s="277">
        <v>39740</v>
      </c>
      <c r="AI18" s="17">
        <f t="shared" ref="AI18" si="103">AH18-AH17</f>
        <v>10190</v>
      </c>
      <c r="AK18" s="97">
        <f t="shared" si="18"/>
        <v>257820.5</v>
      </c>
      <c r="AL18" s="98">
        <f t="shared" si="19"/>
        <v>27520.5</v>
      </c>
    </row>
    <row r="19" spans="1:38" ht="39.950000000000003" customHeight="1">
      <c r="A19" s="145">
        <v>44024</v>
      </c>
      <c r="B19" s="16"/>
      <c r="C19" s="49">
        <v>317977</v>
      </c>
      <c r="D19" s="17">
        <f t="shared" si="2"/>
        <v>39790</v>
      </c>
      <c r="E19" s="277">
        <f>(E20+E18)/2</f>
        <v>955650</v>
      </c>
      <c r="F19" s="17">
        <f t="shared" si="2"/>
        <v>55650</v>
      </c>
      <c r="G19" s="49">
        <v>693074</v>
      </c>
      <c r="H19" s="17">
        <f t="shared" ref="H19" si="104">(G19-G18)*10</f>
        <v>15370</v>
      </c>
      <c r="I19" s="17">
        <f t="shared" si="4"/>
        <v>7685</v>
      </c>
      <c r="J19" s="49">
        <v>557890</v>
      </c>
      <c r="K19" s="17">
        <f t="shared" ref="K19" si="105">(J19-J18)*10</f>
        <v>54390</v>
      </c>
      <c r="L19" s="49">
        <v>987633</v>
      </c>
      <c r="M19" s="17">
        <f t="shared" ref="M19" si="106">(L19-L18)*10</f>
        <v>87360</v>
      </c>
      <c r="N19" s="49">
        <v>657939</v>
      </c>
      <c r="O19" s="17">
        <f t="shared" si="0"/>
        <v>15610</v>
      </c>
      <c r="P19" s="17">
        <f t="shared" si="7"/>
        <v>7805</v>
      </c>
      <c r="Q19" s="49">
        <v>70406</v>
      </c>
      <c r="R19" s="17">
        <f t="shared" si="1"/>
        <v>20</v>
      </c>
      <c r="S19" s="17">
        <f t="shared" si="8"/>
        <v>10</v>
      </c>
      <c r="T19" s="49">
        <v>11889</v>
      </c>
      <c r="U19" s="17">
        <f t="shared" ref="U19" si="107">(T19-T18)*10</f>
        <v>20</v>
      </c>
      <c r="V19" s="17">
        <f t="shared" si="10"/>
        <v>10</v>
      </c>
      <c r="W19" s="49">
        <v>73101</v>
      </c>
      <c r="X19" s="17">
        <f t="shared" ref="X19" si="108">W19-W18</f>
        <v>871</v>
      </c>
      <c r="Y19" s="17">
        <f t="shared" si="12"/>
        <v>435.5</v>
      </c>
      <c r="Z19" s="277">
        <v>7700</v>
      </c>
      <c r="AA19" s="17">
        <f t="shared" ref="AA19" si="109">Z19-Z18</f>
        <v>890</v>
      </c>
      <c r="AB19" s="277">
        <v>12710</v>
      </c>
      <c r="AC19" s="17">
        <f t="shared" ref="AC19" si="110">AB19-AB18</f>
        <v>2140</v>
      </c>
      <c r="AD19" s="277">
        <v>20030</v>
      </c>
      <c r="AE19" s="17">
        <f t="shared" ref="AE19" si="111">AD19-AD18</f>
        <v>3710</v>
      </c>
      <c r="AF19" s="277">
        <v>12770</v>
      </c>
      <c r="AG19" s="17">
        <f t="shared" ref="AG19" si="112">AF19-AF18</f>
        <v>2130</v>
      </c>
      <c r="AH19" s="277">
        <v>49760</v>
      </c>
      <c r="AI19" s="17">
        <f t="shared" ref="AI19" si="113">AH19-AH18</f>
        <v>10020</v>
      </c>
      <c r="AK19" s="97">
        <f t="shared" si="18"/>
        <v>253135.5</v>
      </c>
      <c r="AL19" s="98">
        <f t="shared" si="19"/>
        <v>27150.5</v>
      </c>
    </row>
    <row r="20" spans="1:38" ht="39.950000000000003" customHeight="1">
      <c r="A20" s="145">
        <v>44025</v>
      </c>
      <c r="B20" s="16"/>
      <c r="C20" s="49">
        <v>321739</v>
      </c>
      <c r="D20" s="17">
        <f t="shared" si="2"/>
        <v>37620</v>
      </c>
      <c r="E20" s="277">
        <v>961215</v>
      </c>
      <c r="F20" s="17">
        <f t="shared" si="2"/>
        <v>55650</v>
      </c>
      <c r="G20" s="49">
        <v>694618</v>
      </c>
      <c r="H20" s="17">
        <f t="shared" ref="H20" si="114">(G20-G19)*10</f>
        <v>15440</v>
      </c>
      <c r="I20" s="17">
        <f t="shared" si="4"/>
        <v>7720</v>
      </c>
      <c r="J20" s="49">
        <v>563437</v>
      </c>
      <c r="K20" s="17">
        <f t="shared" ref="K20" si="115">(J20-J19)*10</f>
        <v>55470</v>
      </c>
      <c r="L20" s="49">
        <v>996271</v>
      </c>
      <c r="M20" s="17">
        <f t="shared" ref="M20" si="116">(L20-L19)*10</f>
        <v>86380</v>
      </c>
      <c r="N20" s="49">
        <v>659510</v>
      </c>
      <c r="O20" s="17">
        <f t="shared" si="0"/>
        <v>15710</v>
      </c>
      <c r="P20" s="17">
        <f t="shared" si="7"/>
        <v>7855</v>
      </c>
      <c r="Q20" s="49">
        <v>70408</v>
      </c>
      <c r="R20" s="17">
        <f t="shared" si="1"/>
        <v>20</v>
      </c>
      <c r="S20" s="17">
        <f t="shared" si="8"/>
        <v>10</v>
      </c>
      <c r="T20" s="49">
        <v>12295</v>
      </c>
      <c r="U20" s="17">
        <f t="shared" ref="U20" si="117">(T20-T19)*10</f>
        <v>4060</v>
      </c>
      <c r="V20" s="17">
        <f t="shared" si="10"/>
        <v>2030</v>
      </c>
      <c r="W20" s="49">
        <v>73510</v>
      </c>
      <c r="X20" s="17">
        <f t="shared" ref="X20" si="118">W20-W19</f>
        <v>409</v>
      </c>
      <c r="Y20" s="17">
        <f t="shared" si="12"/>
        <v>204.5</v>
      </c>
      <c r="Z20" s="277">
        <v>8630</v>
      </c>
      <c r="AA20" s="17">
        <f t="shared" ref="AA20" si="119">Z20-Z19</f>
        <v>930</v>
      </c>
      <c r="AB20" s="277">
        <v>14970</v>
      </c>
      <c r="AC20" s="17">
        <f t="shared" ref="AC20" si="120">AB20-AB19</f>
        <v>2260</v>
      </c>
      <c r="AD20" s="277">
        <v>23870</v>
      </c>
      <c r="AE20" s="17">
        <f t="shared" ref="AE20" si="121">AD20-AD19</f>
        <v>3840</v>
      </c>
      <c r="AF20" s="277">
        <v>15040</v>
      </c>
      <c r="AG20" s="17">
        <f t="shared" ref="AG20" si="122">AF20-AF19</f>
        <v>2270</v>
      </c>
      <c r="AH20" s="277">
        <v>60240</v>
      </c>
      <c r="AI20" s="17">
        <f t="shared" ref="AI20" si="123">AH20-AH19</f>
        <v>10480</v>
      </c>
      <c r="AK20" s="97">
        <f t="shared" si="18"/>
        <v>252939.5</v>
      </c>
      <c r="AL20" s="98">
        <f t="shared" si="19"/>
        <v>29879.5</v>
      </c>
    </row>
    <row r="21" spans="1:38" ht="39.950000000000003" customHeight="1">
      <c r="A21" s="145">
        <v>44026</v>
      </c>
      <c r="B21" s="16"/>
      <c r="C21" s="49">
        <v>325526</v>
      </c>
      <c r="D21" s="17">
        <f t="shared" si="2"/>
        <v>37870</v>
      </c>
      <c r="E21" s="49">
        <v>966576</v>
      </c>
      <c r="F21" s="17">
        <f t="shared" si="2"/>
        <v>53610</v>
      </c>
      <c r="G21" s="49">
        <v>696164</v>
      </c>
      <c r="H21" s="17">
        <f t="shared" ref="H21" si="124">(G21-G20)*10</f>
        <v>15460</v>
      </c>
      <c r="I21" s="17">
        <f t="shared" si="4"/>
        <v>7730</v>
      </c>
      <c r="J21" s="49">
        <v>568964</v>
      </c>
      <c r="K21" s="17">
        <f t="shared" ref="K21" si="125">(J21-J20)*10</f>
        <v>55270</v>
      </c>
      <c r="L21" s="49">
        <v>4959</v>
      </c>
      <c r="M21" s="17">
        <f>(L21+1000000-L20)*10</f>
        <v>86880</v>
      </c>
      <c r="N21" s="49">
        <v>661103</v>
      </c>
      <c r="O21" s="17">
        <f t="shared" si="0"/>
        <v>15930</v>
      </c>
      <c r="P21" s="17">
        <f t="shared" si="7"/>
        <v>7965</v>
      </c>
      <c r="Q21" s="49">
        <v>70411</v>
      </c>
      <c r="R21" s="17">
        <f t="shared" si="1"/>
        <v>30</v>
      </c>
      <c r="S21" s="17">
        <f t="shared" si="8"/>
        <v>15</v>
      </c>
      <c r="T21" s="49">
        <v>13077</v>
      </c>
      <c r="U21" s="17">
        <f t="shared" ref="U21" si="126">(T21-T20)*10</f>
        <v>7820</v>
      </c>
      <c r="V21" s="17">
        <f t="shared" si="10"/>
        <v>3910</v>
      </c>
      <c r="W21" s="49">
        <v>73553</v>
      </c>
      <c r="X21" s="17">
        <f t="shared" ref="X21" si="127">W21-W20</f>
        <v>43</v>
      </c>
      <c r="Y21" s="17">
        <f t="shared" si="12"/>
        <v>21.5</v>
      </c>
      <c r="Z21" s="277">
        <v>9550</v>
      </c>
      <c r="AA21" s="17">
        <f t="shared" ref="AA21" si="128">Z21-Z20</f>
        <v>920</v>
      </c>
      <c r="AB21" s="277">
        <v>17200</v>
      </c>
      <c r="AC21" s="17">
        <f t="shared" ref="AC21" si="129">AB21-AB20</f>
        <v>2230</v>
      </c>
      <c r="AD21" s="277">
        <v>27690</v>
      </c>
      <c r="AE21" s="17">
        <f t="shared" ref="AE21" si="130">AD21-AD20</f>
        <v>3820</v>
      </c>
      <c r="AF21" s="277">
        <v>17280</v>
      </c>
      <c r="AG21" s="17">
        <f t="shared" ref="AG21" si="131">AF21-AF20</f>
        <v>2240</v>
      </c>
      <c r="AH21" s="277">
        <v>70820</v>
      </c>
      <c r="AI21" s="17">
        <f t="shared" ref="AI21" si="132">AH21-AH20</f>
        <v>10580</v>
      </c>
      <c r="AK21" s="97">
        <f t="shared" si="18"/>
        <v>253271.5</v>
      </c>
      <c r="AL21" s="98">
        <f t="shared" si="19"/>
        <v>31701.5</v>
      </c>
    </row>
    <row r="22" spans="1:38" ht="39.950000000000003" customHeight="1">
      <c r="A22" s="145">
        <v>44027</v>
      </c>
      <c r="B22" s="16"/>
      <c r="C22" s="49">
        <v>329325</v>
      </c>
      <c r="D22" s="17">
        <f t="shared" si="2"/>
        <v>37990</v>
      </c>
      <c r="E22" s="49">
        <v>971822</v>
      </c>
      <c r="F22" s="17">
        <f t="shared" si="2"/>
        <v>52460</v>
      </c>
      <c r="G22" s="49">
        <v>697737</v>
      </c>
      <c r="H22" s="17">
        <f t="shared" ref="H22" si="133">(G22-G21)*10</f>
        <v>15730</v>
      </c>
      <c r="I22" s="17">
        <f t="shared" si="4"/>
        <v>7865</v>
      </c>
      <c r="J22" s="49">
        <v>574237</v>
      </c>
      <c r="K22" s="17">
        <f t="shared" ref="K22" si="134">(J22-J21)*10</f>
        <v>52730</v>
      </c>
      <c r="L22" s="49">
        <v>12355</v>
      </c>
      <c r="M22" s="17">
        <f t="shared" ref="M22" si="135">(L22-L21)*10</f>
        <v>73960</v>
      </c>
      <c r="N22" s="49">
        <v>662730</v>
      </c>
      <c r="O22" s="17">
        <f t="shared" si="0"/>
        <v>16270</v>
      </c>
      <c r="P22" s="17">
        <f t="shared" si="7"/>
        <v>8135</v>
      </c>
      <c r="Q22" s="49">
        <v>70413</v>
      </c>
      <c r="R22" s="17">
        <f t="shared" si="1"/>
        <v>20</v>
      </c>
      <c r="S22" s="17">
        <f t="shared" si="8"/>
        <v>10</v>
      </c>
      <c r="T22" s="49">
        <v>13775</v>
      </c>
      <c r="U22" s="17">
        <f t="shared" ref="U22" si="136">(T22-T21)*10</f>
        <v>6980</v>
      </c>
      <c r="V22" s="17">
        <f t="shared" si="10"/>
        <v>3490</v>
      </c>
      <c r="W22" s="49">
        <v>73594</v>
      </c>
      <c r="X22" s="17">
        <f t="shared" ref="X22" si="137">W22-W21</f>
        <v>41</v>
      </c>
      <c r="Y22" s="17">
        <f t="shared" si="12"/>
        <v>20.5</v>
      </c>
      <c r="Z22" s="277">
        <v>10500</v>
      </c>
      <c r="AA22" s="17">
        <f t="shared" ref="AA22" si="138">Z22-Z21</f>
        <v>950</v>
      </c>
      <c r="AB22" s="277">
        <v>19190</v>
      </c>
      <c r="AC22" s="17">
        <f t="shared" ref="AC22" si="139">AB22-AB21</f>
        <v>1990</v>
      </c>
      <c r="AD22" s="277">
        <v>31320</v>
      </c>
      <c r="AE22" s="17">
        <f t="shared" ref="AE22" si="140">AD22-AD21</f>
        <v>3630</v>
      </c>
      <c r="AF22" s="277">
        <v>19370</v>
      </c>
      <c r="AG22" s="17">
        <f t="shared" ref="AG22" si="141">AF22-AF21</f>
        <v>2090</v>
      </c>
      <c r="AH22" s="277">
        <v>81300</v>
      </c>
      <c r="AI22" s="17">
        <f t="shared" ref="AI22" si="142">AH22-AH21</f>
        <v>10480</v>
      </c>
      <c r="AK22" s="97">
        <f t="shared" si="18"/>
        <v>236660.5</v>
      </c>
      <c r="AL22" s="98">
        <f t="shared" si="19"/>
        <v>30795.5</v>
      </c>
    </row>
    <row r="23" spans="1:38" ht="39.950000000000003" customHeight="1">
      <c r="A23" s="145">
        <v>44028</v>
      </c>
      <c r="B23" s="16"/>
      <c r="C23" s="279">
        <f>(C25-C22)/3+C22</f>
        <v>333324</v>
      </c>
      <c r="D23" s="17">
        <f t="shared" si="2"/>
        <v>39990</v>
      </c>
      <c r="E23" s="279">
        <f>(E25-E22)/3+E22</f>
        <v>977136.33333333337</v>
      </c>
      <c r="F23" s="97">
        <f t="shared" si="2"/>
        <v>53143.333333333721</v>
      </c>
      <c r="G23" s="279">
        <f>(G25-G22)/3+G22</f>
        <v>699327.33333333337</v>
      </c>
      <c r="H23" s="97">
        <f t="shared" ref="H23" si="143">(G23-G22)*10</f>
        <v>15903.333333333721</v>
      </c>
      <c r="I23" s="97">
        <f t="shared" si="4"/>
        <v>7951.6666666668607</v>
      </c>
      <c r="J23" s="279">
        <f>(J25-J22)/3+J22</f>
        <v>579402</v>
      </c>
      <c r="K23" s="97">
        <f t="shared" ref="K23" si="144">(J23-J22)*10</f>
        <v>51650</v>
      </c>
      <c r="L23" s="279">
        <f>(L25-L22)/3+L22</f>
        <v>19729.333333333332</v>
      </c>
      <c r="M23" s="97">
        <f t="shared" ref="M23" si="145">(L23-L22)*10</f>
        <v>73743.333333333314</v>
      </c>
      <c r="N23" s="279">
        <f>(N25-N22)/3+N22</f>
        <v>664377.66666666663</v>
      </c>
      <c r="O23" s="97">
        <f t="shared" si="0"/>
        <v>16476.666666666279</v>
      </c>
      <c r="P23" s="97">
        <f t="shared" si="7"/>
        <v>8238.3333333331393</v>
      </c>
      <c r="Q23" s="279">
        <f>(Q25-Q22)/3+Q22</f>
        <v>70415</v>
      </c>
      <c r="R23" s="17">
        <f t="shared" si="1"/>
        <v>20</v>
      </c>
      <c r="S23" s="17">
        <f t="shared" si="8"/>
        <v>10</v>
      </c>
      <c r="T23" s="279">
        <f>(T25-T22)/3+T22</f>
        <v>14469</v>
      </c>
      <c r="U23" s="17">
        <f t="shared" ref="U23" si="146">(T23-T22)*10</f>
        <v>6940</v>
      </c>
      <c r="V23" s="17">
        <f t="shared" si="10"/>
        <v>3470</v>
      </c>
      <c r="W23" s="279">
        <f>(W25-W22)/3+W22</f>
        <v>73635.666666666672</v>
      </c>
      <c r="X23" s="278">
        <f t="shared" ref="X23" si="147">W23-W22</f>
        <v>41.666666666671517</v>
      </c>
      <c r="Y23" s="278">
        <f t="shared" si="12"/>
        <v>20.833333333335759</v>
      </c>
      <c r="Z23" s="279">
        <f>(Z25-Z22)/3+Z22</f>
        <v>11460</v>
      </c>
      <c r="AA23" s="17">
        <f t="shared" ref="AA23" si="148">Z23-Z22</f>
        <v>960</v>
      </c>
      <c r="AB23" s="279">
        <f>(AB25-AB22)/3+AB22</f>
        <v>21113.333333333332</v>
      </c>
      <c r="AC23" s="97">
        <f t="shared" ref="AC23" si="149">AB23-AB22</f>
        <v>1923.3333333333321</v>
      </c>
      <c r="AD23" s="279">
        <f>(AD25-AD22)/3+AD22</f>
        <v>34970</v>
      </c>
      <c r="AE23" s="17">
        <f t="shared" ref="AE23" si="150">AD23-AD22</f>
        <v>3650</v>
      </c>
      <c r="AF23" s="279">
        <f>(AF25-AF22)/3+AF22</f>
        <v>21340</v>
      </c>
      <c r="AG23" s="17">
        <f t="shared" ref="AG23" si="151">AF23-AF22</f>
        <v>1970</v>
      </c>
      <c r="AH23" s="279">
        <f>(AH25-AH22)/3+AH22</f>
        <v>91833.333333333328</v>
      </c>
      <c r="AI23" s="97">
        <f t="shared" ref="AI23" si="152">AH23-AH22</f>
        <v>10533.333333333328</v>
      </c>
      <c r="AK23" s="97">
        <f t="shared" si="18"/>
        <v>238217.50000000038</v>
      </c>
      <c r="AL23" s="98">
        <f t="shared" si="19"/>
        <v>30775.833333333136</v>
      </c>
    </row>
    <row r="24" spans="1:38" ht="39.950000000000003" customHeight="1">
      <c r="A24" s="145">
        <v>44029</v>
      </c>
      <c r="B24" s="16"/>
      <c r="C24" s="279">
        <f>(C25-C22)/3+C23</f>
        <v>337323</v>
      </c>
      <c r="D24" s="17">
        <f t="shared" si="2"/>
        <v>39990</v>
      </c>
      <c r="E24" s="279">
        <f>(E25-E22)/3+E23</f>
        <v>982450.66666666674</v>
      </c>
      <c r="F24" s="97">
        <f t="shared" si="2"/>
        <v>53143.333333333721</v>
      </c>
      <c r="G24" s="279">
        <f>(G25-G22)/3+G23</f>
        <v>700917.66666666674</v>
      </c>
      <c r="H24" s="97">
        <f t="shared" ref="H24" si="153">(G24-G23)*10</f>
        <v>15903.333333333721</v>
      </c>
      <c r="I24" s="97">
        <f t="shared" si="4"/>
        <v>7951.6666666668607</v>
      </c>
      <c r="J24" s="279">
        <f>(J25-J22)/3+J23</f>
        <v>584567</v>
      </c>
      <c r="K24" s="97">
        <f t="shared" ref="K24:K38" si="154">(J24-J23)*10</f>
        <v>51650</v>
      </c>
      <c r="L24" s="279">
        <f>(L25-L22)/3+L23</f>
        <v>27103.666666666664</v>
      </c>
      <c r="M24" s="97">
        <f t="shared" ref="M24:M38" si="155">(L24-L23)*10</f>
        <v>73743.333333333314</v>
      </c>
      <c r="N24" s="279">
        <f>(N25-N22)/3+N23</f>
        <v>666025.33333333326</v>
      </c>
      <c r="O24" s="97">
        <f t="shared" si="0"/>
        <v>16476.666666666279</v>
      </c>
      <c r="P24" s="97">
        <f t="shared" si="7"/>
        <v>8238.3333333331393</v>
      </c>
      <c r="Q24" s="279">
        <f>(Q25-Q22)/3+Q23</f>
        <v>70417</v>
      </c>
      <c r="R24" s="17">
        <f t="shared" si="1"/>
        <v>20</v>
      </c>
      <c r="S24" s="17">
        <f t="shared" si="8"/>
        <v>10</v>
      </c>
      <c r="T24" s="279">
        <f>(T25-T22)/3+T23</f>
        <v>15163</v>
      </c>
      <c r="U24" s="17">
        <f t="shared" ref="U24" si="156">(T24-T23)*10</f>
        <v>6940</v>
      </c>
      <c r="V24" s="17">
        <f t="shared" si="10"/>
        <v>3470</v>
      </c>
      <c r="W24" s="279">
        <f>(W25-W22)/3+W23</f>
        <v>73677.333333333343</v>
      </c>
      <c r="X24" s="278">
        <f t="shared" ref="X24" si="157">W24-W23</f>
        <v>41.666666666671517</v>
      </c>
      <c r="Y24" s="278">
        <f t="shared" si="12"/>
        <v>20.833333333335759</v>
      </c>
      <c r="Z24" s="279">
        <f>(Z25-Z22)/3+Z23</f>
        <v>12420</v>
      </c>
      <c r="AA24" s="17">
        <f t="shared" ref="AA24:AA38" si="158">Z24-Z23</f>
        <v>960</v>
      </c>
      <c r="AB24" s="279">
        <f>(AB25-AB22)/3+AB23</f>
        <v>23036.666666666664</v>
      </c>
      <c r="AC24" s="97">
        <f t="shared" ref="AC24:AC38" si="159">AB24-AB23</f>
        <v>1923.3333333333321</v>
      </c>
      <c r="AD24" s="279">
        <f>(AD25-AD22)/3+AD23</f>
        <v>38620</v>
      </c>
      <c r="AE24" s="17">
        <f t="shared" ref="AE24:AE38" si="160">AD24-AD23</f>
        <v>3650</v>
      </c>
      <c r="AF24" s="279">
        <f>(AF25-AF22)/3+AF23</f>
        <v>23310</v>
      </c>
      <c r="AG24" s="17">
        <f t="shared" ref="AG24:AG38" si="161">AF24-AF23</f>
        <v>1970</v>
      </c>
      <c r="AH24" s="279">
        <f>(AH25-AH22)/3+AH23</f>
        <v>102366.66666666666</v>
      </c>
      <c r="AI24" s="97">
        <f t="shared" ref="AI24:AI38" si="162">AH24-AH23</f>
        <v>10533.333333333328</v>
      </c>
      <c r="AK24" s="97">
        <f t="shared" si="18"/>
        <v>238217.50000000038</v>
      </c>
      <c r="AL24" s="98">
        <f t="shared" si="19"/>
        <v>30775.833333333136</v>
      </c>
    </row>
    <row r="25" spans="1:38" ht="39.950000000000003" customHeight="1">
      <c r="A25" s="145">
        <v>44030</v>
      </c>
      <c r="B25" s="16"/>
      <c r="C25" s="49">
        <v>341322</v>
      </c>
      <c r="D25" s="17">
        <f t="shared" si="2"/>
        <v>39990</v>
      </c>
      <c r="E25" s="49">
        <v>987765</v>
      </c>
      <c r="F25" s="97">
        <f t="shared" si="2"/>
        <v>53143.333333332557</v>
      </c>
      <c r="G25" s="280">
        <v>702508</v>
      </c>
      <c r="H25" s="97">
        <f t="shared" ref="H25:H35" si="163">(G25-G24)*10</f>
        <v>15903.333333332557</v>
      </c>
      <c r="I25" s="97">
        <f t="shared" ref="I25:I35" si="164">H25*50%</f>
        <v>7951.6666666662786</v>
      </c>
      <c r="J25" s="280">
        <v>589732</v>
      </c>
      <c r="K25" s="97">
        <f t="shared" si="154"/>
        <v>51650</v>
      </c>
      <c r="L25" s="280">
        <v>34478</v>
      </c>
      <c r="M25" s="97">
        <f t="shared" si="155"/>
        <v>73743.333333333358</v>
      </c>
      <c r="N25" s="280">
        <v>667673</v>
      </c>
      <c r="O25" s="97">
        <f t="shared" ref="O25:O35" si="165">(N25-N24)*10</f>
        <v>16476.666666667443</v>
      </c>
      <c r="P25" s="97">
        <f t="shared" ref="P25:P35" si="166">O25*50%</f>
        <v>8238.3333333337214</v>
      </c>
      <c r="Q25" s="49">
        <v>70419</v>
      </c>
      <c r="R25" s="17">
        <f t="shared" ref="R25:R35" si="167">(Q25-Q24)*10</f>
        <v>20</v>
      </c>
      <c r="S25" s="17">
        <f t="shared" ref="S25:S35" si="168">R25*50%</f>
        <v>10</v>
      </c>
      <c r="T25" s="49">
        <v>15857</v>
      </c>
      <c r="U25" s="17">
        <f t="shared" ref="U25:U35" si="169">(T25-T24)*10</f>
        <v>6940</v>
      </c>
      <c r="V25" s="17">
        <f t="shared" ref="V25:V35" si="170">U25*50%</f>
        <v>3470</v>
      </c>
      <c r="W25" s="49">
        <v>73719</v>
      </c>
      <c r="X25" s="278">
        <f t="shared" ref="X25:X35" si="171">W25-W24</f>
        <v>41.666666666656965</v>
      </c>
      <c r="Y25" s="278">
        <f t="shared" ref="Y25:Y35" si="172">X25*50%</f>
        <v>20.833333333328483</v>
      </c>
      <c r="Z25" s="277">
        <v>13380</v>
      </c>
      <c r="AA25" s="17">
        <f t="shared" si="158"/>
        <v>960</v>
      </c>
      <c r="AB25" s="277">
        <v>24960</v>
      </c>
      <c r="AC25" s="97">
        <f t="shared" si="159"/>
        <v>1923.3333333333358</v>
      </c>
      <c r="AD25" s="277">
        <v>42270</v>
      </c>
      <c r="AE25" s="17">
        <f t="shared" si="160"/>
        <v>3650</v>
      </c>
      <c r="AF25" s="277">
        <v>25280</v>
      </c>
      <c r="AG25" s="17">
        <f t="shared" si="161"/>
        <v>1970</v>
      </c>
      <c r="AH25" s="279">
        <v>112900</v>
      </c>
      <c r="AI25" s="97">
        <f t="shared" si="162"/>
        <v>10533.333333333343</v>
      </c>
      <c r="AK25" s="97">
        <f t="shared" ref="AK25:AK35" si="173">SUM(D25,F25,I25,K25,M25,P25,S25,V25,Y25)</f>
        <v>238217.49999999924</v>
      </c>
      <c r="AL25" s="98">
        <f t="shared" ref="AL25:AL35" si="174">SUM(P25,S25,V25,Y25,AA25,AC25,AE25,AG25,AI25)</f>
        <v>30775.833333333729</v>
      </c>
    </row>
    <row r="26" spans="1:38" ht="39.950000000000003" customHeight="1">
      <c r="A26" s="145">
        <v>44031</v>
      </c>
      <c r="B26" s="16"/>
      <c r="C26" s="49">
        <v>345272</v>
      </c>
      <c r="D26" s="17">
        <f t="shared" ref="D26:F37" si="175">(C26-C25)*10</f>
        <v>39500</v>
      </c>
      <c r="E26" s="49">
        <v>992891</v>
      </c>
      <c r="F26" s="17">
        <f t="shared" ref="F26:F38" si="176">(E26-E25)*10</f>
        <v>51260</v>
      </c>
      <c r="G26" s="49">
        <v>704076</v>
      </c>
      <c r="H26" s="17">
        <f t="shared" si="163"/>
        <v>15680</v>
      </c>
      <c r="I26" s="17">
        <f t="shared" si="164"/>
        <v>7840</v>
      </c>
      <c r="J26" s="49">
        <v>594903</v>
      </c>
      <c r="K26" s="17">
        <f t="shared" si="154"/>
        <v>51710</v>
      </c>
      <c r="L26" s="49">
        <v>41983</v>
      </c>
      <c r="M26" s="17">
        <f t="shared" si="155"/>
        <v>75050</v>
      </c>
      <c r="N26" s="49">
        <v>669279</v>
      </c>
      <c r="O26" s="17">
        <f t="shared" si="165"/>
        <v>16060</v>
      </c>
      <c r="P26" s="17">
        <f t="shared" si="166"/>
        <v>8030</v>
      </c>
      <c r="Q26" s="49">
        <v>70421</v>
      </c>
      <c r="R26" s="17">
        <f t="shared" si="167"/>
        <v>20</v>
      </c>
      <c r="S26" s="17">
        <f t="shared" si="168"/>
        <v>10</v>
      </c>
      <c r="T26" s="49">
        <v>16551</v>
      </c>
      <c r="U26" s="17">
        <f t="shared" si="169"/>
        <v>6940</v>
      </c>
      <c r="V26" s="17">
        <f t="shared" si="170"/>
        <v>3470</v>
      </c>
      <c r="W26" s="49">
        <v>73760</v>
      </c>
      <c r="X26" s="17">
        <f t="shared" si="171"/>
        <v>41</v>
      </c>
      <c r="Y26" s="17">
        <f t="shared" si="172"/>
        <v>20.5</v>
      </c>
      <c r="Z26" s="277">
        <v>14320</v>
      </c>
      <c r="AA26" s="17">
        <f t="shared" si="158"/>
        <v>940</v>
      </c>
      <c r="AB26" s="277">
        <v>26750</v>
      </c>
      <c r="AC26" s="17">
        <f t="shared" si="159"/>
        <v>1790</v>
      </c>
      <c r="AD26" s="277">
        <v>45730</v>
      </c>
      <c r="AE26" s="17">
        <f t="shared" si="160"/>
        <v>3460</v>
      </c>
      <c r="AF26" s="277">
        <v>27180</v>
      </c>
      <c r="AG26" s="17">
        <f t="shared" si="161"/>
        <v>1900</v>
      </c>
      <c r="AH26" s="277">
        <v>123080</v>
      </c>
      <c r="AI26" s="17">
        <f t="shared" si="162"/>
        <v>10180</v>
      </c>
      <c r="AK26" s="97">
        <f t="shared" si="173"/>
        <v>236890.5</v>
      </c>
      <c r="AL26" s="98">
        <f t="shared" si="174"/>
        <v>29800.5</v>
      </c>
    </row>
    <row r="27" spans="1:38" ht="39.950000000000003" customHeight="1">
      <c r="A27" s="145">
        <v>44032</v>
      </c>
      <c r="B27" s="16"/>
      <c r="C27" s="49">
        <v>349182</v>
      </c>
      <c r="D27" s="17">
        <f t="shared" si="175"/>
        <v>39100</v>
      </c>
      <c r="E27" s="49">
        <v>998096</v>
      </c>
      <c r="F27" s="17">
        <f t="shared" si="176"/>
        <v>52050</v>
      </c>
      <c r="G27" s="49">
        <v>705589</v>
      </c>
      <c r="H27" s="17">
        <f t="shared" si="163"/>
        <v>15130</v>
      </c>
      <c r="I27" s="17">
        <f t="shared" si="164"/>
        <v>7565</v>
      </c>
      <c r="J27" s="49">
        <v>600017</v>
      </c>
      <c r="K27" s="17">
        <f t="shared" si="154"/>
        <v>51140</v>
      </c>
      <c r="L27" s="49">
        <v>49218</v>
      </c>
      <c r="M27" s="17">
        <f t="shared" si="155"/>
        <v>72350</v>
      </c>
      <c r="N27" s="49">
        <v>670847</v>
      </c>
      <c r="O27" s="17">
        <f t="shared" si="165"/>
        <v>15680</v>
      </c>
      <c r="P27" s="17">
        <f t="shared" si="166"/>
        <v>7840</v>
      </c>
      <c r="Q27" s="49">
        <v>70423</v>
      </c>
      <c r="R27" s="17">
        <f t="shared" si="167"/>
        <v>20</v>
      </c>
      <c r="S27" s="17">
        <f t="shared" si="168"/>
        <v>10</v>
      </c>
      <c r="T27" s="49">
        <v>17144</v>
      </c>
      <c r="U27" s="17">
        <f t="shared" si="169"/>
        <v>5930</v>
      </c>
      <c r="V27" s="17">
        <f t="shared" si="170"/>
        <v>2965</v>
      </c>
      <c r="W27" s="49">
        <v>73802</v>
      </c>
      <c r="X27" s="17">
        <f t="shared" si="171"/>
        <v>42</v>
      </c>
      <c r="Y27" s="17">
        <f t="shared" si="172"/>
        <v>21</v>
      </c>
      <c r="Z27" s="277">
        <v>15280</v>
      </c>
      <c r="AA27" s="17">
        <f t="shared" si="158"/>
        <v>960</v>
      </c>
      <c r="AB27" s="277">
        <v>28740</v>
      </c>
      <c r="AC27" s="17">
        <f t="shared" si="159"/>
        <v>1990</v>
      </c>
      <c r="AD27" s="277">
        <v>49460</v>
      </c>
      <c r="AE27" s="17">
        <f t="shared" si="160"/>
        <v>3730</v>
      </c>
      <c r="AF27" s="277">
        <v>29200</v>
      </c>
      <c r="AG27" s="17">
        <f t="shared" si="161"/>
        <v>2020</v>
      </c>
      <c r="AH27" s="277">
        <v>133620</v>
      </c>
      <c r="AI27" s="17">
        <f t="shared" si="162"/>
        <v>10540</v>
      </c>
      <c r="AK27" s="97">
        <f t="shared" si="173"/>
        <v>233041</v>
      </c>
      <c r="AL27" s="98">
        <f t="shared" si="174"/>
        <v>30076</v>
      </c>
    </row>
    <row r="28" spans="1:38" ht="39.950000000000003" customHeight="1">
      <c r="A28" s="145">
        <v>44033</v>
      </c>
      <c r="B28" s="16"/>
      <c r="C28" s="49">
        <v>352909</v>
      </c>
      <c r="D28" s="17">
        <f t="shared" si="175"/>
        <v>37270</v>
      </c>
      <c r="E28" s="49">
        <v>3114</v>
      </c>
      <c r="F28" s="17">
        <f>(E28+1000000-E27)*10</f>
        <v>50180</v>
      </c>
      <c r="G28" s="49">
        <v>707028</v>
      </c>
      <c r="H28" s="17">
        <f t="shared" si="163"/>
        <v>14390</v>
      </c>
      <c r="I28" s="17">
        <f t="shared" si="164"/>
        <v>7195</v>
      </c>
      <c r="J28" s="49">
        <v>605434</v>
      </c>
      <c r="K28" s="17">
        <f t="shared" si="154"/>
        <v>54170</v>
      </c>
      <c r="L28" s="49">
        <v>56516</v>
      </c>
      <c r="M28" s="17">
        <f t="shared" si="155"/>
        <v>72980</v>
      </c>
      <c r="N28" s="49">
        <v>672323</v>
      </c>
      <c r="O28" s="17">
        <f t="shared" si="165"/>
        <v>14760</v>
      </c>
      <c r="P28" s="17">
        <f t="shared" si="166"/>
        <v>7380</v>
      </c>
      <c r="Q28" s="49">
        <v>70425</v>
      </c>
      <c r="R28" s="17">
        <f t="shared" si="167"/>
        <v>20</v>
      </c>
      <c r="S28" s="17">
        <f t="shared" si="168"/>
        <v>10</v>
      </c>
      <c r="T28" s="49">
        <v>17753</v>
      </c>
      <c r="U28" s="17">
        <f t="shared" si="169"/>
        <v>6090</v>
      </c>
      <c r="V28" s="17">
        <f t="shared" si="170"/>
        <v>3045</v>
      </c>
      <c r="W28" s="49">
        <v>73844</v>
      </c>
      <c r="X28" s="17">
        <f t="shared" si="171"/>
        <v>42</v>
      </c>
      <c r="Y28" s="17">
        <f t="shared" si="172"/>
        <v>21</v>
      </c>
      <c r="Z28" s="277">
        <v>16290</v>
      </c>
      <c r="AA28" s="17">
        <f t="shared" si="158"/>
        <v>1010</v>
      </c>
      <c r="AB28" s="277">
        <v>30600</v>
      </c>
      <c r="AC28" s="17">
        <f t="shared" si="159"/>
        <v>1860</v>
      </c>
      <c r="AD28" s="277">
        <v>53230</v>
      </c>
      <c r="AE28" s="17">
        <f t="shared" si="160"/>
        <v>3770</v>
      </c>
      <c r="AF28" s="277">
        <v>31180</v>
      </c>
      <c r="AG28" s="17">
        <f t="shared" si="161"/>
        <v>1980</v>
      </c>
      <c r="AH28" s="277">
        <v>143950</v>
      </c>
      <c r="AI28" s="17">
        <f t="shared" si="162"/>
        <v>10330</v>
      </c>
      <c r="AK28" s="97">
        <f t="shared" si="173"/>
        <v>232251</v>
      </c>
      <c r="AL28" s="98">
        <f t="shared" si="174"/>
        <v>29406</v>
      </c>
    </row>
    <row r="29" spans="1:38" ht="39.950000000000003" customHeight="1">
      <c r="A29" s="145">
        <v>44034</v>
      </c>
      <c r="B29" s="16"/>
      <c r="C29" s="49">
        <v>356762</v>
      </c>
      <c r="D29" s="17">
        <f t="shared" si="175"/>
        <v>38530</v>
      </c>
      <c r="E29" s="49">
        <v>8328</v>
      </c>
      <c r="F29" s="17">
        <f t="shared" si="176"/>
        <v>52140</v>
      </c>
      <c r="G29" s="49">
        <v>708497</v>
      </c>
      <c r="H29" s="17">
        <f t="shared" si="163"/>
        <v>14690</v>
      </c>
      <c r="I29" s="17">
        <f t="shared" si="164"/>
        <v>7345</v>
      </c>
      <c r="J29" s="49">
        <v>610636</v>
      </c>
      <c r="K29" s="17">
        <f t="shared" si="154"/>
        <v>52020</v>
      </c>
      <c r="L29" s="49">
        <v>63769</v>
      </c>
      <c r="M29" s="17">
        <f t="shared" si="155"/>
        <v>72530</v>
      </c>
      <c r="N29" s="49">
        <v>673821</v>
      </c>
      <c r="O29" s="17">
        <f t="shared" si="165"/>
        <v>14980</v>
      </c>
      <c r="P29" s="17">
        <f t="shared" si="166"/>
        <v>7490</v>
      </c>
      <c r="Q29" s="49">
        <v>70427</v>
      </c>
      <c r="R29" s="17">
        <f t="shared" si="167"/>
        <v>20</v>
      </c>
      <c r="S29" s="17">
        <f t="shared" si="168"/>
        <v>10</v>
      </c>
      <c r="T29" s="49">
        <v>18361</v>
      </c>
      <c r="U29" s="17">
        <f t="shared" si="169"/>
        <v>6080</v>
      </c>
      <c r="V29" s="17">
        <f t="shared" si="170"/>
        <v>3040</v>
      </c>
      <c r="W29" s="49">
        <v>73888</v>
      </c>
      <c r="X29" s="17">
        <f t="shared" si="171"/>
        <v>44</v>
      </c>
      <c r="Y29" s="17">
        <f t="shared" si="172"/>
        <v>22</v>
      </c>
      <c r="Z29" s="277">
        <v>17290</v>
      </c>
      <c r="AA29" s="17">
        <f t="shared" si="158"/>
        <v>1000</v>
      </c>
      <c r="AB29" s="277">
        <v>32530</v>
      </c>
      <c r="AC29" s="17">
        <f t="shared" si="159"/>
        <v>1930</v>
      </c>
      <c r="AD29" s="277">
        <v>57000</v>
      </c>
      <c r="AE29" s="17">
        <f t="shared" si="160"/>
        <v>3770</v>
      </c>
      <c r="AF29" s="277">
        <v>33190</v>
      </c>
      <c r="AG29" s="17">
        <f t="shared" si="161"/>
        <v>2010</v>
      </c>
      <c r="AH29" s="277">
        <v>154430</v>
      </c>
      <c r="AI29" s="17">
        <f t="shared" si="162"/>
        <v>10480</v>
      </c>
      <c r="AK29" s="97">
        <f t="shared" si="173"/>
        <v>233127</v>
      </c>
      <c r="AL29" s="98">
        <f t="shared" si="174"/>
        <v>29752</v>
      </c>
    </row>
    <row r="30" spans="1:38" ht="39.950000000000003" customHeight="1">
      <c r="A30" s="145">
        <v>44035</v>
      </c>
      <c r="B30" s="16"/>
      <c r="C30" s="49">
        <v>360583</v>
      </c>
      <c r="D30" s="17">
        <f t="shared" si="175"/>
        <v>38210</v>
      </c>
      <c r="E30" s="49">
        <v>13626</v>
      </c>
      <c r="F30" s="17">
        <f t="shared" si="176"/>
        <v>52980</v>
      </c>
      <c r="G30" s="49">
        <v>710044</v>
      </c>
      <c r="H30" s="17">
        <f t="shared" si="163"/>
        <v>15470</v>
      </c>
      <c r="I30" s="17">
        <f t="shared" si="164"/>
        <v>7735</v>
      </c>
      <c r="J30" s="49">
        <v>615872</v>
      </c>
      <c r="K30" s="17">
        <f t="shared" si="154"/>
        <v>52360</v>
      </c>
      <c r="L30" s="49">
        <v>71075</v>
      </c>
      <c r="M30" s="17">
        <f t="shared" si="155"/>
        <v>73060</v>
      </c>
      <c r="N30" s="49">
        <v>675415</v>
      </c>
      <c r="O30" s="17">
        <f t="shared" si="165"/>
        <v>15940</v>
      </c>
      <c r="P30" s="17">
        <f t="shared" si="166"/>
        <v>7970</v>
      </c>
      <c r="Q30" s="49">
        <v>70429</v>
      </c>
      <c r="R30" s="17">
        <f t="shared" si="167"/>
        <v>20</v>
      </c>
      <c r="S30" s="17">
        <f t="shared" si="168"/>
        <v>10</v>
      </c>
      <c r="T30" s="49">
        <v>19054</v>
      </c>
      <c r="U30" s="17">
        <f t="shared" si="169"/>
        <v>6930</v>
      </c>
      <c r="V30" s="17">
        <f t="shared" si="170"/>
        <v>3465</v>
      </c>
      <c r="W30" s="49">
        <v>73935</v>
      </c>
      <c r="X30" s="17">
        <f t="shared" si="171"/>
        <v>47</v>
      </c>
      <c r="Y30" s="17">
        <f t="shared" si="172"/>
        <v>23.5</v>
      </c>
      <c r="Z30" s="277">
        <v>18290</v>
      </c>
      <c r="AA30" s="17">
        <f t="shared" si="158"/>
        <v>1000</v>
      </c>
      <c r="AB30" s="277">
        <v>34520</v>
      </c>
      <c r="AC30" s="17">
        <f t="shared" si="159"/>
        <v>1990</v>
      </c>
      <c r="AD30" s="277">
        <v>60780</v>
      </c>
      <c r="AE30" s="17">
        <f t="shared" si="160"/>
        <v>3780</v>
      </c>
      <c r="AF30" s="277">
        <v>35250</v>
      </c>
      <c r="AG30" s="17">
        <f t="shared" si="161"/>
        <v>2060</v>
      </c>
      <c r="AH30" s="277">
        <v>164960</v>
      </c>
      <c r="AI30" s="17">
        <f t="shared" si="162"/>
        <v>10530</v>
      </c>
      <c r="AK30" s="97">
        <f t="shared" si="173"/>
        <v>235813.5</v>
      </c>
      <c r="AL30" s="98">
        <f t="shared" si="174"/>
        <v>30828.5</v>
      </c>
    </row>
    <row r="31" spans="1:38" ht="39.950000000000003" customHeight="1">
      <c r="A31" s="145">
        <v>44036</v>
      </c>
      <c r="B31" s="16"/>
      <c r="C31" s="49">
        <v>364439</v>
      </c>
      <c r="D31" s="17">
        <f t="shared" si="175"/>
        <v>38560</v>
      </c>
      <c r="E31" s="49">
        <v>18876</v>
      </c>
      <c r="F31" s="17">
        <f t="shared" si="176"/>
        <v>52500</v>
      </c>
      <c r="G31" s="49">
        <v>711268</v>
      </c>
      <c r="H31" s="17">
        <f t="shared" si="163"/>
        <v>12240</v>
      </c>
      <c r="I31" s="17">
        <f t="shared" si="164"/>
        <v>6120</v>
      </c>
      <c r="J31" s="49">
        <v>621129</v>
      </c>
      <c r="K31" s="17">
        <f t="shared" si="154"/>
        <v>52570</v>
      </c>
      <c r="L31" s="49">
        <v>78377</v>
      </c>
      <c r="M31" s="17">
        <f t="shared" si="155"/>
        <v>73020</v>
      </c>
      <c r="N31" s="49">
        <v>676778</v>
      </c>
      <c r="O31" s="17">
        <f t="shared" si="165"/>
        <v>13630</v>
      </c>
      <c r="P31" s="17">
        <f t="shared" si="166"/>
        <v>6815</v>
      </c>
      <c r="Q31" s="49">
        <v>70606</v>
      </c>
      <c r="R31" s="17">
        <f t="shared" si="167"/>
        <v>1770</v>
      </c>
      <c r="S31" s="17">
        <f t="shared" si="168"/>
        <v>885</v>
      </c>
      <c r="T31" s="49">
        <v>19810</v>
      </c>
      <c r="U31" s="17">
        <f t="shared" si="169"/>
        <v>7560</v>
      </c>
      <c r="V31" s="17">
        <f t="shared" si="170"/>
        <v>3780</v>
      </c>
      <c r="W31" s="49">
        <v>74096</v>
      </c>
      <c r="X31" s="17">
        <f t="shared" si="171"/>
        <v>161</v>
      </c>
      <c r="Y31" s="17">
        <f t="shared" si="172"/>
        <v>80.5</v>
      </c>
      <c r="Z31" s="277">
        <v>19260</v>
      </c>
      <c r="AA31" s="17">
        <f t="shared" si="158"/>
        <v>970</v>
      </c>
      <c r="AB31" s="277">
        <v>36460</v>
      </c>
      <c r="AC31" s="17">
        <f t="shared" si="159"/>
        <v>1940</v>
      </c>
      <c r="AD31" s="277">
        <v>64560</v>
      </c>
      <c r="AE31" s="17">
        <f t="shared" si="160"/>
        <v>3780</v>
      </c>
      <c r="AF31" s="277">
        <v>37260</v>
      </c>
      <c r="AG31" s="17">
        <f t="shared" si="161"/>
        <v>2010</v>
      </c>
      <c r="AH31" s="277">
        <v>175520</v>
      </c>
      <c r="AI31" s="17">
        <f t="shared" si="162"/>
        <v>10560</v>
      </c>
      <c r="AK31" s="97">
        <f t="shared" si="173"/>
        <v>234330.5</v>
      </c>
      <c r="AL31" s="98">
        <f t="shared" si="174"/>
        <v>30820.5</v>
      </c>
    </row>
    <row r="32" spans="1:38" ht="39.950000000000003" customHeight="1">
      <c r="A32" s="145">
        <v>44037</v>
      </c>
      <c r="B32" s="16"/>
      <c r="C32" s="74">
        <v>368374</v>
      </c>
      <c r="D32" s="17">
        <f t="shared" si="175"/>
        <v>39350</v>
      </c>
      <c r="E32" s="74">
        <v>24282</v>
      </c>
      <c r="F32" s="17">
        <f t="shared" si="176"/>
        <v>54060</v>
      </c>
      <c r="G32" s="74">
        <v>712748</v>
      </c>
      <c r="H32" s="17">
        <f t="shared" si="163"/>
        <v>14800</v>
      </c>
      <c r="I32" s="17">
        <f t="shared" si="164"/>
        <v>7400</v>
      </c>
      <c r="J32" s="74">
        <v>626329</v>
      </c>
      <c r="K32" s="17">
        <f t="shared" si="154"/>
        <v>52000</v>
      </c>
      <c r="L32" s="74">
        <v>85739</v>
      </c>
      <c r="M32" s="17">
        <f t="shared" si="155"/>
        <v>73620</v>
      </c>
      <c r="N32" s="74">
        <v>678332</v>
      </c>
      <c r="O32" s="17">
        <f t="shared" si="165"/>
        <v>15540</v>
      </c>
      <c r="P32" s="17">
        <f t="shared" si="166"/>
        <v>7770</v>
      </c>
      <c r="Q32" s="74">
        <v>70610</v>
      </c>
      <c r="R32" s="17">
        <f t="shared" si="167"/>
        <v>40</v>
      </c>
      <c r="S32" s="17">
        <f t="shared" si="168"/>
        <v>20</v>
      </c>
      <c r="T32" s="74">
        <v>20479</v>
      </c>
      <c r="U32" s="17">
        <f t="shared" si="169"/>
        <v>6690</v>
      </c>
      <c r="V32" s="17">
        <f t="shared" si="170"/>
        <v>3345</v>
      </c>
      <c r="W32" s="74">
        <v>74141</v>
      </c>
      <c r="X32" s="17">
        <f t="shared" si="171"/>
        <v>45</v>
      </c>
      <c r="Y32" s="17">
        <f t="shared" si="172"/>
        <v>22.5</v>
      </c>
      <c r="Z32" s="277">
        <v>20260</v>
      </c>
      <c r="AA32" s="17">
        <f t="shared" si="158"/>
        <v>1000</v>
      </c>
      <c r="AB32" s="277">
        <v>38270</v>
      </c>
      <c r="AC32" s="17">
        <f t="shared" si="159"/>
        <v>1810</v>
      </c>
      <c r="AD32" s="277">
        <v>68300</v>
      </c>
      <c r="AE32" s="17">
        <f t="shared" si="160"/>
        <v>3740</v>
      </c>
      <c r="AF32" s="277">
        <v>39160</v>
      </c>
      <c r="AG32" s="17">
        <f t="shared" si="161"/>
        <v>1900</v>
      </c>
      <c r="AH32" s="277">
        <v>186170</v>
      </c>
      <c r="AI32" s="17">
        <f t="shared" si="162"/>
        <v>10650</v>
      </c>
      <c r="AK32" s="97">
        <f t="shared" si="173"/>
        <v>237587.5</v>
      </c>
      <c r="AL32" s="98">
        <f t="shared" si="174"/>
        <v>30257.5</v>
      </c>
    </row>
    <row r="33" spans="1:38" ht="39.950000000000003" customHeight="1">
      <c r="A33" s="145">
        <v>44038</v>
      </c>
      <c r="B33" s="16"/>
      <c r="C33" s="74">
        <v>372327</v>
      </c>
      <c r="D33" s="17">
        <f t="shared" si="175"/>
        <v>39530</v>
      </c>
      <c r="E33" s="74">
        <v>29649</v>
      </c>
      <c r="F33" s="17">
        <f t="shared" si="176"/>
        <v>53670</v>
      </c>
      <c r="G33" s="74">
        <v>714230</v>
      </c>
      <c r="H33" s="17">
        <f t="shared" si="163"/>
        <v>14820</v>
      </c>
      <c r="I33" s="17">
        <f t="shared" si="164"/>
        <v>7410</v>
      </c>
      <c r="J33" s="74">
        <v>631452</v>
      </c>
      <c r="K33" s="17">
        <f t="shared" si="154"/>
        <v>51230</v>
      </c>
      <c r="L33" s="74">
        <v>92946</v>
      </c>
      <c r="M33" s="17">
        <f t="shared" si="155"/>
        <v>72070</v>
      </c>
      <c r="N33" s="74">
        <v>679892</v>
      </c>
      <c r="O33" s="17">
        <f t="shared" si="165"/>
        <v>15600</v>
      </c>
      <c r="P33" s="17">
        <f t="shared" si="166"/>
        <v>7800</v>
      </c>
      <c r="Q33" s="74">
        <v>70612</v>
      </c>
      <c r="R33" s="17">
        <f t="shared" si="167"/>
        <v>20</v>
      </c>
      <c r="S33" s="17">
        <f t="shared" si="168"/>
        <v>10</v>
      </c>
      <c r="T33" s="74">
        <v>21151</v>
      </c>
      <c r="U33" s="17">
        <f t="shared" si="169"/>
        <v>6720</v>
      </c>
      <c r="V33" s="17">
        <f t="shared" si="170"/>
        <v>3360</v>
      </c>
      <c r="W33" s="74">
        <v>74187</v>
      </c>
      <c r="X33" s="17">
        <f t="shared" si="171"/>
        <v>46</v>
      </c>
      <c r="Y33" s="17">
        <f t="shared" si="172"/>
        <v>23</v>
      </c>
      <c r="Z33" s="277">
        <v>21170</v>
      </c>
      <c r="AA33" s="17">
        <f t="shared" si="158"/>
        <v>910</v>
      </c>
      <c r="AB33" s="277">
        <v>40190</v>
      </c>
      <c r="AC33" s="17">
        <f t="shared" si="159"/>
        <v>1920</v>
      </c>
      <c r="AD33" s="277">
        <v>71930</v>
      </c>
      <c r="AE33" s="17">
        <f t="shared" si="160"/>
        <v>3630</v>
      </c>
      <c r="AF33" s="277">
        <v>41080</v>
      </c>
      <c r="AG33" s="17">
        <f t="shared" si="161"/>
        <v>1920</v>
      </c>
      <c r="AH33" s="277">
        <v>196830</v>
      </c>
      <c r="AI33" s="17">
        <f t="shared" si="162"/>
        <v>10660</v>
      </c>
      <c r="AK33" s="97">
        <f t="shared" si="173"/>
        <v>235103</v>
      </c>
      <c r="AL33" s="98">
        <f t="shared" si="174"/>
        <v>30233</v>
      </c>
    </row>
    <row r="34" spans="1:38" ht="39.950000000000003" customHeight="1">
      <c r="A34" s="145">
        <v>44039</v>
      </c>
      <c r="B34" s="16"/>
      <c r="C34" s="74">
        <v>376388</v>
      </c>
      <c r="D34" s="17">
        <f t="shared" si="175"/>
        <v>40610</v>
      </c>
      <c r="E34" s="74">
        <v>34998</v>
      </c>
      <c r="F34" s="17">
        <f t="shared" si="176"/>
        <v>53490</v>
      </c>
      <c r="G34" s="74">
        <v>715751</v>
      </c>
      <c r="H34" s="17">
        <f t="shared" si="163"/>
        <v>15210</v>
      </c>
      <c r="I34" s="17">
        <f t="shared" si="164"/>
        <v>7605</v>
      </c>
      <c r="J34" s="74">
        <v>636830</v>
      </c>
      <c r="K34" s="17">
        <f t="shared" si="154"/>
        <v>53780</v>
      </c>
      <c r="L34" s="74">
        <v>100309</v>
      </c>
      <c r="M34" s="17">
        <f t="shared" si="155"/>
        <v>73630</v>
      </c>
      <c r="N34" s="74">
        <v>681511</v>
      </c>
      <c r="O34" s="17">
        <f t="shared" si="165"/>
        <v>16190</v>
      </c>
      <c r="P34" s="17">
        <f t="shared" si="166"/>
        <v>8095</v>
      </c>
      <c r="Q34" s="74">
        <v>70614</v>
      </c>
      <c r="R34" s="17">
        <f t="shared" si="167"/>
        <v>20</v>
      </c>
      <c r="S34" s="17">
        <f t="shared" si="168"/>
        <v>10</v>
      </c>
      <c r="T34" s="74">
        <v>21884</v>
      </c>
      <c r="U34" s="17">
        <f t="shared" si="169"/>
        <v>7330</v>
      </c>
      <c r="V34" s="17">
        <f t="shared" si="170"/>
        <v>3665</v>
      </c>
      <c r="W34" s="74">
        <v>74233</v>
      </c>
      <c r="X34" s="17">
        <f t="shared" si="171"/>
        <v>46</v>
      </c>
      <c r="Y34" s="17">
        <f t="shared" si="172"/>
        <v>23</v>
      </c>
      <c r="Z34" s="277">
        <v>22170</v>
      </c>
      <c r="AA34" s="17">
        <f t="shared" si="158"/>
        <v>1000</v>
      </c>
      <c r="AB34" s="277">
        <v>42090</v>
      </c>
      <c r="AC34" s="17">
        <f t="shared" si="159"/>
        <v>1900</v>
      </c>
      <c r="AD34" s="277">
        <v>75740</v>
      </c>
      <c r="AE34" s="17">
        <f t="shared" si="160"/>
        <v>3810</v>
      </c>
      <c r="AF34" s="277">
        <v>43080</v>
      </c>
      <c r="AG34" s="17">
        <f t="shared" si="161"/>
        <v>2000</v>
      </c>
      <c r="AH34" s="277">
        <v>207490</v>
      </c>
      <c r="AI34" s="17">
        <f t="shared" si="162"/>
        <v>10660</v>
      </c>
      <c r="AK34" s="97">
        <f t="shared" si="173"/>
        <v>240908</v>
      </c>
      <c r="AL34" s="98">
        <f t="shared" si="174"/>
        <v>31163</v>
      </c>
    </row>
    <row r="35" spans="1:38" ht="39.950000000000003" customHeight="1">
      <c r="A35" s="145">
        <v>44040</v>
      </c>
      <c r="B35" s="16"/>
      <c r="C35" s="74">
        <v>380393</v>
      </c>
      <c r="D35" s="17">
        <f t="shared" si="175"/>
        <v>40050</v>
      </c>
      <c r="E35" s="74">
        <v>40318</v>
      </c>
      <c r="F35" s="17">
        <f t="shared" si="176"/>
        <v>53200</v>
      </c>
      <c r="G35" s="74">
        <v>717258</v>
      </c>
      <c r="H35" s="17">
        <f t="shared" si="163"/>
        <v>15070</v>
      </c>
      <c r="I35" s="17">
        <f t="shared" si="164"/>
        <v>7535</v>
      </c>
      <c r="J35" s="74">
        <v>642271</v>
      </c>
      <c r="K35" s="17">
        <f t="shared" si="154"/>
        <v>54410</v>
      </c>
      <c r="L35" s="74">
        <v>107535</v>
      </c>
      <c r="M35" s="17">
        <f t="shared" si="155"/>
        <v>72260</v>
      </c>
      <c r="N35" s="74">
        <v>683099</v>
      </c>
      <c r="O35" s="17">
        <f t="shared" si="165"/>
        <v>15880</v>
      </c>
      <c r="P35" s="17">
        <f t="shared" si="166"/>
        <v>7940</v>
      </c>
      <c r="Q35" s="74">
        <v>70616</v>
      </c>
      <c r="R35" s="17">
        <f t="shared" si="167"/>
        <v>20</v>
      </c>
      <c r="S35" s="17">
        <f t="shared" si="168"/>
        <v>10</v>
      </c>
      <c r="T35" s="74">
        <v>22536</v>
      </c>
      <c r="U35" s="17">
        <f t="shared" si="169"/>
        <v>6520</v>
      </c>
      <c r="V35" s="17">
        <f t="shared" si="170"/>
        <v>3260</v>
      </c>
      <c r="W35" s="74">
        <v>74277</v>
      </c>
      <c r="X35" s="17">
        <f t="shared" si="171"/>
        <v>44</v>
      </c>
      <c r="Y35" s="17">
        <f t="shared" si="172"/>
        <v>22</v>
      </c>
      <c r="Z35" s="277">
        <v>23160</v>
      </c>
      <c r="AA35" s="17">
        <f t="shared" si="158"/>
        <v>990</v>
      </c>
      <c r="AB35" s="277">
        <v>43980</v>
      </c>
      <c r="AC35" s="17">
        <f t="shared" si="159"/>
        <v>1890</v>
      </c>
      <c r="AD35" s="277">
        <v>79540</v>
      </c>
      <c r="AE35" s="17">
        <f t="shared" si="160"/>
        <v>3800</v>
      </c>
      <c r="AF35" s="277">
        <v>45010</v>
      </c>
      <c r="AG35" s="17">
        <f t="shared" si="161"/>
        <v>1930</v>
      </c>
      <c r="AH35" s="277">
        <v>218060</v>
      </c>
      <c r="AI35" s="17">
        <f t="shared" si="162"/>
        <v>10570</v>
      </c>
      <c r="AK35" s="97">
        <f t="shared" si="173"/>
        <v>238687</v>
      </c>
      <c r="AL35" s="98">
        <f t="shared" si="174"/>
        <v>30412</v>
      </c>
    </row>
    <row r="36" spans="1:38" ht="39.950000000000003" customHeight="1">
      <c r="A36" s="145">
        <v>44041</v>
      </c>
      <c r="B36" s="16"/>
      <c r="C36" s="74">
        <v>384236</v>
      </c>
      <c r="D36" s="17">
        <f t="shared" si="175"/>
        <v>38430</v>
      </c>
      <c r="E36" s="74">
        <v>45624</v>
      </c>
      <c r="F36" s="17">
        <f t="shared" si="176"/>
        <v>53060</v>
      </c>
      <c r="G36" s="74">
        <v>718722</v>
      </c>
      <c r="H36" s="17">
        <f t="shared" ref="H36:H37" si="177">(G36-G35)*10</f>
        <v>14640</v>
      </c>
      <c r="I36" s="17">
        <f t="shared" ref="I36:I37" si="178">H36*50%</f>
        <v>7320</v>
      </c>
      <c r="J36" s="74">
        <v>647185</v>
      </c>
      <c r="K36" s="17">
        <f t="shared" si="154"/>
        <v>49140</v>
      </c>
      <c r="L36" s="74">
        <v>113904</v>
      </c>
      <c r="M36" s="17">
        <f t="shared" si="155"/>
        <v>63690</v>
      </c>
      <c r="N36" s="74">
        <v>684628</v>
      </c>
      <c r="O36" s="17">
        <f t="shared" ref="O36:O37" si="179">(N36-N35)*10</f>
        <v>15290</v>
      </c>
      <c r="P36" s="17">
        <f t="shared" ref="P36:P37" si="180">O36*50%</f>
        <v>7645</v>
      </c>
      <c r="Q36" s="74">
        <v>70619</v>
      </c>
      <c r="R36" s="17">
        <f t="shared" ref="R36:R37" si="181">(Q36-Q35)*10</f>
        <v>30</v>
      </c>
      <c r="S36" s="17">
        <f t="shared" ref="S36:S37" si="182">R36*50%</f>
        <v>15</v>
      </c>
      <c r="T36" s="74">
        <v>23210</v>
      </c>
      <c r="U36" s="17">
        <f t="shared" ref="U36:U37" si="183">(T36-T35)*10</f>
        <v>6740</v>
      </c>
      <c r="V36" s="17">
        <f t="shared" ref="V36:V37" si="184">U36*50%</f>
        <v>3370</v>
      </c>
      <c r="W36" s="74">
        <v>74324</v>
      </c>
      <c r="X36" s="17">
        <f t="shared" ref="X36:X37" si="185">W36-W35</f>
        <v>47</v>
      </c>
      <c r="Y36" s="17">
        <f t="shared" ref="Y36:Y37" si="186">X36*50%</f>
        <v>23.5</v>
      </c>
      <c r="Z36" s="277">
        <v>24180</v>
      </c>
      <c r="AA36" s="17">
        <f t="shared" si="158"/>
        <v>1020</v>
      </c>
      <c r="AB36" s="277">
        <v>45830</v>
      </c>
      <c r="AC36" s="17">
        <f t="shared" si="159"/>
        <v>1850</v>
      </c>
      <c r="AD36" s="277">
        <v>83250</v>
      </c>
      <c r="AE36" s="17">
        <f t="shared" si="160"/>
        <v>3710</v>
      </c>
      <c r="AF36" s="277">
        <v>46960</v>
      </c>
      <c r="AG36" s="17">
        <f t="shared" si="161"/>
        <v>1950</v>
      </c>
      <c r="AH36" s="277">
        <v>228390</v>
      </c>
      <c r="AI36" s="17">
        <f t="shared" si="162"/>
        <v>10330</v>
      </c>
      <c r="AK36" s="97">
        <f t="shared" ref="AK36:AK37" si="187">SUM(D36,F36,I36,K36,M36,P36,S36,V36,Y36)</f>
        <v>222693.5</v>
      </c>
      <c r="AL36" s="98">
        <f t="shared" ref="AL36:AL37" si="188">SUM(P36,S36,V36,Y36,AA36,AC36,AE36,AG36,AI36)</f>
        <v>29913.5</v>
      </c>
    </row>
    <row r="37" spans="1:38" ht="39.950000000000003" customHeight="1">
      <c r="A37" s="145">
        <v>44042</v>
      </c>
      <c r="B37" s="16"/>
      <c r="C37" s="74">
        <v>388076</v>
      </c>
      <c r="D37" s="17">
        <f t="shared" si="175"/>
        <v>38400</v>
      </c>
      <c r="E37" s="74">
        <v>50814</v>
      </c>
      <c r="F37" s="17">
        <f t="shared" si="176"/>
        <v>51900</v>
      </c>
      <c r="G37" s="74">
        <v>720090</v>
      </c>
      <c r="H37" s="17">
        <f t="shared" si="177"/>
        <v>13680</v>
      </c>
      <c r="I37" s="17">
        <f t="shared" si="178"/>
        <v>6840</v>
      </c>
      <c r="J37" s="74">
        <v>652185</v>
      </c>
      <c r="K37" s="17">
        <f t="shared" si="154"/>
        <v>50000</v>
      </c>
      <c r="L37" s="74">
        <v>120177</v>
      </c>
      <c r="M37" s="17">
        <f t="shared" si="155"/>
        <v>62730</v>
      </c>
      <c r="N37" s="74">
        <v>686105</v>
      </c>
      <c r="O37" s="17">
        <f t="shared" si="179"/>
        <v>14770</v>
      </c>
      <c r="P37" s="17">
        <f t="shared" si="180"/>
        <v>7385</v>
      </c>
      <c r="Q37" s="74">
        <v>70621</v>
      </c>
      <c r="R37" s="17">
        <f t="shared" si="181"/>
        <v>20</v>
      </c>
      <c r="S37" s="17">
        <f t="shared" si="182"/>
        <v>10</v>
      </c>
      <c r="T37" s="74">
        <v>23782</v>
      </c>
      <c r="U37" s="17">
        <f t="shared" si="183"/>
        <v>5720</v>
      </c>
      <c r="V37" s="17">
        <f t="shared" si="184"/>
        <v>2860</v>
      </c>
      <c r="W37" s="74">
        <v>74369</v>
      </c>
      <c r="X37" s="17">
        <f t="shared" si="185"/>
        <v>45</v>
      </c>
      <c r="Y37" s="17">
        <f t="shared" si="186"/>
        <v>22.5</v>
      </c>
      <c r="Z37" s="277">
        <v>25200</v>
      </c>
      <c r="AA37" s="17">
        <f t="shared" si="158"/>
        <v>1020</v>
      </c>
      <c r="AB37" s="277">
        <v>47700</v>
      </c>
      <c r="AC37" s="17">
        <f t="shared" si="159"/>
        <v>1870</v>
      </c>
      <c r="AD37" s="277">
        <v>86880</v>
      </c>
      <c r="AE37" s="17">
        <f t="shared" si="160"/>
        <v>3630</v>
      </c>
      <c r="AF37" s="277">
        <v>48910</v>
      </c>
      <c r="AG37" s="17">
        <f t="shared" si="161"/>
        <v>1950</v>
      </c>
      <c r="AH37" s="277">
        <v>238150</v>
      </c>
      <c r="AI37" s="17">
        <f t="shared" si="162"/>
        <v>9760</v>
      </c>
      <c r="AK37" s="97">
        <f t="shared" si="187"/>
        <v>220147.5</v>
      </c>
      <c r="AL37" s="98">
        <f t="shared" si="188"/>
        <v>28507.5</v>
      </c>
    </row>
    <row r="38" spans="1:38" s="147" customFormat="1" ht="39.950000000000003" customHeight="1">
      <c r="A38" s="145">
        <v>44043</v>
      </c>
      <c r="B38" s="146"/>
      <c r="C38" s="74">
        <v>391727</v>
      </c>
      <c r="D38" s="17">
        <v>38400</v>
      </c>
      <c r="E38" s="74">
        <v>55767</v>
      </c>
      <c r="F38" s="17">
        <f t="shared" si="176"/>
        <v>49530</v>
      </c>
      <c r="G38" s="74">
        <v>721457</v>
      </c>
      <c r="H38" s="17">
        <f t="shared" ref="H38" si="189">(G38-G37)*10</f>
        <v>13670</v>
      </c>
      <c r="I38" s="17">
        <f t="shared" ref="I38" si="190">H38*50%</f>
        <v>6835</v>
      </c>
      <c r="J38" s="74">
        <v>657266</v>
      </c>
      <c r="K38" s="17">
        <f t="shared" si="154"/>
        <v>50810</v>
      </c>
      <c r="L38" s="74">
        <v>126773</v>
      </c>
      <c r="M38" s="17">
        <f t="shared" si="155"/>
        <v>65960</v>
      </c>
      <c r="N38" s="74">
        <v>687582</v>
      </c>
      <c r="O38" s="17">
        <f t="shared" ref="O38" si="191">(N38-N37)*10</f>
        <v>14770</v>
      </c>
      <c r="P38" s="17">
        <f t="shared" ref="P38" si="192">O38*50%</f>
        <v>7385</v>
      </c>
      <c r="Q38" s="74">
        <v>70677</v>
      </c>
      <c r="R38" s="17">
        <f t="shared" ref="R38" si="193">(Q38-Q37)*10</f>
        <v>560</v>
      </c>
      <c r="S38" s="17">
        <f t="shared" ref="S38" si="194">R38*50%</f>
        <v>280</v>
      </c>
      <c r="T38" s="74">
        <v>23874</v>
      </c>
      <c r="U38" s="17">
        <f t="shared" ref="U38" si="195">(T38-T37)*10</f>
        <v>920</v>
      </c>
      <c r="V38" s="17">
        <f t="shared" ref="V38" si="196">U38*50%</f>
        <v>460</v>
      </c>
      <c r="W38" s="74">
        <v>74418</v>
      </c>
      <c r="X38" s="17">
        <f t="shared" ref="X38" si="197">W38-W37</f>
        <v>49</v>
      </c>
      <c r="Y38" s="17">
        <f t="shared" ref="Y38" si="198">X38*50%</f>
        <v>24.5</v>
      </c>
      <c r="Z38" s="277">
        <v>26180</v>
      </c>
      <c r="AA38" s="17">
        <f t="shared" si="158"/>
        <v>980</v>
      </c>
      <c r="AB38" s="277">
        <v>49620</v>
      </c>
      <c r="AC38" s="17">
        <f t="shared" si="159"/>
        <v>1920</v>
      </c>
      <c r="AD38" s="277">
        <v>90550</v>
      </c>
      <c r="AE38" s="17">
        <f t="shared" si="160"/>
        <v>3670</v>
      </c>
      <c r="AF38" s="277">
        <v>50850</v>
      </c>
      <c r="AG38" s="17">
        <f t="shared" si="161"/>
        <v>1940</v>
      </c>
      <c r="AH38" s="277">
        <v>247520</v>
      </c>
      <c r="AI38" s="17">
        <f t="shared" si="162"/>
        <v>9370</v>
      </c>
      <c r="AK38" s="97">
        <f t="shared" ref="AK38" si="199">SUM(D38,F38,I38,K38,M38,P38,S38,V38,Y38)</f>
        <v>219684.5</v>
      </c>
      <c r="AL38" s="98">
        <f t="shared" ref="AL38" si="200">SUM(P38,S38,V38,Y38,AA38,AC38,AE38,AG38,AI38)</f>
        <v>26029.5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17" activePane="bottomRight" state="frozen"/>
      <selection pane="topRight" activeCell="C1" sqref="C1"/>
      <selection pane="bottomLeft" activeCell="A5" sqref="A5"/>
      <selection pane="bottomRight" activeCell="R31" sqref="R3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9"/>
      <c r="B1" s="109"/>
      <c r="C1" s="216" t="s">
        <v>64</v>
      </c>
      <c r="D1" s="216"/>
      <c r="E1" s="216" t="s">
        <v>64</v>
      </c>
      <c r="F1" s="216"/>
      <c r="G1" s="216" t="s">
        <v>64</v>
      </c>
      <c r="H1" s="216"/>
      <c r="I1" s="216" t="s">
        <v>64</v>
      </c>
      <c r="J1" s="216"/>
      <c r="K1" s="202" t="s">
        <v>65</v>
      </c>
      <c r="L1" s="203"/>
      <c r="M1" s="203"/>
      <c r="N1" s="204"/>
      <c r="O1" s="216" t="s">
        <v>66</v>
      </c>
      <c r="P1" s="216"/>
    </row>
    <row r="2" spans="1:19" s="27" customFormat="1" ht="113.25" customHeight="1">
      <c r="A2" s="26"/>
      <c r="B2" s="26"/>
      <c r="C2" s="218" t="s">
        <v>102</v>
      </c>
      <c r="D2" s="219"/>
      <c r="E2" s="218" t="s">
        <v>103</v>
      </c>
      <c r="F2" s="219"/>
      <c r="G2" s="218" t="s">
        <v>104</v>
      </c>
      <c r="H2" s="219"/>
      <c r="I2" s="218" t="s">
        <v>105</v>
      </c>
      <c r="J2" s="219"/>
      <c r="K2" s="220" t="s">
        <v>106</v>
      </c>
      <c r="L2" s="221"/>
      <c r="M2" s="221"/>
      <c r="N2" s="222"/>
      <c r="O2" s="218" t="s">
        <v>107</v>
      </c>
      <c r="P2" s="219"/>
    </row>
    <row r="3" spans="1:19" s="32" customFormat="1" ht="50.1" customHeight="1">
      <c r="A3" s="41"/>
      <c r="B3" s="41"/>
      <c r="C3" s="223" t="s">
        <v>108</v>
      </c>
      <c r="D3" s="224"/>
      <c r="E3" s="225" t="s">
        <v>109</v>
      </c>
      <c r="F3" s="226"/>
      <c r="G3" s="225" t="s">
        <v>110</v>
      </c>
      <c r="H3" s="226"/>
      <c r="I3" s="225" t="s">
        <v>111</v>
      </c>
      <c r="J3" s="226"/>
      <c r="K3" s="227" t="s">
        <v>112</v>
      </c>
      <c r="L3" s="228"/>
      <c r="M3" s="228"/>
      <c r="N3" s="229"/>
      <c r="O3" s="223" t="s">
        <v>113</v>
      </c>
      <c r="P3" s="224"/>
      <c r="R3" s="217" t="s">
        <v>80</v>
      </c>
      <c r="S3" s="217"/>
    </row>
    <row r="4" spans="1:19" s="8" customFormat="1" ht="30" customHeight="1">
      <c r="A4" s="107" t="s">
        <v>95</v>
      </c>
      <c r="B4" s="51"/>
      <c r="C4" s="200"/>
      <c r="D4" s="201"/>
      <c r="E4" s="200"/>
      <c r="F4" s="201"/>
      <c r="G4" s="200"/>
      <c r="H4" s="201"/>
      <c r="I4" s="200"/>
      <c r="J4" s="201"/>
      <c r="K4" s="200"/>
      <c r="L4" s="214"/>
      <c r="M4" s="214"/>
      <c r="N4" s="201"/>
      <c r="O4" s="51"/>
      <c r="P4" s="51"/>
      <c r="R4" s="217"/>
      <c r="S4" s="217"/>
    </row>
    <row r="5" spans="1:19" s="10" customFormat="1" ht="50.1" customHeight="1">
      <c r="A5" s="107" t="s">
        <v>98</v>
      </c>
      <c r="B5" s="107"/>
      <c r="C5" s="107" t="s">
        <v>114</v>
      </c>
      <c r="D5" s="107" t="s">
        <v>115</v>
      </c>
      <c r="E5" s="107" t="s">
        <v>114</v>
      </c>
      <c r="F5" s="107" t="s">
        <v>115</v>
      </c>
      <c r="G5" s="107" t="s">
        <v>114</v>
      </c>
      <c r="H5" s="107" t="s">
        <v>115</v>
      </c>
      <c r="I5" s="107" t="s">
        <v>114</v>
      </c>
      <c r="J5" s="107" t="s">
        <v>115</v>
      </c>
      <c r="K5" s="107" t="s">
        <v>114</v>
      </c>
      <c r="L5" s="107" t="s">
        <v>115</v>
      </c>
      <c r="M5" s="107" t="s">
        <v>64</v>
      </c>
      <c r="N5" s="107" t="s">
        <v>66</v>
      </c>
      <c r="O5" s="107" t="s">
        <v>114</v>
      </c>
      <c r="P5" s="107" t="s">
        <v>115</v>
      </c>
      <c r="R5" s="107"/>
      <c r="S5" s="107"/>
    </row>
    <row r="6" spans="1:19" ht="39.950000000000003" customHeight="1">
      <c r="A6" s="145">
        <v>44012</v>
      </c>
      <c r="B6" s="16"/>
      <c r="C6" s="84">
        <v>160131</v>
      </c>
      <c r="D6" s="182"/>
      <c r="E6" s="84">
        <v>135515</v>
      </c>
      <c r="F6" s="182"/>
      <c r="G6" s="84">
        <v>5097.4970000000003</v>
      </c>
      <c r="H6" s="182"/>
      <c r="I6" s="84">
        <v>9231</v>
      </c>
      <c r="J6" s="182"/>
      <c r="K6" s="84">
        <v>108169</v>
      </c>
      <c r="L6" s="76"/>
      <c r="M6" s="182"/>
      <c r="N6" s="182"/>
      <c r="O6" s="84">
        <v>79395</v>
      </c>
      <c r="P6" s="182"/>
      <c r="R6" s="97"/>
      <c r="S6" s="98"/>
    </row>
    <row r="7" spans="1:19" s="2" customFormat="1" ht="39.950000000000003" customHeight="1">
      <c r="A7" s="145">
        <v>44013</v>
      </c>
      <c r="B7" s="15"/>
      <c r="C7" s="84">
        <v>160270</v>
      </c>
      <c r="D7" s="182">
        <f>(C7-C6)</f>
        <v>139</v>
      </c>
      <c r="E7" s="84">
        <v>135805</v>
      </c>
      <c r="F7" s="182">
        <f>(E7-E6)</f>
        <v>290</v>
      </c>
      <c r="G7" s="84">
        <v>5102.6715000000004</v>
      </c>
      <c r="H7" s="182">
        <f>(G7-G6)</f>
        <v>5.17450000000008</v>
      </c>
      <c r="I7" s="84">
        <v>9258</v>
      </c>
      <c r="J7" s="182">
        <f>(I7-I6)</f>
        <v>27</v>
      </c>
      <c r="K7" s="84">
        <v>108252</v>
      </c>
      <c r="L7" s="76">
        <f>(K7-K6)</f>
        <v>83</v>
      </c>
      <c r="M7" s="182">
        <f>L7*55%</f>
        <v>45.650000000000006</v>
      </c>
      <c r="N7" s="182">
        <f>L7*45%</f>
        <v>37.35</v>
      </c>
      <c r="O7" s="84">
        <v>79486</v>
      </c>
      <c r="P7" s="182">
        <f>(O7-O6)</f>
        <v>91</v>
      </c>
      <c r="R7" s="106">
        <f t="shared" ref="R7:R34" si="0">SUM(D7,F7,M71,H7)</f>
        <v>434.17450000000008</v>
      </c>
      <c r="S7" s="98">
        <f>SUM(N7,P7)</f>
        <v>128.35</v>
      </c>
    </row>
    <row r="8" spans="1:19" ht="39.950000000000003" customHeight="1">
      <c r="A8" s="145">
        <v>44014</v>
      </c>
      <c r="B8" s="16"/>
      <c r="C8" s="84">
        <v>160393</v>
      </c>
      <c r="D8" s="182">
        <f t="shared" ref="D8:F35" si="1">(C8-C7)</f>
        <v>123</v>
      </c>
      <c r="E8" s="84">
        <v>136030</v>
      </c>
      <c r="F8" s="182">
        <f t="shared" si="1"/>
        <v>225</v>
      </c>
      <c r="G8" s="84">
        <v>5105.8545999999997</v>
      </c>
      <c r="H8" s="182">
        <f t="shared" ref="H8" si="2">(G8-G7)</f>
        <v>3.1830999999992855</v>
      </c>
      <c r="I8" s="84">
        <v>9273</v>
      </c>
      <c r="J8" s="182">
        <f t="shared" ref="J8" si="3">(I8-I7)</f>
        <v>15</v>
      </c>
      <c r="K8" s="84">
        <v>108359</v>
      </c>
      <c r="L8" s="76">
        <f t="shared" ref="L8" si="4">(K8-K7)</f>
        <v>107</v>
      </c>
      <c r="M8" s="182">
        <f t="shared" ref="M8:M34" si="5">L8*55%</f>
        <v>58.85</v>
      </c>
      <c r="N8" s="182">
        <f t="shared" ref="N8:N34" si="6">L8*45%</f>
        <v>48.15</v>
      </c>
      <c r="O8" s="84">
        <v>79563</v>
      </c>
      <c r="P8" s="182">
        <f t="shared" ref="P8" si="7">(O8-O7)</f>
        <v>77</v>
      </c>
      <c r="R8" s="106">
        <f t="shared" si="0"/>
        <v>351.18309999999929</v>
      </c>
      <c r="S8" s="98">
        <f t="shared" ref="S8:S34" si="8">SUM(N8,P8)</f>
        <v>125.15</v>
      </c>
    </row>
    <row r="9" spans="1:19" ht="39.950000000000003" customHeight="1">
      <c r="A9" s="145">
        <v>44015</v>
      </c>
      <c r="B9" s="16"/>
      <c r="C9" s="84">
        <v>160480</v>
      </c>
      <c r="D9" s="182">
        <f t="shared" si="1"/>
        <v>87</v>
      </c>
      <c r="E9" s="84">
        <v>136256</v>
      </c>
      <c r="F9" s="182">
        <f t="shared" si="1"/>
        <v>226</v>
      </c>
      <c r="G9" s="84">
        <v>5108.3599000000004</v>
      </c>
      <c r="H9" s="182">
        <f t="shared" ref="H9" si="9">(G9-G8)</f>
        <v>2.505300000000716</v>
      </c>
      <c r="I9" s="84">
        <v>9280</v>
      </c>
      <c r="J9" s="182">
        <f t="shared" ref="J9" si="10">(I9-I8)</f>
        <v>7</v>
      </c>
      <c r="K9" s="84">
        <v>108479</v>
      </c>
      <c r="L9" s="76">
        <f t="shared" ref="L9" si="11">(K9-K8)</f>
        <v>120</v>
      </c>
      <c r="M9" s="182">
        <f t="shared" si="5"/>
        <v>66</v>
      </c>
      <c r="N9" s="182">
        <f t="shared" si="6"/>
        <v>54</v>
      </c>
      <c r="O9" s="84">
        <v>79652</v>
      </c>
      <c r="P9" s="182">
        <f t="shared" ref="P9" si="12">(O9-O8)</f>
        <v>89</v>
      </c>
      <c r="R9" s="106">
        <f t="shared" si="0"/>
        <v>315.50530000000072</v>
      </c>
      <c r="S9" s="98">
        <f t="shared" si="8"/>
        <v>143</v>
      </c>
    </row>
    <row r="10" spans="1:19" ht="39.950000000000003" customHeight="1">
      <c r="A10" s="145">
        <v>44016</v>
      </c>
      <c r="B10" s="16"/>
      <c r="C10" s="84">
        <v>160592</v>
      </c>
      <c r="D10" s="182">
        <f t="shared" si="1"/>
        <v>112</v>
      </c>
      <c r="E10" s="84">
        <v>136525</v>
      </c>
      <c r="F10" s="182">
        <f t="shared" si="1"/>
        <v>269</v>
      </c>
      <c r="G10" s="84">
        <v>5109.4856</v>
      </c>
      <c r="H10" s="182">
        <f t="shared" ref="H10" si="13">(G10-G9)</f>
        <v>1.1256999999995969</v>
      </c>
      <c r="I10" s="84">
        <v>9287</v>
      </c>
      <c r="J10" s="182">
        <f t="shared" ref="J10" si="14">(I10-I9)</f>
        <v>7</v>
      </c>
      <c r="K10" s="84">
        <v>108611</v>
      </c>
      <c r="L10" s="76">
        <f t="shared" ref="L10" si="15">(K10-K9)</f>
        <v>132</v>
      </c>
      <c r="M10" s="182">
        <f t="shared" si="5"/>
        <v>72.600000000000009</v>
      </c>
      <c r="N10" s="182">
        <f t="shared" si="6"/>
        <v>59.4</v>
      </c>
      <c r="O10" s="84">
        <v>79739</v>
      </c>
      <c r="P10" s="182">
        <f t="shared" ref="P10" si="16">(O10-O9)</f>
        <v>87</v>
      </c>
      <c r="R10" s="106">
        <f t="shared" si="0"/>
        <v>382.1256999999996</v>
      </c>
      <c r="S10" s="98">
        <f t="shared" si="8"/>
        <v>146.4</v>
      </c>
    </row>
    <row r="11" spans="1:19" ht="39.950000000000003" customHeight="1">
      <c r="A11" s="145">
        <v>44017</v>
      </c>
      <c r="B11" s="16"/>
      <c r="C11" s="84">
        <v>160727</v>
      </c>
      <c r="D11" s="182">
        <f t="shared" si="1"/>
        <v>135</v>
      </c>
      <c r="E11" s="84">
        <v>136799</v>
      </c>
      <c r="F11" s="182">
        <f t="shared" si="1"/>
        <v>274</v>
      </c>
      <c r="G11" s="84">
        <v>5113.607</v>
      </c>
      <c r="H11" s="182">
        <f t="shared" ref="H11" si="17">(G11-G10)</f>
        <v>4.1213999999999942</v>
      </c>
      <c r="I11" s="84">
        <v>9312</v>
      </c>
      <c r="J11" s="182">
        <f t="shared" ref="J11" si="18">(I11-I10)</f>
        <v>25</v>
      </c>
      <c r="K11" s="84">
        <v>108719</v>
      </c>
      <c r="L11" s="76">
        <f t="shared" ref="L11" si="19">(K11-K10)</f>
        <v>108</v>
      </c>
      <c r="M11" s="182">
        <f t="shared" si="5"/>
        <v>59.400000000000006</v>
      </c>
      <c r="N11" s="182">
        <f t="shared" si="6"/>
        <v>48.6</v>
      </c>
      <c r="O11" s="84">
        <v>79818</v>
      </c>
      <c r="P11" s="182">
        <f t="shared" ref="P11" si="20">(O11-O10)</f>
        <v>79</v>
      </c>
      <c r="R11" s="106">
        <f t="shared" si="0"/>
        <v>413.12139999999999</v>
      </c>
      <c r="S11" s="98">
        <f t="shared" si="8"/>
        <v>127.6</v>
      </c>
    </row>
    <row r="12" spans="1:19" ht="39.950000000000003" customHeight="1">
      <c r="A12" s="145">
        <v>44018</v>
      </c>
      <c r="B12" s="16"/>
      <c r="C12" s="84">
        <v>160872</v>
      </c>
      <c r="D12" s="182">
        <f t="shared" si="1"/>
        <v>145</v>
      </c>
      <c r="E12" s="84">
        <v>137061</v>
      </c>
      <c r="F12" s="182">
        <f t="shared" si="1"/>
        <v>262</v>
      </c>
      <c r="G12" s="84">
        <v>5116.1025</v>
      </c>
      <c r="H12" s="182">
        <f t="shared" ref="H12" si="21">(G12-G11)</f>
        <v>2.4954999999999927</v>
      </c>
      <c r="I12" s="84">
        <v>9330</v>
      </c>
      <c r="J12" s="182">
        <f t="shared" ref="J12" si="22">(I12-I11)</f>
        <v>18</v>
      </c>
      <c r="K12" s="84">
        <v>108836</v>
      </c>
      <c r="L12" s="76">
        <f t="shared" ref="L12" si="23">(K12-K11)</f>
        <v>117</v>
      </c>
      <c r="M12" s="182">
        <f t="shared" si="5"/>
        <v>64.350000000000009</v>
      </c>
      <c r="N12" s="182">
        <f t="shared" si="6"/>
        <v>52.65</v>
      </c>
      <c r="O12" s="84">
        <v>79910</v>
      </c>
      <c r="P12" s="182">
        <f t="shared" ref="P12" si="24">(O12-O11)</f>
        <v>92</v>
      </c>
      <c r="R12" s="106">
        <f t="shared" si="0"/>
        <v>409.49549999999999</v>
      </c>
      <c r="S12" s="98">
        <f t="shared" si="8"/>
        <v>144.65</v>
      </c>
    </row>
    <row r="13" spans="1:19" ht="39.950000000000003" customHeight="1">
      <c r="A13" s="145">
        <v>44019</v>
      </c>
      <c r="B13" s="16"/>
      <c r="C13" s="84">
        <v>161001</v>
      </c>
      <c r="D13" s="182">
        <f t="shared" si="1"/>
        <v>129</v>
      </c>
      <c r="E13" s="84">
        <v>137291</v>
      </c>
      <c r="F13" s="182">
        <f t="shared" si="1"/>
        <v>230</v>
      </c>
      <c r="G13" s="84">
        <v>5119.3957</v>
      </c>
      <c r="H13" s="182">
        <f t="shared" ref="H13" si="25">(G13-G12)</f>
        <v>3.2932000000000698</v>
      </c>
      <c r="I13" s="84">
        <v>9345</v>
      </c>
      <c r="J13" s="182">
        <f t="shared" ref="J13" si="26">(I13-I12)</f>
        <v>15</v>
      </c>
      <c r="K13" s="84">
        <v>108977</v>
      </c>
      <c r="L13" s="76">
        <f t="shared" ref="L13" si="27">(K13-K12)</f>
        <v>141</v>
      </c>
      <c r="M13" s="182">
        <f t="shared" si="5"/>
        <v>77.550000000000011</v>
      </c>
      <c r="N13" s="182">
        <f t="shared" si="6"/>
        <v>63.45</v>
      </c>
      <c r="O13" s="84">
        <v>80008</v>
      </c>
      <c r="P13" s="182">
        <f t="shared" ref="P13" si="28">(O13-O12)</f>
        <v>98</v>
      </c>
      <c r="R13" s="106">
        <f t="shared" si="0"/>
        <v>362.29320000000007</v>
      </c>
      <c r="S13" s="98">
        <f t="shared" si="8"/>
        <v>161.44999999999999</v>
      </c>
    </row>
    <row r="14" spans="1:19" ht="39.950000000000003" customHeight="1">
      <c r="A14" s="145">
        <v>44020</v>
      </c>
      <c r="B14" s="16"/>
      <c r="C14" s="84">
        <v>161131</v>
      </c>
      <c r="D14" s="182">
        <f t="shared" si="1"/>
        <v>130</v>
      </c>
      <c r="E14" s="84">
        <v>137566</v>
      </c>
      <c r="F14" s="182">
        <f t="shared" si="1"/>
        <v>275</v>
      </c>
      <c r="G14" s="84">
        <v>5121.9582</v>
      </c>
      <c r="H14" s="182">
        <f t="shared" ref="H14" si="29">(G14-G13)</f>
        <v>2.5625</v>
      </c>
      <c r="I14" s="84">
        <v>9357</v>
      </c>
      <c r="J14" s="182">
        <f t="shared" ref="J14" si="30">(I14-I13)</f>
        <v>12</v>
      </c>
      <c r="K14" s="84">
        <v>109113</v>
      </c>
      <c r="L14" s="76">
        <f t="shared" ref="L14" si="31">(K14-K13)</f>
        <v>136</v>
      </c>
      <c r="M14" s="182">
        <f t="shared" si="5"/>
        <v>74.800000000000011</v>
      </c>
      <c r="N14" s="182">
        <f t="shared" si="6"/>
        <v>61.2</v>
      </c>
      <c r="O14" s="84">
        <v>80111</v>
      </c>
      <c r="P14" s="182">
        <f t="shared" ref="P14" si="32">(O14-O13)</f>
        <v>103</v>
      </c>
      <c r="R14" s="106">
        <f t="shared" si="0"/>
        <v>407.5625</v>
      </c>
      <c r="S14" s="98">
        <f t="shared" si="8"/>
        <v>164.2</v>
      </c>
    </row>
    <row r="15" spans="1:19" ht="39.950000000000003" customHeight="1">
      <c r="A15" s="145">
        <v>44021</v>
      </c>
      <c r="B15" s="16"/>
      <c r="C15" s="84">
        <v>161246</v>
      </c>
      <c r="D15" s="182">
        <f t="shared" si="1"/>
        <v>115</v>
      </c>
      <c r="E15" s="84">
        <v>137794</v>
      </c>
      <c r="F15" s="182">
        <f t="shared" si="1"/>
        <v>228</v>
      </c>
      <c r="G15" s="84">
        <v>5126.2443000000003</v>
      </c>
      <c r="H15" s="182">
        <f t="shared" ref="H15" si="33">(G15-G14)</f>
        <v>4.2861000000002605</v>
      </c>
      <c r="I15" s="84">
        <v>9378</v>
      </c>
      <c r="J15" s="182">
        <f t="shared" ref="J15" si="34">(I15-I14)</f>
        <v>21</v>
      </c>
      <c r="K15" s="84">
        <v>109239</v>
      </c>
      <c r="L15" s="76">
        <f t="shared" ref="L15" si="35">(K15-K14)</f>
        <v>126</v>
      </c>
      <c r="M15" s="182">
        <f t="shared" si="5"/>
        <v>69.300000000000011</v>
      </c>
      <c r="N15" s="182">
        <f t="shared" si="6"/>
        <v>56.7</v>
      </c>
      <c r="O15" s="84">
        <v>80200</v>
      </c>
      <c r="P15" s="182">
        <f t="shared" ref="P15" si="36">(O15-O14)</f>
        <v>89</v>
      </c>
      <c r="R15" s="106">
        <f t="shared" si="0"/>
        <v>347.28610000000026</v>
      </c>
      <c r="S15" s="98">
        <f t="shared" si="8"/>
        <v>145.69999999999999</v>
      </c>
    </row>
    <row r="16" spans="1:19" ht="39.950000000000003" customHeight="1">
      <c r="A16" s="145">
        <v>44022</v>
      </c>
      <c r="B16" s="16"/>
      <c r="C16" s="84">
        <v>161376</v>
      </c>
      <c r="D16" s="182">
        <f t="shared" si="1"/>
        <v>130</v>
      </c>
      <c r="E16" s="84">
        <v>138012</v>
      </c>
      <c r="F16" s="182">
        <f t="shared" si="1"/>
        <v>218</v>
      </c>
      <c r="G16" s="84">
        <v>5131.8717999999999</v>
      </c>
      <c r="H16" s="182">
        <f t="shared" ref="H16" si="37">(G16-G15)</f>
        <v>5.6274999999995998</v>
      </c>
      <c r="I16" s="84">
        <v>9447</v>
      </c>
      <c r="J16" s="182">
        <f t="shared" ref="J16" si="38">(I16-I15)</f>
        <v>69</v>
      </c>
      <c r="K16" s="84">
        <v>109348</v>
      </c>
      <c r="L16" s="76">
        <f t="shared" ref="L16" si="39">(K16-K15)</f>
        <v>109</v>
      </c>
      <c r="M16" s="182">
        <f t="shared" si="5"/>
        <v>59.95</v>
      </c>
      <c r="N16" s="182">
        <f t="shared" si="6"/>
        <v>49.050000000000004</v>
      </c>
      <c r="O16" s="84">
        <v>80307</v>
      </c>
      <c r="P16" s="182">
        <f t="shared" ref="P16" si="40">(O16-O15)</f>
        <v>107</v>
      </c>
      <c r="R16" s="106">
        <f t="shared" si="0"/>
        <v>353.6274999999996</v>
      </c>
      <c r="S16" s="98">
        <f t="shared" si="8"/>
        <v>156.05000000000001</v>
      </c>
    </row>
    <row r="17" spans="1:19" ht="39.950000000000003" customHeight="1">
      <c r="A17" s="145">
        <v>44023</v>
      </c>
      <c r="B17" s="16"/>
      <c r="C17" s="83">
        <v>161523</v>
      </c>
      <c r="D17" s="182">
        <f t="shared" si="1"/>
        <v>147</v>
      </c>
      <c r="E17" s="83">
        <v>138268</v>
      </c>
      <c r="F17" s="182">
        <f t="shared" si="1"/>
        <v>256</v>
      </c>
      <c r="G17" s="83">
        <v>5135.2209999999995</v>
      </c>
      <c r="H17" s="182">
        <f t="shared" ref="H17" si="41">(G17-G16)</f>
        <v>3.3491999999996551</v>
      </c>
      <c r="I17" s="83">
        <v>9470</v>
      </c>
      <c r="J17" s="182">
        <f t="shared" ref="J17" si="42">(I17-I16)</f>
        <v>23</v>
      </c>
      <c r="K17" s="83">
        <v>109468</v>
      </c>
      <c r="L17" s="76">
        <f t="shared" ref="L17" si="43">(K17-K16)</f>
        <v>120</v>
      </c>
      <c r="M17" s="182">
        <f t="shared" si="5"/>
        <v>66</v>
      </c>
      <c r="N17" s="182">
        <f t="shared" si="6"/>
        <v>54</v>
      </c>
      <c r="O17" s="83">
        <v>80384</v>
      </c>
      <c r="P17" s="182">
        <f t="shared" ref="P17" si="44">(O17-O16)</f>
        <v>77</v>
      </c>
      <c r="R17" s="106">
        <f t="shared" si="0"/>
        <v>406.34919999999966</v>
      </c>
      <c r="S17" s="98">
        <f t="shared" si="8"/>
        <v>131</v>
      </c>
    </row>
    <row r="18" spans="1:19" ht="39.950000000000003" customHeight="1">
      <c r="A18" s="145">
        <v>44024</v>
      </c>
      <c r="B18" s="16"/>
      <c r="C18" s="83">
        <v>161954</v>
      </c>
      <c r="D18" s="182">
        <f t="shared" si="1"/>
        <v>431</v>
      </c>
      <c r="E18" s="83">
        <v>138521</v>
      </c>
      <c r="F18" s="182">
        <f t="shared" si="1"/>
        <v>253</v>
      </c>
      <c r="G18" s="83">
        <v>5139.3180000000002</v>
      </c>
      <c r="H18" s="182">
        <f t="shared" ref="H18" si="45">(G18-G17)</f>
        <v>4.0970000000006621</v>
      </c>
      <c r="I18" s="83">
        <v>9496</v>
      </c>
      <c r="J18" s="182">
        <f t="shared" ref="J18" si="46">(I18-I17)</f>
        <v>26</v>
      </c>
      <c r="K18" s="83">
        <v>109582</v>
      </c>
      <c r="L18" s="76">
        <f t="shared" ref="L18" si="47">(K18-K17)</f>
        <v>114</v>
      </c>
      <c r="M18" s="182">
        <f t="shared" si="5"/>
        <v>62.7</v>
      </c>
      <c r="N18" s="182">
        <f t="shared" si="6"/>
        <v>51.300000000000004</v>
      </c>
      <c r="O18" s="83">
        <v>80487</v>
      </c>
      <c r="P18" s="182">
        <f t="shared" ref="P18" si="48">(O18-O17)</f>
        <v>103</v>
      </c>
      <c r="R18" s="106">
        <f t="shared" si="0"/>
        <v>688.09700000000066</v>
      </c>
      <c r="S18" s="98">
        <f t="shared" si="8"/>
        <v>154.30000000000001</v>
      </c>
    </row>
    <row r="19" spans="1:19" s="79" customFormat="1" ht="39.950000000000003" customHeight="1">
      <c r="A19" s="145">
        <v>44025</v>
      </c>
      <c r="B19" s="82"/>
      <c r="C19" s="84">
        <v>162320</v>
      </c>
      <c r="D19" s="182">
        <f t="shared" si="1"/>
        <v>366</v>
      </c>
      <c r="E19" s="84">
        <v>138752</v>
      </c>
      <c r="F19" s="182">
        <f t="shared" si="1"/>
        <v>231</v>
      </c>
      <c r="G19" s="84">
        <v>5143.4269999999997</v>
      </c>
      <c r="H19" s="182">
        <f t="shared" ref="H19" si="49">(G19-G18)</f>
        <v>4.1089999999994689</v>
      </c>
      <c r="I19" s="84">
        <v>9523</v>
      </c>
      <c r="J19" s="182">
        <f t="shared" ref="J19" si="50">(I19-I18)</f>
        <v>27</v>
      </c>
      <c r="K19" s="84">
        <v>109711</v>
      </c>
      <c r="L19" s="76">
        <f t="shared" ref="L19" si="51">(K19-K18)</f>
        <v>129</v>
      </c>
      <c r="M19" s="182">
        <f t="shared" si="5"/>
        <v>70.95</v>
      </c>
      <c r="N19" s="182">
        <f t="shared" si="6"/>
        <v>58.050000000000004</v>
      </c>
      <c r="O19" s="84">
        <v>80574</v>
      </c>
      <c r="P19" s="182">
        <f t="shared" ref="P19" si="52">(O19-O18)</f>
        <v>87</v>
      </c>
      <c r="R19" s="168">
        <f t="shared" si="0"/>
        <v>601.10899999999947</v>
      </c>
      <c r="S19" s="105">
        <f t="shared" si="8"/>
        <v>145.05000000000001</v>
      </c>
    </row>
    <row r="20" spans="1:19" s="79" customFormat="1" ht="39.950000000000003" customHeight="1">
      <c r="A20" s="145">
        <v>44026</v>
      </c>
      <c r="B20" s="82"/>
      <c r="C20" s="84">
        <v>162642</v>
      </c>
      <c r="D20" s="182">
        <f t="shared" si="1"/>
        <v>322</v>
      </c>
      <c r="E20" s="84">
        <v>138978</v>
      </c>
      <c r="F20" s="182">
        <f t="shared" si="1"/>
        <v>226</v>
      </c>
      <c r="G20" s="84">
        <v>5147.6360000000004</v>
      </c>
      <c r="H20" s="182">
        <f t="shared" ref="H20" si="53">(G20-G19)</f>
        <v>4.2090000000007421</v>
      </c>
      <c r="I20" s="84">
        <v>9549</v>
      </c>
      <c r="J20" s="182">
        <f t="shared" ref="J20" si="54">(I20-I19)</f>
        <v>26</v>
      </c>
      <c r="K20" s="84">
        <v>109841</v>
      </c>
      <c r="L20" s="76">
        <f t="shared" ref="L20" si="55">(K20-K19)</f>
        <v>130</v>
      </c>
      <c r="M20" s="182">
        <f t="shared" si="5"/>
        <v>71.5</v>
      </c>
      <c r="N20" s="182">
        <f t="shared" si="6"/>
        <v>58.5</v>
      </c>
      <c r="O20" s="84">
        <v>80674</v>
      </c>
      <c r="P20" s="182">
        <f t="shared" ref="P20" si="56">(O20-O19)</f>
        <v>100</v>
      </c>
      <c r="R20" s="168">
        <f t="shared" si="0"/>
        <v>552.20900000000074</v>
      </c>
      <c r="S20" s="105">
        <f t="shared" si="8"/>
        <v>158.5</v>
      </c>
    </row>
    <row r="21" spans="1:19" s="79" customFormat="1" ht="39.950000000000003" customHeight="1">
      <c r="A21" s="145">
        <v>44027</v>
      </c>
      <c r="B21" s="82"/>
      <c r="C21" s="84">
        <v>162982</v>
      </c>
      <c r="D21" s="182">
        <f t="shared" si="1"/>
        <v>340</v>
      </c>
      <c r="E21" s="84">
        <v>139224</v>
      </c>
      <c r="F21" s="182">
        <f>(E21-E20)</f>
        <v>246</v>
      </c>
      <c r="G21" s="84">
        <v>5156.7659999999996</v>
      </c>
      <c r="H21" s="182">
        <f t="shared" ref="H21" si="57">(G21-G20)</f>
        <v>9.1299999999991996</v>
      </c>
      <c r="I21" s="84">
        <v>9576</v>
      </c>
      <c r="J21" s="182">
        <f t="shared" ref="J21" si="58">(I21-I20)</f>
        <v>27</v>
      </c>
      <c r="K21" s="84">
        <v>109972</v>
      </c>
      <c r="L21" s="76">
        <f t="shared" ref="L21" si="59">(K21-K20)</f>
        <v>131</v>
      </c>
      <c r="M21" s="182">
        <f t="shared" si="5"/>
        <v>72.050000000000011</v>
      </c>
      <c r="N21" s="182">
        <f t="shared" si="6"/>
        <v>58.95</v>
      </c>
      <c r="O21" s="84">
        <v>80772</v>
      </c>
      <c r="P21" s="182">
        <f t="shared" ref="P21" si="60">(O21-O20)</f>
        <v>98</v>
      </c>
      <c r="R21" s="168">
        <f t="shared" si="0"/>
        <v>595.1299999999992</v>
      </c>
      <c r="S21" s="105">
        <f t="shared" si="8"/>
        <v>156.94999999999999</v>
      </c>
    </row>
    <row r="22" spans="1:19" s="79" customFormat="1" ht="39.950000000000003" customHeight="1">
      <c r="A22" s="145">
        <v>44028</v>
      </c>
      <c r="B22" s="82"/>
      <c r="C22" s="83">
        <v>163318</v>
      </c>
      <c r="D22" s="182">
        <f t="shared" si="1"/>
        <v>336</v>
      </c>
      <c r="E22" s="83">
        <v>139412</v>
      </c>
      <c r="F22" s="182">
        <f>(E22-E21)</f>
        <v>188</v>
      </c>
      <c r="G22" s="83">
        <v>5159.8308999999999</v>
      </c>
      <c r="H22" s="182">
        <f t="shared" ref="H22" si="61">(G22-G21)</f>
        <v>3.064900000000307</v>
      </c>
      <c r="I22" s="83">
        <v>9597</v>
      </c>
      <c r="J22" s="182">
        <f t="shared" ref="J22" si="62">(I22-I21)</f>
        <v>21</v>
      </c>
      <c r="K22" s="83">
        <v>110084</v>
      </c>
      <c r="L22" s="76">
        <f t="shared" ref="L22" si="63">(K22-K21)</f>
        <v>112</v>
      </c>
      <c r="M22" s="182">
        <f t="shared" si="5"/>
        <v>61.600000000000009</v>
      </c>
      <c r="N22" s="182">
        <f t="shared" si="6"/>
        <v>50.4</v>
      </c>
      <c r="O22" s="83">
        <v>80872</v>
      </c>
      <c r="P22" s="182">
        <f t="shared" ref="P22" si="64">(O22-O21)</f>
        <v>100</v>
      </c>
      <c r="R22" s="168">
        <f t="shared" si="0"/>
        <v>527.06490000000031</v>
      </c>
      <c r="S22" s="105">
        <f t="shared" si="8"/>
        <v>150.4</v>
      </c>
    </row>
    <row r="23" spans="1:19" s="79" customFormat="1" ht="39.950000000000003" customHeight="1">
      <c r="A23" s="145">
        <v>44029</v>
      </c>
      <c r="B23" s="82"/>
      <c r="C23" s="83">
        <v>163516</v>
      </c>
      <c r="D23" s="182">
        <f t="shared" si="1"/>
        <v>198</v>
      </c>
      <c r="E23" s="83">
        <v>139586</v>
      </c>
      <c r="F23" s="182">
        <f>(E23-E22)</f>
        <v>174</v>
      </c>
      <c r="G23" s="83">
        <v>5164.9187000000002</v>
      </c>
      <c r="H23" s="182">
        <f t="shared" ref="H23" si="65">(G23-G22)</f>
        <v>5.087800000000243</v>
      </c>
      <c r="I23" s="83">
        <v>9631</v>
      </c>
      <c r="J23" s="182">
        <f t="shared" ref="J23" si="66">(I23-I22)</f>
        <v>34</v>
      </c>
      <c r="K23" s="83">
        <v>110198</v>
      </c>
      <c r="L23" s="76">
        <f t="shared" ref="L23" si="67">(K23-K22)</f>
        <v>114</v>
      </c>
      <c r="M23" s="182">
        <f t="shared" si="5"/>
        <v>62.7</v>
      </c>
      <c r="N23" s="182">
        <f t="shared" si="6"/>
        <v>51.300000000000004</v>
      </c>
      <c r="O23" s="83">
        <v>80974</v>
      </c>
      <c r="P23" s="182">
        <f t="shared" ref="P23" si="68">(O23-O22)</f>
        <v>102</v>
      </c>
      <c r="R23" s="168">
        <f t="shared" si="0"/>
        <v>377.08780000000024</v>
      </c>
      <c r="S23" s="105">
        <f t="shared" si="8"/>
        <v>153.30000000000001</v>
      </c>
    </row>
    <row r="24" spans="1:19" s="79" customFormat="1" ht="39.950000000000003" customHeight="1">
      <c r="A24" s="145">
        <v>44030</v>
      </c>
      <c r="B24" s="82"/>
      <c r="C24" s="83">
        <v>163620</v>
      </c>
      <c r="D24" s="182">
        <f t="shared" si="1"/>
        <v>104</v>
      </c>
      <c r="E24" s="83">
        <v>139772</v>
      </c>
      <c r="F24" s="182">
        <f t="shared" si="1"/>
        <v>186</v>
      </c>
      <c r="G24" s="83">
        <v>5167.3720000000003</v>
      </c>
      <c r="H24" s="182">
        <f t="shared" ref="H24" si="69">(G24-G23)</f>
        <v>2.4533000000001266</v>
      </c>
      <c r="I24" s="83">
        <v>9651</v>
      </c>
      <c r="J24" s="182">
        <f t="shared" ref="J24" si="70">(I24-I23)</f>
        <v>20</v>
      </c>
      <c r="K24" s="83">
        <v>110302</v>
      </c>
      <c r="L24" s="76">
        <f t="shared" ref="L24" si="71">(K24-K23)</f>
        <v>104</v>
      </c>
      <c r="M24" s="182">
        <f t="shared" si="5"/>
        <v>57.2</v>
      </c>
      <c r="N24" s="182">
        <f t="shared" si="6"/>
        <v>46.800000000000004</v>
      </c>
      <c r="O24" s="83">
        <v>81067</v>
      </c>
      <c r="P24" s="182">
        <f t="shared" ref="P24" si="72">(O24-O23)</f>
        <v>93</v>
      </c>
      <c r="R24" s="168">
        <f t="shared" si="0"/>
        <v>292.45330000000013</v>
      </c>
      <c r="S24" s="105">
        <f t="shared" si="8"/>
        <v>139.80000000000001</v>
      </c>
    </row>
    <row r="25" spans="1:19" s="79" customFormat="1" ht="39.950000000000003" customHeight="1">
      <c r="A25" s="145">
        <v>44031</v>
      </c>
      <c r="B25" s="82"/>
      <c r="C25" s="83">
        <v>163729</v>
      </c>
      <c r="D25" s="182">
        <f t="shared" si="1"/>
        <v>109</v>
      </c>
      <c r="E25" s="83">
        <v>139958</v>
      </c>
      <c r="F25" s="182">
        <f t="shared" si="1"/>
        <v>186</v>
      </c>
      <c r="G25" s="83">
        <v>5171.2007999999996</v>
      </c>
      <c r="H25" s="182">
        <f t="shared" ref="H25" si="73">(G25-G24)</f>
        <v>3.828799999999319</v>
      </c>
      <c r="I25" s="83">
        <v>9676</v>
      </c>
      <c r="J25" s="182">
        <f t="shared" ref="J25" si="74">(I25-I24)</f>
        <v>25</v>
      </c>
      <c r="K25" s="83">
        <v>110418</v>
      </c>
      <c r="L25" s="76">
        <f t="shared" ref="L25" si="75">(K25-K24)</f>
        <v>116</v>
      </c>
      <c r="M25" s="182">
        <f t="shared" si="5"/>
        <v>63.800000000000004</v>
      </c>
      <c r="N25" s="182">
        <f t="shared" si="6"/>
        <v>52.2</v>
      </c>
      <c r="O25" s="83">
        <v>81178</v>
      </c>
      <c r="P25" s="182">
        <f t="shared" ref="P25" si="76">(O25-O24)</f>
        <v>111</v>
      </c>
      <c r="R25" s="168">
        <f t="shared" si="0"/>
        <v>298.82879999999932</v>
      </c>
      <c r="S25" s="105">
        <f t="shared" si="8"/>
        <v>163.19999999999999</v>
      </c>
    </row>
    <row r="26" spans="1:19" ht="39.950000000000003" customHeight="1">
      <c r="A26" s="145">
        <v>44032</v>
      </c>
      <c r="B26" s="82"/>
      <c r="C26" s="83">
        <v>163868</v>
      </c>
      <c r="D26" s="182">
        <f t="shared" si="1"/>
        <v>139</v>
      </c>
      <c r="E26" s="83">
        <v>140135</v>
      </c>
      <c r="F26" s="182">
        <f t="shared" si="1"/>
        <v>177</v>
      </c>
      <c r="G26" s="83">
        <v>5174.0351000000001</v>
      </c>
      <c r="H26" s="182">
        <f t="shared" ref="H26" si="77">(G26-G25)</f>
        <v>2.8343000000004395</v>
      </c>
      <c r="I26" s="83">
        <v>9702</v>
      </c>
      <c r="J26" s="182">
        <f t="shared" ref="J26" si="78">(I26-I25)</f>
        <v>26</v>
      </c>
      <c r="K26" s="83">
        <v>110529</v>
      </c>
      <c r="L26" s="76">
        <f t="shared" ref="L26" si="79">(K26-K25)</f>
        <v>111</v>
      </c>
      <c r="M26" s="182">
        <f t="shared" si="5"/>
        <v>61.050000000000004</v>
      </c>
      <c r="N26" s="182">
        <f t="shared" si="6"/>
        <v>49.95</v>
      </c>
      <c r="O26" s="83">
        <v>81278</v>
      </c>
      <c r="P26" s="182">
        <f t="shared" ref="P26" si="80">(O26-O25)</f>
        <v>100</v>
      </c>
      <c r="R26" s="106">
        <f t="shared" si="0"/>
        <v>318.83430000000044</v>
      </c>
      <c r="S26" s="98">
        <f t="shared" si="8"/>
        <v>149.94999999999999</v>
      </c>
    </row>
    <row r="27" spans="1:19" ht="39.950000000000003" customHeight="1">
      <c r="A27" s="145">
        <v>44033</v>
      </c>
      <c r="B27" s="82"/>
      <c r="C27" s="84">
        <v>163975</v>
      </c>
      <c r="D27" s="182">
        <f t="shared" si="1"/>
        <v>107</v>
      </c>
      <c r="E27" s="84">
        <v>140313</v>
      </c>
      <c r="F27" s="182">
        <f t="shared" si="1"/>
        <v>178</v>
      </c>
      <c r="G27" s="84">
        <v>5176.6958999999997</v>
      </c>
      <c r="H27" s="182">
        <f t="shared" ref="H27" si="81">(G27-G26)</f>
        <v>2.6607999999996537</v>
      </c>
      <c r="I27" s="84">
        <v>9715</v>
      </c>
      <c r="J27" s="182">
        <f t="shared" ref="J27" si="82">(I27-I26)</f>
        <v>13</v>
      </c>
      <c r="K27" s="84">
        <v>110657</v>
      </c>
      <c r="L27" s="76">
        <f t="shared" ref="L27" si="83">(K27-K26)</f>
        <v>128</v>
      </c>
      <c r="M27" s="182">
        <f t="shared" si="5"/>
        <v>70.400000000000006</v>
      </c>
      <c r="N27" s="182">
        <f t="shared" si="6"/>
        <v>57.6</v>
      </c>
      <c r="O27" s="84">
        <v>81393</v>
      </c>
      <c r="P27" s="182">
        <f t="shared" ref="P27" si="84">(O27-O26)</f>
        <v>115</v>
      </c>
      <c r="R27" s="106">
        <f t="shared" si="0"/>
        <v>287.66079999999965</v>
      </c>
      <c r="S27" s="98">
        <f t="shared" si="8"/>
        <v>172.6</v>
      </c>
    </row>
    <row r="28" spans="1:19" ht="39.950000000000003" customHeight="1">
      <c r="A28" s="145">
        <v>44034</v>
      </c>
      <c r="B28" s="82"/>
      <c r="C28" s="83">
        <v>164102</v>
      </c>
      <c r="D28" s="182">
        <f t="shared" si="1"/>
        <v>127</v>
      </c>
      <c r="E28" s="83">
        <v>140485</v>
      </c>
      <c r="F28" s="182">
        <f t="shared" si="1"/>
        <v>172</v>
      </c>
      <c r="G28" s="83">
        <v>5178.4790000000003</v>
      </c>
      <c r="H28" s="182">
        <f t="shared" ref="H28" si="85">(G28-G27)</f>
        <v>1.7831000000005588</v>
      </c>
      <c r="I28" s="83">
        <v>9729</v>
      </c>
      <c r="J28" s="182">
        <f t="shared" ref="J28" si="86">(I28-I27)</f>
        <v>14</v>
      </c>
      <c r="K28" s="83">
        <v>110774</v>
      </c>
      <c r="L28" s="76">
        <f t="shared" ref="L28" si="87">(K28-K27)</f>
        <v>117</v>
      </c>
      <c r="M28" s="182">
        <f t="shared" si="5"/>
        <v>64.350000000000009</v>
      </c>
      <c r="N28" s="182">
        <f t="shared" si="6"/>
        <v>52.65</v>
      </c>
      <c r="O28" s="83">
        <v>81515</v>
      </c>
      <c r="P28" s="182">
        <f t="shared" ref="P28" si="88">(O28-O27)</f>
        <v>122</v>
      </c>
      <c r="R28" s="106">
        <f t="shared" si="0"/>
        <v>300.78310000000056</v>
      </c>
      <c r="S28" s="98">
        <f t="shared" si="8"/>
        <v>174.65</v>
      </c>
    </row>
    <row r="29" spans="1:19" ht="39.950000000000003" customHeight="1">
      <c r="A29" s="145">
        <v>44035</v>
      </c>
      <c r="B29" s="82"/>
      <c r="C29" s="83">
        <v>164212</v>
      </c>
      <c r="D29" s="182">
        <f t="shared" si="1"/>
        <v>110</v>
      </c>
      <c r="E29" s="83">
        <v>140659</v>
      </c>
      <c r="F29" s="182">
        <f t="shared" si="1"/>
        <v>174</v>
      </c>
      <c r="G29" s="83">
        <f>(G30+G28)/2</f>
        <v>5180.8194999999996</v>
      </c>
      <c r="H29" s="182">
        <f t="shared" ref="H29" si="89">(G29-G28)</f>
        <v>2.3404999999993379</v>
      </c>
      <c r="I29" s="83">
        <f>(I30+I28)/2</f>
        <v>9515</v>
      </c>
      <c r="J29" s="182">
        <f t="shared" ref="J29" si="90">(I29-I28)</f>
        <v>-214</v>
      </c>
      <c r="K29" s="83">
        <v>110879</v>
      </c>
      <c r="L29" s="76">
        <f t="shared" ref="L29" si="91">(K29-K28)</f>
        <v>105</v>
      </c>
      <c r="M29" s="182">
        <f t="shared" si="5"/>
        <v>57.750000000000007</v>
      </c>
      <c r="N29" s="182">
        <f t="shared" si="6"/>
        <v>47.25</v>
      </c>
      <c r="O29" s="83">
        <v>81618</v>
      </c>
      <c r="P29" s="182">
        <f t="shared" ref="P29" si="92">(O29-O28)</f>
        <v>103</v>
      </c>
      <c r="R29" s="106">
        <f t="shared" si="0"/>
        <v>286.34049999999934</v>
      </c>
      <c r="S29" s="98">
        <f t="shared" si="8"/>
        <v>150.25</v>
      </c>
    </row>
    <row r="30" spans="1:19" ht="39.950000000000003" customHeight="1">
      <c r="A30" s="145">
        <v>44036</v>
      </c>
      <c r="B30" s="82"/>
      <c r="C30" s="83">
        <v>164301</v>
      </c>
      <c r="D30" s="182">
        <f t="shared" si="1"/>
        <v>89</v>
      </c>
      <c r="E30" s="83">
        <v>140841</v>
      </c>
      <c r="F30" s="182">
        <f t="shared" si="1"/>
        <v>182</v>
      </c>
      <c r="G30" s="83">
        <v>5183.16</v>
      </c>
      <c r="H30" s="182">
        <f t="shared" ref="H30" si="93">(G30-G29)</f>
        <v>2.3405000000002474</v>
      </c>
      <c r="I30" s="83">
        <v>9301</v>
      </c>
      <c r="J30" s="182">
        <f t="shared" ref="J30" si="94">(I30-I29)</f>
        <v>-214</v>
      </c>
      <c r="K30" s="83">
        <v>110992</v>
      </c>
      <c r="L30" s="76">
        <f t="shared" ref="L30" si="95">(K30-K29)</f>
        <v>113</v>
      </c>
      <c r="M30" s="182">
        <f t="shared" si="5"/>
        <v>62.150000000000006</v>
      </c>
      <c r="N30" s="182">
        <f t="shared" si="6"/>
        <v>50.85</v>
      </c>
      <c r="O30" s="83">
        <v>81720</v>
      </c>
      <c r="P30" s="182">
        <f t="shared" ref="P30" si="96">(O30-O29)</f>
        <v>102</v>
      </c>
      <c r="R30" s="106">
        <f t="shared" si="0"/>
        <v>273.34050000000025</v>
      </c>
      <c r="S30" s="98">
        <f t="shared" si="8"/>
        <v>152.85</v>
      </c>
    </row>
    <row r="31" spans="1:19" ht="39.950000000000003" customHeight="1">
      <c r="A31" s="145">
        <v>44037</v>
      </c>
      <c r="B31" s="82"/>
      <c r="C31" s="83">
        <v>164424</v>
      </c>
      <c r="D31" s="182">
        <f t="shared" si="1"/>
        <v>123</v>
      </c>
      <c r="E31" s="83">
        <v>140998</v>
      </c>
      <c r="F31" s="182">
        <f t="shared" si="1"/>
        <v>157</v>
      </c>
      <c r="G31" s="83">
        <v>5185.4717000000001</v>
      </c>
      <c r="H31" s="182">
        <f t="shared" ref="H31" si="97">(G31-G30)</f>
        <v>2.3117000000002008</v>
      </c>
      <c r="I31" s="83">
        <v>9787</v>
      </c>
      <c r="J31" s="182">
        <f t="shared" ref="J31" si="98">(I31-I30)</f>
        <v>486</v>
      </c>
      <c r="K31" s="83">
        <v>111103</v>
      </c>
      <c r="L31" s="76">
        <f t="shared" ref="L31" si="99">(K31-K30)</f>
        <v>111</v>
      </c>
      <c r="M31" s="182">
        <f t="shared" si="5"/>
        <v>61.050000000000004</v>
      </c>
      <c r="N31" s="182">
        <f t="shared" si="6"/>
        <v>49.95</v>
      </c>
      <c r="O31" s="83">
        <v>81816</v>
      </c>
      <c r="P31" s="182">
        <f t="shared" ref="P31" si="100">(O31-O30)</f>
        <v>96</v>
      </c>
      <c r="R31" s="106">
        <f t="shared" si="0"/>
        <v>282.3117000000002</v>
      </c>
      <c r="S31" s="98">
        <f t="shared" si="8"/>
        <v>145.94999999999999</v>
      </c>
    </row>
    <row r="32" spans="1:19" ht="39.950000000000003" customHeight="1">
      <c r="A32" s="145">
        <v>44038</v>
      </c>
      <c r="B32" s="82"/>
      <c r="C32" s="83">
        <v>164564</v>
      </c>
      <c r="D32" s="182">
        <f t="shared" si="1"/>
        <v>140</v>
      </c>
      <c r="E32" s="83">
        <v>141170</v>
      </c>
      <c r="F32" s="182">
        <f t="shared" si="1"/>
        <v>172</v>
      </c>
      <c r="G32" s="83">
        <v>5187.7206999999999</v>
      </c>
      <c r="H32" s="182">
        <f t="shared" ref="H32" si="101">(G32-G31)</f>
        <v>2.2489999999997963</v>
      </c>
      <c r="I32" s="83">
        <v>9813</v>
      </c>
      <c r="J32" s="182">
        <f t="shared" ref="J32" si="102">(I32-I31)</f>
        <v>26</v>
      </c>
      <c r="K32" s="83">
        <v>111209</v>
      </c>
      <c r="L32" s="76">
        <f t="shared" ref="L32" si="103">(K32-K31)</f>
        <v>106</v>
      </c>
      <c r="M32" s="182">
        <f t="shared" si="5"/>
        <v>58.300000000000004</v>
      </c>
      <c r="N32" s="182">
        <f t="shared" si="6"/>
        <v>47.7</v>
      </c>
      <c r="O32" s="83">
        <v>81925</v>
      </c>
      <c r="P32" s="182">
        <f t="shared" ref="P32" si="104">(O32-O31)</f>
        <v>109</v>
      </c>
      <c r="R32" s="106">
        <f t="shared" si="0"/>
        <v>314.2489999999998</v>
      </c>
      <c r="S32" s="98">
        <f t="shared" si="8"/>
        <v>156.69999999999999</v>
      </c>
    </row>
    <row r="33" spans="1:19" ht="39.950000000000003" customHeight="1">
      <c r="A33" s="145">
        <v>44039</v>
      </c>
      <c r="B33" s="82"/>
      <c r="C33" s="83">
        <v>164690</v>
      </c>
      <c r="D33" s="182">
        <f t="shared" si="1"/>
        <v>126</v>
      </c>
      <c r="E33" s="83">
        <v>141336</v>
      </c>
      <c r="F33" s="182">
        <f t="shared" si="1"/>
        <v>166</v>
      </c>
      <c r="G33" s="83">
        <v>5190.5889999999999</v>
      </c>
      <c r="H33" s="182">
        <f t="shared" ref="H33" si="105">(G33-G32)</f>
        <v>2.8683000000000902</v>
      </c>
      <c r="I33" s="83">
        <v>9831</v>
      </c>
      <c r="J33" s="182">
        <f t="shared" ref="J33" si="106">(I33-I32)</f>
        <v>18</v>
      </c>
      <c r="K33" s="83">
        <v>111209</v>
      </c>
      <c r="L33" s="76">
        <f t="shared" ref="L33" si="107">(K33-K32)</f>
        <v>0</v>
      </c>
      <c r="M33" s="182">
        <f t="shared" si="5"/>
        <v>0</v>
      </c>
      <c r="N33" s="182">
        <f t="shared" si="6"/>
        <v>0</v>
      </c>
      <c r="O33" s="83">
        <v>82016</v>
      </c>
      <c r="P33" s="182">
        <f t="shared" ref="P33" si="108">(O33-O32)</f>
        <v>91</v>
      </c>
      <c r="R33" s="106">
        <f t="shared" si="0"/>
        <v>294.86830000000009</v>
      </c>
      <c r="S33" s="98">
        <f t="shared" si="8"/>
        <v>91</v>
      </c>
    </row>
    <row r="34" spans="1:19" ht="39.950000000000003" customHeight="1">
      <c r="A34" s="145">
        <v>44040</v>
      </c>
      <c r="B34" s="82"/>
      <c r="C34" s="83">
        <v>164814</v>
      </c>
      <c r="D34" s="182">
        <f t="shared" si="1"/>
        <v>124</v>
      </c>
      <c r="E34" s="83">
        <v>141510</v>
      </c>
      <c r="F34" s="182">
        <f t="shared" si="1"/>
        <v>174</v>
      </c>
      <c r="G34" s="83">
        <v>5192.5282999999999</v>
      </c>
      <c r="H34" s="182">
        <f t="shared" ref="H34:H36" si="109">(G34-G33)</f>
        <v>1.9393000000000029</v>
      </c>
      <c r="I34" s="83">
        <v>9850</v>
      </c>
      <c r="J34" s="182">
        <f t="shared" ref="J34:J36" si="110">(I34-I33)</f>
        <v>19</v>
      </c>
      <c r="K34" s="83">
        <v>111419</v>
      </c>
      <c r="L34" s="76">
        <f t="shared" ref="L34" si="111">(K34-K33)</f>
        <v>210</v>
      </c>
      <c r="M34" s="182">
        <f t="shared" si="5"/>
        <v>115.50000000000001</v>
      </c>
      <c r="N34" s="182">
        <f t="shared" si="6"/>
        <v>94.5</v>
      </c>
      <c r="O34" s="83">
        <v>82116</v>
      </c>
      <c r="P34" s="182">
        <f t="shared" ref="P34:P37" si="112">(O34-O33)</f>
        <v>100</v>
      </c>
      <c r="R34" s="106">
        <f t="shared" si="0"/>
        <v>299.9393</v>
      </c>
      <c r="S34" s="98">
        <f t="shared" si="8"/>
        <v>194.5</v>
      </c>
    </row>
    <row r="35" spans="1:19" ht="39.950000000000003" customHeight="1">
      <c r="A35" s="145">
        <v>44041</v>
      </c>
      <c r="B35" s="82"/>
      <c r="C35" s="83">
        <v>164923</v>
      </c>
      <c r="D35" s="182">
        <f t="shared" si="1"/>
        <v>109</v>
      </c>
      <c r="E35" s="83">
        <v>141701</v>
      </c>
      <c r="F35" s="182">
        <f t="shared" si="1"/>
        <v>191</v>
      </c>
      <c r="G35" s="83">
        <f>(G36+G34)/2</f>
        <v>5195.1285499999994</v>
      </c>
      <c r="H35" s="182">
        <f t="shared" si="109"/>
        <v>2.6002499999995052</v>
      </c>
      <c r="I35" s="83">
        <f>(I36+I34)/2</f>
        <v>9864.5</v>
      </c>
      <c r="J35" s="182">
        <f t="shared" si="110"/>
        <v>14.5</v>
      </c>
      <c r="K35" s="83">
        <v>111541</v>
      </c>
      <c r="L35" s="76">
        <f t="shared" ref="L35:L36" si="113">(K35-K34)</f>
        <v>122</v>
      </c>
      <c r="M35" s="182">
        <f t="shared" ref="M35:M36" si="114">L35*55%</f>
        <v>67.100000000000009</v>
      </c>
      <c r="N35" s="182">
        <f t="shared" ref="N35:N36" si="115">L35*45%</f>
        <v>54.9</v>
      </c>
      <c r="O35" s="83">
        <v>82228</v>
      </c>
      <c r="P35" s="182">
        <f t="shared" si="112"/>
        <v>112</v>
      </c>
      <c r="R35" s="106">
        <f t="shared" ref="R35:R36" si="116">SUM(D35,F35,M99,H35)</f>
        <v>302.60024999999951</v>
      </c>
      <c r="S35" s="98">
        <f t="shared" ref="S35:S36" si="117">SUM(N35,P35)</f>
        <v>166.9</v>
      </c>
    </row>
    <row r="36" spans="1:19" ht="39.950000000000003" customHeight="1">
      <c r="A36" s="145">
        <v>44042</v>
      </c>
      <c r="B36" s="82"/>
      <c r="C36" s="83">
        <f>(C37+C35)/2</f>
        <v>165022</v>
      </c>
      <c r="D36" s="182">
        <f t="shared" ref="D36:J37" si="118">(C36-C35)</f>
        <v>99</v>
      </c>
      <c r="E36" s="83">
        <f>(E37+E35)/2</f>
        <v>141824</v>
      </c>
      <c r="F36" s="182">
        <f t="shared" ref="F36" si="119">(E36-E35)</f>
        <v>123</v>
      </c>
      <c r="G36" s="83">
        <v>5197.7287999999999</v>
      </c>
      <c r="H36" s="182">
        <f t="shared" si="109"/>
        <v>2.6002500000004147</v>
      </c>
      <c r="I36" s="83">
        <v>9879</v>
      </c>
      <c r="J36" s="182">
        <f t="shared" si="110"/>
        <v>14.5</v>
      </c>
      <c r="K36" s="83">
        <f>(K37+K35)/2</f>
        <v>111641.5</v>
      </c>
      <c r="L36" s="76">
        <f t="shared" si="113"/>
        <v>100.5</v>
      </c>
      <c r="M36" s="182">
        <f t="shared" si="114"/>
        <v>55.275000000000006</v>
      </c>
      <c r="N36" s="182">
        <f t="shared" si="115"/>
        <v>45.225000000000001</v>
      </c>
      <c r="O36" s="83">
        <f>(O37+O35)/2</f>
        <v>82320.5</v>
      </c>
      <c r="P36" s="182">
        <f t="shared" si="112"/>
        <v>92.5</v>
      </c>
      <c r="R36" s="106">
        <f t="shared" si="116"/>
        <v>224.60025000000041</v>
      </c>
      <c r="S36" s="98">
        <f t="shared" si="117"/>
        <v>137.72499999999999</v>
      </c>
    </row>
    <row r="37" spans="1:19" ht="39.950000000000003" customHeight="1">
      <c r="A37" s="145">
        <v>44043</v>
      </c>
      <c r="B37" s="16"/>
      <c r="C37" s="84">
        <v>165121</v>
      </c>
      <c r="D37" s="182">
        <f t="shared" si="118"/>
        <v>99</v>
      </c>
      <c r="E37" s="84">
        <v>141947</v>
      </c>
      <c r="F37" s="182">
        <f t="shared" si="118"/>
        <v>123</v>
      </c>
      <c r="G37" s="84">
        <v>5199.7105000000001</v>
      </c>
      <c r="H37" s="182">
        <f t="shared" si="118"/>
        <v>1.9817000000002736</v>
      </c>
      <c r="I37" s="84">
        <v>9889</v>
      </c>
      <c r="J37" s="182">
        <f t="shared" si="118"/>
        <v>10</v>
      </c>
      <c r="K37" s="84">
        <v>111742</v>
      </c>
      <c r="L37" s="76">
        <f t="shared" ref="L37" si="120">(K37-K36)</f>
        <v>100.5</v>
      </c>
      <c r="M37" s="182">
        <f t="shared" ref="M37" si="121">L37*55%</f>
        <v>55.275000000000006</v>
      </c>
      <c r="N37" s="182">
        <f t="shared" ref="N37" si="122">L37*45%</f>
        <v>45.225000000000001</v>
      </c>
      <c r="O37" s="84">
        <v>82413</v>
      </c>
      <c r="P37" s="182">
        <f t="shared" si="112"/>
        <v>92.5</v>
      </c>
      <c r="R37" s="97">
        <f t="shared" ref="R37" si="123">SUM(D37,F37,M101,H37)</f>
        <v>223.98170000000027</v>
      </c>
      <c r="S37" s="98">
        <f t="shared" ref="S37" si="124">SUM(N37,P37)</f>
        <v>137.72499999999999</v>
      </c>
    </row>
    <row r="38" spans="1:19" s="22" customFormat="1" ht="39.950000000000003" customHeight="1">
      <c r="A38" s="21"/>
      <c r="D38" s="23">
        <f>SUM(D7:D37)</f>
        <v>4990</v>
      </c>
      <c r="F38" s="23">
        <f>SUM(F7:F37)</f>
        <v>6432</v>
      </c>
      <c r="H38" s="23">
        <f>SUM(H7:H37)</f>
        <v>102.21349999999984</v>
      </c>
      <c r="J38" s="23">
        <f>SUM(J7:J37)</f>
        <v>658</v>
      </c>
      <c r="L38" s="23">
        <f>SUM(L7:L37)</f>
        <v>3573</v>
      </c>
      <c r="M38" s="23"/>
      <c r="N38" s="23"/>
      <c r="P38" s="23">
        <f>SUM(P7:P37)</f>
        <v>3018</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24" activePane="bottomRight" state="frozen"/>
      <selection pane="topRight" activeCell="C1" sqref="C1"/>
      <selection pane="bottomLeft" activeCell="A8" sqref="A8"/>
      <selection pane="bottomRight" activeCell="BI39" sqref="BI39"/>
    </sheetView>
  </sheetViews>
  <sheetFormatPr defaultRowHeight="31.5"/>
  <cols>
    <col min="1" max="1" width="15.710937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16" t="s">
        <v>65</v>
      </c>
      <c r="D1" s="216"/>
      <c r="E1" s="216"/>
      <c r="F1" s="216"/>
      <c r="G1" s="216" t="s">
        <v>64</v>
      </c>
      <c r="H1" s="216"/>
      <c r="I1" s="216" t="s">
        <v>64</v>
      </c>
      <c r="J1" s="216"/>
      <c r="K1" s="216" t="s">
        <v>64</v>
      </c>
      <c r="L1" s="216"/>
      <c r="M1" s="216" t="s">
        <v>64</v>
      </c>
      <c r="N1" s="216"/>
      <c r="O1" s="216" t="s">
        <v>64</v>
      </c>
      <c r="P1" s="216"/>
      <c r="Q1" s="202" t="s">
        <v>64</v>
      </c>
      <c r="R1" s="203"/>
      <c r="S1" s="202" t="s">
        <v>64</v>
      </c>
      <c r="T1" s="203"/>
      <c r="U1" s="202" t="s">
        <v>64</v>
      </c>
      <c r="V1" s="203"/>
      <c r="W1" s="202" t="s">
        <v>64</v>
      </c>
      <c r="X1" s="204"/>
      <c r="Y1" s="216" t="s">
        <v>64</v>
      </c>
      <c r="Z1" s="216"/>
      <c r="AA1" s="202" t="s">
        <v>64</v>
      </c>
      <c r="AB1" s="203"/>
      <c r="AC1" s="216" t="s">
        <v>64</v>
      </c>
      <c r="AD1" s="216"/>
      <c r="AE1" s="216" t="s">
        <v>64</v>
      </c>
      <c r="AF1" s="216"/>
      <c r="AG1" s="216" t="s">
        <v>64</v>
      </c>
      <c r="AH1" s="216"/>
      <c r="AI1" s="216" t="s">
        <v>64</v>
      </c>
      <c r="AJ1" s="216"/>
      <c r="AK1" s="216" t="s">
        <v>64</v>
      </c>
      <c r="AL1" s="216"/>
      <c r="AM1" s="216" t="s">
        <v>66</v>
      </c>
      <c r="AN1" s="216"/>
      <c r="AO1" s="216" t="s">
        <v>66</v>
      </c>
      <c r="AP1" s="216"/>
      <c r="AQ1" s="216" t="s">
        <v>66</v>
      </c>
      <c r="AR1" s="216"/>
      <c r="AS1" s="216" t="s">
        <v>66</v>
      </c>
      <c r="AT1" s="216"/>
      <c r="AU1" s="216" t="s">
        <v>66</v>
      </c>
      <c r="AV1" s="216"/>
      <c r="AW1" s="216" t="s">
        <v>66</v>
      </c>
      <c r="AX1" s="216"/>
      <c r="AY1" s="216" t="s">
        <v>66</v>
      </c>
      <c r="AZ1" s="216"/>
      <c r="BA1" s="216" t="s">
        <v>66</v>
      </c>
      <c r="BB1" s="216"/>
      <c r="BC1" s="216" t="s">
        <v>66</v>
      </c>
      <c r="BD1" s="216"/>
      <c r="BE1" s="216" t="s">
        <v>66</v>
      </c>
      <c r="BF1" s="216"/>
      <c r="BH1" s="33"/>
      <c r="BI1" s="33"/>
    </row>
    <row r="2" spans="1:61" s="25" customFormat="1" ht="75.75" customHeight="1">
      <c r="A2" s="50"/>
      <c r="B2" s="50"/>
      <c r="C2" s="232" t="s">
        <v>116</v>
      </c>
      <c r="D2" s="232"/>
      <c r="E2" s="232"/>
      <c r="F2" s="232"/>
      <c r="G2" s="232" t="s">
        <v>117</v>
      </c>
      <c r="H2" s="232"/>
      <c r="I2" s="232" t="s">
        <v>118</v>
      </c>
      <c r="J2" s="232"/>
      <c r="K2" s="232" t="s">
        <v>119</v>
      </c>
      <c r="L2" s="232"/>
      <c r="M2" s="232" t="s">
        <v>120</v>
      </c>
      <c r="N2" s="232"/>
      <c r="O2" s="230" t="s">
        <v>121</v>
      </c>
      <c r="P2" s="231"/>
      <c r="Q2" s="230" t="s">
        <v>122</v>
      </c>
      <c r="R2" s="231"/>
      <c r="S2" s="230" t="s">
        <v>123</v>
      </c>
      <c r="T2" s="231"/>
      <c r="U2" s="230" t="s">
        <v>124</v>
      </c>
      <c r="V2" s="231"/>
      <c r="W2" s="230" t="s">
        <v>125</v>
      </c>
      <c r="X2" s="233"/>
      <c r="Y2" s="232" t="s">
        <v>126</v>
      </c>
      <c r="Z2" s="232"/>
      <c r="AA2" s="230" t="s">
        <v>127</v>
      </c>
      <c r="AB2" s="231"/>
      <c r="AC2" s="232" t="s">
        <v>128</v>
      </c>
      <c r="AD2" s="232"/>
      <c r="AE2" s="232" t="s">
        <v>129</v>
      </c>
      <c r="AF2" s="232"/>
      <c r="AG2" s="232" t="s">
        <v>129</v>
      </c>
      <c r="AH2" s="232"/>
      <c r="AI2" s="232" t="s">
        <v>129</v>
      </c>
      <c r="AJ2" s="232"/>
      <c r="AK2" s="232" t="s">
        <v>129</v>
      </c>
      <c r="AL2" s="232"/>
      <c r="AM2" s="232" t="s">
        <v>130</v>
      </c>
      <c r="AN2" s="232"/>
      <c r="AO2" s="232" t="s">
        <v>131</v>
      </c>
      <c r="AP2" s="232"/>
      <c r="AQ2" s="232" t="s">
        <v>132</v>
      </c>
      <c r="AR2" s="232"/>
      <c r="AS2" s="232" t="s">
        <v>132</v>
      </c>
      <c r="AT2" s="232"/>
      <c r="AU2" s="232" t="s">
        <v>133</v>
      </c>
      <c r="AV2" s="232"/>
      <c r="AW2" s="232" t="s">
        <v>134</v>
      </c>
      <c r="AX2" s="232"/>
      <c r="AY2" s="232" t="s">
        <v>135</v>
      </c>
      <c r="AZ2" s="232"/>
      <c r="BA2" s="232" t="s">
        <v>135</v>
      </c>
      <c r="BB2" s="232"/>
      <c r="BC2" s="232" t="s">
        <v>136</v>
      </c>
      <c r="BD2" s="232"/>
      <c r="BE2" s="232" t="s">
        <v>136</v>
      </c>
      <c r="BF2" s="232"/>
      <c r="BH2" s="33"/>
      <c r="BI2" s="33"/>
    </row>
    <row r="3" spans="1:61" s="10" customFormat="1" ht="87.75" customHeight="1">
      <c r="A3" s="107"/>
      <c r="B3" s="107"/>
      <c r="C3" s="237" t="s">
        <v>137</v>
      </c>
      <c r="D3" s="238"/>
      <c r="E3" s="107" t="s">
        <v>64</v>
      </c>
      <c r="F3" s="109" t="s">
        <v>66</v>
      </c>
      <c r="G3" s="236" t="s">
        <v>138</v>
      </c>
      <c r="H3" s="235"/>
      <c r="I3" s="236" t="s">
        <v>138</v>
      </c>
      <c r="J3" s="235"/>
      <c r="K3" s="236" t="s">
        <v>138</v>
      </c>
      <c r="L3" s="235"/>
      <c r="M3" s="239" t="s">
        <v>139</v>
      </c>
      <c r="N3" s="240"/>
      <c r="O3" s="236" t="s">
        <v>138</v>
      </c>
      <c r="P3" s="235"/>
      <c r="Q3" s="236" t="s">
        <v>138</v>
      </c>
      <c r="R3" s="235"/>
      <c r="S3" s="243" t="s">
        <v>138</v>
      </c>
      <c r="T3" s="244"/>
      <c r="U3" s="236" t="s">
        <v>138</v>
      </c>
      <c r="V3" s="235"/>
      <c r="W3" s="236" t="s">
        <v>138</v>
      </c>
      <c r="X3" s="235"/>
      <c r="Y3" s="234" t="s">
        <v>140</v>
      </c>
      <c r="Z3" s="235"/>
      <c r="AA3" s="236" t="s">
        <v>141</v>
      </c>
      <c r="AB3" s="235"/>
      <c r="AC3" s="236" t="s">
        <v>142</v>
      </c>
      <c r="AD3" s="235"/>
      <c r="AE3" s="236" t="s">
        <v>142</v>
      </c>
      <c r="AF3" s="235"/>
      <c r="AG3" s="234" t="s">
        <v>143</v>
      </c>
      <c r="AH3" s="235"/>
      <c r="AI3" s="236" t="s">
        <v>144</v>
      </c>
      <c r="AJ3" s="235"/>
      <c r="AK3" s="234" t="s">
        <v>145</v>
      </c>
      <c r="AL3" s="235"/>
      <c r="AM3" s="236" t="s">
        <v>146</v>
      </c>
      <c r="AN3" s="235"/>
      <c r="AO3" s="236" t="s">
        <v>146</v>
      </c>
      <c r="AP3" s="235"/>
      <c r="AQ3" s="234" t="s">
        <v>147</v>
      </c>
      <c r="AR3" s="235"/>
      <c r="AS3" s="236" t="s">
        <v>148</v>
      </c>
      <c r="AT3" s="235"/>
      <c r="AU3" s="234" t="s">
        <v>149</v>
      </c>
      <c r="AV3" s="235"/>
      <c r="AW3" s="234" t="s">
        <v>149</v>
      </c>
      <c r="AX3" s="235"/>
      <c r="AY3" s="236" t="s">
        <v>144</v>
      </c>
      <c r="AZ3" s="235"/>
      <c r="BA3" s="234" t="s">
        <v>145</v>
      </c>
      <c r="BB3" s="235"/>
      <c r="BC3" s="236" t="s">
        <v>144</v>
      </c>
      <c r="BD3" s="235"/>
      <c r="BE3" s="234" t="s">
        <v>145</v>
      </c>
      <c r="BF3" s="235"/>
      <c r="BH3" s="33"/>
      <c r="BI3" s="33"/>
    </row>
    <row r="4" spans="1:61" s="25" customFormat="1" ht="50.1" customHeight="1">
      <c r="A4" s="107"/>
      <c r="B4" s="50"/>
      <c r="C4" s="208" t="s">
        <v>150</v>
      </c>
      <c r="D4" s="210"/>
      <c r="E4" s="241" t="s">
        <v>151</v>
      </c>
      <c r="F4" s="242"/>
      <c r="G4" s="208" t="s">
        <v>152</v>
      </c>
      <c r="H4" s="210"/>
      <c r="I4" s="208" t="s">
        <v>153</v>
      </c>
      <c r="J4" s="210"/>
      <c r="K4" s="208" t="s">
        <v>154</v>
      </c>
      <c r="L4" s="210"/>
      <c r="M4" s="208">
        <v>7092801222</v>
      </c>
      <c r="N4" s="210"/>
      <c r="O4" s="208" t="s">
        <v>155</v>
      </c>
      <c r="P4" s="209"/>
      <c r="Q4" s="208" t="s">
        <v>156</v>
      </c>
      <c r="R4" s="209"/>
      <c r="S4" s="208" t="s">
        <v>157</v>
      </c>
      <c r="T4" s="209"/>
      <c r="U4" s="208" t="s">
        <v>158</v>
      </c>
      <c r="V4" s="209"/>
      <c r="W4" s="208" t="s">
        <v>159</v>
      </c>
      <c r="X4" s="210"/>
      <c r="Y4" s="208" t="s">
        <v>160</v>
      </c>
      <c r="Z4" s="210"/>
      <c r="AA4" s="208" t="s">
        <v>161</v>
      </c>
      <c r="AB4" s="209"/>
      <c r="AC4" s="208" t="s">
        <v>162</v>
      </c>
      <c r="AD4" s="210"/>
      <c r="AE4" s="208" t="s">
        <v>163</v>
      </c>
      <c r="AF4" s="210"/>
      <c r="AG4" s="208" t="s">
        <v>164</v>
      </c>
      <c r="AH4" s="210"/>
      <c r="AI4" s="208">
        <v>7105826734</v>
      </c>
      <c r="AJ4" s="210"/>
      <c r="AK4" s="208">
        <v>7105825932</v>
      </c>
      <c r="AL4" s="210"/>
      <c r="AM4" s="208" t="s">
        <v>165</v>
      </c>
      <c r="AN4" s="210"/>
      <c r="AO4" s="208" t="s">
        <v>166</v>
      </c>
      <c r="AP4" s="210"/>
      <c r="AQ4" s="208" t="s">
        <v>167</v>
      </c>
      <c r="AR4" s="210"/>
      <c r="AS4" s="208" t="s">
        <v>168</v>
      </c>
      <c r="AT4" s="210"/>
      <c r="AU4" s="208" t="s">
        <v>169</v>
      </c>
      <c r="AV4" s="210"/>
      <c r="AW4" s="208" t="s">
        <v>170</v>
      </c>
      <c r="AX4" s="210"/>
      <c r="AY4" s="208">
        <v>7111912486</v>
      </c>
      <c r="AZ4" s="210"/>
      <c r="BA4" s="208">
        <v>7111911842</v>
      </c>
      <c r="BB4" s="210"/>
      <c r="BC4" s="208">
        <v>7111913281</v>
      </c>
      <c r="BD4" s="210"/>
      <c r="BE4" s="208">
        <v>7111912723</v>
      </c>
      <c r="BF4" s="210"/>
      <c r="BH4" s="217" t="s">
        <v>80</v>
      </c>
      <c r="BI4" s="217"/>
    </row>
    <row r="5" spans="1:61" s="25" customFormat="1" ht="50.1" customHeight="1">
      <c r="A5" s="50" t="s">
        <v>171</v>
      </c>
      <c r="B5" s="50"/>
      <c r="C5" s="208" t="s">
        <v>172</v>
      </c>
      <c r="D5" s="210"/>
      <c r="E5" s="80">
        <v>0.6</v>
      </c>
      <c r="F5" s="31">
        <v>0.4</v>
      </c>
      <c r="G5" s="208" t="s">
        <v>173</v>
      </c>
      <c r="H5" s="210"/>
      <c r="I5" s="208" t="s">
        <v>174</v>
      </c>
      <c r="J5" s="210"/>
      <c r="K5" s="208" t="s">
        <v>175</v>
      </c>
      <c r="L5" s="210"/>
      <c r="M5" s="208" t="s">
        <v>176</v>
      </c>
      <c r="N5" s="210"/>
      <c r="O5" s="208" t="s">
        <v>177</v>
      </c>
      <c r="P5" s="209"/>
      <c r="Q5" s="208" t="s">
        <v>178</v>
      </c>
      <c r="R5" s="209"/>
      <c r="S5" s="208" t="s">
        <v>179</v>
      </c>
      <c r="T5" s="209"/>
      <c r="U5" s="208" t="s">
        <v>180</v>
      </c>
      <c r="V5" s="209"/>
      <c r="W5" s="208" t="s">
        <v>181</v>
      </c>
      <c r="X5" s="210"/>
      <c r="Y5" s="208" t="s">
        <v>182</v>
      </c>
      <c r="Z5" s="210"/>
      <c r="AA5" s="208" t="s">
        <v>183</v>
      </c>
      <c r="AB5" s="209"/>
      <c r="AC5" s="208" t="s">
        <v>184</v>
      </c>
      <c r="AD5" s="210"/>
      <c r="AE5" s="208" t="s">
        <v>185</v>
      </c>
      <c r="AF5" s="210"/>
      <c r="AG5" s="208" t="s">
        <v>186</v>
      </c>
      <c r="AH5" s="210"/>
      <c r="AI5" s="208" t="s">
        <v>187</v>
      </c>
      <c r="AJ5" s="210"/>
      <c r="AK5" s="208" t="s">
        <v>188</v>
      </c>
      <c r="AL5" s="210"/>
      <c r="AM5" s="208" t="s">
        <v>189</v>
      </c>
      <c r="AN5" s="210"/>
      <c r="AO5" s="208" t="s">
        <v>190</v>
      </c>
      <c r="AP5" s="210"/>
      <c r="AQ5" s="208" t="s">
        <v>191</v>
      </c>
      <c r="AR5" s="210"/>
      <c r="AS5" s="208" t="s">
        <v>192</v>
      </c>
      <c r="AT5" s="210"/>
      <c r="AU5" s="208" t="s">
        <v>193</v>
      </c>
      <c r="AV5" s="210"/>
      <c r="AW5" s="208" t="s">
        <v>194</v>
      </c>
      <c r="AX5" s="210"/>
      <c r="AY5" s="208">
        <v>744483</v>
      </c>
      <c r="AZ5" s="210"/>
      <c r="BA5" s="208">
        <v>119314</v>
      </c>
      <c r="BB5" s="210"/>
      <c r="BC5" s="208">
        <v>1053229</v>
      </c>
      <c r="BD5" s="210"/>
      <c r="BE5" s="208">
        <v>1053215</v>
      </c>
      <c r="BF5" s="210"/>
      <c r="BH5" s="217"/>
      <c r="BI5" s="217"/>
    </row>
    <row r="6" spans="1:61" s="8" customFormat="1" ht="30" customHeight="1">
      <c r="A6" s="107" t="s">
        <v>95</v>
      </c>
      <c r="B6" s="51"/>
      <c r="C6" s="200"/>
      <c r="D6" s="201"/>
      <c r="E6" s="81"/>
      <c r="F6" s="112"/>
      <c r="G6" s="107"/>
      <c r="H6" s="51"/>
      <c r="I6" s="200"/>
      <c r="J6" s="201"/>
      <c r="K6" s="200"/>
      <c r="L6" s="201"/>
      <c r="M6" s="200"/>
      <c r="N6" s="201"/>
      <c r="O6" s="200"/>
      <c r="P6" s="214"/>
      <c r="Q6" s="200"/>
      <c r="R6" s="214"/>
      <c r="S6" s="200"/>
      <c r="T6" s="214"/>
      <c r="U6" s="200"/>
      <c r="V6" s="214"/>
      <c r="W6" s="200"/>
      <c r="X6" s="201"/>
      <c r="Y6" s="200"/>
      <c r="Z6" s="201"/>
      <c r="AA6" s="200"/>
      <c r="AB6" s="214"/>
      <c r="AC6" s="200"/>
      <c r="AD6" s="201"/>
      <c r="AE6" s="200"/>
      <c r="AF6" s="201"/>
      <c r="AG6" s="200"/>
      <c r="AH6" s="201"/>
      <c r="AI6" s="200"/>
      <c r="AJ6" s="201"/>
      <c r="AK6" s="200"/>
      <c r="AL6" s="201"/>
      <c r="AM6" s="200"/>
      <c r="AN6" s="201"/>
      <c r="AO6" s="200"/>
      <c r="AP6" s="201"/>
      <c r="AQ6" s="200"/>
      <c r="AR6" s="201"/>
      <c r="AS6" s="200"/>
      <c r="AT6" s="201"/>
      <c r="AU6" s="200"/>
      <c r="AV6" s="201"/>
      <c r="AW6" s="200"/>
      <c r="AX6" s="201"/>
      <c r="AY6" s="200"/>
      <c r="AZ6" s="201"/>
      <c r="BA6" s="200"/>
      <c r="BB6" s="201"/>
      <c r="BC6" s="200"/>
      <c r="BD6" s="201"/>
      <c r="BE6" s="200"/>
      <c r="BF6" s="201"/>
      <c r="BH6" s="33"/>
      <c r="BI6" s="33"/>
    </row>
    <row r="7" spans="1:61" s="10" customFormat="1" ht="50.1" customHeight="1">
      <c r="A7" s="107" t="s">
        <v>98</v>
      </c>
      <c r="B7" s="107"/>
      <c r="C7" s="107" t="s">
        <v>114</v>
      </c>
      <c r="D7" s="107" t="s">
        <v>195</v>
      </c>
      <c r="E7" s="107" t="s">
        <v>195</v>
      </c>
      <c r="F7" s="107" t="s">
        <v>195</v>
      </c>
      <c r="G7" s="107" t="s">
        <v>114</v>
      </c>
      <c r="H7" s="107" t="s">
        <v>195</v>
      </c>
      <c r="I7" s="107" t="s">
        <v>114</v>
      </c>
      <c r="J7" s="107" t="s">
        <v>195</v>
      </c>
      <c r="K7" s="107" t="s">
        <v>114</v>
      </c>
      <c r="L7" s="107" t="s">
        <v>195</v>
      </c>
      <c r="M7" s="107" t="s">
        <v>114</v>
      </c>
      <c r="N7" s="107" t="s">
        <v>195</v>
      </c>
      <c r="O7" s="107" t="s">
        <v>114</v>
      </c>
      <c r="P7" s="107" t="s">
        <v>195</v>
      </c>
      <c r="Q7" s="107" t="s">
        <v>114</v>
      </c>
      <c r="R7" s="107" t="s">
        <v>195</v>
      </c>
      <c r="S7" s="107" t="s">
        <v>114</v>
      </c>
      <c r="T7" s="107" t="s">
        <v>195</v>
      </c>
      <c r="U7" s="107" t="s">
        <v>114</v>
      </c>
      <c r="V7" s="107" t="s">
        <v>195</v>
      </c>
      <c r="W7" s="107" t="s">
        <v>114</v>
      </c>
      <c r="X7" s="107" t="s">
        <v>195</v>
      </c>
      <c r="Y7" s="107" t="s">
        <v>114</v>
      </c>
      <c r="Z7" s="107" t="s">
        <v>195</v>
      </c>
      <c r="AA7" s="107" t="s">
        <v>114</v>
      </c>
      <c r="AB7" s="107" t="s">
        <v>195</v>
      </c>
      <c r="AC7" s="107" t="s">
        <v>114</v>
      </c>
      <c r="AD7" s="107" t="s">
        <v>195</v>
      </c>
      <c r="AE7" s="13" t="s">
        <v>114</v>
      </c>
      <c r="AF7" s="107" t="s">
        <v>195</v>
      </c>
      <c r="AG7" s="13" t="s">
        <v>114</v>
      </c>
      <c r="AH7" s="107" t="s">
        <v>195</v>
      </c>
      <c r="AI7" s="13" t="s">
        <v>114</v>
      </c>
      <c r="AJ7" s="107" t="s">
        <v>195</v>
      </c>
      <c r="AK7" s="13" t="s">
        <v>114</v>
      </c>
      <c r="AL7" s="107" t="s">
        <v>195</v>
      </c>
      <c r="AM7" s="13" t="s">
        <v>114</v>
      </c>
      <c r="AN7" s="107" t="s">
        <v>195</v>
      </c>
      <c r="AO7" s="13" t="s">
        <v>114</v>
      </c>
      <c r="AP7" s="107" t="s">
        <v>195</v>
      </c>
      <c r="AQ7" s="13" t="s">
        <v>114</v>
      </c>
      <c r="AR7" s="107" t="s">
        <v>195</v>
      </c>
      <c r="AS7" s="13" t="s">
        <v>114</v>
      </c>
      <c r="AT7" s="107" t="s">
        <v>195</v>
      </c>
      <c r="AU7" s="13" t="s">
        <v>114</v>
      </c>
      <c r="AV7" s="107" t="s">
        <v>195</v>
      </c>
      <c r="AW7" s="13" t="s">
        <v>114</v>
      </c>
      <c r="AX7" s="107" t="s">
        <v>195</v>
      </c>
      <c r="AY7" s="13" t="s">
        <v>114</v>
      </c>
      <c r="AZ7" s="107" t="s">
        <v>195</v>
      </c>
      <c r="BA7" s="13" t="s">
        <v>114</v>
      </c>
      <c r="BB7" s="107" t="s">
        <v>195</v>
      </c>
      <c r="BC7" s="13" t="s">
        <v>114</v>
      </c>
      <c r="BD7" s="107" t="s">
        <v>195</v>
      </c>
      <c r="BE7" s="13" t="s">
        <v>114</v>
      </c>
      <c r="BF7" s="107" t="s">
        <v>195</v>
      </c>
      <c r="BH7" s="107" t="s">
        <v>64</v>
      </c>
      <c r="BI7" s="107" t="s">
        <v>66</v>
      </c>
    </row>
    <row r="8" spans="1:61" s="36" customFormat="1" ht="39.950000000000003" customHeight="1">
      <c r="A8" s="145">
        <v>44012</v>
      </c>
      <c r="B8" s="35"/>
      <c r="C8" s="77">
        <v>5332927</v>
      </c>
      <c r="D8" s="104"/>
      <c r="E8" s="38"/>
      <c r="F8" s="104"/>
      <c r="G8" s="78">
        <v>272514</v>
      </c>
      <c r="H8" s="104"/>
      <c r="I8" s="78">
        <v>69989</v>
      </c>
      <c r="J8" s="104"/>
      <c r="K8" s="78">
        <v>254143</v>
      </c>
      <c r="L8" s="104"/>
      <c r="M8" s="78">
        <v>24362</v>
      </c>
      <c r="N8" s="104"/>
      <c r="O8" s="77">
        <v>205915</v>
      </c>
      <c r="P8" s="104"/>
      <c r="Q8" s="77">
        <v>429113</v>
      </c>
      <c r="R8" s="104"/>
      <c r="S8" s="77">
        <v>683468</v>
      </c>
      <c r="T8" s="104"/>
      <c r="U8" s="77">
        <v>93066.256999999998</v>
      </c>
      <c r="V8" s="104"/>
      <c r="W8" s="77">
        <v>76954</v>
      </c>
      <c r="X8" s="104"/>
      <c r="Y8" s="77">
        <v>1471573</v>
      </c>
      <c r="Z8" s="104"/>
      <c r="AA8" s="77">
        <v>13166</v>
      </c>
      <c r="AB8" s="104"/>
      <c r="AC8" s="77">
        <v>423308</v>
      </c>
      <c r="AD8" s="104"/>
      <c r="AE8" s="77">
        <v>499812</v>
      </c>
      <c r="AF8" s="104"/>
      <c r="AG8" s="77">
        <v>48427</v>
      </c>
      <c r="AH8" s="104"/>
      <c r="AI8" s="77">
        <v>384403</v>
      </c>
      <c r="AJ8" s="104"/>
      <c r="AK8" s="78">
        <v>102371</v>
      </c>
      <c r="AL8" s="104"/>
      <c r="AM8" s="77">
        <v>545267</v>
      </c>
      <c r="AN8" s="104"/>
      <c r="AO8" s="77">
        <v>874858</v>
      </c>
      <c r="AP8" s="104"/>
      <c r="AQ8" s="77">
        <v>64458</v>
      </c>
      <c r="AR8" s="104"/>
      <c r="AS8" s="78">
        <v>2204</v>
      </c>
      <c r="AT8" s="104"/>
      <c r="AU8" s="78">
        <v>918</v>
      </c>
      <c r="AV8" s="104"/>
      <c r="AW8" s="78">
        <v>3108</v>
      </c>
      <c r="AX8" s="104"/>
      <c r="AY8" s="77">
        <v>292673</v>
      </c>
      <c r="AZ8" s="104"/>
      <c r="BA8" s="78">
        <v>160167</v>
      </c>
      <c r="BB8" s="104"/>
      <c r="BC8" s="77">
        <v>200395</v>
      </c>
      <c r="BD8" s="104"/>
      <c r="BE8" s="78">
        <v>5335</v>
      </c>
      <c r="BF8" s="104"/>
      <c r="BH8" s="105"/>
      <c r="BI8" s="105"/>
    </row>
    <row r="9" spans="1:61" s="29" customFormat="1" ht="39.950000000000003" customHeight="1">
      <c r="A9" s="145">
        <v>44013</v>
      </c>
      <c r="B9" s="28"/>
      <c r="C9" s="78">
        <v>5334465</v>
      </c>
      <c r="D9" s="38">
        <f>(+C9-+C8)*48</f>
        <v>73824</v>
      </c>
      <c r="E9" s="38">
        <f>D9*0.6</f>
        <v>44294.400000000001</v>
      </c>
      <c r="F9" s="38">
        <f>D9*0.4</f>
        <v>29529.600000000002</v>
      </c>
      <c r="G9" s="78">
        <v>272543</v>
      </c>
      <c r="H9" s="38">
        <f t="shared" ref="H9:H38" si="0">(+G10-+G9)*48</f>
        <v>1440</v>
      </c>
      <c r="I9" s="78">
        <v>70152</v>
      </c>
      <c r="J9" s="38">
        <f t="shared" ref="J9:J38" si="1">(+I10-+I9)*48</f>
        <v>8064</v>
      </c>
      <c r="K9" s="78">
        <v>254143</v>
      </c>
      <c r="L9" s="38">
        <f t="shared" ref="L9:L38" si="2">(+K10-+K9)*48</f>
        <v>0</v>
      </c>
      <c r="M9" s="78">
        <v>24362</v>
      </c>
      <c r="N9" s="38">
        <f t="shared" ref="N9:N38" si="3">(+M10-+M9)*48</f>
        <v>0</v>
      </c>
      <c r="O9" s="78">
        <v>206080</v>
      </c>
      <c r="P9" s="38">
        <f>(+O9-+O8)*48</f>
        <v>7920</v>
      </c>
      <c r="Q9" s="78">
        <v>429133</v>
      </c>
      <c r="R9" s="38">
        <f>(+Q9-+Q8)*48</f>
        <v>960</v>
      </c>
      <c r="S9" s="78">
        <v>683606</v>
      </c>
      <c r="T9" s="38">
        <f>(+S9-+S8)*48</f>
        <v>6624</v>
      </c>
      <c r="U9" s="78">
        <v>93084.968999999997</v>
      </c>
      <c r="V9" s="104">
        <f>(+U9-+U8)*48</f>
        <v>898.17599999997765</v>
      </c>
      <c r="W9" s="78">
        <v>76967</v>
      </c>
      <c r="X9" s="38">
        <f>(+W9-+W8)*48</f>
        <v>624</v>
      </c>
      <c r="Y9" s="78">
        <v>1471712</v>
      </c>
      <c r="Z9" s="38">
        <f>(+Y9-+Y8)*48</f>
        <v>6672</v>
      </c>
      <c r="AA9" s="78">
        <v>13166</v>
      </c>
      <c r="AB9" s="38">
        <f>(+AA9-+AA8)*48</f>
        <v>0</v>
      </c>
      <c r="AC9" s="78">
        <v>423390</v>
      </c>
      <c r="AD9" s="38">
        <f>(+AC9-+AC8)*48</f>
        <v>3936</v>
      </c>
      <c r="AE9" s="78">
        <v>499915</v>
      </c>
      <c r="AF9" s="38">
        <f>(+AE9-+AE8)*48</f>
        <v>4944</v>
      </c>
      <c r="AG9" s="78">
        <v>48431</v>
      </c>
      <c r="AH9" s="38">
        <f>(+AG9-+AG8)*48</f>
        <v>192</v>
      </c>
      <c r="AI9" s="78">
        <v>384464</v>
      </c>
      <c r="AJ9" s="38">
        <f>(+AI9-+AI8)*48</f>
        <v>2928</v>
      </c>
      <c r="AK9" s="78">
        <v>102371</v>
      </c>
      <c r="AL9" s="38">
        <f>(+AK9-+AK8)*48</f>
        <v>0</v>
      </c>
      <c r="AM9" s="78">
        <v>545372</v>
      </c>
      <c r="AN9" s="38">
        <f>(+AM9-+AM8)*48</f>
        <v>5040</v>
      </c>
      <c r="AO9" s="78">
        <v>875043</v>
      </c>
      <c r="AP9" s="38">
        <f>(+AO9-+AO8)*48</f>
        <v>8880</v>
      </c>
      <c r="AQ9" s="78">
        <v>64494</v>
      </c>
      <c r="AR9" s="38">
        <f>(+AQ9-+AQ8)*48</f>
        <v>1728</v>
      </c>
      <c r="AS9" s="78">
        <v>2204</v>
      </c>
      <c r="AT9" s="38">
        <f>(+AS9-+AS8)*48</f>
        <v>0</v>
      </c>
      <c r="AU9" s="78">
        <v>918</v>
      </c>
      <c r="AV9" s="38">
        <f>(+AU9-+AU8)*48</f>
        <v>0</v>
      </c>
      <c r="AW9" s="78">
        <v>3108</v>
      </c>
      <c r="AX9" s="38">
        <f>(+AW9-+AW8)*48</f>
        <v>0</v>
      </c>
      <c r="AY9" s="78">
        <v>292741</v>
      </c>
      <c r="AZ9" s="38">
        <f>(+AY9-+AY8)*48</f>
        <v>3264</v>
      </c>
      <c r="BA9" s="78">
        <v>160167</v>
      </c>
      <c r="BB9" s="38">
        <f>(+BA9-+BA8)*48</f>
        <v>0</v>
      </c>
      <c r="BC9" s="78">
        <v>200445</v>
      </c>
      <c r="BD9" s="38">
        <f>(+BC9-+BC8)*48</f>
        <v>2400</v>
      </c>
      <c r="BE9" s="78">
        <v>5335</v>
      </c>
      <c r="BF9" s="38">
        <f>(+BE9-+BE8)*48</f>
        <v>0</v>
      </c>
      <c r="BH9" s="105">
        <f t="shared" ref="BH9:BH36" si="4">SUM(E9,J9,P9,H9,L9,R9,T9,V9,X9,N9,AB9,Z9,AD9,AF9,AH9,AL9,AJ9)</f>
        <v>89496.575999999972</v>
      </c>
      <c r="BI9" s="105">
        <f t="shared" ref="BI9:BI36" si="5">SUM(F9,AN9,AP9,AT9,AV9,AX9,AR9,AZ9,BB9,BD9,BF9)</f>
        <v>50841.600000000006</v>
      </c>
    </row>
    <row r="10" spans="1:61" s="36" customFormat="1" ht="39.950000000000003" customHeight="1">
      <c r="A10" s="145">
        <v>44014</v>
      </c>
      <c r="B10" s="35"/>
      <c r="C10" s="84">
        <v>5336317</v>
      </c>
      <c r="D10" s="38">
        <f t="shared" ref="D10" si="6">(+C10-+C9)*48</f>
        <v>88896</v>
      </c>
      <c r="E10" s="38">
        <f t="shared" ref="E10:E38" si="7">D10*0.6</f>
        <v>53337.599999999999</v>
      </c>
      <c r="F10" s="104">
        <f t="shared" ref="F10:F36" si="8">D10*0.4</f>
        <v>35558.400000000001</v>
      </c>
      <c r="G10" s="84">
        <v>272573</v>
      </c>
      <c r="H10" s="38">
        <f t="shared" si="0"/>
        <v>1632</v>
      </c>
      <c r="I10" s="84">
        <v>70320</v>
      </c>
      <c r="J10" s="38">
        <f t="shared" si="1"/>
        <v>8064</v>
      </c>
      <c r="K10" s="84">
        <v>254143</v>
      </c>
      <c r="L10" s="38">
        <f t="shared" si="2"/>
        <v>144</v>
      </c>
      <c r="M10" s="84">
        <v>24362</v>
      </c>
      <c r="N10" s="38">
        <f t="shared" si="3"/>
        <v>0</v>
      </c>
      <c r="O10" s="84">
        <v>206256</v>
      </c>
      <c r="P10" s="38">
        <f t="shared" ref="P10" si="9">(+O10-+O9)*48</f>
        <v>8448</v>
      </c>
      <c r="Q10" s="84">
        <v>429150</v>
      </c>
      <c r="R10" s="38">
        <f t="shared" ref="R10" si="10">(+Q10-+Q9)*48</f>
        <v>816</v>
      </c>
      <c r="S10" s="84">
        <v>683714</v>
      </c>
      <c r="T10" s="38">
        <f t="shared" ref="T10" si="11">(+S10-+S9)*48</f>
        <v>5184</v>
      </c>
      <c r="U10" s="84">
        <v>93112.384999999995</v>
      </c>
      <c r="V10" s="104">
        <f t="shared" ref="V10" si="12">(+U10-+U9)*48</f>
        <v>1315.9679999998771</v>
      </c>
      <c r="W10" s="84">
        <v>76982</v>
      </c>
      <c r="X10" s="38">
        <f t="shared" ref="X10" si="13">(+W10-+W9)*48</f>
        <v>720</v>
      </c>
      <c r="Y10" s="84">
        <v>1471851</v>
      </c>
      <c r="Z10" s="38">
        <f t="shared" ref="Z10" si="14">(+Y10-+Y9)*48</f>
        <v>6672</v>
      </c>
      <c r="AA10" s="84">
        <v>13166</v>
      </c>
      <c r="AB10" s="38">
        <f t="shared" ref="AB10" si="15">(+AA10-+AA9)*48</f>
        <v>0</v>
      </c>
      <c r="AC10" s="84">
        <v>423472</v>
      </c>
      <c r="AD10" s="38">
        <f t="shared" ref="AD10:AF37" si="16">(+AC10-+AC9)*48</f>
        <v>3936</v>
      </c>
      <c r="AE10" s="84">
        <v>500017</v>
      </c>
      <c r="AF10" s="38">
        <f t="shared" si="16"/>
        <v>4896</v>
      </c>
      <c r="AG10" s="84">
        <v>48434</v>
      </c>
      <c r="AH10" s="38">
        <f t="shared" ref="AH10" si="17">(+AG10-+AG9)*48</f>
        <v>144</v>
      </c>
      <c r="AI10" s="84">
        <v>384530</v>
      </c>
      <c r="AJ10" s="38">
        <f t="shared" ref="AJ10" si="18">(+AI10-+AI9)*48</f>
        <v>3168</v>
      </c>
      <c r="AK10" s="84">
        <v>102371</v>
      </c>
      <c r="AL10" s="38">
        <f t="shared" ref="AL10" si="19">(+AK10-+AK9)*48</f>
        <v>0</v>
      </c>
      <c r="AM10" s="84">
        <v>545473</v>
      </c>
      <c r="AN10" s="38">
        <f t="shared" ref="AN10" si="20">(+AM10-+AM9)*48</f>
        <v>4848</v>
      </c>
      <c r="AO10" s="84">
        <v>875212</v>
      </c>
      <c r="AP10" s="38">
        <f t="shared" ref="AP10" si="21">(+AO10-+AO9)*48</f>
        <v>8112</v>
      </c>
      <c r="AQ10" s="84">
        <v>64531</v>
      </c>
      <c r="AR10" s="38">
        <f t="shared" ref="AR10" si="22">(+AQ10-+AQ9)*48</f>
        <v>1776</v>
      </c>
      <c r="AS10" s="84">
        <v>2204</v>
      </c>
      <c r="AT10" s="38">
        <f t="shared" ref="AT10" si="23">(+AS10-+AS9)*48</f>
        <v>0</v>
      </c>
      <c r="AU10" s="84">
        <v>918</v>
      </c>
      <c r="AV10" s="38">
        <f t="shared" ref="AV10" si="24">(+AU10-+AU9)*48</f>
        <v>0</v>
      </c>
      <c r="AW10" s="84">
        <v>3108</v>
      </c>
      <c r="AX10" s="38">
        <f t="shared" ref="AX10" si="25">(+AW10-+AW9)*48</f>
        <v>0</v>
      </c>
      <c r="AY10" s="84">
        <v>292806</v>
      </c>
      <c r="AZ10" s="38">
        <f t="shared" ref="AZ10" si="26">(+AY10-+AY9)*48</f>
        <v>3120</v>
      </c>
      <c r="BA10" s="84">
        <v>160167</v>
      </c>
      <c r="BB10" s="38">
        <f t="shared" ref="BB10" si="27">(+BA10-+BA9)*48</f>
        <v>0</v>
      </c>
      <c r="BC10" s="84">
        <v>200493</v>
      </c>
      <c r="BD10" s="38">
        <f t="shared" ref="BD10" si="28">(+BC10-+BC9)*48</f>
        <v>2304</v>
      </c>
      <c r="BE10" s="84">
        <v>5335</v>
      </c>
      <c r="BF10" s="38">
        <f t="shared" ref="BF10" si="29">(+BE10-+BE9)*48</f>
        <v>0</v>
      </c>
      <c r="BH10" s="105">
        <f t="shared" si="4"/>
        <v>98477.567999999883</v>
      </c>
      <c r="BI10" s="105">
        <f t="shared" si="5"/>
        <v>55718.400000000001</v>
      </c>
    </row>
    <row r="11" spans="1:61" s="36" customFormat="1" ht="39.950000000000003" customHeight="1">
      <c r="A11" s="145">
        <v>44015</v>
      </c>
      <c r="B11" s="35"/>
      <c r="C11" s="84">
        <v>5337959</v>
      </c>
      <c r="D11" s="38">
        <f t="shared" ref="D11" si="30">(+C11-+C10)*48</f>
        <v>78816</v>
      </c>
      <c r="E11" s="38">
        <f t="shared" si="7"/>
        <v>47289.599999999999</v>
      </c>
      <c r="F11" s="104">
        <f t="shared" si="8"/>
        <v>31526.400000000001</v>
      </c>
      <c r="G11" s="84">
        <v>272607</v>
      </c>
      <c r="H11" s="38">
        <f t="shared" si="0"/>
        <v>1872</v>
      </c>
      <c r="I11" s="84">
        <v>70488</v>
      </c>
      <c r="J11" s="38">
        <f t="shared" si="1"/>
        <v>8304</v>
      </c>
      <c r="K11" s="84">
        <v>254146</v>
      </c>
      <c r="L11" s="38">
        <f t="shared" si="2"/>
        <v>1344</v>
      </c>
      <c r="M11" s="84">
        <v>24362</v>
      </c>
      <c r="N11" s="38">
        <f t="shared" si="3"/>
        <v>0</v>
      </c>
      <c r="O11" s="84">
        <v>206438</v>
      </c>
      <c r="P11" s="38">
        <f t="shared" ref="P11" si="31">(+O11-+O10)*48</f>
        <v>8736</v>
      </c>
      <c r="Q11" s="84">
        <v>429171</v>
      </c>
      <c r="R11" s="38">
        <f t="shared" ref="R11" si="32">(+Q11-+Q10)*48</f>
        <v>1008</v>
      </c>
      <c r="S11" s="84">
        <v>683831</v>
      </c>
      <c r="T11" s="38">
        <f t="shared" ref="T11" si="33">(+S11-+S10)*48</f>
        <v>5616</v>
      </c>
      <c r="U11" s="84">
        <v>93131.735000000001</v>
      </c>
      <c r="V11" s="104">
        <f t="shared" ref="V11" si="34">(+U11-+U10)*48</f>
        <v>928.8000000002794</v>
      </c>
      <c r="W11" s="84">
        <v>76996</v>
      </c>
      <c r="X11" s="38">
        <f t="shared" ref="X11" si="35">(+W11-+W10)*48</f>
        <v>672</v>
      </c>
      <c r="Y11" s="84">
        <v>1471989</v>
      </c>
      <c r="Z11" s="38">
        <f t="shared" ref="Z11" si="36">(+Y11-+Y10)*48</f>
        <v>6624</v>
      </c>
      <c r="AA11" s="84">
        <v>13166</v>
      </c>
      <c r="AB11" s="38">
        <f t="shared" ref="AB11" si="37">(+AA11-+AA10)*48</f>
        <v>0</v>
      </c>
      <c r="AC11" s="84">
        <v>423554</v>
      </c>
      <c r="AD11" s="38">
        <f t="shared" si="16"/>
        <v>3936</v>
      </c>
      <c r="AE11" s="84">
        <v>500120</v>
      </c>
      <c r="AF11" s="38">
        <f t="shared" si="16"/>
        <v>4944</v>
      </c>
      <c r="AG11" s="84">
        <v>48438</v>
      </c>
      <c r="AH11" s="38">
        <f t="shared" ref="AH11" si="38">(+AG11-+AG10)*48</f>
        <v>192</v>
      </c>
      <c r="AI11" s="84">
        <v>384587</v>
      </c>
      <c r="AJ11" s="38">
        <f t="shared" ref="AJ11" si="39">(+AI11-+AI10)*48</f>
        <v>2736</v>
      </c>
      <c r="AK11" s="84">
        <v>102371</v>
      </c>
      <c r="AL11" s="38">
        <f t="shared" ref="AL11" si="40">(+AK11-+AK10)*48</f>
        <v>0</v>
      </c>
      <c r="AM11" s="84">
        <v>545580</v>
      </c>
      <c r="AN11" s="38">
        <f t="shared" ref="AN11" si="41">(+AM11-+AM10)*48</f>
        <v>5136</v>
      </c>
      <c r="AO11" s="84">
        <v>875384</v>
      </c>
      <c r="AP11" s="38">
        <f t="shared" ref="AP11" si="42">(+AO11-+AO10)*48</f>
        <v>8256</v>
      </c>
      <c r="AQ11" s="84">
        <v>64573</v>
      </c>
      <c r="AR11" s="38">
        <f t="shared" ref="AR11" si="43">(+AQ11-+AQ10)*48</f>
        <v>2016</v>
      </c>
      <c r="AS11" s="84">
        <v>2204</v>
      </c>
      <c r="AT11" s="38">
        <f t="shared" ref="AT11" si="44">(+AS11-+AS10)*48</f>
        <v>0</v>
      </c>
      <c r="AU11" s="84">
        <v>918</v>
      </c>
      <c r="AV11" s="38">
        <f t="shared" ref="AV11" si="45">(+AU11-+AU10)*48</f>
        <v>0</v>
      </c>
      <c r="AW11" s="84">
        <v>3108</v>
      </c>
      <c r="AX11" s="38">
        <f t="shared" ref="AX11" si="46">(+AW11-+AW10)*48</f>
        <v>0</v>
      </c>
      <c r="AY11" s="84">
        <v>292876</v>
      </c>
      <c r="AZ11" s="38">
        <f t="shared" ref="AZ11" si="47">(+AY11-+AY10)*48</f>
        <v>3360</v>
      </c>
      <c r="BA11" s="84">
        <v>160167</v>
      </c>
      <c r="BB11" s="38">
        <f t="shared" ref="BB11" si="48">(+BA11-+BA10)*48</f>
        <v>0</v>
      </c>
      <c r="BC11" s="84">
        <v>200543</v>
      </c>
      <c r="BD11" s="38">
        <f t="shared" ref="BD11" si="49">(+BC11-+BC10)*48</f>
        <v>2400</v>
      </c>
      <c r="BE11" s="84">
        <v>5335</v>
      </c>
      <c r="BF11" s="38">
        <f t="shared" ref="BF11" si="50">(+BE11-+BE10)*48</f>
        <v>0</v>
      </c>
      <c r="BH11" s="105">
        <f t="shared" si="4"/>
        <v>94202.400000000285</v>
      </c>
      <c r="BI11" s="105">
        <f t="shared" si="5"/>
        <v>52694.400000000001</v>
      </c>
    </row>
    <row r="12" spans="1:61" s="36" customFormat="1" ht="39.950000000000003" customHeight="1">
      <c r="A12" s="145">
        <v>44016</v>
      </c>
      <c r="B12" s="35"/>
      <c r="C12" s="84">
        <v>5339893</v>
      </c>
      <c r="D12" s="38">
        <f t="shared" ref="D12" si="51">(+C12-+C11)*48</f>
        <v>92832</v>
      </c>
      <c r="E12" s="38">
        <f t="shared" si="7"/>
        <v>55699.199999999997</v>
      </c>
      <c r="F12" s="104">
        <f t="shared" si="8"/>
        <v>37132.800000000003</v>
      </c>
      <c r="G12" s="84">
        <v>272646</v>
      </c>
      <c r="H12" s="38">
        <f t="shared" si="0"/>
        <v>1968</v>
      </c>
      <c r="I12" s="84">
        <v>70661</v>
      </c>
      <c r="J12" s="38">
        <f t="shared" si="1"/>
        <v>8016</v>
      </c>
      <c r="K12" s="84">
        <v>254174</v>
      </c>
      <c r="L12" s="38">
        <f t="shared" si="2"/>
        <v>96</v>
      </c>
      <c r="M12" s="84">
        <v>24362</v>
      </c>
      <c r="N12" s="38">
        <f t="shared" si="3"/>
        <v>48</v>
      </c>
      <c r="O12" s="84">
        <v>206638</v>
      </c>
      <c r="P12" s="38">
        <f t="shared" ref="P12" si="52">(+O12-+O11)*48</f>
        <v>9600</v>
      </c>
      <c r="Q12" s="84">
        <v>429197</v>
      </c>
      <c r="R12" s="38">
        <f t="shared" ref="R12" si="53">(+Q12-+Q11)*48</f>
        <v>1248</v>
      </c>
      <c r="S12" s="84">
        <v>683959</v>
      </c>
      <c r="T12" s="38">
        <f t="shared" ref="T12" si="54">(+S12-+S11)*48</f>
        <v>6144</v>
      </c>
      <c r="U12" s="84">
        <v>93153.585000000006</v>
      </c>
      <c r="V12" s="104">
        <f t="shared" ref="V12" si="55">(+U12-+U11)*48</f>
        <v>1048.8000000002794</v>
      </c>
      <c r="W12" s="84">
        <v>77023</v>
      </c>
      <c r="X12" s="38">
        <f t="shared" ref="X12" si="56">(+W12-+W11)*48</f>
        <v>1296</v>
      </c>
      <c r="Y12" s="84">
        <v>1472130</v>
      </c>
      <c r="Z12" s="38">
        <f t="shared" ref="Z12" si="57">(+Y12-+Y11)*48</f>
        <v>6768</v>
      </c>
      <c r="AA12" s="84">
        <v>13166</v>
      </c>
      <c r="AB12" s="38">
        <f t="shared" ref="AB12" si="58">(+AA12-+AA11)*48</f>
        <v>0</v>
      </c>
      <c r="AC12" s="84">
        <v>423641</v>
      </c>
      <c r="AD12" s="38">
        <f t="shared" si="16"/>
        <v>4176</v>
      </c>
      <c r="AE12" s="84">
        <v>500226</v>
      </c>
      <c r="AF12" s="38">
        <f t="shared" si="16"/>
        <v>5088</v>
      </c>
      <c r="AG12" s="84">
        <v>48441</v>
      </c>
      <c r="AH12" s="38">
        <f t="shared" ref="AH12" si="59">(+AG12-+AG11)*48</f>
        <v>144</v>
      </c>
      <c r="AI12" s="84">
        <v>384647</v>
      </c>
      <c r="AJ12" s="38">
        <f t="shared" ref="AJ12" si="60">(+AI12-+AI11)*48</f>
        <v>2880</v>
      </c>
      <c r="AK12" s="84">
        <v>102371</v>
      </c>
      <c r="AL12" s="38">
        <f t="shared" ref="AL12" si="61">(+AK12-+AK11)*48</f>
        <v>0</v>
      </c>
      <c r="AM12" s="84">
        <v>545687</v>
      </c>
      <c r="AN12" s="38">
        <f t="shared" ref="AN12" si="62">(+AM12-+AM11)*48</f>
        <v>5136</v>
      </c>
      <c r="AO12" s="84">
        <v>875551</v>
      </c>
      <c r="AP12" s="38">
        <f t="shared" ref="AP12" si="63">(+AO12-+AO11)*48</f>
        <v>8016</v>
      </c>
      <c r="AQ12" s="84">
        <v>64618</v>
      </c>
      <c r="AR12" s="38">
        <f t="shared" ref="AR12" si="64">(+AQ12-+AQ11)*48</f>
        <v>2160</v>
      </c>
      <c r="AS12" s="84">
        <v>2204</v>
      </c>
      <c r="AT12" s="38">
        <f t="shared" ref="AT12" si="65">(+AS12-+AS11)*48</f>
        <v>0</v>
      </c>
      <c r="AU12" s="84">
        <v>918</v>
      </c>
      <c r="AV12" s="38">
        <f t="shared" ref="AV12" si="66">(+AU12-+AU11)*48</f>
        <v>0</v>
      </c>
      <c r="AW12" s="84">
        <v>3108</v>
      </c>
      <c r="AX12" s="38">
        <f t="shared" ref="AX12" si="67">(+AW12-+AW11)*48</f>
        <v>0</v>
      </c>
      <c r="AY12" s="84">
        <v>292938</v>
      </c>
      <c r="AZ12" s="38">
        <f t="shared" ref="AZ12" si="68">(+AY12-+AY11)*48</f>
        <v>2976</v>
      </c>
      <c r="BA12" s="84">
        <v>160167</v>
      </c>
      <c r="BB12" s="38">
        <f t="shared" ref="BB12" si="69">(+BA12-+BA11)*48</f>
        <v>0</v>
      </c>
      <c r="BC12" s="84">
        <v>200592</v>
      </c>
      <c r="BD12" s="38">
        <f t="shared" ref="BD12" si="70">(+BC12-+BC11)*48</f>
        <v>2352</v>
      </c>
      <c r="BE12" s="84">
        <v>5335</v>
      </c>
      <c r="BF12" s="38">
        <f t="shared" ref="BF12" si="71">(+BE12-+BE11)*48</f>
        <v>0</v>
      </c>
      <c r="BH12" s="105">
        <f t="shared" si="4"/>
        <v>104220.00000000028</v>
      </c>
      <c r="BI12" s="105">
        <f t="shared" si="5"/>
        <v>57772.800000000003</v>
      </c>
    </row>
    <row r="13" spans="1:61" s="36" customFormat="1" ht="39.950000000000003" customHeight="1">
      <c r="A13" s="145">
        <v>44017</v>
      </c>
      <c r="B13" s="35"/>
      <c r="C13" s="84">
        <v>5341408</v>
      </c>
      <c r="D13" s="38">
        <f t="shared" ref="D13" si="72">(+C13-+C12)*48</f>
        <v>72720</v>
      </c>
      <c r="E13" s="38">
        <f t="shared" si="7"/>
        <v>43632</v>
      </c>
      <c r="F13" s="104">
        <f t="shared" si="8"/>
        <v>29088</v>
      </c>
      <c r="G13" s="84">
        <v>272687</v>
      </c>
      <c r="H13" s="38">
        <f t="shared" si="0"/>
        <v>1248</v>
      </c>
      <c r="I13" s="84">
        <v>70828</v>
      </c>
      <c r="J13" s="38">
        <f t="shared" si="1"/>
        <v>8352</v>
      </c>
      <c r="K13" s="84">
        <v>254176</v>
      </c>
      <c r="L13" s="38">
        <f t="shared" si="2"/>
        <v>0</v>
      </c>
      <c r="M13" s="84">
        <v>24363</v>
      </c>
      <c r="N13" s="38">
        <f t="shared" si="3"/>
        <v>0</v>
      </c>
      <c r="O13" s="84">
        <v>206850</v>
      </c>
      <c r="P13" s="38">
        <f t="shared" ref="P13" si="73">(+O13-+O12)*48</f>
        <v>10176</v>
      </c>
      <c r="Q13" s="84">
        <v>429238</v>
      </c>
      <c r="R13" s="38">
        <f t="shared" ref="R13" si="74">(+Q13-+Q12)*48</f>
        <v>1968</v>
      </c>
      <c r="S13" s="84">
        <v>684085</v>
      </c>
      <c r="T13" s="38">
        <f t="shared" ref="T13" si="75">(+S13-+S12)*48</f>
        <v>6048</v>
      </c>
      <c r="U13" s="84">
        <v>93178.578999999998</v>
      </c>
      <c r="V13" s="104">
        <f t="shared" ref="V13" si="76">(+U13-+U12)*48</f>
        <v>1199.7119999995921</v>
      </c>
      <c r="W13" s="84">
        <v>77045</v>
      </c>
      <c r="X13" s="38">
        <f t="shared" ref="X13" si="77">(+W13-+W12)*48</f>
        <v>1056</v>
      </c>
      <c r="Y13" s="84">
        <v>1472266</v>
      </c>
      <c r="Z13" s="38">
        <f t="shared" ref="Z13" si="78">(+Y13-+Y12)*48</f>
        <v>6528</v>
      </c>
      <c r="AA13" s="84">
        <v>13166</v>
      </c>
      <c r="AB13" s="38">
        <f t="shared" ref="AB13" si="79">(+AA13-+AA12)*48</f>
        <v>0</v>
      </c>
      <c r="AC13" s="84">
        <v>423722</v>
      </c>
      <c r="AD13" s="38">
        <f t="shared" si="16"/>
        <v>3888</v>
      </c>
      <c r="AE13" s="84">
        <v>500328</v>
      </c>
      <c r="AF13" s="38">
        <f t="shared" si="16"/>
        <v>4896</v>
      </c>
      <c r="AG13" s="84">
        <v>48444</v>
      </c>
      <c r="AH13" s="38">
        <f t="shared" ref="AH13" si="80">(+AG13-+AG12)*48</f>
        <v>144</v>
      </c>
      <c r="AI13" s="84">
        <v>384716</v>
      </c>
      <c r="AJ13" s="38">
        <f t="shared" ref="AJ13:AJ14" si="81">(+AI13-+AI12)*48</f>
        <v>3312</v>
      </c>
      <c r="AK13" s="84">
        <v>102371</v>
      </c>
      <c r="AL13" s="38">
        <f t="shared" ref="AL13" si="82">(+AK13-+AK12)*48</f>
        <v>0</v>
      </c>
      <c r="AM13" s="84">
        <v>545790</v>
      </c>
      <c r="AN13" s="38">
        <f t="shared" ref="AN13" si="83">(+AM13-+AM12)*48</f>
        <v>4944</v>
      </c>
      <c r="AO13" s="84">
        <v>875717</v>
      </c>
      <c r="AP13" s="38">
        <f t="shared" ref="AP13" si="84">(+AO13-+AO12)*48</f>
        <v>7968</v>
      </c>
      <c r="AQ13" s="84">
        <v>64655</v>
      </c>
      <c r="AR13" s="38">
        <f t="shared" ref="AR13" si="85">(+AQ13-+AQ12)*48</f>
        <v>1776</v>
      </c>
      <c r="AS13" s="84">
        <v>2204</v>
      </c>
      <c r="AT13" s="38">
        <f t="shared" ref="AT13" si="86">(+AS13-+AS12)*48</f>
        <v>0</v>
      </c>
      <c r="AU13" s="84">
        <v>918</v>
      </c>
      <c r="AV13" s="38">
        <f t="shared" ref="AV13" si="87">(+AU13-+AU12)*48</f>
        <v>0</v>
      </c>
      <c r="AW13" s="84">
        <v>3108</v>
      </c>
      <c r="AX13" s="38">
        <f t="shared" ref="AX13" si="88">(+AW13-+AW12)*48</f>
        <v>0</v>
      </c>
      <c r="AY13" s="84">
        <v>293005</v>
      </c>
      <c r="AZ13" s="38">
        <f t="shared" ref="AZ13" si="89">(+AY13-+AY12)*48</f>
        <v>3216</v>
      </c>
      <c r="BA13" s="84">
        <v>160167</v>
      </c>
      <c r="BB13" s="38">
        <f t="shared" ref="BB13" si="90">(+BA13-+BA12)*48</f>
        <v>0</v>
      </c>
      <c r="BC13" s="84">
        <v>200641</v>
      </c>
      <c r="BD13" s="38">
        <f t="shared" ref="BD13" si="91">(+BC13-+BC12)*48</f>
        <v>2352</v>
      </c>
      <c r="BE13" s="84">
        <v>5335</v>
      </c>
      <c r="BF13" s="38">
        <f t="shared" ref="BF13" si="92">(+BE13-+BE12)*48</f>
        <v>0</v>
      </c>
      <c r="BH13" s="105">
        <f t="shared" si="4"/>
        <v>92447.711999999592</v>
      </c>
      <c r="BI13" s="105">
        <f t="shared" si="5"/>
        <v>49344</v>
      </c>
    </row>
    <row r="14" spans="1:61" s="36" customFormat="1" ht="39.950000000000003" customHeight="1">
      <c r="A14" s="145">
        <v>44018</v>
      </c>
      <c r="B14" s="35"/>
      <c r="C14" s="84">
        <v>5343428</v>
      </c>
      <c r="D14" s="38">
        <f t="shared" ref="D14" si="93">(+C14-+C13)*48</f>
        <v>96960</v>
      </c>
      <c r="E14" s="38">
        <f t="shared" si="7"/>
        <v>58176</v>
      </c>
      <c r="F14" s="104">
        <f t="shared" si="8"/>
        <v>38784</v>
      </c>
      <c r="G14" s="84">
        <v>272713</v>
      </c>
      <c r="H14" s="38">
        <f t="shared" si="0"/>
        <v>1488</v>
      </c>
      <c r="I14" s="84">
        <v>71002</v>
      </c>
      <c r="J14" s="38">
        <f t="shared" si="1"/>
        <v>8160</v>
      </c>
      <c r="K14" s="84">
        <v>254176</v>
      </c>
      <c r="L14" s="38">
        <f t="shared" si="2"/>
        <v>240</v>
      </c>
      <c r="M14" s="84">
        <v>24363</v>
      </c>
      <c r="N14" s="38">
        <f t="shared" si="3"/>
        <v>0</v>
      </c>
      <c r="O14" s="84">
        <v>207067</v>
      </c>
      <c r="P14" s="38">
        <f t="shared" ref="P14" si="94">(+O14-+O13)*48</f>
        <v>10416</v>
      </c>
      <c r="Q14" s="84">
        <v>429248</v>
      </c>
      <c r="R14" s="38">
        <f t="shared" ref="R14" si="95">(+Q14-+Q13)*48</f>
        <v>480</v>
      </c>
      <c r="S14" s="84">
        <v>684181</v>
      </c>
      <c r="T14" s="38">
        <f t="shared" ref="T14" si="96">(+S14-+S13)*48</f>
        <v>4608</v>
      </c>
      <c r="U14" s="84">
        <v>93202.774000000005</v>
      </c>
      <c r="V14" s="104">
        <f>(+U14-+U13)*48</f>
        <v>1161.3600000003353</v>
      </c>
      <c r="W14" s="84">
        <v>77050</v>
      </c>
      <c r="X14" s="38">
        <f t="shared" ref="X14" si="97">(+W14-+W13)*48</f>
        <v>240</v>
      </c>
      <c r="Y14" s="84">
        <v>1472404</v>
      </c>
      <c r="Z14" s="38">
        <f t="shared" ref="Z14" si="98">(+Y14-+Y13)*48</f>
        <v>6624</v>
      </c>
      <c r="AA14" s="84">
        <v>13166</v>
      </c>
      <c r="AB14" s="38">
        <f t="shared" ref="AB14" si="99">(+AA14-+AA13)*48</f>
        <v>0</v>
      </c>
      <c r="AC14" s="84">
        <v>423807</v>
      </c>
      <c r="AD14" s="38">
        <f t="shared" si="16"/>
        <v>4080</v>
      </c>
      <c r="AE14" s="84">
        <v>500431</v>
      </c>
      <c r="AF14" s="38">
        <f t="shared" si="16"/>
        <v>4944</v>
      </c>
      <c r="AG14" s="84">
        <v>48448</v>
      </c>
      <c r="AH14" s="38">
        <f t="shared" ref="AH14" si="100">(+AG14-+AG13)*48</f>
        <v>192</v>
      </c>
      <c r="AI14" s="84">
        <v>384791</v>
      </c>
      <c r="AJ14" s="38">
        <f t="shared" si="81"/>
        <v>3600</v>
      </c>
      <c r="AK14" s="84">
        <v>102371</v>
      </c>
      <c r="AL14" s="38">
        <f t="shared" ref="AL14" si="101">(+AK14-+AK13)*48</f>
        <v>0</v>
      </c>
      <c r="AM14" s="84">
        <v>545896</v>
      </c>
      <c r="AN14" s="38">
        <f t="shared" ref="AN14" si="102">(+AM14-+AM13)*48</f>
        <v>5088</v>
      </c>
      <c r="AO14" s="84">
        <v>875886</v>
      </c>
      <c r="AP14" s="38">
        <f t="shared" ref="AP14" si="103">(+AO14-+AO13)*48</f>
        <v>8112</v>
      </c>
      <c r="AQ14" s="84">
        <v>64695</v>
      </c>
      <c r="AR14" s="38">
        <f t="shared" ref="AR14" si="104">(+AQ14-+AQ13)*48</f>
        <v>1920</v>
      </c>
      <c r="AS14" s="84">
        <v>2204</v>
      </c>
      <c r="AT14" s="38">
        <f t="shared" ref="AT14" si="105">(+AS14-+AS13)*48</f>
        <v>0</v>
      </c>
      <c r="AU14" s="84">
        <v>918</v>
      </c>
      <c r="AV14" s="38">
        <f t="shared" ref="AV14" si="106">(+AU14-+AU13)*48</f>
        <v>0</v>
      </c>
      <c r="AW14" s="84">
        <v>3108</v>
      </c>
      <c r="AX14" s="38">
        <f t="shared" ref="AX14" si="107">(+AW14-+AW13)*48</f>
        <v>0</v>
      </c>
      <c r="AY14" s="84">
        <v>293067</v>
      </c>
      <c r="AZ14" s="38">
        <f t="shared" ref="AZ14" si="108">(+AY14-+AY13)*48</f>
        <v>2976</v>
      </c>
      <c r="BA14" s="84">
        <v>160167</v>
      </c>
      <c r="BB14" s="38">
        <f t="shared" ref="BB14" si="109">(+BA14-+BA13)*48</f>
        <v>0</v>
      </c>
      <c r="BC14" s="84">
        <v>200688</v>
      </c>
      <c r="BD14" s="38">
        <f t="shared" ref="BD14" si="110">(+BC14-+BC13)*48</f>
        <v>2256</v>
      </c>
      <c r="BE14" s="84">
        <v>5335</v>
      </c>
      <c r="BF14" s="38">
        <f t="shared" ref="BF14" si="111">(+BE14-+BE13)*48</f>
        <v>0</v>
      </c>
      <c r="BH14" s="105">
        <f t="shared" si="4"/>
        <v>104409.36000000034</v>
      </c>
      <c r="BI14" s="105">
        <f t="shared" si="5"/>
        <v>59136</v>
      </c>
    </row>
    <row r="15" spans="1:61" s="36" customFormat="1" ht="39.950000000000003" customHeight="1">
      <c r="A15" s="145">
        <v>44019</v>
      </c>
      <c r="B15" s="35"/>
      <c r="C15" s="78">
        <v>5345271</v>
      </c>
      <c r="D15" s="38">
        <f t="shared" ref="D15" si="112">(+C15-+C14)*48</f>
        <v>88464</v>
      </c>
      <c r="E15" s="38">
        <f t="shared" si="7"/>
        <v>53078.400000000001</v>
      </c>
      <c r="F15" s="104">
        <f t="shared" si="8"/>
        <v>35385.599999999999</v>
      </c>
      <c r="G15" s="78">
        <v>272744</v>
      </c>
      <c r="H15" s="38">
        <f t="shared" si="0"/>
        <v>1680</v>
      </c>
      <c r="I15" s="78">
        <v>71172</v>
      </c>
      <c r="J15" s="38">
        <f t="shared" si="1"/>
        <v>8256</v>
      </c>
      <c r="K15" s="78">
        <v>254181</v>
      </c>
      <c r="L15" s="38">
        <f t="shared" si="2"/>
        <v>384</v>
      </c>
      <c r="M15" s="78">
        <v>24363</v>
      </c>
      <c r="N15" s="38">
        <f t="shared" si="3"/>
        <v>0</v>
      </c>
      <c r="O15" s="78">
        <v>207216</v>
      </c>
      <c r="P15" s="38">
        <f t="shared" ref="P15" si="113">(+O15-+O14)*48</f>
        <v>7152</v>
      </c>
      <c r="Q15" s="78">
        <v>429273</v>
      </c>
      <c r="R15" s="38">
        <f t="shared" ref="R15" si="114">(+Q15-+Q14)*48</f>
        <v>1200</v>
      </c>
      <c r="S15" s="78">
        <v>684320</v>
      </c>
      <c r="T15" s="38">
        <f t="shared" ref="T15" si="115">(+S15-+S14)*48</f>
        <v>6672</v>
      </c>
      <c r="U15" s="78">
        <v>93221.585999999996</v>
      </c>
      <c r="V15" s="104">
        <f t="shared" ref="V15" si="116">(+U15-+U14)*48</f>
        <v>902.97599999955855</v>
      </c>
      <c r="W15" s="78">
        <v>77061</v>
      </c>
      <c r="X15" s="38">
        <f t="shared" ref="X15" si="117">(+W15-+W14)*48</f>
        <v>528</v>
      </c>
      <c r="Y15" s="78">
        <v>1472545</v>
      </c>
      <c r="Z15" s="38">
        <f t="shared" ref="Z15" si="118">(+Y15-+Y14)*48</f>
        <v>6768</v>
      </c>
      <c r="AA15" s="78">
        <v>13166</v>
      </c>
      <c r="AB15" s="38">
        <f t="shared" ref="AB15" si="119">(+AA15-+AA14)*48</f>
        <v>0</v>
      </c>
      <c r="AC15" s="78">
        <v>423882</v>
      </c>
      <c r="AD15" s="38">
        <f t="shared" si="16"/>
        <v>3600</v>
      </c>
      <c r="AE15" s="78">
        <v>500534</v>
      </c>
      <c r="AF15" s="38">
        <f t="shared" si="16"/>
        <v>4944</v>
      </c>
      <c r="AG15" s="78">
        <v>48451</v>
      </c>
      <c r="AH15" s="38">
        <f t="shared" ref="AH15" si="120">(+AG15-+AG14)*48</f>
        <v>144</v>
      </c>
      <c r="AI15" s="78">
        <v>384848</v>
      </c>
      <c r="AJ15" s="38">
        <f t="shared" ref="AJ15" si="121">(+AI15-+AI14)*48</f>
        <v>2736</v>
      </c>
      <c r="AK15" s="78">
        <v>102371</v>
      </c>
      <c r="AL15" s="38">
        <f t="shared" ref="AL15" si="122">(+AK15-+AK14)*48</f>
        <v>0</v>
      </c>
      <c r="AM15" s="78">
        <v>545995</v>
      </c>
      <c r="AN15" s="38">
        <f t="shared" ref="AN15" si="123">(+AM15-+AM14)*48</f>
        <v>4752</v>
      </c>
      <c r="AO15" s="78">
        <v>876066</v>
      </c>
      <c r="AP15" s="38">
        <f t="shared" ref="AP15" si="124">(+AO15-+AO14)*48</f>
        <v>8640</v>
      </c>
      <c r="AQ15" s="78">
        <v>64730</v>
      </c>
      <c r="AR15" s="38">
        <f t="shared" ref="AR15" si="125">(+AQ15-+AQ14)*48</f>
        <v>1680</v>
      </c>
      <c r="AS15" s="78">
        <v>2204</v>
      </c>
      <c r="AT15" s="38">
        <f t="shared" ref="AT15" si="126">(+AS15-+AS14)*48</f>
        <v>0</v>
      </c>
      <c r="AU15" s="78">
        <v>918</v>
      </c>
      <c r="AV15" s="38">
        <f t="shared" ref="AV15" si="127">(+AU15-+AU14)*48</f>
        <v>0</v>
      </c>
      <c r="AW15" s="78">
        <v>3108</v>
      </c>
      <c r="AX15" s="38">
        <f t="shared" ref="AX15" si="128">(+AW15-+AW14)*48</f>
        <v>0</v>
      </c>
      <c r="AY15" s="78">
        <v>293134</v>
      </c>
      <c r="AZ15" s="38">
        <f t="shared" ref="AZ15" si="129">(+AY15-+AY14)*48</f>
        <v>3216</v>
      </c>
      <c r="BA15" s="78">
        <v>160167</v>
      </c>
      <c r="BB15" s="38">
        <f t="shared" ref="BB15" si="130">(+BA15-+BA14)*48</f>
        <v>0</v>
      </c>
      <c r="BC15" s="78">
        <v>200739</v>
      </c>
      <c r="BD15" s="38">
        <f t="shared" ref="BD15" si="131">(+BC15-+BC14)*48</f>
        <v>2448</v>
      </c>
      <c r="BE15" s="78">
        <v>5335</v>
      </c>
      <c r="BF15" s="38">
        <f t="shared" ref="BF15" si="132">(+BE15-+BE14)*48</f>
        <v>0</v>
      </c>
      <c r="BH15" s="105">
        <f t="shared" si="4"/>
        <v>98045.375999999553</v>
      </c>
      <c r="BI15" s="105">
        <f t="shared" si="5"/>
        <v>56121.599999999999</v>
      </c>
    </row>
    <row r="16" spans="1:61" s="36" customFormat="1" ht="39.950000000000003" customHeight="1">
      <c r="A16" s="145">
        <v>44020</v>
      </c>
      <c r="B16" s="35"/>
      <c r="C16" s="78">
        <v>5346993</v>
      </c>
      <c r="D16" s="38">
        <f t="shared" ref="D16" si="133">(+C16-+C15)*48</f>
        <v>82656</v>
      </c>
      <c r="E16" s="38">
        <f t="shared" si="7"/>
        <v>49593.599999999999</v>
      </c>
      <c r="F16" s="104">
        <f t="shared" si="8"/>
        <v>33062.400000000001</v>
      </c>
      <c r="G16" s="78">
        <v>272779</v>
      </c>
      <c r="H16" s="38">
        <f t="shared" si="0"/>
        <v>1392</v>
      </c>
      <c r="I16" s="78">
        <v>71344</v>
      </c>
      <c r="J16" s="38">
        <f t="shared" si="1"/>
        <v>7920</v>
      </c>
      <c r="K16" s="78">
        <v>254189</v>
      </c>
      <c r="L16" s="38">
        <f t="shared" si="2"/>
        <v>0</v>
      </c>
      <c r="M16" s="78">
        <v>24363</v>
      </c>
      <c r="N16" s="38">
        <f t="shared" si="3"/>
        <v>0</v>
      </c>
      <c r="O16" s="78">
        <v>207386</v>
      </c>
      <c r="P16" s="38">
        <f t="shared" ref="P16" si="134">(+O16-+O15)*48</f>
        <v>8160</v>
      </c>
      <c r="Q16" s="78">
        <v>429305</v>
      </c>
      <c r="R16" s="38">
        <f t="shared" ref="R16" si="135">(+Q16-+Q15)*48</f>
        <v>1536</v>
      </c>
      <c r="S16" s="78">
        <v>684452</v>
      </c>
      <c r="T16" s="38">
        <f t="shared" ref="T16" si="136">(+S16-+S15)*48</f>
        <v>6336</v>
      </c>
      <c r="U16" s="78">
        <v>93245.680999999997</v>
      </c>
      <c r="V16" s="104">
        <f t="shared" ref="V16" si="137">(+U16-+U15)*48</f>
        <v>1156.5600000000559</v>
      </c>
      <c r="W16" s="78">
        <v>77078</v>
      </c>
      <c r="X16" s="38">
        <f t="shared" ref="X16" si="138">(+W16-+W15)*48</f>
        <v>816</v>
      </c>
      <c r="Y16" s="78">
        <v>1472683</v>
      </c>
      <c r="Z16" s="38">
        <f t="shared" ref="Z16" si="139">(+Y16-+Y15)*48</f>
        <v>6624</v>
      </c>
      <c r="AA16" s="78">
        <v>13166</v>
      </c>
      <c r="AB16" s="38">
        <f t="shared" ref="AB16" si="140">(+AA16-+AA15)*48</f>
        <v>0</v>
      </c>
      <c r="AC16" s="78">
        <v>423963</v>
      </c>
      <c r="AD16" s="38">
        <f t="shared" si="16"/>
        <v>3888</v>
      </c>
      <c r="AE16" s="78">
        <v>500636</v>
      </c>
      <c r="AF16" s="38">
        <f t="shared" si="16"/>
        <v>4896</v>
      </c>
      <c r="AG16" s="78">
        <v>48454</v>
      </c>
      <c r="AH16" s="38">
        <f t="shared" ref="AH16" si="141">(+AG16-+AG15)*48</f>
        <v>144</v>
      </c>
      <c r="AI16" s="78">
        <v>384902</v>
      </c>
      <c r="AJ16" s="38">
        <f t="shared" ref="AJ16" si="142">(+AI16-+AI15)*48</f>
        <v>2592</v>
      </c>
      <c r="AK16" s="78">
        <v>102371</v>
      </c>
      <c r="AL16" s="38">
        <f t="shared" ref="AL16" si="143">(+AK16-+AK15)*48</f>
        <v>0</v>
      </c>
      <c r="AM16" s="78">
        <v>546098</v>
      </c>
      <c r="AN16" s="38">
        <f t="shared" ref="AN16" si="144">(+AM16-+AM15)*48</f>
        <v>4944</v>
      </c>
      <c r="AO16" s="78">
        <v>876247</v>
      </c>
      <c r="AP16" s="38">
        <f t="shared" ref="AP16" si="145">(+AO16-+AO15)*48</f>
        <v>8688</v>
      </c>
      <c r="AQ16" s="78">
        <v>64764</v>
      </c>
      <c r="AR16" s="38">
        <f t="shared" ref="AR16" si="146">(+AQ16-+AQ15)*48</f>
        <v>1632</v>
      </c>
      <c r="AS16" s="78">
        <v>2204</v>
      </c>
      <c r="AT16" s="38">
        <f t="shared" ref="AT16" si="147">(+AS16-+AS15)*48</f>
        <v>0</v>
      </c>
      <c r="AU16" s="78">
        <v>918</v>
      </c>
      <c r="AV16" s="38">
        <f t="shared" ref="AV16" si="148">(+AU16-+AU15)*48</f>
        <v>0</v>
      </c>
      <c r="AW16" s="78">
        <v>3108</v>
      </c>
      <c r="AX16" s="38">
        <f t="shared" ref="AX16" si="149">(+AW16-+AW15)*48</f>
        <v>0</v>
      </c>
      <c r="AY16" s="78">
        <v>293201</v>
      </c>
      <c r="AZ16" s="38">
        <f t="shared" ref="AZ16" si="150">(+AY16-+AY15)*48</f>
        <v>3216</v>
      </c>
      <c r="BA16" s="78">
        <v>160167</v>
      </c>
      <c r="BB16" s="38">
        <f t="shared" ref="BB16" si="151">(+BA16-+BA15)*48</f>
        <v>0</v>
      </c>
      <c r="BC16" s="78">
        <v>200789</v>
      </c>
      <c r="BD16" s="38">
        <f t="shared" ref="BD16" si="152">(+BC16-+BC15)*48</f>
        <v>2400</v>
      </c>
      <c r="BE16" s="78">
        <v>5335</v>
      </c>
      <c r="BF16" s="38">
        <f t="shared" ref="BF16" si="153">(+BE16-+BE15)*48</f>
        <v>0</v>
      </c>
      <c r="BH16" s="105">
        <f t="shared" si="4"/>
        <v>95054.160000000062</v>
      </c>
      <c r="BI16" s="105">
        <f t="shared" si="5"/>
        <v>53942.400000000001</v>
      </c>
    </row>
    <row r="17" spans="1:61" s="36" customFormat="1" ht="39.950000000000003" customHeight="1">
      <c r="A17" s="145">
        <v>44021</v>
      </c>
      <c r="B17" s="35"/>
      <c r="C17" s="78">
        <v>5348903</v>
      </c>
      <c r="D17" s="38">
        <f t="shared" ref="D17" si="154">(+C17-+C16)*48</f>
        <v>91680</v>
      </c>
      <c r="E17" s="38">
        <f t="shared" si="7"/>
        <v>55008</v>
      </c>
      <c r="F17" s="104">
        <f t="shared" si="8"/>
        <v>36672</v>
      </c>
      <c r="G17" s="78">
        <v>272808</v>
      </c>
      <c r="H17" s="38">
        <f t="shared" si="0"/>
        <v>1344</v>
      </c>
      <c r="I17" s="78">
        <v>71509</v>
      </c>
      <c r="J17" s="38">
        <f t="shared" si="1"/>
        <v>8640</v>
      </c>
      <c r="K17" s="78">
        <v>254189</v>
      </c>
      <c r="L17" s="38">
        <f t="shared" si="2"/>
        <v>144</v>
      </c>
      <c r="M17" s="78">
        <v>24363</v>
      </c>
      <c r="N17" s="38">
        <f t="shared" si="3"/>
        <v>0</v>
      </c>
      <c r="O17" s="78">
        <v>207575</v>
      </c>
      <c r="P17" s="38">
        <f t="shared" ref="P17" si="155">(+O17-+O16)*48</f>
        <v>9072</v>
      </c>
      <c r="Q17" s="78">
        <v>429323</v>
      </c>
      <c r="R17" s="38">
        <f t="shared" ref="R17" si="156">(+Q17-+Q16)*48</f>
        <v>864</v>
      </c>
      <c r="S17" s="78">
        <v>684574</v>
      </c>
      <c r="T17" s="38">
        <f t="shared" ref="T17" si="157">(+S17-+S16)*48</f>
        <v>5856</v>
      </c>
      <c r="U17" s="78">
        <v>93266.638000000006</v>
      </c>
      <c r="V17" s="104">
        <f t="shared" ref="V17" si="158">(+U17-+U16)*48</f>
        <v>1005.9360000004526</v>
      </c>
      <c r="W17" s="78">
        <v>77086</v>
      </c>
      <c r="X17" s="38">
        <f t="shared" ref="X17" si="159">(+W17-+W16)*48</f>
        <v>384</v>
      </c>
      <c r="Y17" s="78">
        <v>1472819</v>
      </c>
      <c r="Z17" s="38">
        <f t="shared" ref="Z17" si="160">(+Y17-+Y16)*48</f>
        <v>6528</v>
      </c>
      <c r="AA17" s="78">
        <v>13166</v>
      </c>
      <c r="AB17" s="38">
        <f t="shared" ref="AB17" si="161">(+AA17-+AA16)*48</f>
        <v>0</v>
      </c>
      <c r="AC17" s="78">
        <v>424049</v>
      </c>
      <c r="AD17" s="38">
        <f t="shared" si="16"/>
        <v>4128</v>
      </c>
      <c r="AE17" s="78">
        <v>500742</v>
      </c>
      <c r="AF17" s="38">
        <f t="shared" si="16"/>
        <v>5088</v>
      </c>
      <c r="AG17" s="78">
        <v>48458</v>
      </c>
      <c r="AH17" s="38">
        <f t="shared" ref="AH17" si="162">(+AG17-+AG16)*48</f>
        <v>192</v>
      </c>
      <c r="AI17" s="78">
        <v>384961</v>
      </c>
      <c r="AJ17" s="38">
        <f t="shared" ref="AJ17" si="163">(+AI17-+AI16)*48</f>
        <v>2832</v>
      </c>
      <c r="AK17" s="78">
        <v>102371</v>
      </c>
      <c r="AL17" s="38">
        <f t="shared" ref="AL17" si="164">(+AK17-+AK16)*48</f>
        <v>0</v>
      </c>
      <c r="AM17" s="78">
        <v>546200</v>
      </c>
      <c r="AN17" s="38">
        <f t="shared" ref="AN17" si="165">(+AM17-+AM16)*48</f>
        <v>4896</v>
      </c>
      <c r="AO17" s="78">
        <v>875425</v>
      </c>
      <c r="AP17" s="38">
        <f t="shared" ref="AP17" si="166">(+AO17-+AO16)*48</f>
        <v>-39456</v>
      </c>
      <c r="AQ17" s="78">
        <v>64805</v>
      </c>
      <c r="AR17" s="38">
        <f t="shared" ref="AR17" si="167">(+AQ17-+AQ16)*48</f>
        <v>1968</v>
      </c>
      <c r="AS17" s="78">
        <v>2204</v>
      </c>
      <c r="AT17" s="38">
        <f t="shared" ref="AT17" si="168">(+AS17-+AS16)*48</f>
        <v>0</v>
      </c>
      <c r="AU17" s="78">
        <v>918</v>
      </c>
      <c r="AV17" s="38">
        <f t="shared" ref="AV17" si="169">(+AU17-+AU16)*48</f>
        <v>0</v>
      </c>
      <c r="AW17" s="78">
        <v>3108</v>
      </c>
      <c r="AX17" s="38">
        <f t="shared" ref="AX17" si="170">(+AW17-+AW16)*48</f>
        <v>0</v>
      </c>
      <c r="AY17" s="78">
        <v>293266</v>
      </c>
      <c r="AZ17" s="38">
        <f t="shared" ref="AZ17" si="171">(+AY17-+AY16)*48</f>
        <v>3120</v>
      </c>
      <c r="BA17" s="78">
        <v>160167</v>
      </c>
      <c r="BB17" s="38">
        <f t="shared" ref="BB17" si="172">(+BA17-+BA16)*48</f>
        <v>0</v>
      </c>
      <c r="BC17" s="78">
        <v>200837</v>
      </c>
      <c r="BD17" s="38">
        <f t="shared" ref="BD17" si="173">(+BC17-+BC16)*48</f>
        <v>2304</v>
      </c>
      <c r="BE17" s="78">
        <v>5335</v>
      </c>
      <c r="BF17" s="38">
        <f t="shared" ref="BF17" si="174">(+BE17-+BE16)*48</f>
        <v>0</v>
      </c>
      <c r="BH17" s="105">
        <f t="shared" si="4"/>
        <v>101085.93600000045</v>
      </c>
      <c r="BI17" s="105">
        <f t="shared" si="5"/>
        <v>9504</v>
      </c>
    </row>
    <row r="18" spans="1:61" s="36" customFormat="1" ht="39.950000000000003" customHeight="1">
      <c r="A18" s="145">
        <v>44022</v>
      </c>
      <c r="B18" s="35"/>
      <c r="C18" s="78">
        <v>5350671</v>
      </c>
      <c r="D18" s="38">
        <f t="shared" ref="D18" si="175">(+C18-+C17)*48</f>
        <v>84864</v>
      </c>
      <c r="E18" s="38">
        <f t="shared" si="7"/>
        <v>50918.400000000001</v>
      </c>
      <c r="F18" s="104">
        <f t="shared" si="8"/>
        <v>33945.599999999999</v>
      </c>
      <c r="G18" s="78">
        <v>272836</v>
      </c>
      <c r="H18" s="38">
        <f t="shared" si="0"/>
        <v>1296</v>
      </c>
      <c r="I18" s="78">
        <v>71689</v>
      </c>
      <c r="J18" s="38">
        <f t="shared" si="1"/>
        <v>7632</v>
      </c>
      <c r="K18" s="78">
        <v>254192</v>
      </c>
      <c r="L18" s="38">
        <f t="shared" si="2"/>
        <v>480</v>
      </c>
      <c r="M18" s="78">
        <v>24363</v>
      </c>
      <c r="N18" s="38">
        <f t="shared" si="3"/>
        <v>0</v>
      </c>
      <c r="O18" s="78">
        <v>207743</v>
      </c>
      <c r="P18" s="38">
        <f t="shared" ref="P18" si="176">(+O18-+O17)*48</f>
        <v>8064</v>
      </c>
      <c r="Q18" s="78">
        <v>429344</v>
      </c>
      <c r="R18" s="38">
        <f t="shared" ref="R18" si="177">(+Q18-+Q17)*48</f>
        <v>1008</v>
      </c>
      <c r="S18" s="78">
        <v>684711</v>
      </c>
      <c r="T18" s="38">
        <f t="shared" ref="T18" si="178">(+S18-+S17)*48</f>
        <v>6576</v>
      </c>
      <c r="U18" s="78">
        <v>92384.993000000002</v>
      </c>
      <c r="V18" s="104">
        <f>(+U18-+U17)*48</f>
        <v>-42318.960000000196</v>
      </c>
      <c r="W18" s="78">
        <v>77093</v>
      </c>
      <c r="X18" s="38">
        <f t="shared" ref="X18" si="179">(+W18-+W17)*48</f>
        <v>336</v>
      </c>
      <c r="Y18" s="78">
        <v>1472953</v>
      </c>
      <c r="Z18" s="38">
        <f t="shared" ref="Z18" si="180">(+Y18-+Y17)*48</f>
        <v>6432</v>
      </c>
      <c r="AA18" s="78">
        <v>13166</v>
      </c>
      <c r="AB18" s="38">
        <f t="shared" ref="AB18" si="181">(+AA18-+AA17)*48</f>
        <v>0</v>
      </c>
      <c r="AC18" s="78">
        <v>424140</v>
      </c>
      <c r="AD18" s="38">
        <f t="shared" si="16"/>
        <v>4368</v>
      </c>
      <c r="AE18" s="78">
        <v>500850</v>
      </c>
      <c r="AF18" s="38">
        <f t="shared" si="16"/>
        <v>5184</v>
      </c>
      <c r="AG18" s="78">
        <v>48462</v>
      </c>
      <c r="AH18" s="38">
        <f t="shared" ref="AH18" si="182">(+AG18-+AG17)*48</f>
        <v>192</v>
      </c>
      <c r="AI18" s="78">
        <v>385023</v>
      </c>
      <c r="AJ18" s="38">
        <f t="shared" ref="AJ18" si="183">(+AI18-+AI17)*48</f>
        <v>2976</v>
      </c>
      <c r="AK18" s="78">
        <v>102371</v>
      </c>
      <c r="AL18" s="38">
        <f t="shared" ref="AL18" si="184">(+AK18-+AK17)*48</f>
        <v>0</v>
      </c>
      <c r="AM18" s="78">
        <v>546306</v>
      </c>
      <c r="AN18" s="38">
        <f t="shared" ref="AN18" si="185">(+AM18-+AM17)*48</f>
        <v>5088</v>
      </c>
      <c r="AO18" s="78">
        <v>875599</v>
      </c>
      <c r="AP18" s="38">
        <f t="shared" ref="AP18" si="186">(+AO18-+AO17)*48</f>
        <v>8352</v>
      </c>
      <c r="AQ18" s="78">
        <v>64843</v>
      </c>
      <c r="AR18" s="38">
        <f t="shared" ref="AR18" si="187">(+AQ18-+AQ17)*48</f>
        <v>1824</v>
      </c>
      <c r="AS18" s="78">
        <v>2204</v>
      </c>
      <c r="AT18" s="38">
        <f t="shared" ref="AT18" si="188">(+AS18-+AS17)*48</f>
        <v>0</v>
      </c>
      <c r="AU18" s="78">
        <v>918</v>
      </c>
      <c r="AV18" s="38">
        <f t="shared" ref="AV18" si="189">(+AU18-+AU17)*48</f>
        <v>0</v>
      </c>
      <c r="AW18" s="78">
        <v>3108</v>
      </c>
      <c r="AX18" s="38">
        <f t="shared" ref="AX18" si="190">(+AW18-+AW17)*48</f>
        <v>0</v>
      </c>
      <c r="AY18" s="78">
        <v>293334</v>
      </c>
      <c r="AZ18" s="38">
        <f t="shared" ref="AZ18" si="191">(+AY18-+AY17)*48</f>
        <v>3264</v>
      </c>
      <c r="BA18" s="78">
        <v>160167</v>
      </c>
      <c r="BB18" s="38">
        <f t="shared" ref="BB18" si="192">(+BA18-+BA17)*48</f>
        <v>0</v>
      </c>
      <c r="BC18" s="78">
        <v>200885</v>
      </c>
      <c r="BD18" s="38">
        <f t="shared" ref="BD18" si="193">(+BC18-+BC17)*48</f>
        <v>2304</v>
      </c>
      <c r="BE18" s="78">
        <v>5335</v>
      </c>
      <c r="BF18" s="38">
        <f t="shared" ref="BF18" si="194">(+BE18-+BE17)*48</f>
        <v>0</v>
      </c>
      <c r="BH18" s="105">
        <f t="shared" si="4"/>
        <v>53143.439999999799</v>
      </c>
      <c r="BI18" s="105">
        <f t="shared" si="5"/>
        <v>54777.599999999999</v>
      </c>
    </row>
    <row r="19" spans="1:61" s="36" customFormat="1" ht="39.950000000000003" customHeight="1">
      <c r="A19" s="145">
        <v>44023</v>
      </c>
      <c r="B19" s="35"/>
      <c r="C19" s="83">
        <v>5352565</v>
      </c>
      <c r="D19" s="38">
        <f t="shared" ref="D19" si="195">(+C19-+C18)*48</f>
        <v>90912</v>
      </c>
      <c r="E19" s="38">
        <f t="shared" si="7"/>
        <v>54547.199999999997</v>
      </c>
      <c r="F19" s="104">
        <f t="shared" si="8"/>
        <v>36364.800000000003</v>
      </c>
      <c r="G19" s="83">
        <v>272863</v>
      </c>
      <c r="H19" s="38">
        <f t="shared" si="0"/>
        <v>1296</v>
      </c>
      <c r="I19" s="83">
        <v>71848</v>
      </c>
      <c r="J19" s="38">
        <f t="shared" si="1"/>
        <v>7920</v>
      </c>
      <c r="K19" s="83">
        <v>254202</v>
      </c>
      <c r="L19" s="38">
        <f t="shared" si="2"/>
        <v>0</v>
      </c>
      <c r="M19" s="83">
        <v>24363</v>
      </c>
      <c r="N19" s="38">
        <f t="shared" si="3"/>
        <v>0</v>
      </c>
      <c r="O19" s="83">
        <v>207925</v>
      </c>
      <c r="P19" s="38">
        <f t="shared" ref="P19" si="196">(+O19-+O18)*48</f>
        <v>8736</v>
      </c>
      <c r="Q19" s="83">
        <v>429374</v>
      </c>
      <c r="R19" s="38">
        <f t="shared" ref="R19" si="197">(+Q19-+Q18)*48</f>
        <v>1440</v>
      </c>
      <c r="S19" s="83">
        <v>684821</v>
      </c>
      <c r="T19" s="38">
        <f t="shared" ref="T19" si="198">(+S19-+S18)*48</f>
        <v>5280</v>
      </c>
      <c r="U19" s="83">
        <v>93304.558000000005</v>
      </c>
      <c r="V19" s="104">
        <f t="shared" ref="V19" si="199">(+U19-+U18)*48</f>
        <v>44139.120000000112</v>
      </c>
      <c r="W19" s="83">
        <v>77105</v>
      </c>
      <c r="X19" s="38">
        <f t="shared" ref="X19" si="200">(+W19-+W18)*48</f>
        <v>576</v>
      </c>
      <c r="Y19" s="83">
        <v>1473093</v>
      </c>
      <c r="Z19" s="38">
        <f t="shared" ref="Z19" si="201">(+Y19-+Y18)*48</f>
        <v>6720</v>
      </c>
      <c r="AA19" s="83">
        <v>13166</v>
      </c>
      <c r="AB19" s="38">
        <f t="shared" ref="AB19" si="202">(+AA19-+AA18)*48</f>
        <v>0</v>
      </c>
      <c r="AC19" s="83">
        <v>424225</v>
      </c>
      <c r="AD19" s="38">
        <f t="shared" si="16"/>
        <v>4080</v>
      </c>
      <c r="AE19" s="83">
        <v>500952</v>
      </c>
      <c r="AF19" s="38">
        <f t="shared" si="16"/>
        <v>4896</v>
      </c>
      <c r="AG19" s="83">
        <v>48465</v>
      </c>
      <c r="AH19" s="38">
        <f t="shared" ref="AH19" si="203">(+AG19-+AG18)*48</f>
        <v>144</v>
      </c>
      <c r="AI19" s="83">
        <v>385086</v>
      </c>
      <c r="AJ19" s="38">
        <f t="shared" ref="AJ19" si="204">(+AI19-+AI18)*48</f>
        <v>3024</v>
      </c>
      <c r="AK19" s="83">
        <v>102371</v>
      </c>
      <c r="AL19" s="38">
        <f t="shared" ref="AL19" si="205">(+AK19-+AK18)*48</f>
        <v>0</v>
      </c>
      <c r="AM19" s="83">
        <v>546392</v>
      </c>
      <c r="AN19" s="38">
        <f t="shared" ref="AN19" si="206">(+AM19-+AM18)*48</f>
        <v>4128</v>
      </c>
      <c r="AO19" s="83">
        <v>875785</v>
      </c>
      <c r="AP19" s="38">
        <f t="shared" ref="AP19" si="207">(+AO19-+AO18)*48</f>
        <v>8928</v>
      </c>
      <c r="AQ19" s="83">
        <v>64885</v>
      </c>
      <c r="AR19" s="38">
        <f t="shared" ref="AR19" si="208">(+AQ19-+AQ18)*48</f>
        <v>2016</v>
      </c>
      <c r="AS19" s="83">
        <v>2204</v>
      </c>
      <c r="AT19" s="38">
        <f t="shared" ref="AT19" si="209">(+AS19-+AS18)*48</f>
        <v>0</v>
      </c>
      <c r="AU19" s="83">
        <v>918</v>
      </c>
      <c r="AV19" s="38">
        <f t="shared" ref="AV19" si="210">(+AU19-+AU18)*48</f>
        <v>0</v>
      </c>
      <c r="AW19" s="83">
        <v>3108</v>
      </c>
      <c r="AX19" s="38">
        <f t="shared" ref="AX19" si="211">(+AW19-+AW18)*48</f>
        <v>0</v>
      </c>
      <c r="AY19" s="83">
        <v>293402</v>
      </c>
      <c r="AZ19" s="38">
        <f t="shared" ref="AZ19" si="212">(+AY19-+AY18)*48</f>
        <v>3264</v>
      </c>
      <c r="BA19" s="83">
        <v>160167</v>
      </c>
      <c r="BB19" s="38">
        <f t="shared" ref="BB19" si="213">(+BA19-+BA18)*48</f>
        <v>0</v>
      </c>
      <c r="BC19" s="83">
        <v>200914</v>
      </c>
      <c r="BD19" s="38">
        <f t="shared" ref="BD19" si="214">(+BC19-+BC18)*48</f>
        <v>1392</v>
      </c>
      <c r="BE19" s="83">
        <v>5335</v>
      </c>
      <c r="BF19" s="38">
        <f t="shared" ref="BF19" si="215">(+BE19-+BE18)*48</f>
        <v>0</v>
      </c>
      <c r="BH19" s="169">
        <f t="shared" si="4"/>
        <v>142798.32000000012</v>
      </c>
      <c r="BI19" s="169">
        <f t="shared" si="5"/>
        <v>56092.800000000003</v>
      </c>
    </row>
    <row r="20" spans="1:61" s="36" customFormat="1" ht="39.950000000000003" customHeight="1">
      <c r="A20" s="145">
        <v>44024</v>
      </c>
      <c r="B20" s="35"/>
      <c r="C20" s="83">
        <v>5354241</v>
      </c>
      <c r="D20" s="38">
        <f t="shared" ref="D20" si="216">(+C20-+C19)*48</f>
        <v>80448</v>
      </c>
      <c r="E20" s="38">
        <f t="shared" si="7"/>
        <v>48268.799999999996</v>
      </c>
      <c r="F20" s="104">
        <f t="shared" si="8"/>
        <v>32179.200000000001</v>
      </c>
      <c r="G20" s="83">
        <v>272890</v>
      </c>
      <c r="H20" s="38">
        <f t="shared" si="0"/>
        <v>1248</v>
      </c>
      <c r="I20" s="83">
        <v>72013</v>
      </c>
      <c r="J20" s="38">
        <f t="shared" si="1"/>
        <v>8064</v>
      </c>
      <c r="K20" s="83">
        <v>254202</v>
      </c>
      <c r="L20" s="38">
        <f t="shared" si="2"/>
        <v>0</v>
      </c>
      <c r="M20" s="83">
        <v>24363</v>
      </c>
      <c r="N20" s="38">
        <f t="shared" si="3"/>
        <v>0</v>
      </c>
      <c r="O20" s="83">
        <v>208120</v>
      </c>
      <c r="P20" s="38">
        <f t="shared" ref="P20" si="217">(+O20-+O19)*48</f>
        <v>9360</v>
      </c>
      <c r="Q20" s="83">
        <v>429420</v>
      </c>
      <c r="R20" s="38">
        <f t="shared" ref="R20" si="218">(+Q20-+Q19)*48</f>
        <v>2208</v>
      </c>
      <c r="S20" s="83">
        <v>684937</v>
      </c>
      <c r="T20" s="38">
        <f t="shared" ref="T20" si="219">(+S20-+S19)*48</f>
        <v>5568</v>
      </c>
      <c r="U20" s="83">
        <v>93328.966</v>
      </c>
      <c r="V20" s="104">
        <f t="shared" ref="V20" si="220">(+U20-+U19)*48</f>
        <v>1171.5839999997988</v>
      </c>
      <c r="W20" s="83">
        <v>77132</v>
      </c>
      <c r="X20" s="38">
        <f t="shared" ref="X20" si="221">(+W20-+W19)*48</f>
        <v>1296</v>
      </c>
      <c r="Y20" s="83">
        <v>1473224</v>
      </c>
      <c r="Z20" s="38">
        <f t="shared" ref="Z20" si="222">(+Y20-+Y19)*48</f>
        <v>6288</v>
      </c>
      <c r="AA20" s="83">
        <v>13166</v>
      </c>
      <c r="AB20" s="38">
        <f t="shared" ref="AB20" si="223">(+AA20-+AA19)*48</f>
        <v>0</v>
      </c>
      <c r="AC20" s="83">
        <v>424310</v>
      </c>
      <c r="AD20" s="38">
        <f t="shared" si="16"/>
        <v>4080</v>
      </c>
      <c r="AE20" s="83">
        <v>501044</v>
      </c>
      <c r="AF20" s="38">
        <f t="shared" si="16"/>
        <v>4416</v>
      </c>
      <c r="AG20" s="83">
        <v>48469</v>
      </c>
      <c r="AH20" s="38">
        <f t="shared" ref="AH20" si="224">(+AG20-+AG19)*48</f>
        <v>192</v>
      </c>
      <c r="AI20" s="83">
        <v>385163</v>
      </c>
      <c r="AJ20" s="38">
        <f t="shared" ref="AJ20" si="225">(+AI20-+AI19)*48</f>
        <v>3696</v>
      </c>
      <c r="AK20" s="83">
        <v>102371</v>
      </c>
      <c r="AL20" s="38">
        <f t="shared" ref="AL20" si="226">(+AK20-+AK19)*48</f>
        <v>0</v>
      </c>
      <c r="AM20" s="83">
        <v>546493</v>
      </c>
      <c r="AN20" s="38">
        <f t="shared" ref="AN20" si="227">(+AM20-+AM19)*48</f>
        <v>4848</v>
      </c>
      <c r="AO20" s="83">
        <v>875971</v>
      </c>
      <c r="AP20" s="38">
        <f t="shared" ref="AP20" si="228">(+AO20-+AO19)*48</f>
        <v>8928</v>
      </c>
      <c r="AQ20" s="83">
        <v>64927</v>
      </c>
      <c r="AR20" s="38">
        <f t="shared" ref="AR20" si="229">(+AQ20-+AQ19)*48</f>
        <v>2016</v>
      </c>
      <c r="AS20" s="83">
        <v>2204</v>
      </c>
      <c r="AT20" s="38">
        <f t="shared" ref="AT20" si="230">(+AS20-+AS19)*48</f>
        <v>0</v>
      </c>
      <c r="AU20" s="83">
        <v>918</v>
      </c>
      <c r="AV20" s="38">
        <f t="shared" ref="AV20" si="231">(+AU20-+AU19)*48</f>
        <v>0</v>
      </c>
      <c r="AW20" s="83">
        <v>3108</v>
      </c>
      <c r="AX20" s="38">
        <f t="shared" ref="AX20" si="232">(+AW20-+AW19)*48</f>
        <v>0</v>
      </c>
      <c r="AY20" s="83">
        <v>293470</v>
      </c>
      <c r="AZ20" s="38">
        <f t="shared" ref="AZ20" si="233">(+AY20-+AY19)*48</f>
        <v>3264</v>
      </c>
      <c r="BA20" s="83">
        <v>160167</v>
      </c>
      <c r="BB20" s="38">
        <f t="shared" ref="BB20" si="234">(+BA20-+BA19)*48</f>
        <v>0</v>
      </c>
      <c r="BC20" s="83">
        <v>200965</v>
      </c>
      <c r="BD20" s="38">
        <f t="shared" ref="BD20" si="235">(+BC20-+BC19)*48</f>
        <v>2448</v>
      </c>
      <c r="BE20" s="83">
        <v>5347</v>
      </c>
      <c r="BF20" s="38">
        <f t="shared" ref="BF20" si="236">(+BE20-+BE19)*48</f>
        <v>576</v>
      </c>
      <c r="BH20" s="169">
        <f t="shared" si="4"/>
        <v>95856.383999999787</v>
      </c>
      <c r="BI20" s="169">
        <f t="shared" si="5"/>
        <v>54259.199999999997</v>
      </c>
    </row>
    <row r="21" spans="1:61" s="36" customFormat="1" ht="39.950000000000003" customHeight="1">
      <c r="A21" s="145">
        <v>44025</v>
      </c>
      <c r="B21" s="35"/>
      <c r="C21" s="83">
        <v>5356133</v>
      </c>
      <c r="D21" s="38">
        <f t="shared" ref="D21" si="237">(+C21-+C20)*48</f>
        <v>90816</v>
      </c>
      <c r="E21" s="38">
        <f t="shared" si="7"/>
        <v>54489.599999999999</v>
      </c>
      <c r="F21" s="104">
        <f t="shared" si="8"/>
        <v>36326.400000000001</v>
      </c>
      <c r="G21" s="83">
        <v>272916</v>
      </c>
      <c r="H21" s="38">
        <f t="shared" si="0"/>
        <v>1536</v>
      </c>
      <c r="I21" s="83">
        <v>72181</v>
      </c>
      <c r="J21" s="38">
        <f t="shared" si="1"/>
        <v>7824</v>
      </c>
      <c r="K21" s="83">
        <v>254202</v>
      </c>
      <c r="L21" s="38">
        <f t="shared" si="2"/>
        <v>0</v>
      </c>
      <c r="M21" s="83">
        <v>24363</v>
      </c>
      <c r="N21" s="38">
        <f t="shared" si="3"/>
        <v>0</v>
      </c>
      <c r="O21" s="83">
        <v>208309</v>
      </c>
      <c r="P21" s="38">
        <f t="shared" ref="P21" si="238">(+O21-+O20)*48</f>
        <v>9072</v>
      </c>
      <c r="Q21" s="83">
        <v>429466</v>
      </c>
      <c r="R21" s="38">
        <f t="shared" ref="R21" si="239">(+Q21-+Q20)*48</f>
        <v>2208</v>
      </c>
      <c r="S21" s="83">
        <v>685054</v>
      </c>
      <c r="T21" s="38">
        <f t="shared" ref="T21" si="240">(+S21-+S20)*48</f>
        <v>5616</v>
      </c>
      <c r="U21" s="83">
        <v>93351.524999999994</v>
      </c>
      <c r="V21" s="104">
        <f t="shared" ref="V21" si="241">(+U21-+U20)*48</f>
        <v>1082.8319999997038</v>
      </c>
      <c r="W21" s="83">
        <v>77157</v>
      </c>
      <c r="X21" s="38">
        <f t="shared" ref="X21" si="242">(+W21-+W20)*48</f>
        <v>1200</v>
      </c>
      <c r="Y21" s="83">
        <v>1473358</v>
      </c>
      <c r="Z21" s="38">
        <f t="shared" ref="Z21" si="243">(+Y21-+Y20)*48</f>
        <v>6432</v>
      </c>
      <c r="AA21" s="83">
        <v>13166</v>
      </c>
      <c r="AB21" s="38">
        <f t="shared" ref="AB21" si="244">(+AA21-+AA20)*48</f>
        <v>0</v>
      </c>
      <c r="AC21" s="83">
        <v>424395</v>
      </c>
      <c r="AD21" s="38">
        <f t="shared" si="16"/>
        <v>4080</v>
      </c>
      <c r="AE21" s="83">
        <v>501148</v>
      </c>
      <c r="AF21" s="38">
        <f t="shared" si="16"/>
        <v>4992</v>
      </c>
      <c r="AG21" s="83">
        <v>48472</v>
      </c>
      <c r="AH21" s="38">
        <f t="shared" ref="AH21" si="245">(+AG21-+AG20)*48</f>
        <v>144</v>
      </c>
      <c r="AI21" s="83">
        <v>385237</v>
      </c>
      <c r="AJ21" s="38">
        <f t="shared" ref="AJ21" si="246">(+AI21-+AI20)*48</f>
        <v>3552</v>
      </c>
      <c r="AK21" s="83">
        <v>102371</v>
      </c>
      <c r="AL21" s="38">
        <f t="shared" ref="AL21" si="247">(+AK21-+AK20)*48</f>
        <v>0</v>
      </c>
      <c r="AM21" s="83">
        <v>546592</v>
      </c>
      <c r="AN21" s="38">
        <f t="shared" ref="AN21" si="248">(+AM21-+AM20)*48</f>
        <v>4752</v>
      </c>
      <c r="AO21" s="83">
        <v>876155</v>
      </c>
      <c r="AP21" s="38">
        <f t="shared" ref="AP21" si="249">(+AO21-+AO20)*48</f>
        <v>8832</v>
      </c>
      <c r="AQ21" s="83">
        <v>64960</v>
      </c>
      <c r="AR21" s="38">
        <f t="shared" ref="AR21" si="250">(+AQ21-+AQ20)*48</f>
        <v>1584</v>
      </c>
      <c r="AS21" s="83">
        <v>2204</v>
      </c>
      <c r="AT21" s="38">
        <f t="shared" ref="AT21" si="251">(+AS21-+AS20)*48</f>
        <v>0</v>
      </c>
      <c r="AU21" s="83">
        <v>918</v>
      </c>
      <c r="AV21" s="38">
        <f t="shared" ref="AV21" si="252">(+AU21-+AU20)*48</f>
        <v>0</v>
      </c>
      <c r="AW21" s="83">
        <v>3108</v>
      </c>
      <c r="AX21" s="38">
        <f t="shared" ref="AX21" si="253">(+AW21-+AW20)*48</f>
        <v>0</v>
      </c>
      <c r="AY21" s="83">
        <v>293536</v>
      </c>
      <c r="AZ21" s="38">
        <f t="shared" ref="AZ21" si="254">(+AY21-+AY20)*48</f>
        <v>3168</v>
      </c>
      <c r="BA21" s="83">
        <v>160167</v>
      </c>
      <c r="BB21" s="38">
        <f t="shared" ref="BB21" si="255">(+BA21-+BA20)*48</f>
        <v>0</v>
      </c>
      <c r="BC21" s="83">
        <v>201015</v>
      </c>
      <c r="BD21" s="38">
        <f t="shared" ref="BD21" si="256">(+BC21-+BC20)*48</f>
        <v>2400</v>
      </c>
      <c r="BE21" s="83">
        <v>5347</v>
      </c>
      <c r="BF21" s="38">
        <f t="shared" ref="BF21" si="257">(+BE21-+BE20)*48</f>
        <v>0</v>
      </c>
      <c r="BH21" s="169">
        <f t="shared" si="4"/>
        <v>102228.43199999971</v>
      </c>
      <c r="BI21" s="169">
        <f t="shared" si="5"/>
        <v>57062.400000000001</v>
      </c>
    </row>
    <row r="22" spans="1:61" s="36" customFormat="1" ht="39.950000000000003" customHeight="1">
      <c r="A22" s="145">
        <v>44026</v>
      </c>
      <c r="B22" s="35"/>
      <c r="C22" s="78">
        <v>5358064</v>
      </c>
      <c r="D22" s="38">
        <f t="shared" ref="D22" si="258">(+C22-+C21)*48</f>
        <v>92688</v>
      </c>
      <c r="E22" s="38">
        <f t="shared" si="7"/>
        <v>55612.799999999996</v>
      </c>
      <c r="F22" s="104">
        <f t="shared" si="8"/>
        <v>37075.200000000004</v>
      </c>
      <c r="G22" s="78">
        <v>272948</v>
      </c>
      <c r="H22" s="38">
        <f t="shared" si="0"/>
        <v>1344</v>
      </c>
      <c r="I22" s="78">
        <v>72344</v>
      </c>
      <c r="J22" s="38">
        <f t="shared" si="1"/>
        <v>8112</v>
      </c>
      <c r="K22" s="78">
        <v>254202</v>
      </c>
      <c r="L22" s="38">
        <f t="shared" si="2"/>
        <v>0</v>
      </c>
      <c r="M22" s="78">
        <v>24363</v>
      </c>
      <c r="N22" s="38">
        <f t="shared" si="3"/>
        <v>0</v>
      </c>
      <c r="O22" s="78">
        <v>208487</v>
      </c>
      <c r="P22" s="38">
        <f t="shared" ref="P22" si="259">(+O22-+O21)*48</f>
        <v>8544</v>
      </c>
      <c r="Q22" s="78">
        <v>429477</v>
      </c>
      <c r="R22" s="38">
        <f t="shared" ref="R22" si="260">(+Q22-+Q21)*48</f>
        <v>528</v>
      </c>
      <c r="S22" s="78">
        <v>685173</v>
      </c>
      <c r="T22" s="38">
        <f t="shared" ref="T22" si="261">(+S22-+S21)*48</f>
        <v>5712</v>
      </c>
      <c r="U22" s="78">
        <v>93369.936000000002</v>
      </c>
      <c r="V22" s="104">
        <f t="shared" ref="V22" si="262">(+U22-+U21)*48</f>
        <v>883.72800000035204</v>
      </c>
      <c r="W22" s="78">
        <v>77170</v>
      </c>
      <c r="X22" s="38">
        <f t="shared" ref="X22" si="263">(+W22-+W21)*48</f>
        <v>624</v>
      </c>
      <c r="Y22" s="78">
        <v>1473501</v>
      </c>
      <c r="Z22" s="38">
        <f t="shared" ref="Z22" si="264">(+Y22-+Y21)*48</f>
        <v>6864</v>
      </c>
      <c r="AA22" s="78">
        <v>13166</v>
      </c>
      <c r="AB22" s="38">
        <f t="shared" ref="AB22" si="265">(+AA22-+AA21)*48</f>
        <v>0</v>
      </c>
      <c r="AC22" s="78">
        <v>424481</v>
      </c>
      <c r="AD22" s="38">
        <f t="shared" si="16"/>
        <v>4128</v>
      </c>
      <c r="AE22" s="78">
        <v>501249</v>
      </c>
      <c r="AF22" s="38">
        <f t="shared" si="16"/>
        <v>4848</v>
      </c>
      <c r="AG22" s="78">
        <v>48475</v>
      </c>
      <c r="AH22" s="38">
        <f t="shared" ref="AH22" si="266">(+AG22-+AG21)*48</f>
        <v>144</v>
      </c>
      <c r="AI22" s="78">
        <v>385298</v>
      </c>
      <c r="AJ22" s="38">
        <f t="shared" ref="AJ22" si="267">(+AI22-+AI21)*48</f>
        <v>2928</v>
      </c>
      <c r="AK22" s="78">
        <v>102371</v>
      </c>
      <c r="AL22" s="38">
        <f t="shared" ref="AL22" si="268">(+AK22-+AK21)*48</f>
        <v>0</v>
      </c>
      <c r="AM22" s="78">
        <v>546691</v>
      </c>
      <c r="AN22" s="38">
        <f t="shared" ref="AN22" si="269">(+AM22-+AM21)*48</f>
        <v>4752</v>
      </c>
      <c r="AO22" s="78">
        <v>877340</v>
      </c>
      <c r="AP22" s="38">
        <f t="shared" ref="AP22" si="270">(+AO22-+AO21)*48</f>
        <v>56880</v>
      </c>
      <c r="AQ22" s="78">
        <v>64989</v>
      </c>
      <c r="AR22" s="38">
        <f t="shared" ref="AR22" si="271">(+AQ22-+AQ21)*48</f>
        <v>1392</v>
      </c>
      <c r="AS22" s="78">
        <v>2204</v>
      </c>
      <c r="AT22" s="38">
        <f t="shared" ref="AT22" si="272">(+AS22-+AS21)*48</f>
        <v>0</v>
      </c>
      <c r="AU22" s="78">
        <v>918</v>
      </c>
      <c r="AV22" s="38">
        <f t="shared" ref="AV22" si="273">(+AU22-+AU21)*48</f>
        <v>0</v>
      </c>
      <c r="AW22" s="78">
        <v>3108</v>
      </c>
      <c r="AX22" s="38">
        <f t="shared" ref="AX22" si="274">(+AW22-+AW21)*48</f>
        <v>0</v>
      </c>
      <c r="AY22" s="78">
        <v>293604</v>
      </c>
      <c r="AZ22" s="38">
        <f t="shared" ref="AZ22" si="275">(+AY22-+AY21)*48</f>
        <v>3264</v>
      </c>
      <c r="BA22" s="78">
        <v>160167</v>
      </c>
      <c r="BB22" s="38">
        <f>(+BA23-+BA21)*48</f>
        <v>0</v>
      </c>
      <c r="BC22" s="78">
        <v>201066</v>
      </c>
      <c r="BD22" s="38">
        <f t="shared" ref="BD22" si="276">(+BC22-+BC21)*48</f>
        <v>2448</v>
      </c>
      <c r="BE22" s="78">
        <v>5347</v>
      </c>
      <c r="BF22" s="38">
        <f t="shared" ref="BF22" si="277">(+BE22-+BE21)*48</f>
        <v>0</v>
      </c>
      <c r="BH22" s="169">
        <f t="shared" si="4"/>
        <v>100272.52800000034</v>
      </c>
      <c r="BI22" s="169">
        <f t="shared" si="5"/>
        <v>105811.20000000001</v>
      </c>
    </row>
    <row r="23" spans="1:61" s="36" customFormat="1" ht="39.950000000000003" customHeight="1">
      <c r="A23" s="145">
        <v>44027</v>
      </c>
      <c r="B23" s="35"/>
      <c r="C23" s="78">
        <v>5359829</v>
      </c>
      <c r="D23" s="38">
        <f t="shared" ref="D23" si="278">(+C23-+C22)*48</f>
        <v>84720</v>
      </c>
      <c r="E23" s="38">
        <f t="shared" si="7"/>
        <v>50832</v>
      </c>
      <c r="F23" s="104">
        <f t="shared" si="8"/>
        <v>33888</v>
      </c>
      <c r="G23" s="78">
        <v>272976</v>
      </c>
      <c r="H23" s="38">
        <f t="shared" si="0"/>
        <v>1392</v>
      </c>
      <c r="I23" s="78">
        <v>72513</v>
      </c>
      <c r="J23" s="38">
        <f t="shared" si="1"/>
        <v>7728</v>
      </c>
      <c r="K23" s="78">
        <v>254202</v>
      </c>
      <c r="L23" s="38">
        <f t="shared" si="2"/>
        <v>0</v>
      </c>
      <c r="M23" s="78">
        <v>24363</v>
      </c>
      <c r="N23" s="38">
        <f t="shared" si="3"/>
        <v>0</v>
      </c>
      <c r="O23" s="78">
        <v>208675</v>
      </c>
      <c r="P23" s="38">
        <f t="shared" ref="P23" si="279">(+O23-+O22)*48</f>
        <v>9024</v>
      </c>
      <c r="Q23" s="78">
        <v>429492</v>
      </c>
      <c r="R23" s="38">
        <f t="shared" ref="R23" si="280">(+Q23-+Q22)*48</f>
        <v>720</v>
      </c>
      <c r="S23" s="78">
        <v>685294</v>
      </c>
      <c r="T23" s="38">
        <f t="shared" ref="T23" si="281">(+S23-+S22)*48</f>
        <v>5808</v>
      </c>
      <c r="U23" s="78">
        <v>93390.817999999999</v>
      </c>
      <c r="V23" s="104">
        <f t="shared" ref="V23" si="282">(+U23-+U22)*48</f>
        <v>1002.3359999998938</v>
      </c>
      <c r="W23" s="78">
        <v>77193</v>
      </c>
      <c r="X23" s="38">
        <f t="shared" ref="X23" si="283">(+W23-+W22)*48</f>
        <v>1104</v>
      </c>
      <c r="Y23" s="78">
        <v>1473641</v>
      </c>
      <c r="Z23" s="38">
        <f t="shared" ref="Z23" si="284">(+Y23-+Y22)*48</f>
        <v>6720</v>
      </c>
      <c r="AA23" s="78">
        <v>13166</v>
      </c>
      <c r="AB23" s="38">
        <f t="shared" ref="AB23" si="285">(+AA23-+AA22)*48</f>
        <v>0</v>
      </c>
      <c r="AC23" s="78">
        <v>424568</v>
      </c>
      <c r="AD23" s="38">
        <f t="shared" si="16"/>
        <v>4176</v>
      </c>
      <c r="AE23" s="78">
        <v>501347</v>
      </c>
      <c r="AF23" s="38">
        <f t="shared" si="16"/>
        <v>4704</v>
      </c>
      <c r="AG23" s="78">
        <v>48479</v>
      </c>
      <c r="AH23" s="38">
        <f t="shared" ref="AH23" si="286">(+AG23-+AG22)*48</f>
        <v>192</v>
      </c>
      <c r="AI23" s="78">
        <v>385356</v>
      </c>
      <c r="AJ23" s="38">
        <f t="shared" ref="AJ23" si="287">(+AI23-+AI22)*48</f>
        <v>2784</v>
      </c>
      <c r="AK23" s="78">
        <v>102371</v>
      </c>
      <c r="AL23" s="38">
        <f t="shared" ref="AL23" si="288">(+AK23-+AK22)*48</f>
        <v>0</v>
      </c>
      <c r="AM23" s="78">
        <v>546793</v>
      </c>
      <c r="AN23" s="38">
        <f t="shared" ref="AN23" si="289">(+AM23-+AM22)*48</f>
        <v>4896</v>
      </c>
      <c r="AO23" s="78">
        <v>877524</v>
      </c>
      <c r="AP23" s="38">
        <f t="shared" ref="AP23" si="290">(+AO23-+AO22)*48</f>
        <v>8832</v>
      </c>
      <c r="AQ23" s="78">
        <v>65019</v>
      </c>
      <c r="AR23" s="38">
        <f t="shared" ref="AR23" si="291">(+AQ23-+AQ22)*48</f>
        <v>1440</v>
      </c>
      <c r="AS23" s="78">
        <v>2204</v>
      </c>
      <c r="AT23" s="38">
        <f t="shared" ref="AT23" si="292">(+AS23-+AS22)*48</f>
        <v>0</v>
      </c>
      <c r="AU23" s="78">
        <v>918</v>
      </c>
      <c r="AV23" s="38">
        <f t="shared" ref="AV23" si="293">(+AU23-+AU22)*48</f>
        <v>0</v>
      </c>
      <c r="AW23" s="78">
        <v>3108</v>
      </c>
      <c r="AX23" s="38">
        <f t="shared" ref="AX23" si="294">(+AW23-+AW22)*48</f>
        <v>0</v>
      </c>
      <c r="AY23" s="78">
        <v>293672</v>
      </c>
      <c r="AZ23" s="38">
        <f t="shared" ref="AZ23" si="295">(+AY23-+AY22)*48</f>
        <v>3264</v>
      </c>
      <c r="BA23" s="78">
        <v>160167</v>
      </c>
      <c r="BB23" s="104">
        <f t="shared" ref="BB23:BB25" si="296">(+BA23-+BA22)*48</f>
        <v>0</v>
      </c>
      <c r="BC23" s="78">
        <v>201117</v>
      </c>
      <c r="BD23" s="38">
        <f t="shared" ref="BD23" si="297">(+BC23-+BC22)*48</f>
        <v>2448</v>
      </c>
      <c r="BE23" s="78">
        <v>5347</v>
      </c>
      <c r="BF23" s="38">
        <f t="shared" ref="BF23" si="298">(+BE23-+BE22)*48</f>
        <v>0</v>
      </c>
      <c r="BH23" s="105">
        <f t="shared" si="4"/>
        <v>96186.335999999894</v>
      </c>
      <c r="BI23" s="105">
        <f t="shared" si="5"/>
        <v>54768</v>
      </c>
    </row>
    <row r="24" spans="1:61" s="36" customFormat="1" ht="39.950000000000003" customHeight="1">
      <c r="A24" s="145">
        <v>44028</v>
      </c>
      <c r="B24" s="35"/>
      <c r="C24" s="78">
        <v>5361764</v>
      </c>
      <c r="D24" s="104">
        <f t="shared" ref="D24" si="299">(+C24-+C23)*48</f>
        <v>92880</v>
      </c>
      <c r="E24" s="38">
        <f t="shared" si="7"/>
        <v>55728</v>
      </c>
      <c r="F24" s="104">
        <f t="shared" si="8"/>
        <v>37152</v>
      </c>
      <c r="G24" s="78">
        <v>273005</v>
      </c>
      <c r="H24" s="104">
        <f t="shared" si="0"/>
        <v>816</v>
      </c>
      <c r="I24" s="78">
        <v>72674</v>
      </c>
      <c r="J24" s="104">
        <f t="shared" si="1"/>
        <v>7392</v>
      </c>
      <c r="K24" s="78">
        <v>254202</v>
      </c>
      <c r="L24" s="104">
        <f t="shared" si="2"/>
        <v>240</v>
      </c>
      <c r="M24" s="78">
        <v>24363</v>
      </c>
      <c r="N24" s="38">
        <f t="shared" si="3"/>
        <v>0</v>
      </c>
      <c r="O24" s="78">
        <v>208809</v>
      </c>
      <c r="P24" s="104">
        <f t="shared" ref="P24" si="300">(+O24-+O23)*48</f>
        <v>6432</v>
      </c>
      <c r="Q24" s="78">
        <v>429505</v>
      </c>
      <c r="R24" s="104">
        <f t="shared" ref="R24" si="301">(+Q24-+Q23)*48</f>
        <v>624</v>
      </c>
      <c r="S24" s="78">
        <v>685411</v>
      </c>
      <c r="T24" s="104">
        <f t="shared" ref="T24" si="302">(+S24-+S23)*48</f>
        <v>5616</v>
      </c>
      <c r="U24" s="78">
        <v>93410.684999999998</v>
      </c>
      <c r="V24" s="104">
        <f t="shared" ref="V24" si="303">(+U24-+U23)*48</f>
        <v>953.61599999992177</v>
      </c>
      <c r="W24" s="78">
        <v>77193</v>
      </c>
      <c r="X24" s="104">
        <f t="shared" ref="X24" si="304">(+W24-+W23)*48</f>
        <v>0</v>
      </c>
      <c r="Y24" s="78">
        <v>1473707</v>
      </c>
      <c r="Z24" s="104">
        <f t="shared" ref="Z24" si="305">(+Y24-+Y23)*48</f>
        <v>3168</v>
      </c>
      <c r="AA24" s="78">
        <v>13166</v>
      </c>
      <c r="AB24" s="104">
        <f t="shared" ref="AB24" si="306">(+AA24-+AA23)*48</f>
        <v>0</v>
      </c>
      <c r="AC24" s="78">
        <v>424652</v>
      </c>
      <c r="AD24" s="104">
        <f t="shared" si="16"/>
        <v>4032</v>
      </c>
      <c r="AE24" s="78">
        <v>501439</v>
      </c>
      <c r="AF24" s="104">
        <f t="shared" si="16"/>
        <v>4416</v>
      </c>
      <c r="AG24" s="78">
        <v>48482</v>
      </c>
      <c r="AH24" s="104">
        <f t="shared" ref="AH24" si="307">(+AG24-+AG23)*48</f>
        <v>144</v>
      </c>
      <c r="AI24" s="78">
        <v>385411</v>
      </c>
      <c r="AJ24" s="104">
        <f t="shared" ref="AJ24" si="308">(+AI24-+AI23)*48</f>
        <v>2640</v>
      </c>
      <c r="AK24" s="78">
        <v>102371</v>
      </c>
      <c r="AL24" s="104">
        <f t="shared" ref="AL24" si="309">(+AK24-+AK23)*48</f>
        <v>0</v>
      </c>
      <c r="AM24" s="78">
        <v>546896</v>
      </c>
      <c r="AN24" s="104">
        <f t="shared" ref="AN24" si="310">(+AM24-+AM23)*48</f>
        <v>4944</v>
      </c>
      <c r="AO24" s="78">
        <v>877711</v>
      </c>
      <c r="AP24" s="104">
        <f t="shared" ref="AP24" si="311">(+AO24-+AO23)*48</f>
        <v>8976</v>
      </c>
      <c r="AQ24" s="78">
        <v>65055</v>
      </c>
      <c r="AR24" s="104">
        <f t="shared" ref="AR24" si="312">(+AQ24-+AQ23)*48</f>
        <v>1728</v>
      </c>
      <c r="AS24" s="78">
        <v>2204</v>
      </c>
      <c r="AT24" s="104">
        <f t="shared" ref="AT24" si="313">(+AS24-+AS23)*48</f>
        <v>0</v>
      </c>
      <c r="AU24" s="78">
        <v>918</v>
      </c>
      <c r="AV24" s="104">
        <f t="shared" ref="AV24" si="314">(+AU24-+AU23)*48</f>
        <v>0</v>
      </c>
      <c r="AW24" s="78">
        <v>3108</v>
      </c>
      <c r="AX24" s="104">
        <f t="shared" ref="AX24" si="315">(+AW24-+AW23)*48</f>
        <v>0</v>
      </c>
      <c r="AY24" s="78">
        <v>293737</v>
      </c>
      <c r="AZ24" s="104">
        <f t="shared" ref="AZ24" si="316">(+AY24-+AY23)*48</f>
        <v>3120</v>
      </c>
      <c r="BA24" s="78">
        <v>160167</v>
      </c>
      <c r="BB24" s="104">
        <f t="shared" si="296"/>
        <v>0</v>
      </c>
      <c r="BC24" s="78">
        <v>201168</v>
      </c>
      <c r="BD24" s="104">
        <f t="shared" ref="BD24" si="317">(+BC24-+BC23)*48</f>
        <v>2448</v>
      </c>
      <c r="BE24" s="78">
        <v>5347</v>
      </c>
      <c r="BF24" s="104">
        <f t="shared" ref="BF24" si="318">(+BE24-+BE23)*48</f>
        <v>0</v>
      </c>
      <c r="BH24" s="105">
        <f t="shared" si="4"/>
        <v>92201.615999999922</v>
      </c>
      <c r="BI24" s="105">
        <f t="shared" si="5"/>
        <v>58368</v>
      </c>
    </row>
    <row r="25" spans="1:61" s="36" customFormat="1" ht="39.950000000000003" customHeight="1">
      <c r="A25" s="145">
        <v>44029</v>
      </c>
      <c r="B25" s="35"/>
      <c r="C25" s="78">
        <v>5363295</v>
      </c>
      <c r="D25" s="104">
        <f t="shared" ref="D25" si="319">(+C25-+C24)*48</f>
        <v>73488</v>
      </c>
      <c r="E25" s="38">
        <f t="shared" si="7"/>
        <v>44092.799999999996</v>
      </c>
      <c r="F25" s="104">
        <f t="shared" si="8"/>
        <v>29395.200000000001</v>
      </c>
      <c r="G25" s="78">
        <v>273022</v>
      </c>
      <c r="H25" s="104">
        <f t="shared" si="0"/>
        <v>1104</v>
      </c>
      <c r="I25" s="78">
        <v>72828</v>
      </c>
      <c r="J25" s="104">
        <f t="shared" si="1"/>
        <v>8112</v>
      </c>
      <c r="K25" s="78">
        <v>254207</v>
      </c>
      <c r="L25" s="104">
        <f t="shared" si="2"/>
        <v>0</v>
      </c>
      <c r="M25" s="78">
        <v>24363</v>
      </c>
      <c r="N25" s="38">
        <f t="shared" si="3"/>
        <v>0</v>
      </c>
      <c r="O25" s="78">
        <v>208931</v>
      </c>
      <c r="P25" s="104">
        <f t="shared" ref="P25" si="320">(+O25-+O24)*48</f>
        <v>5856</v>
      </c>
      <c r="Q25" s="78">
        <v>429510</v>
      </c>
      <c r="R25" s="104">
        <f t="shared" ref="R25" si="321">(+Q25-+Q24)*48</f>
        <v>240</v>
      </c>
      <c r="S25" s="78">
        <v>685525</v>
      </c>
      <c r="T25" s="104">
        <f t="shared" ref="T25" si="322">(+S25-+S24)*48</f>
        <v>5472</v>
      </c>
      <c r="U25" s="78">
        <v>93429.506999999998</v>
      </c>
      <c r="V25" s="104">
        <f t="shared" ref="V25" si="323">(+U25-+U24)*48</f>
        <v>903.45600000000559</v>
      </c>
      <c r="W25" s="78">
        <v>77193</v>
      </c>
      <c r="X25" s="104">
        <f t="shared" ref="X25" si="324">(+W25-+W24)*48</f>
        <v>0</v>
      </c>
      <c r="Y25" s="78">
        <v>1473732</v>
      </c>
      <c r="Z25" s="104">
        <f t="shared" ref="Z25" si="325">(+Y25-+Y24)*48</f>
        <v>1200</v>
      </c>
      <c r="AA25" s="78">
        <v>13166</v>
      </c>
      <c r="AB25" s="104">
        <f t="shared" ref="AB25" si="326">(+AA25-+AA24)*48</f>
        <v>0</v>
      </c>
      <c r="AC25" s="78">
        <v>424738</v>
      </c>
      <c r="AD25" s="104">
        <f t="shared" si="16"/>
        <v>4128</v>
      </c>
      <c r="AE25" s="78">
        <v>501535</v>
      </c>
      <c r="AF25" s="104">
        <f t="shared" si="16"/>
        <v>4608</v>
      </c>
      <c r="AG25" s="78">
        <v>48486</v>
      </c>
      <c r="AH25" s="104">
        <f t="shared" ref="AH25" si="327">(+AG25-+AG24)*48</f>
        <v>192</v>
      </c>
      <c r="AI25" s="78">
        <v>385469</v>
      </c>
      <c r="AJ25" s="104">
        <f t="shared" ref="AJ25" si="328">(+AI25-+AI24)*48</f>
        <v>2784</v>
      </c>
      <c r="AK25" s="78">
        <v>102371</v>
      </c>
      <c r="AL25" s="104">
        <f t="shared" ref="AL25" si="329">(+AK25-+AK24)*48</f>
        <v>0</v>
      </c>
      <c r="AM25" s="78">
        <v>547003</v>
      </c>
      <c r="AN25" s="104">
        <f t="shared" ref="AN25" si="330">(+AM25-+AM24)*48</f>
        <v>5136</v>
      </c>
      <c r="AO25" s="78">
        <v>877900</v>
      </c>
      <c r="AP25" s="104">
        <f t="shared" ref="AP25" si="331">(+AO25-+AO24)*48</f>
        <v>9072</v>
      </c>
      <c r="AQ25" s="78">
        <v>65088</v>
      </c>
      <c r="AR25" s="104">
        <f t="shared" ref="AR25" si="332">(+AQ25-+AQ24)*48</f>
        <v>1584</v>
      </c>
      <c r="AS25" s="78">
        <v>2204</v>
      </c>
      <c r="AT25" s="104">
        <f t="shared" ref="AT25" si="333">(+AS25-+AS24)*48</f>
        <v>0</v>
      </c>
      <c r="AU25" s="78">
        <v>918</v>
      </c>
      <c r="AV25" s="104">
        <f t="shared" ref="AV25" si="334">(+AU25-+AU24)*48</f>
        <v>0</v>
      </c>
      <c r="AW25" s="78">
        <v>3108</v>
      </c>
      <c r="AX25" s="104">
        <f t="shared" ref="AX25" si="335">(+AW25-+AW24)*48</f>
        <v>0</v>
      </c>
      <c r="AY25" s="78">
        <v>293804</v>
      </c>
      <c r="AZ25" s="104">
        <f t="shared" ref="AZ25" si="336">(+AY25-+AY24)*48</f>
        <v>3216</v>
      </c>
      <c r="BA25" s="78">
        <v>160167</v>
      </c>
      <c r="BB25" s="104">
        <f t="shared" si="296"/>
        <v>0</v>
      </c>
      <c r="BC25" s="78">
        <v>201217</v>
      </c>
      <c r="BD25" s="104">
        <f t="shared" ref="BD25" si="337">(+BC25-+BC24)*48</f>
        <v>2352</v>
      </c>
      <c r="BE25" s="78">
        <v>5347</v>
      </c>
      <c r="BF25" s="104">
        <f t="shared" ref="BF25" si="338">(+BE25-+BE24)*48</f>
        <v>0</v>
      </c>
      <c r="BH25" s="105">
        <f t="shared" si="4"/>
        <v>78692.255999999994</v>
      </c>
      <c r="BI25" s="105">
        <f t="shared" si="5"/>
        <v>50755.199999999997</v>
      </c>
    </row>
    <row r="26" spans="1:61" s="36" customFormat="1" ht="39.950000000000003" customHeight="1">
      <c r="A26" s="145">
        <v>44030</v>
      </c>
      <c r="B26" s="35"/>
      <c r="C26" s="78">
        <v>5365217</v>
      </c>
      <c r="D26" s="104">
        <f t="shared" ref="D26" si="339">(+C26-+C25)*48</f>
        <v>92256</v>
      </c>
      <c r="E26" s="38">
        <f t="shared" si="7"/>
        <v>55353.599999999999</v>
      </c>
      <c r="F26" s="104">
        <f t="shared" si="8"/>
        <v>36902.400000000001</v>
      </c>
      <c r="G26" s="78">
        <v>273045</v>
      </c>
      <c r="H26" s="104">
        <f t="shared" si="0"/>
        <v>1104</v>
      </c>
      <c r="I26" s="78">
        <v>72997</v>
      </c>
      <c r="J26" s="104">
        <f t="shared" si="1"/>
        <v>8400</v>
      </c>
      <c r="K26" s="78">
        <v>254207</v>
      </c>
      <c r="L26" s="104">
        <f t="shared" si="2"/>
        <v>0</v>
      </c>
      <c r="M26" s="78">
        <v>24363</v>
      </c>
      <c r="N26" s="38">
        <f t="shared" si="3"/>
        <v>0</v>
      </c>
      <c r="O26" s="78">
        <v>209058</v>
      </c>
      <c r="P26" s="104">
        <f t="shared" ref="P26" si="340">(+O26-+O25)*48</f>
        <v>6096</v>
      </c>
      <c r="Q26" s="78">
        <v>429520</v>
      </c>
      <c r="R26" s="104">
        <f t="shared" ref="R26" si="341">(+Q26-+Q25)*48</f>
        <v>480</v>
      </c>
      <c r="S26" s="78">
        <v>685646</v>
      </c>
      <c r="T26" s="104">
        <f t="shared" ref="T26" si="342">(+S26-+S25)*48</f>
        <v>5808</v>
      </c>
      <c r="U26" s="78">
        <v>93452.644</v>
      </c>
      <c r="V26" s="104">
        <f t="shared" ref="V26" si="343">(+U26-+U25)*48</f>
        <v>1110.5760000001173</v>
      </c>
      <c r="W26" s="78">
        <v>77193</v>
      </c>
      <c r="X26" s="104">
        <f t="shared" ref="X26" si="344">(+W26-+W25)*48</f>
        <v>0</v>
      </c>
      <c r="Y26" s="78">
        <v>1473756</v>
      </c>
      <c r="Z26" s="104">
        <f t="shared" ref="Z26" si="345">(+Y26-+Y25)*48</f>
        <v>1152</v>
      </c>
      <c r="AA26" s="78">
        <v>13166</v>
      </c>
      <c r="AB26" s="104">
        <f t="shared" ref="AB26" si="346">(+AA26-+AA25)*48</f>
        <v>0</v>
      </c>
      <c r="AC26" s="78">
        <v>424824</v>
      </c>
      <c r="AD26" s="104">
        <f t="shared" si="16"/>
        <v>4128</v>
      </c>
      <c r="AE26" s="78">
        <v>501631</v>
      </c>
      <c r="AF26" s="104">
        <f t="shared" si="16"/>
        <v>4608</v>
      </c>
      <c r="AG26" s="78">
        <v>48489</v>
      </c>
      <c r="AH26" s="104">
        <f t="shared" ref="AH26" si="347">(+AG26-+AG25)*48</f>
        <v>144</v>
      </c>
      <c r="AI26" s="78">
        <v>385528</v>
      </c>
      <c r="AJ26" s="104">
        <f t="shared" ref="AJ26" si="348">(+AI26-+AI25)*48</f>
        <v>2832</v>
      </c>
      <c r="AK26" s="78">
        <v>102371</v>
      </c>
      <c r="AL26" s="104">
        <f t="shared" ref="AL26" si="349">(+AK26-+AK25)*48</f>
        <v>0</v>
      </c>
      <c r="AM26" s="78">
        <v>547108</v>
      </c>
      <c r="AN26" s="104">
        <f t="shared" ref="AN26" si="350">(+AM26-+AM25)*48</f>
        <v>5040</v>
      </c>
      <c r="AO26" s="78">
        <v>878086</v>
      </c>
      <c r="AP26" s="104">
        <f t="shared" ref="AP26" si="351">(+AO26-+AO25)*48</f>
        <v>8928</v>
      </c>
      <c r="AQ26" s="78">
        <v>65122</v>
      </c>
      <c r="AR26" s="104">
        <f t="shared" ref="AR26" si="352">(+AQ26-+AQ25)*48</f>
        <v>1632</v>
      </c>
      <c r="AS26" s="78">
        <v>2204</v>
      </c>
      <c r="AT26" s="104">
        <f t="shared" ref="AT26" si="353">(+AS26-+AS25)*48</f>
        <v>0</v>
      </c>
      <c r="AU26" s="78">
        <v>918</v>
      </c>
      <c r="AV26" s="104">
        <f t="shared" ref="AV26" si="354">(+AU26-+AU25)*48</f>
        <v>0</v>
      </c>
      <c r="AW26" s="78">
        <v>3108</v>
      </c>
      <c r="AX26" s="104">
        <f t="shared" ref="AX26" si="355">(+AW26-+AW25)*48</f>
        <v>0</v>
      </c>
      <c r="AY26" s="78">
        <v>293870</v>
      </c>
      <c r="AZ26" s="104">
        <f>(+AY26-+AY25)*48</f>
        <v>3168</v>
      </c>
      <c r="BA26" s="78">
        <v>160167</v>
      </c>
      <c r="BB26" s="104">
        <f>(+BA26-+BA25)*48</f>
        <v>0</v>
      </c>
      <c r="BC26" s="78">
        <v>201268</v>
      </c>
      <c r="BD26" s="104">
        <f t="shared" ref="BD26" si="356">(+BC26-+BC25)*48</f>
        <v>2448</v>
      </c>
      <c r="BE26" s="78">
        <v>5347</v>
      </c>
      <c r="BF26" s="104">
        <f t="shared" ref="BF26" si="357">(+BE26-+BE25)*48</f>
        <v>0</v>
      </c>
      <c r="BH26" s="105">
        <f t="shared" si="4"/>
        <v>91216.176000000123</v>
      </c>
      <c r="BI26" s="105">
        <f t="shared" si="5"/>
        <v>58118.400000000001</v>
      </c>
    </row>
    <row r="27" spans="1:61" s="36" customFormat="1" ht="39.950000000000003" customHeight="1">
      <c r="A27" s="145">
        <v>44031</v>
      </c>
      <c r="B27" s="35"/>
      <c r="C27" s="78">
        <v>5366781</v>
      </c>
      <c r="D27" s="104">
        <f t="shared" ref="D27" si="358">(+C27-+C26)*48</f>
        <v>75072</v>
      </c>
      <c r="E27" s="38">
        <f t="shared" si="7"/>
        <v>45043.199999999997</v>
      </c>
      <c r="F27" s="104">
        <f t="shared" si="8"/>
        <v>30028.800000000003</v>
      </c>
      <c r="G27" s="78">
        <v>273068</v>
      </c>
      <c r="H27" s="104">
        <f t="shared" si="0"/>
        <v>960</v>
      </c>
      <c r="I27" s="78">
        <v>73172</v>
      </c>
      <c r="J27" s="104">
        <f t="shared" si="1"/>
        <v>7968</v>
      </c>
      <c r="K27" s="78">
        <v>254207</v>
      </c>
      <c r="L27" s="104">
        <f t="shared" si="2"/>
        <v>0</v>
      </c>
      <c r="M27" s="78">
        <v>24363</v>
      </c>
      <c r="N27" s="38">
        <f t="shared" si="3"/>
        <v>0</v>
      </c>
      <c r="O27" s="78">
        <v>209198</v>
      </c>
      <c r="P27" s="104">
        <f t="shared" ref="P27" si="359">(+O27-+O26)*48</f>
        <v>6720</v>
      </c>
      <c r="Q27" s="78">
        <v>429525</v>
      </c>
      <c r="R27" s="104">
        <f t="shared" ref="R27" si="360">(+Q27-+Q26)*48</f>
        <v>240</v>
      </c>
      <c r="S27" s="78">
        <v>685750</v>
      </c>
      <c r="T27" s="104">
        <f t="shared" ref="T27" si="361">(+S27-+S26)*48</f>
        <v>4992</v>
      </c>
      <c r="U27" s="78">
        <v>93478.391000000003</v>
      </c>
      <c r="V27" s="104">
        <f t="shared" ref="V27" si="362">(+U27-+U26)*48</f>
        <v>1235.8560000001453</v>
      </c>
      <c r="W27" s="78">
        <v>77193</v>
      </c>
      <c r="X27" s="104">
        <f t="shared" ref="X27" si="363">(+W27-+W26)*48</f>
        <v>0</v>
      </c>
      <c r="Y27" s="78">
        <v>1473782</v>
      </c>
      <c r="Z27" s="104">
        <f t="shared" ref="Z27" si="364">(+Y27-+Y26)*48</f>
        <v>1248</v>
      </c>
      <c r="AA27" s="78">
        <v>13166</v>
      </c>
      <c r="AB27" s="104">
        <f t="shared" ref="AB27" si="365">(+AA27-+AA26)*48</f>
        <v>0</v>
      </c>
      <c r="AC27" s="78">
        <v>424909</v>
      </c>
      <c r="AD27" s="104">
        <f t="shared" si="16"/>
        <v>4080</v>
      </c>
      <c r="AE27" s="78">
        <v>501715</v>
      </c>
      <c r="AF27" s="104">
        <f t="shared" si="16"/>
        <v>4032</v>
      </c>
      <c r="AG27" s="78">
        <v>48492</v>
      </c>
      <c r="AH27" s="104">
        <f t="shared" ref="AH27" si="366">(+AG27-+AG26)*48</f>
        <v>144</v>
      </c>
      <c r="AI27" s="78">
        <v>385587</v>
      </c>
      <c r="AJ27" s="104">
        <f t="shared" ref="AJ27" si="367">(+AI27-+AI26)*48</f>
        <v>2832</v>
      </c>
      <c r="AK27" s="78">
        <v>102371</v>
      </c>
      <c r="AL27" s="104">
        <f t="shared" ref="AL27" si="368">(+AK27-+AK26)*48</f>
        <v>0</v>
      </c>
      <c r="AM27" s="78">
        <v>547212</v>
      </c>
      <c r="AN27" s="104">
        <f t="shared" ref="AN27" si="369">(+AM27-+AM26)*48</f>
        <v>4992</v>
      </c>
      <c r="AO27" s="78">
        <v>878271</v>
      </c>
      <c r="AP27" s="104">
        <f t="shared" ref="AP27" si="370">(+AO27-+AO26)*48</f>
        <v>8880</v>
      </c>
      <c r="AQ27" s="78">
        <v>65154</v>
      </c>
      <c r="AR27" s="104">
        <f t="shared" ref="AR27" si="371">(+AQ27-+AQ26)*48</f>
        <v>1536</v>
      </c>
      <c r="AS27" s="78">
        <v>2204</v>
      </c>
      <c r="AT27" s="104">
        <f t="shared" ref="AT27" si="372">(+AS27-+AS26)*48</f>
        <v>0</v>
      </c>
      <c r="AU27" s="78">
        <v>918</v>
      </c>
      <c r="AV27" s="104">
        <f t="shared" ref="AV27" si="373">(+AU27-+AU26)*48</f>
        <v>0</v>
      </c>
      <c r="AW27" s="78">
        <v>3108</v>
      </c>
      <c r="AX27" s="104">
        <f t="shared" ref="AX27" si="374">(+AW27-+AW26)*48</f>
        <v>0</v>
      </c>
      <c r="AY27" s="78">
        <v>293937</v>
      </c>
      <c r="AZ27" s="104">
        <f t="shared" ref="AZ27" si="375">(+AY27-+AY26)*48</f>
        <v>3216</v>
      </c>
      <c r="BA27" s="78">
        <v>160167</v>
      </c>
      <c r="BB27" s="104">
        <f>(+BA27-+BA26)*48</f>
        <v>0</v>
      </c>
      <c r="BC27" s="78">
        <v>201318</v>
      </c>
      <c r="BD27" s="104">
        <f t="shared" ref="BD27" si="376">(+BC27-+BC26)*48</f>
        <v>2400</v>
      </c>
      <c r="BE27" s="78">
        <v>5347</v>
      </c>
      <c r="BF27" s="104">
        <f t="shared" ref="BF27" si="377">(+BE27-+BE26)*48</f>
        <v>0</v>
      </c>
      <c r="BH27" s="105">
        <f t="shared" si="4"/>
        <v>79495.056000000142</v>
      </c>
      <c r="BI27" s="105">
        <f t="shared" si="5"/>
        <v>51052.800000000003</v>
      </c>
    </row>
    <row r="28" spans="1:61" s="36" customFormat="1" ht="39.950000000000003" customHeight="1">
      <c r="A28" s="145">
        <v>44032</v>
      </c>
      <c r="B28" s="35"/>
      <c r="C28" s="78">
        <v>5368518</v>
      </c>
      <c r="D28" s="104">
        <f t="shared" ref="D28" si="378">(+C28-+C27)*48</f>
        <v>83376</v>
      </c>
      <c r="E28" s="38">
        <f t="shared" si="7"/>
        <v>50025.599999999999</v>
      </c>
      <c r="F28" s="104">
        <f t="shared" si="8"/>
        <v>33350.400000000001</v>
      </c>
      <c r="G28" s="78">
        <v>273088</v>
      </c>
      <c r="H28" s="104">
        <f t="shared" si="0"/>
        <v>912</v>
      </c>
      <c r="I28" s="78">
        <v>73338</v>
      </c>
      <c r="J28" s="104">
        <f t="shared" si="1"/>
        <v>7968</v>
      </c>
      <c r="K28" s="78">
        <v>254207</v>
      </c>
      <c r="L28" s="104">
        <f t="shared" si="2"/>
        <v>480</v>
      </c>
      <c r="M28" s="78">
        <v>24363</v>
      </c>
      <c r="N28" s="38">
        <f t="shared" si="3"/>
        <v>0</v>
      </c>
      <c r="O28" s="78">
        <v>209332</v>
      </c>
      <c r="P28" s="104">
        <f t="shared" ref="P28" si="379">(+O28-+O27)*48</f>
        <v>6432</v>
      </c>
      <c r="Q28" s="78">
        <v>429529</v>
      </c>
      <c r="R28" s="104">
        <f t="shared" ref="R28" si="380">(+Q28-+Q27)*48</f>
        <v>192</v>
      </c>
      <c r="S28" s="78">
        <v>685842</v>
      </c>
      <c r="T28" s="104">
        <f t="shared" ref="T28" si="381">(+S28-+S27)*48</f>
        <v>4416</v>
      </c>
      <c r="U28" s="78">
        <v>93502.771999999997</v>
      </c>
      <c r="V28" s="104">
        <f t="shared" ref="V28" si="382">(+U28-+U27)*48</f>
        <v>1170.2879999997094</v>
      </c>
      <c r="W28" s="78">
        <v>77193</v>
      </c>
      <c r="X28" s="104">
        <f t="shared" ref="X28" si="383">(+W28-+W27)*48</f>
        <v>0</v>
      </c>
      <c r="Y28" s="78">
        <v>1473805</v>
      </c>
      <c r="Z28" s="104">
        <f t="shared" ref="Z28" si="384">(+Y28-+Y27)*48</f>
        <v>1104</v>
      </c>
      <c r="AA28" s="78">
        <v>13166</v>
      </c>
      <c r="AB28" s="104">
        <f t="shared" ref="AB28" si="385">(+AA28-+AA27)*48</f>
        <v>0</v>
      </c>
      <c r="AC28" s="78">
        <v>424997</v>
      </c>
      <c r="AD28" s="104">
        <f t="shared" si="16"/>
        <v>4224</v>
      </c>
      <c r="AE28" s="78">
        <v>501812</v>
      </c>
      <c r="AF28" s="104">
        <f t="shared" si="16"/>
        <v>4656</v>
      </c>
      <c r="AG28" s="78">
        <v>48495</v>
      </c>
      <c r="AH28" s="104">
        <f t="shared" ref="AH28" si="386">(+AG28-+AG27)*48</f>
        <v>144</v>
      </c>
      <c r="AI28" s="78">
        <v>385656</v>
      </c>
      <c r="AJ28" s="104">
        <f t="shared" ref="AJ28" si="387">(+AI28-+AI27)*48</f>
        <v>3312</v>
      </c>
      <c r="AK28" s="78">
        <v>102371</v>
      </c>
      <c r="AL28" s="104">
        <f t="shared" ref="AL28" si="388">(+AK28-+AK27)*48</f>
        <v>0</v>
      </c>
      <c r="AM28" s="78">
        <v>547319</v>
      </c>
      <c r="AN28" s="104">
        <f t="shared" ref="AN28" si="389">(+AM28-+AM27)*48</f>
        <v>5136</v>
      </c>
      <c r="AO28" s="78">
        <v>878460</v>
      </c>
      <c r="AP28" s="104">
        <f t="shared" ref="AP28" si="390">(+AO28-+AO27)*48</f>
        <v>9072</v>
      </c>
      <c r="AQ28" s="78">
        <v>65186</v>
      </c>
      <c r="AR28" s="104">
        <f t="shared" ref="AR28" si="391">(+AQ28-+AQ27)*48</f>
        <v>1536</v>
      </c>
      <c r="AS28" s="78">
        <v>2204</v>
      </c>
      <c r="AT28" s="104">
        <f t="shared" ref="AT28" si="392">(+AS28-+AS27)*48</f>
        <v>0</v>
      </c>
      <c r="AU28" s="78">
        <v>918</v>
      </c>
      <c r="AV28" s="104">
        <f t="shared" ref="AV28" si="393">(+AU28-+AU27)*48</f>
        <v>0</v>
      </c>
      <c r="AW28" s="78">
        <v>3108</v>
      </c>
      <c r="AX28" s="104">
        <f t="shared" ref="AX28" si="394">(+AW28-+AW27)*48</f>
        <v>0</v>
      </c>
      <c r="AY28" s="78">
        <v>294003</v>
      </c>
      <c r="AZ28" s="104">
        <f t="shared" ref="AZ28" si="395">(+AY28-+AY27)*48</f>
        <v>3168</v>
      </c>
      <c r="BA28" s="78">
        <v>160167</v>
      </c>
      <c r="BB28" s="104">
        <f t="shared" ref="BB28" si="396">(+BA28-+BA27)*48</f>
        <v>0</v>
      </c>
      <c r="BC28" s="78">
        <v>201365</v>
      </c>
      <c r="BD28" s="104">
        <f t="shared" ref="BD28" si="397">(+BC28-+BC27)*48</f>
        <v>2256</v>
      </c>
      <c r="BE28" s="78">
        <v>5347</v>
      </c>
      <c r="BF28" s="104">
        <f t="shared" ref="BF28" si="398">(+BE28-+BE27)*48</f>
        <v>0</v>
      </c>
      <c r="BH28" s="105">
        <f t="shared" si="4"/>
        <v>85035.887999999715</v>
      </c>
      <c r="BI28" s="105">
        <f t="shared" si="5"/>
        <v>54518.400000000001</v>
      </c>
    </row>
    <row r="29" spans="1:61" s="36" customFormat="1" ht="39.950000000000003" customHeight="1">
      <c r="A29" s="145">
        <v>44033</v>
      </c>
      <c r="B29" s="35"/>
      <c r="C29" s="83">
        <v>5370441</v>
      </c>
      <c r="D29" s="104">
        <f t="shared" ref="D29" si="399">(+C29-+C28)*48</f>
        <v>92304</v>
      </c>
      <c r="E29" s="38">
        <f t="shared" si="7"/>
        <v>55382.400000000001</v>
      </c>
      <c r="F29" s="104">
        <f t="shared" si="8"/>
        <v>36921.599999999999</v>
      </c>
      <c r="G29" s="83">
        <v>273107</v>
      </c>
      <c r="H29" s="104">
        <f t="shared" si="0"/>
        <v>1152</v>
      </c>
      <c r="I29" s="83">
        <v>73504</v>
      </c>
      <c r="J29" s="104">
        <f t="shared" si="1"/>
        <v>7776</v>
      </c>
      <c r="K29" s="83">
        <v>254217</v>
      </c>
      <c r="L29" s="104">
        <f t="shared" si="2"/>
        <v>384</v>
      </c>
      <c r="M29" s="83">
        <v>24363</v>
      </c>
      <c r="N29" s="38">
        <f t="shared" si="3"/>
        <v>0</v>
      </c>
      <c r="O29" s="83">
        <v>209456</v>
      </c>
      <c r="P29" s="104">
        <f t="shared" ref="P29" si="400">(+O29-+O28)*48</f>
        <v>5952</v>
      </c>
      <c r="Q29" s="83">
        <v>429552</v>
      </c>
      <c r="R29" s="104">
        <f t="shared" ref="R29" si="401">(+Q29-+Q28)*48</f>
        <v>1104</v>
      </c>
      <c r="S29" s="83">
        <v>685943</v>
      </c>
      <c r="T29" s="104">
        <f t="shared" ref="T29" si="402">(+S29-+S28)*48</f>
        <v>4848</v>
      </c>
      <c r="U29" s="83">
        <v>93522.221000000005</v>
      </c>
      <c r="V29" s="104">
        <f t="shared" ref="V29" si="403">(+U29-+U28)*48</f>
        <v>933.55200000037439</v>
      </c>
      <c r="W29" s="83">
        <v>77193</v>
      </c>
      <c r="X29" s="104">
        <f t="shared" ref="X29" si="404">(+W29-+W28)*48</f>
        <v>0</v>
      </c>
      <c r="Y29" s="83">
        <v>1473834</v>
      </c>
      <c r="Z29" s="104">
        <f t="shared" ref="Z29" si="405">(+Y29-+Y28)*48</f>
        <v>1392</v>
      </c>
      <c r="AA29" s="83">
        <v>13166</v>
      </c>
      <c r="AB29" s="104">
        <f t="shared" ref="AB29" si="406">(+AA29-+AA28)*48</f>
        <v>0</v>
      </c>
      <c r="AC29" s="83">
        <v>425084</v>
      </c>
      <c r="AD29" s="104">
        <f t="shared" si="16"/>
        <v>4176</v>
      </c>
      <c r="AE29" s="83">
        <v>501909</v>
      </c>
      <c r="AF29" s="104">
        <f t="shared" si="16"/>
        <v>4656</v>
      </c>
      <c r="AG29" s="83">
        <v>48499</v>
      </c>
      <c r="AH29" s="104">
        <f t="shared" ref="AH29" si="407">(+AG29-+AG28)*48</f>
        <v>192</v>
      </c>
      <c r="AI29" s="83">
        <v>385710</v>
      </c>
      <c r="AJ29" s="104">
        <f t="shared" ref="AJ29" si="408">(+AI29-+AI28)*48</f>
        <v>2592</v>
      </c>
      <c r="AK29" s="83">
        <v>102371</v>
      </c>
      <c r="AL29" s="104">
        <f t="shared" ref="AL29" si="409">(+AK29-+AK28)*48</f>
        <v>0</v>
      </c>
      <c r="AM29" s="83">
        <v>547428</v>
      </c>
      <c r="AN29" s="104">
        <f t="shared" ref="AN29" si="410">(+AM29-+AM28)*48</f>
        <v>5232</v>
      </c>
      <c r="AO29" s="83">
        <v>878651</v>
      </c>
      <c r="AP29" s="104">
        <f t="shared" ref="AP29" si="411">(+AO29-+AO28)*48</f>
        <v>9168</v>
      </c>
      <c r="AQ29" s="83">
        <v>65232</v>
      </c>
      <c r="AR29" s="104">
        <f t="shared" ref="AR29" si="412">(+AQ29-+AQ28)*48</f>
        <v>2208</v>
      </c>
      <c r="AS29" s="83">
        <v>2204</v>
      </c>
      <c r="AT29" s="104">
        <f t="shared" ref="AT29" si="413">(+AS29-+AS28)*48</f>
        <v>0</v>
      </c>
      <c r="AU29" s="83">
        <v>918</v>
      </c>
      <c r="AV29" s="104">
        <f t="shared" ref="AV29" si="414">(+AU29-+AU28)*48</f>
        <v>0</v>
      </c>
      <c r="AW29" s="83">
        <v>3108</v>
      </c>
      <c r="AX29" s="104">
        <f t="shared" ref="AX29" si="415">(+AW29-+AW28)*48</f>
        <v>0</v>
      </c>
      <c r="AY29" s="83">
        <v>294071</v>
      </c>
      <c r="AZ29" s="104">
        <f t="shared" ref="AZ29" si="416">(+AY29-+AY28)*48</f>
        <v>3264</v>
      </c>
      <c r="BA29" s="83">
        <v>160167</v>
      </c>
      <c r="BB29" s="104">
        <f t="shared" ref="BB29" si="417">(+BA29-+BA28)*48</f>
        <v>0</v>
      </c>
      <c r="BC29" s="83">
        <v>201414</v>
      </c>
      <c r="BD29" s="104">
        <f t="shared" ref="BD29" si="418">(+BC29-+BC28)*48</f>
        <v>2352</v>
      </c>
      <c r="BE29" s="83">
        <v>5347</v>
      </c>
      <c r="BF29" s="104">
        <f t="shared" ref="BF29" si="419">(+BE29-+BE28)*48</f>
        <v>0</v>
      </c>
      <c r="BH29" s="105">
        <f t="shared" si="4"/>
        <v>90539.952000000369</v>
      </c>
      <c r="BI29" s="105">
        <f t="shared" si="5"/>
        <v>59145.599999999999</v>
      </c>
    </row>
    <row r="30" spans="1:61" s="36" customFormat="1" ht="39.950000000000003" customHeight="1">
      <c r="A30" s="145">
        <v>44034</v>
      </c>
      <c r="B30" s="35"/>
      <c r="C30" s="83">
        <v>5372014</v>
      </c>
      <c r="D30" s="104">
        <f t="shared" ref="D30" si="420">(+C30-+C29)*48</f>
        <v>75504</v>
      </c>
      <c r="E30" s="38">
        <f t="shared" si="7"/>
        <v>45302.400000000001</v>
      </c>
      <c r="F30" s="104">
        <f t="shared" si="8"/>
        <v>30201.600000000002</v>
      </c>
      <c r="G30" s="83">
        <v>273131</v>
      </c>
      <c r="H30" s="104">
        <f t="shared" si="0"/>
        <v>960</v>
      </c>
      <c r="I30" s="83">
        <v>73666</v>
      </c>
      <c r="J30" s="104">
        <f t="shared" si="1"/>
        <v>7968</v>
      </c>
      <c r="K30" s="83">
        <v>254225</v>
      </c>
      <c r="L30" s="104">
        <f t="shared" si="2"/>
        <v>0</v>
      </c>
      <c r="M30" s="83">
        <v>24363</v>
      </c>
      <c r="N30" s="38">
        <f t="shared" si="3"/>
        <v>0</v>
      </c>
      <c r="O30" s="83">
        <v>209577</v>
      </c>
      <c r="P30" s="104">
        <f t="shared" ref="P30" si="421">(+O30-+O29)*48</f>
        <v>5808</v>
      </c>
      <c r="Q30" s="83">
        <v>429582</v>
      </c>
      <c r="R30" s="104">
        <f t="shared" ref="R30" si="422">(+Q30-+Q29)*48</f>
        <v>1440</v>
      </c>
      <c r="S30" s="83">
        <v>686046</v>
      </c>
      <c r="T30" s="104">
        <f t="shared" ref="T30" si="423">(+S30-+S29)*48</f>
        <v>4944</v>
      </c>
      <c r="U30" s="83">
        <v>93541.975999999995</v>
      </c>
      <c r="V30" s="104">
        <f t="shared" ref="V30" si="424">(+U30-+U29)*48</f>
        <v>948.23999999952503</v>
      </c>
      <c r="W30" s="83">
        <v>77193</v>
      </c>
      <c r="X30" s="104">
        <f t="shared" ref="X30" si="425">(+W30-+W29)*48</f>
        <v>0</v>
      </c>
      <c r="Y30" s="83">
        <v>1473858</v>
      </c>
      <c r="Z30" s="104">
        <f t="shared" ref="Z30" si="426">(+Y30-+Y29)*48</f>
        <v>1152</v>
      </c>
      <c r="AA30" s="83">
        <v>13166</v>
      </c>
      <c r="AB30" s="104">
        <f t="shared" ref="AB30" si="427">(+AA30-+AA29)*48</f>
        <v>0</v>
      </c>
      <c r="AC30" s="83">
        <v>425171</v>
      </c>
      <c r="AD30" s="104">
        <f t="shared" si="16"/>
        <v>4176</v>
      </c>
      <c r="AE30" s="83">
        <v>502005</v>
      </c>
      <c r="AF30" s="104">
        <f t="shared" si="16"/>
        <v>4608</v>
      </c>
      <c r="AG30" s="83">
        <v>48502</v>
      </c>
      <c r="AH30" s="104">
        <f t="shared" ref="AH30" si="428">(+AG30-+AG29)*48</f>
        <v>144</v>
      </c>
      <c r="AI30" s="83">
        <v>385759</v>
      </c>
      <c r="AJ30" s="104">
        <f t="shared" ref="AJ30" si="429">(+AI30-+AI29)*48</f>
        <v>2352</v>
      </c>
      <c r="AK30" s="83">
        <v>102371</v>
      </c>
      <c r="AL30" s="104">
        <f t="shared" ref="AL30" si="430">(+AK30-+AK29)*48</f>
        <v>0</v>
      </c>
      <c r="AM30" s="83">
        <v>547532</v>
      </c>
      <c r="AN30" s="104">
        <f t="shared" ref="AN30" si="431">(+AM30-+AM29)*48</f>
        <v>4992</v>
      </c>
      <c r="AO30" s="83">
        <v>878836</v>
      </c>
      <c r="AP30" s="104">
        <f t="shared" ref="AP30" si="432">(+AO30-+AO29)*48</f>
        <v>8880</v>
      </c>
      <c r="AQ30" s="83">
        <v>65263</v>
      </c>
      <c r="AR30" s="104">
        <f t="shared" ref="AR30" si="433">(+AQ30-+AQ29)*48</f>
        <v>1488</v>
      </c>
      <c r="AS30" s="83">
        <v>2204</v>
      </c>
      <c r="AT30" s="104">
        <f t="shared" ref="AT30" si="434">(+AS30-+AS29)*48</f>
        <v>0</v>
      </c>
      <c r="AU30" s="83">
        <v>918</v>
      </c>
      <c r="AV30" s="104">
        <f t="shared" ref="AV30" si="435">(+AU30-+AU29)*48</f>
        <v>0</v>
      </c>
      <c r="AW30" s="83">
        <v>3108</v>
      </c>
      <c r="AX30" s="104">
        <f t="shared" ref="AX30" si="436">(+AW30-+AW29)*48</f>
        <v>0</v>
      </c>
      <c r="AY30" s="83">
        <v>294137</v>
      </c>
      <c r="AZ30" s="104">
        <f t="shared" ref="AZ30" si="437">(+AY30-+AY29)*48</f>
        <v>3168</v>
      </c>
      <c r="BA30" s="83">
        <v>160167</v>
      </c>
      <c r="BB30" s="104">
        <f t="shared" ref="BB30" si="438">(+BA30-+BA29)*48</f>
        <v>0</v>
      </c>
      <c r="BC30" s="83">
        <v>201462</v>
      </c>
      <c r="BD30" s="104">
        <f t="shared" ref="BD30" si="439">(+BC30-+BC29)*48</f>
        <v>2304</v>
      </c>
      <c r="BE30" s="83">
        <v>5347</v>
      </c>
      <c r="BF30" s="104">
        <f t="shared" ref="BF30" si="440">(+BE30-+BE29)*48</f>
        <v>0</v>
      </c>
      <c r="BH30" s="105">
        <f t="shared" si="4"/>
        <v>79802.639999999519</v>
      </c>
      <c r="BI30" s="105">
        <f t="shared" si="5"/>
        <v>51033.600000000006</v>
      </c>
    </row>
    <row r="31" spans="1:61" s="36" customFormat="1" ht="39.950000000000003" customHeight="1">
      <c r="A31" s="145">
        <v>44035</v>
      </c>
      <c r="B31" s="35"/>
      <c r="C31" s="83">
        <v>5373828</v>
      </c>
      <c r="D31" s="104">
        <f t="shared" ref="D31" si="441">(+C31-+C30)*48</f>
        <v>87072</v>
      </c>
      <c r="E31" s="38">
        <f t="shared" si="7"/>
        <v>52243.199999999997</v>
      </c>
      <c r="F31" s="104">
        <f t="shared" si="8"/>
        <v>34828.800000000003</v>
      </c>
      <c r="G31" s="83">
        <v>273151</v>
      </c>
      <c r="H31" s="38">
        <f t="shared" si="0"/>
        <v>1200</v>
      </c>
      <c r="I31" s="83">
        <v>73832</v>
      </c>
      <c r="J31" s="38">
        <f t="shared" si="1"/>
        <v>7680</v>
      </c>
      <c r="K31" s="83">
        <v>254225</v>
      </c>
      <c r="L31" s="38">
        <f t="shared" si="2"/>
        <v>0</v>
      </c>
      <c r="M31" s="83">
        <v>24363</v>
      </c>
      <c r="N31" s="38">
        <f t="shared" si="3"/>
        <v>0</v>
      </c>
      <c r="O31" s="83">
        <v>209705</v>
      </c>
      <c r="P31" s="38">
        <f t="shared" ref="P31" si="442">(+O31-+O30)*48</f>
        <v>6144</v>
      </c>
      <c r="Q31" s="83">
        <v>429586</v>
      </c>
      <c r="R31" s="104">
        <f t="shared" ref="R31" si="443">(+Q31-+Q30)*48</f>
        <v>192</v>
      </c>
      <c r="S31" s="83">
        <v>686150</v>
      </c>
      <c r="T31" s="104">
        <f t="shared" ref="T31" si="444">(+S31-+S30)*48</f>
        <v>4992</v>
      </c>
      <c r="U31" s="83">
        <v>93561.221000000005</v>
      </c>
      <c r="V31" s="104">
        <f t="shared" ref="V31" si="445">(+U31-+U30)*48</f>
        <v>923.76000000047497</v>
      </c>
      <c r="W31" s="83">
        <v>77193</v>
      </c>
      <c r="X31" s="104">
        <f t="shared" ref="X31" si="446">(+W31-+W30)*48</f>
        <v>0</v>
      </c>
      <c r="Y31" s="83">
        <v>1473881</v>
      </c>
      <c r="Z31" s="104">
        <f t="shared" ref="Z31" si="447">(+Y31-+Y30)*48</f>
        <v>1104</v>
      </c>
      <c r="AA31" s="83">
        <v>13166</v>
      </c>
      <c r="AB31" s="104">
        <f t="shared" ref="AB31" si="448">(+AA31-+AA30)*48</f>
        <v>0</v>
      </c>
      <c r="AC31" s="83">
        <v>425262</v>
      </c>
      <c r="AD31" s="104">
        <f t="shared" si="16"/>
        <v>4368</v>
      </c>
      <c r="AE31" s="83">
        <v>502105</v>
      </c>
      <c r="AF31" s="104">
        <f t="shared" si="16"/>
        <v>4800</v>
      </c>
      <c r="AG31" s="83">
        <v>48506</v>
      </c>
      <c r="AH31" s="104">
        <f t="shared" ref="AH31" si="449">(+AG31-+AG30)*48</f>
        <v>192</v>
      </c>
      <c r="AI31" s="83">
        <v>385812</v>
      </c>
      <c r="AJ31" s="104">
        <f t="shared" ref="AJ31" si="450">(+AI31-+AI30)*48</f>
        <v>2544</v>
      </c>
      <c r="AK31" s="83">
        <v>102371</v>
      </c>
      <c r="AL31" s="104">
        <f t="shared" ref="AL31" si="451">(+AK31-+AK30)*48</f>
        <v>0</v>
      </c>
      <c r="AM31" s="83">
        <v>547642</v>
      </c>
      <c r="AN31" s="104">
        <f t="shared" ref="AN31" si="452">(+AM31-+AM30)*48</f>
        <v>5280</v>
      </c>
      <c r="AO31" s="83">
        <v>879027</v>
      </c>
      <c r="AP31" s="104">
        <f t="shared" ref="AP31" si="453">(+AO31-+AO30)*48</f>
        <v>9168</v>
      </c>
      <c r="AQ31" s="83">
        <v>65294</v>
      </c>
      <c r="AR31" s="104">
        <f t="shared" ref="AR31" si="454">(+AQ31-+AQ30)*48</f>
        <v>1488</v>
      </c>
      <c r="AS31" s="83">
        <v>2204</v>
      </c>
      <c r="AT31" s="104">
        <f t="shared" ref="AT31" si="455">(+AS31-+AS30)*48</f>
        <v>0</v>
      </c>
      <c r="AU31" s="83">
        <v>918</v>
      </c>
      <c r="AV31" s="104">
        <f t="shared" ref="AV31" si="456">(+AU31-+AU30)*48</f>
        <v>0</v>
      </c>
      <c r="AW31" s="83">
        <v>3108</v>
      </c>
      <c r="AX31" s="104">
        <f t="shared" ref="AX31" si="457">(+AW31-+AW30)*48</f>
        <v>0</v>
      </c>
      <c r="AY31" s="83">
        <v>294205</v>
      </c>
      <c r="AZ31" s="104">
        <f t="shared" ref="AZ31" si="458">(+AY31-+AY30)*48</f>
        <v>3264</v>
      </c>
      <c r="BA31" s="83">
        <v>160167</v>
      </c>
      <c r="BB31" s="104">
        <f t="shared" ref="BB31" si="459">(+BA31-+BA30)*48</f>
        <v>0</v>
      </c>
      <c r="BC31" s="83">
        <v>201514</v>
      </c>
      <c r="BD31" s="104">
        <f t="shared" ref="BD31" si="460">(+BC31-+BC30)*48</f>
        <v>2496</v>
      </c>
      <c r="BE31" s="83">
        <v>5347</v>
      </c>
      <c r="BF31" s="104">
        <f t="shared" ref="BF31" si="461">(+BE31-+BE30)*48</f>
        <v>0</v>
      </c>
      <c r="BH31" s="105">
        <f t="shared" si="4"/>
        <v>86382.960000000472</v>
      </c>
      <c r="BI31" s="105">
        <f t="shared" si="5"/>
        <v>56524.800000000003</v>
      </c>
    </row>
    <row r="32" spans="1:61" s="36" customFormat="1" ht="39.950000000000003" customHeight="1">
      <c r="A32" s="145">
        <v>44036</v>
      </c>
      <c r="B32" s="35"/>
      <c r="C32" s="83">
        <v>5375269</v>
      </c>
      <c r="D32" s="104">
        <f t="shared" ref="D32" si="462">(+C32-+C31)*48</f>
        <v>69168</v>
      </c>
      <c r="E32" s="38">
        <f t="shared" si="7"/>
        <v>41500.799999999996</v>
      </c>
      <c r="F32" s="104">
        <f t="shared" si="8"/>
        <v>27667.200000000001</v>
      </c>
      <c r="G32" s="83">
        <v>273176</v>
      </c>
      <c r="H32" s="38">
        <f t="shared" si="0"/>
        <v>960</v>
      </c>
      <c r="I32" s="83">
        <v>73992</v>
      </c>
      <c r="J32" s="38">
        <f t="shared" si="1"/>
        <v>8160</v>
      </c>
      <c r="K32" s="83">
        <v>254225</v>
      </c>
      <c r="L32" s="38">
        <f t="shared" si="2"/>
        <v>0</v>
      </c>
      <c r="M32" s="83">
        <v>24363</v>
      </c>
      <c r="N32" s="38">
        <f t="shared" si="3"/>
        <v>0</v>
      </c>
      <c r="O32" s="83">
        <v>209824</v>
      </c>
      <c r="P32" s="38">
        <f t="shared" ref="P32" si="463">(+O32-+O31)*48</f>
        <v>5712</v>
      </c>
      <c r="Q32" s="83">
        <v>429594</v>
      </c>
      <c r="R32" s="104">
        <f t="shared" ref="R32" si="464">(+Q32-+Q31)*48</f>
        <v>384</v>
      </c>
      <c r="S32" s="83">
        <v>686268</v>
      </c>
      <c r="T32" s="104">
        <f t="shared" ref="T32" si="465">(+S32-+S31)*48</f>
        <v>5664</v>
      </c>
      <c r="U32" s="83">
        <v>93581.065000000002</v>
      </c>
      <c r="V32" s="104">
        <f t="shared" ref="V32" si="466">(+U32-+U31)*48</f>
        <v>952.51199999987148</v>
      </c>
      <c r="W32" s="83">
        <v>77193</v>
      </c>
      <c r="X32" s="104">
        <f t="shared" ref="X32" si="467">(+W32-+W31)*48</f>
        <v>0</v>
      </c>
      <c r="Y32" s="83">
        <v>1473907</v>
      </c>
      <c r="Z32" s="104">
        <f t="shared" ref="Z32" si="468">(+Y32-+Y31)*48</f>
        <v>1248</v>
      </c>
      <c r="AA32" s="83">
        <v>13166</v>
      </c>
      <c r="AB32" s="104">
        <f t="shared" ref="AB32" si="469">(+AA32-+AA31)*48</f>
        <v>0</v>
      </c>
      <c r="AC32" s="83">
        <v>425348</v>
      </c>
      <c r="AD32" s="104">
        <f t="shared" si="16"/>
        <v>4128</v>
      </c>
      <c r="AE32" s="83">
        <v>502200</v>
      </c>
      <c r="AF32" s="104">
        <f t="shared" si="16"/>
        <v>4560</v>
      </c>
      <c r="AG32" s="83">
        <v>48509</v>
      </c>
      <c r="AH32" s="104">
        <f t="shared" ref="AH32" si="470">(+AG32-+AG31)*48</f>
        <v>144</v>
      </c>
      <c r="AI32" s="83">
        <v>385863</v>
      </c>
      <c r="AJ32" s="104">
        <f t="shared" ref="AJ32" si="471">(+AI32-+AI31)*48</f>
        <v>2448</v>
      </c>
      <c r="AK32" s="83">
        <v>102371</v>
      </c>
      <c r="AL32" s="104">
        <f t="shared" ref="AL32" si="472">(+AK32-+AK31)*48</f>
        <v>0</v>
      </c>
      <c r="AM32" s="83">
        <v>547745</v>
      </c>
      <c r="AN32" s="104">
        <f t="shared" ref="AN32" si="473">(+AM32-+AM31)*48</f>
        <v>4944</v>
      </c>
      <c r="AO32" s="83">
        <v>879214</v>
      </c>
      <c r="AP32" s="104">
        <f t="shared" ref="AP32" si="474">(+AO32-+AO31)*48</f>
        <v>8976</v>
      </c>
      <c r="AQ32" s="83">
        <v>65319</v>
      </c>
      <c r="AR32" s="104">
        <f t="shared" ref="AR32" si="475">(+AQ32-+AQ31)*48</f>
        <v>1200</v>
      </c>
      <c r="AS32" s="83">
        <v>2204</v>
      </c>
      <c r="AT32" s="104">
        <f t="shared" ref="AT32" si="476">(+AS32-+AS31)*48</f>
        <v>0</v>
      </c>
      <c r="AU32" s="83">
        <v>918</v>
      </c>
      <c r="AV32" s="104">
        <f t="shared" ref="AV32" si="477">(+AU32-+AU31)*48</f>
        <v>0</v>
      </c>
      <c r="AW32" s="83">
        <v>3108</v>
      </c>
      <c r="AX32" s="104">
        <f t="shared" ref="AX32" si="478">(+AW32-+AW31)*48</f>
        <v>0</v>
      </c>
      <c r="AY32" s="83">
        <v>294272</v>
      </c>
      <c r="AZ32" s="104">
        <f t="shared" ref="AZ32" si="479">(+AY32-+AY31)*48</f>
        <v>3216</v>
      </c>
      <c r="BA32" s="83">
        <v>160167</v>
      </c>
      <c r="BB32" s="104">
        <f t="shared" ref="BB32" si="480">(+BA32-+BA31)*48</f>
        <v>0</v>
      </c>
      <c r="BC32" s="83">
        <v>201564</v>
      </c>
      <c r="BD32" s="104">
        <f t="shared" ref="BD32" si="481">(+BC32-+BC31)*48</f>
        <v>2400</v>
      </c>
      <c r="BE32" s="83">
        <v>5347</v>
      </c>
      <c r="BF32" s="104">
        <f t="shared" ref="BF32" si="482">(+BE32-+BE31)*48</f>
        <v>0</v>
      </c>
      <c r="BH32" s="105">
        <f t="shared" si="4"/>
        <v>75861.31199999986</v>
      </c>
      <c r="BI32" s="105">
        <f t="shared" si="5"/>
        <v>48403.199999999997</v>
      </c>
    </row>
    <row r="33" spans="1:61" s="36" customFormat="1" ht="39.950000000000003" customHeight="1">
      <c r="A33" s="145">
        <v>44037</v>
      </c>
      <c r="B33" s="35"/>
      <c r="C33" s="78">
        <v>5377173</v>
      </c>
      <c r="D33" s="104">
        <f t="shared" ref="D33" si="483">(+C33-+C32)*48</f>
        <v>91392</v>
      </c>
      <c r="E33" s="38">
        <f t="shared" si="7"/>
        <v>54835.199999999997</v>
      </c>
      <c r="F33" s="104">
        <f t="shared" si="8"/>
        <v>36556.800000000003</v>
      </c>
      <c r="G33" s="78">
        <v>273196</v>
      </c>
      <c r="H33" s="104">
        <f t="shared" si="0"/>
        <v>672</v>
      </c>
      <c r="I33" s="78">
        <v>74162</v>
      </c>
      <c r="J33" s="38">
        <f t="shared" si="1"/>
        <v>8256</v>
      </c>
      <c r="K33" s="78">
        <v>254225</v>
      </c>
      <c r="L33" s="104">
        <f t="shared" si="2"/>
        <v>48</v>
      </c>
      <c r="M33" s="78">
        <v>24363</v>
      </c>
      <c r="N33" s="38">
        <f t="shared" si="3"/>
        <v>0</v>
      </c>
      <c r="O33" s="78">
        <v>209944</v>
      </c>
      <c r="P33" s="38">
        <f t="shared" ref="P33" si="484">(+O33-+O32)*48</f>
        <v>5760</v>
      </c>
      <c r="Q33" s="78">
        <v>429602</v>
      </c>
      <c r="R33" s="104">
        <f t="shared" ref="R33" si="485">(+Q33-+Q32)*48</f>
        <v>384</v>
      </c>
      <c r="S33" s="78">
        <v>686375</v>
      </c>
      <c r="T33" s="104">
        <f t="shared" ref="T33" si="486">(+S33-+S32)*48</f>
        <v>5136</v>
      </c>
      <c r="U33" s="78">
        <v>93605.072</v>
      </c>
      <c r="V33" s="104">
        <f t="shared" ref="V33" si="487">(+U33-+U32)*48</f>
        <v>1152.3359999998938</v>
      </c>
      <c r="W33" s="78">
        <v>77193</v>
      </c>
      <c r="X33" s="104">
        <f t="shared" ref="X33" si="488">(+W33-+W32)*48</f>
        <v>0</v>
      </c>
      <c r="Y33" s="78">
        <v>1473935</v>
      </c>
      <c r="Z33" s="104">
        <f t="shared" ref="Z33" si="489">(+Y33-+Y32)*48</f>
        <v>1344</v>
      </c>
      <c r="AA33" s="78">
        <v>13166</v>
      </c>
      <c r="AB33" s="104">
        <f t="shared" ref="AB33" si="490">(+AA33-+AA32)*48</f>
        <v>0</v>
      </c>
      <c r="AC33" s="78">
        <v>425435</v>
      </c>
      <c r="AD33" s="104">
        <f t="shared" si="16"/>
        <v>4176</v>
      </c>
      <c r="AE33" s="78">
        <v>502296</v>
      </c>
      <c r="AF33" s="104">
        <f t="shared" si="16"/>
        <v>4608</v>
      </c>
      <c r="AG33" s="78">
        <v>48512</v>
      </c>
      <c r="AH33" s="104">
        <f t="shared" ref="AH33" si="491">(+AG33-+AG32)*48</f>
        <v>144</v>
      </c>
      <c r="AI33" s="78">
        <v>385923</v>
      </c>
      <c r="AJ33" s="104">
        <f t="shared" ref="AJ33" si="492">(+AI33-+AI32)*48</f>
        <v>2880</v>
      </c>
      <c r="AK33" s="78">
        <v>102371</v>
      </c>
      <c r="AL33" s="104">
        <f t="shared" ref="AL33" si="493">(+AK33-+AK32)*48</f>
        <v>0</v>
      </c>
      <c r="AM33" s="78">
        <v>547847</v>
      </c>
      <c r="AN33" s="104">
        <f t="shared" ref="AN33" si="494">(+AM33-+AM32)*48</f>
        <v>4896</v>
      </c>
      <c r="AO33" s="78">
        <v>879400</v>
      </c>
      <c r="AP33" s="104">
        <f t="shared" ref="AP33" si="495">(+AO33-+AO32)*48</f>
        <v>8928</v>
      </c>
      <c r="AQ33" s="78">
        <v>65348</v>
      </c>
      <c r="AR33" s="104">
        <f t="shared" ref="AR33" si="496">(+AQ33-+AQ32)*48</f>
        <v>1392</v>
      </c>
      <c r="AS33" s="78">
        <v>2204</v>
      </c>
      <c r="AT33" s="104">
        <f t="shared" ref="AT33" si="497">(+AS33-+AS32)*48</f>
        <v>0</v>
      </c>
      <c r="AU33" s="78">
        <v>918</v>
      </c>
      <c r="AV33" s="104">
        <f t="shared" ref="AV33" si="498">(+AU33-+AU32)*48</f>
        <v>0</v>
      </c>
      <c r="AW33" s="78">
        <v>3108</v>
      </c>
      <c r="AX33" s="104">
        <f t="shared" ref="AX33" si="499">(+AW33-+AW32)*48</f>
        <v>0</v>
      </c>
      <c r="AY33" s="78">
        <v>294338</v>
      </c>
      <c r="AZ33" s="104">
        <f t="shared" ref="AZ33" si="500">(+AY33-+AY32)*48</f>
        <v>3168</v>
      </c>
      <c r="BA33" s="78">
        <v>160167</v>
      </c>
      <c r="BB33" s="104">
        <f t="shared" ref="BB33" si="501">(+BA33-+BA32)*48</f>
        <v>0</v>
      </c>
      <c r="BC33" s="78">
        <v>201612</v>
      </c>
      <c r="BD33" s="104">
        <f t="shared" ref="BD33" si="502">(+BC33-+BC32)*48</f>
        <v>2304</v>
      </c>
      <c r="BE33" s="78">
        <v>5347</v>
      </c>
      <c r="BF33" s="104">
        <f t="shared" ref="BF33" si="503">(+BE33-+BE32)*48</f>
        <v>0</v>
      </c>
      <c r="BH33" s="105">
        <f t="shared" si="4"/>
        <v>89395.535999999891</v>
      </c>
      <c r="BI33" s="105">
        <f t="shared" si="5"/>
        <v>57244.800000000003</v>
      </c>
    </row>
    <row r="34" spans="1:61" s="36" customFormat="1" ht="39.950000000000003" customHeight="1">
      <c r="A34" s="145">
        <v>44038</v>
      </c>
      <c r="B34" s="35"/>
      <c r="C34" s="78">
        <v>5378891</v>
      </c>
      <c r="D34" s="104">
        <f t="shared" ref="D34" si="504">(+C34-+C33)*48</f>
        <v>82464</v>
      </c>
      <c r="E34" s="38">
        <f t="shared" si="7"/>
        <v>49478.400000000001</v>
      </c>
      <c r="F34" s="104">
        <f t="shared" si="8"/>
        <v>32985.599999999999</v>
      </c>
      <c r="G34" s="78">
        <v>273210</v>
      </c>
      <c r="H34" s="104">
        <f t="shared" si="0"/>
        <v>864</v>
      </c>
      <c r="I34" s="78">
        <v>74334</v>
      </c>
      <c r="J34" s="38">
        <f t="shared" si="1"/>
        <v>7920</v>
      </c>
      <c r="K34" s="78">
        <v>254226</v>
      </c>
      <c r="L34" s="104">
        <f t="shared" si="2"/>
        <v>0</v>
      </c>
      <c r="M34" s="78">
        <v>24363</v>
      </c>
      <c r="N34" s="38">
        <f t="shared" si="3"/>
        <v>0</v>
      </c>
      <c r="O34" s="78">
        <v>210080</v>
      </c>
      <c r="P34" s="38">
        <f t="shared" ref="P34" si="505">(+O34-+O33)*48</f>
        <v>6528</v>
      </c>
      <c r="Q34" s="78">
        <v>429631</v>
      </c>
      <c r="R34" s="104">
        <f t="shared" ref="R34" si="506">(+Q34-+Q33)*48</f>
        <v>1392</v>
      </c>
      <c r="S34" s="78">
        <v>686481</v>
      </c>
      <c r="T34" s="104">
        <f t="shared" ref="T34" si="507">(+S34-+S33)*48</f>
        <v>5088</v>
      </c>
      <c r="U34" s="78">
        <v>93629.612999999998</v>
      </c>
      <c r="V34" s="104">
        <f t="shared" ref="V34" si="508">(+U34-+U33)*48</f>
        <v>1177.9679999998771</v>
      </c>
      <c r="W34" s="78">
        <v>77193</v>
      </c>
      <c r="X34" s="104">
        <f t="shared" ref="X34" si="509">(+W34-+W33)*48</f>
        <v>0</v>
      </c>
      <c r="Y34" s="78">
        <v>1473956</v>
      </c>
      <c r="Z34" s="104">
        <f t="shared" ref="Z34" si="510">(+Y34-+Y33)*48</f>
        <v>1008</v>
      </c>
      <c r="AA34" s="78">
        <v>13166</v>
      </c>
      <c r="AB34" s="104">
        <f t="shared" ref="AB34" si="511">(+AA34-+AA33)*48</f>
        <v>0</v>
      </c>
      <c r="AC34" s="78">
        <v>425522</v>
      </c>
      <c r="AD34" s="104">
        <f t="shared" si="16"/>
        <v>4176</v>
      </c>
      <c r="AE34" s="78">
        <v>502392</v>
      </c>
      <c r="AF34" s="104">
        <f t="shared" si="16"/>
        <v>4608</v>
      </c>
      <c r="AG34" s="78">
        <v>48516</v>
      </c>
      <c r="AH34" s="104">
        <f t="shared" ref="AH34" si="512">(+AG34-+AG33)*48</f>
        <v>192</v>
      </c>
      <c r="AI34" s="78">
        <v>385991</v>
      </c>
      <c r="AJ34" s="104">
        <f t="shared" ref="AJ34" si="513">(+AI34-+AI33)*48</f>
        <v>3264</v>
      </c>
      <c r="AK34" s="78">
        <v>102371</v>
      </c>
      <c r="AL34" s="104">
        <f t="shared" ref="AL34" si="514">(+AK34-+AK33)*48</f>
        <v>0</v>
      </c>
      <c r="AM34" s="78">
        <v>547948</v>
      </c>
      <c r="AN34" s="104">
        <f t="shared" ref="AN34" si="515">(+AM34-+AM33)*48</f>
        <v>4848</v>
      </c>
      <c r="AO34" s="78">
        <v>879584</v>
      </c>
      <c r="AP34" s="104">
        <f t="shared" ref="AP34" si="516">(+AO34-+AO33)*48</f>
        <v>8832</v>
      </c>
      <c r="AQ34" s="78">
        <v>65379</v>
      </c>
      <c r="AR34" s="104">
        <f t="shared" ref="AR34" si="517">(+AQ34-+AQ33)*48</f>
        <v>1488</v>
      </c>
      <c r="AS34" s="78">
        <v>2204</v>
      </c>
      <c r="AT34" s="104">
        <f t="shared" ref="AT34" si="518">(+AS34-+AS33)*48</f>
        <v>0</v>
      </c>
      <c r="AU34" s="78">
        <v>918</v>
      </c>
      <c r="AV34" s="104">
        <f t="shared" ref="AV34" si="519">(+AU34-+AU33)*48</f>
        <v>0</v>
      </c>
      <c r="AW34" s="78">
        <v>3108</v>
      </c>
      <c r="AX34" s="104">
        <f t="shared" ref="AX34" si="520">(+AW34-+AW33)*48</f>
        <v>0</v>
      </c>
      <c r="AY34" s="78">
        <v>294404</v>
      </c>
      <c r="AZ34" s="104">
        <f t="shared" ref="AZ34" si="521">(+AY34-+AY33)*48</f>
        <v>3168</v>
      </c>
      <c r="BA34" s="78">
        <v>160167</v>
      </c>
      <c r="BB34" s="104">
        <f t="shared" ref="BB34" si="522">(+BA34-+BA33)*48</f>
        <v>0</v>
      </c>
      <c r="BC34" s="78">
        <v>201661</v>
      </c>
      <c r="BD34" s="104">
        <f t="shared" ref="BD34" si="523">(+BC34-+BC33)*48</f>
        <v>2352</v>
      </c>
      <c r="BE34" s="78">
        <v>5347</v>
      </c>
      <c r="BF34" s="104">
        <f t="shared" ref="BF34" si="524">(+BE34-+BE33)*48</f>
        <v>0</v>
      </c>
      <c r="BH34" s="105">
        <f t="shared" si="4"/>
        <v>85696.367999999871</v>
      </c>
      <c r="BI34" s="105">
        <f t="shared" si="5"/>
        <v>53673.599999999999</v>
      </c>
    </row>
    <row r="35" spans="1:61" s="36" customFormat="1" ht="39.950000000000003" customHeight="1">
      <c r="A35" s="145">
        <v>44039</v>
      </c>
      <c r="B35" s="35"/>
      <c r="C35" s="78">
        <v>5380519</v>
      </c>
      <c r="D35" s="104">
        <f t="shared" ref="D35" si="525">(+C35-+C34)*48</f>
        <v>78144</v>
      </c>
      <c r="E35" s="38">
        <f t="shared" si="7"/>
        <v>46886.400000000001</v>
      </c>
      <c r="F35" s="104">
        <f t="shared" si="8"/>
        <v>31257.600000000002</v>
      </c>
      <c r="G35" s="78">
        <v>273228</v>
      </c>
      <c r="H35" s="104">
        <f t="shared" si="0"/>
        <v>864</v>
      </c>
      <c r="I35" s="78">
        <v>74499</v>
      </c>
      <c r="J35" s="38">
        <f t="shared" si="1"/>
        <v>7968</v>
      </c>
      <c r="K35" s="78">
        <v>254226</v>
      </c>
      <c r="L35" s="104">
        <f t="shared" si="2"/>
        <v>0</v>
      </c>
      <c r="M35" s="78">
        <v>24363</v>
      </c>
      <c r="N35" s="38">
        <f t="shared" si="3"/>
        <v>48</v>
      </c>
      <c r="O35" s="78">
        <v>210226</v>
      </c>
      <c r="P35" s="38">
        <f t="shared" ref="P35" si="526">(+O35-+O34)*48</f>
        <v>7008</v>
      </c>
      <c r="Q35" s="78">
        <v>429638</v>
      </c>
      <c r="R35" s="104">
        <f t="shared" ref="R35" si="527">(+Q35-+Q34)*48</f>
        <v>336</v>
      </c>
      <c r="S35" s="78">
        <v>686573</v>
      </c>
      <c r="T35" s="104">
        <f t="shared" ref="T35" si="528">(+S35-+S34)*48</f>
        <v>4416</v>
      </c>
      <c r="U35" s="78">
        <v>93655.13</v>
      </c>
      <c r="V35" s="104">
        <f t="shared" ref="V35" si="529">(+U35-+U34)*48</f>
        <v>1224.8160000003409</v>
      </c>
      <c r="W35" s="78">
        <v>77193</v>
      </c>
      <c r="X35" s="104">
        <f t="shared" ref="X35" si="530">(+W35-+W34)*48</f>
        <v>0</v>
      </c>
      <c r="Y35" s="78">
        <v>1473977</v>
      </c>
      <c r="Z35" s="104">
        <f t="shared" ref="Z35" si="531">(+Y35-+Y34)*48</f>
        <v>1008</v>
      </c>
      <c r="AA35" s="78">
        <v>13166</v>
      </c>
      <c r="AB35" s="104">
        <f t="shared" ref="AB35" si="532">(+AA35-+AA34)*48</f>
        <v>0</v>
      </c>
      <c r="AC35" s="78">
        <v>425606</v>
      </c>
      <c r="AD35" s="104">
        <f t="shared" si="16"/>
        <v>4032</v>
      </c>
      <c r="AE35" s="78">
        <v>502488</v>
      </c>
      <c r="AF35" s="104">
        <f t="shared" si="16"/>
        <v>4608</v>
      </c>
      <c r="AG35" s="78">
        <v>48519</v>
      </c>
      <c r="AH35" s="104">
        <f t="shared" ref="AH35" si="533">(+AG35-+AG34)*48</f>
        <v>144</v>
      </c>
      <c r="AI35" s="78">
        <v>386062</v>
      </c>
      <c r="AJ35" s="104">
        <f t="shared" ref="AJ35" si="534">(+AI35-+AI34)*48</f>
        <v>3408</v>
      </c>
      <c r="AK35" s="78">
        <v>102371</v>
      </c>
      <c r="AL35" s="104">
        <f t="shared" ref="AL35" si="535">(+AK35-+AK34)*48</f>
        <v>0</v>
      </c>
      <c r="AM35" s="78">
        <v>548050</v>
      </c>
      <c r="AN35" s="104">
        <f t="shared" ref="AN35" si="536">(+AM35-+AM34)*48</f>
        <v>4896</v>
      </c>
      <c r="AO35" s="78">
        <v>879771</v>
      </c>
      <c r="AP35" s="104">
        <f t="shared" ref="AP35" si="537">(+AO35-+AO34)*48</f>
        <v>8976</v>
      </c>
      <c r="AQ35" s="78">
        <v>65409</v>
      </c>
      <c r="AR35" s="104">
        <f t="shared" ref="AR35" si="538">(+AQ35-+AQ34)*48</f>
        <v>1440</v>
      </c>
      <c r="AS35" s="78">
        <v>2204</v>
      </c>
      <c r="AT35" s="104">
        <f t="shared" ref="AT35" si="539">(+AS35-+AS34)*48</f>
        <v>0</v>
      </c>
      <c r="AU35" s="78">
        <v>918</v>
      </c>
      <c r="AV35" s="104">
        <f t="shared" ref="AV35" si="540">(+AU35-+AU34)*48</f>
        <v>0</v>
      </c>
      <c r="AW35" s="78">
        <v>3108</v>
      </c>
      <c r="AX35" s="104">
        <f t="shared" ref="AX35" si="541">(+AW35-+AW34)*48</f>
        <v>0</v>
      </c>
      <c r="AY35" s="78">
        <v>294469</v>
      </c>
      <c r="AZ35" s="104">
        <f t="shared" ref="AZ35" si="542">(+AY35-+AY34)*48</f>
        <v>3120</v>
      </c>
      <c r="BA35" s="78">
        <v>160167</v>
      </c>
      <c r="BB35" s="104">
        <f t="shared" ref="BB35" si="543">(+BA35-+BA34)*48</f>
        <v>0</v>
      </c>
      <c r="BC35" s="78">
        <v>201710</v>
      </c>
      <c r="BD35" s="104">
        <f t="shared" ref="BD35" si="544">(+BC35-+BC34)*48</f>
        <v>2352</v>
      </c>
      <c r="BE35" s="78">
        <v>5347</v>
      </c>
      <c r="BF35" s="104">
        <f t="shared" ref="BF35" si="545">(+BE35-+BE34)*48</f>
        <v>0</v>
      </c>
      <c r="BH35" s="105">
        <f t="shared" si="4"/>
        <v>81951.216000000335</v>
      </c>
      <c r="BI35" s="105">
        <f t="shared" si="5"/>
        <v>52041.600000000006</v>
      </c>
    </row>
    <row r="36" spans="1:61" s="36" customFormat="1" ht="39.950000000000003" customHeight="1">
      <c r="A36" s="145">
        <v>44040</v>
      </c>
      <c r="B36" s="35"/>
      <c r="C36" s="83">
        <v>5382272</v>
      </c>
      <c r="D36" s="104">
        <f t="shared" ref="D36" si="546">(+C36-+C35)*48</f>
        <v>84144</v>
      </c>
      <c r="E36" s="38">
        <f t="shared" si="7"/>
        <v>50486.400000000001</v>
      </c>
      <c r="F36" s="104">
        <f t="shared" si="8"/>
        <v>33657.599999999999</v>
      </c>
      <c r="G36" s="83">
        <v>273246</v>
      </c>
      <c r="H36" s="104">
        <f t="shared" si="0"/>
        <v>1008</v>
      </c>
      <c r="I36" s="83">
        <v>74665</v>
      </c>
      <c r="J36" s="38">
        <f t="shared" si="1"/>
        <v>7488</v>
      </c>
      <c r="K36" s="83">
        <v>254226</v>
      </c>
      <c r="L36" s="104">
        <f t="shared" si="2"/>
        <v>0</v>
      </c>
      <c r="M36" s="83">
        <v>24364</v>
      </c>
      <c r="N36" s="38">
        <f t="shared" si="3"/>
        <v>0</v>
      </c>
      <c r="O36" s="83">
        <v>210348</v>
      </c>
      <c r="P36" s="38">
        <f t="shared" ref="P36:P38" si="547">(+O36-+O35)*48</f>
        <v>5856</v>
      </c>
      <c r="Q36" s="83">
        <v>429645</v>
      </c>
      <c r="R36" s="104">
        <f t="shared" ref="R36:R38" si="548">(+Q36-+Q35)*48</f>
        <v>336</v>
      </c>
      <c r="S36" s="83">
        <v>686689</v>
      </c>
      <c r="T36" s="104">
        <f t="shared" ref="T36:T38" si="549">(+S36-+S35)*48</f>
        <v>5568</v>
      </c>
      <c r="U36" s="83">
        <v>93675.92</v>
      </c>
      <c r="V36" s="104">
        <f t="shared" ref="V36:V38" si="550">(+U36-+U35)*48</f>
        <v>997.91999999969266</v>
      </c>
      <c r="W36" s="83">
        <v>77193</v>
      </c>
      <c r="X36" s="104">
        <f t="shared" ref="X36:X38" si="551">(+W36-+W35)*48</f>
        <v>0</v>
      </c>
      <c r="Y36" s="83">
        <v>1474012</v>
      </c>
      <c r="Z36" s="104">
        <f t="shared" ref="Z36:Z38" si="552">(+Y36-+Y35)*48</f>
        <v>1680</v>
      </c>
      <c r="AA36" s="83">
        <v>13166</v>
      </c>
      <c r="AB36" s="104">
        <f t="shared" ref="AB36:AB38" si="553">(+AA36-+AA35)*48</f>
        <v>0</v>
      </c>
      <c r="AC36" s="83">
        <v>425692</v>
      </c>
      <c r="AD36" s="104">
        <f t="shared" si="16"/>
        <v>4128</v>
      </c>
      <c r="AE36" s="83">
        <v>502584</v>
      </c>
      <c r="AF36" s="104">
        <f t="shared" si="16"/>
        <v>4608</v>
      </c>
      <c r="AG36" s="83">
        <v>48522</v>
      </c>
      <c r="AH36" s="104">
        <f t="shared" ref="AH36:AH38" si="554">(+AG36-+AG35)*48</f>
        <v>144</v>
      </c>
      <c r="AI36" s="83">
        <v>386124</v>
      </c>
      <c r="AJ36" s="104">
        <f t="shared" ref="AJ36:AJ38" si="555">(+AI36-+AI35)*48</f>
        <v>2976</v>
      </c>
      <c r="AK36" s="83">
        <v>102371</v>
      </c>
      <c r="AL36" s="104">
        <f t="shared" ref="AL36:AL38" si="556">(+AK36-+AK35)*48</f>
        <v>0</v>
      </c>
      <c r="AM36" s="83">
        <v>548154</v>
      </c>
      <c r="AN36" s="104">
        <f t="shared" ref="AN36:AN38" si="557">(+AM36-+AM35)*48</f>
        <v>4992</v>
      </c>
      <c r="AO36" s="83">
        <v>879960</v>
      </c>
      <c r="AP36" s="104">
        <f t="shared" ref="AP36:AP38" si="558">(+AO36-+AO35)*48</f>
        <v>9072</v>
      </c>
      <c r="AQ36" s="83">
        <v>65441</v>
      </c>
      <c r="AR36" s="104">
        <f t="shared" ref="AR36:AR38" si="559">(+AQ36-+AQ35)*48</f>
        <v>1536</v>
      </c>
      <c r="AS36" s="83">
        <v>2204</v>
      </c>
      <c r="AT36" s="104">
        <f t="shared" ref="AT36:AT38" si="560">(+AS36-+AS35)*48</f>
        <v>0</v>
      </c>
      <c r="AU36" s="83">
        <v>918</v>
      </c>
      <c r="AV36" s="104">
        <f t="shared" ref="AV36:AV38" si="561">(+AU36-+AU35)*48</f>
        <v>0</v>
      </c>
      <c r="AW36" s="83">
        <v>3108</v>
      </c>
      <c r="AX36" s="104">
        <f t="shared" ref="AX36:AX38" si="562">(+AW36-+AW35)*48</f>
        <v>0</v>
      </c>
      <c r="AY36" s="83">
        <v>294535</v>
      </c>
      <c r="AZ36" s="104">
        <f t="shared" ref="AZ36:AZ38" si="563">(+AY36-+AY35)*48</f>
        <v>3168</v>
      </c>
      <c r="BA36" s="83">
        <v>160167</v>
      </c>
      <c r="BB36" s="104">
        <f t="shared" ref="BB36:BB38" si="564">(+BA36-+BA35)*48</f>
        <v>0</v>
      </c>
      <c r="BC36" s="83">
        <v>201742</v>
      </c>
      <c r="BD36" s="104">
        <f t="shared" ref="BD36:BD38" si="565">(+BC36-+BC35)*48</f>
        <v>1536</v>
      </c>
      <c r="BE36" s="83">
        <v>5347</v>
      </c>
      <c r="BF36" s="104">
        <f t="shared" ref="H36:BF39" si="566">(+BE36-+BE35)*48</f>
        <v>0</v>
      </c>
      <c r="BH36" s="105">
        <f t="shared" si="4"/>
        <v>85276.319999999687</v>
      </c>
      <c r="BI36" s="105">
        <f t="shared" si="5"/>
        <v>53961.599999999999</v>
      </c>
    </row>
    <row r="37" spans="1:61" s="36" customFormat="1" ht="39.950000000000003" customHeight="1">
      <c r="A37" s="145">
        <v>44041</v>
      </c>
      <c r="B37" s="35"/>
      <c r="C37" s="83">
        <v>5384028</v>
      </c>
      <c r="D37" s="104">
        <f t="shared" ref="D37:D38" si="567">(+C37-+C36)*48</f>
        <v>84288</v>
      </c>
      <c r="E37" s="38">
        <f t="shared" si="7"/>
        <v>50572.799999999996</v>
      </c>
      <c r="F37" s="104">
        <f t="shared" ref="F37:F38" si="568">D37*0.4</f>
        <v>33715.200000000004</v>
      </c>
      <c r="G37" s="83">
        <v>273267</v>
      </c>
      <c r="H37" s="104">
        <f t="shared" si="0"/>
        <v>480</v>
      </c>
      <c r="I37" s="83">
        <v>74821</v>
      </c>
      <c r="J37" s="38">
        <f t="shared" si="1"/>
        <v>552</v>
      </c>
      <c r="K37" s="83">
        <v>254226</v>
      </c>
      <c r="L37" s="104">
        <f t="shared" si="2"/>
        <v>336</v>
      </c>
      <c r="M37" s="83">
        <v>24364</v>
      </c>
      <c r="N37" s="38">
        <f t="shared" si="3"/>
        <v>0</v>
      </c>
      <c r="O37" s="83">
        <v>210490</v>
      </c>
      <c r="P37" s="38">
        <f t="shared" si="547"/>
        <v>6816</v>
      </c>
      <c r="Q37" s="83">
        <v>429670</v>
      </c>
      <c r="R37" s="104">
        <f t="shared" si="548"/>
        <v>1200</v>
      </c>
      <c r="S37" s="83">
        <v>686816</v>
      </c>
      <c r="T37" s="104">
        <f t="shared" si="549"/>
        <v>6096</v>
      </c>
      <c r="U37" s="83">
        <v>93696.998999999996</v>
      </c>
      <c r="V37" s="104">
        <f t="shared" si="550"/>
        <v>1011.7919999998994</v>
      </c>
      <c r="W37" s="83">
        <v>77193</v>
      </c>
      <c r="X37" s="104">
        <f t="shared" si="551"/>
        <v>0</v>
      </c>
      <c r="Y37" s="83">
        <v>1474032</v>
      </c>
      <c r="Z37" s="104">
        <f t="shared" si="552"/>
        <v>960</v>
      </c>
      <c r="AA37" s="83">
        <v>13166</v>
      </c>
      <c r="AB37" s="104">
        <f t="shared" si="553"/>
        <v>0</v>
      </c>
      <c r="AC37" s="83">
        <v>425776</v>
      </c>
      <c r="AD37" s="104">
        <f t="shared" si="16"/>
        <v>4032</v>
      </c>
      <c r="AE37" s="83">
        <v>502679</v>
      </c>
      <c r="AF37" s="104">
        <f t="shared" si="16"/>
        <v>4560</v>
      </c>
      <c r="AG37" s="83">
        <v>48526</v>
      </c>
      <c r="AH37" s="104">
        <f t="shared" si="554"/>
        <v>192</v>
      </c>
      <c r="AI37" s="83">
        <v>386184</v>
      </c>
      <c r="AJ37" s="104">
        <f t="shared" si="555"/>
        <v>2880</v>
      </c>
      <c r="AK37" s="83">
        <v>102371</v>
      </c>
      <c r="AL37" s="104">
        <f t="shared" si="556"/>
        <v>0</v>
      </c>
      <c r="AM37" s="83">
        <v>548254</v>
      </c>
      <c r="AN37" s="104">
        <f t="shared" si="557"/>
        <v>4800</v>
      </c>
      <c r="AO37" s="83">
        <v>880147</v>
      </c>
      <c r="AP37" s="104">
        <f t="shared" si="558"/>
        <v>8976</v>
      </c>
      <c r="AQ37" s="83">
        <v>65471</v>
      </c>
      <c r="AR37" s="104">
        <f t="shared" si="559"/>
        <v>1440</v>
      </c>
      <c r="AS37" s="83">
        <v>2204</v>
      </c>
      <c r="AT37" s="104">
        <f t="shared" si="560"/>
        <v>0</v>
      </c>
      <c r="AU37" s="83">
        <v>918</v>
      </c>
      <c r="AV37" s="104">
        <f t="shared" si="561"/>
        <v>0</v>
      </c>
      <c r="AW37" s="83">
        <v>3108</v>
      </c>
      <c r="AX37" s="104">
        <f t="shared" si="562"/>
        <v>0</v>
      </c>
      <c r="AY37" s="83">
        <v>294601</v>
      </c>
      <c r="AZ37" s="104">
        <f t="shared" si="563"/>
        <v>3168</v>
      </c>
      <c r="BA37" s="83">
        <v>160167</v>
      </c>
      <c r="BB37" s="104">
        <f t="shared" si="564"/>
        <v>0</v>
      </c>
      <c r="BC37" s="83">
        <v>201789</v>
      </c>
      <c r="BD37" s="104">
        <f t="shared" si="565"/>
        <v>2256</v>
      </c>
      <c r="BE37" s="83">
        <v>5347</v>
      </c>
      <c r="BF37" s="104">
        <f t="shared" si="566"/>
        <v>0</v>
      </c>
      <c r="BH37" s="105">
        <f t="shared" ref="BH37:BH38" si="569">SUM(E37,J37,P37,H37,L37,R37,T37,V37,X37,N37,AB37,Z37,AD37,AF37,AH37,AL37,AJ37)</f>
        <v>79688.591999999888</v>
      </c>
      <c r="BI37" s="105">
        <f t="shared" ref="BI37:BI38" si="570">SUM(F37,AN37,AP37,AT37,AV37,AX37,AR37,AZ37,BB37,BD37,BF37)</f>
        <v>54355.200000000004</v>
      </c>
    </row>
    <row r="38" spans="1:61" s="36" customFormat="1" ht="39.950000000000003" customHeight="1">
      <c r="A38" s="145">
        <v>44042</v>
      </c>
      <c r="B38" s="35"/>
      <c r="C38" s="78">
        <v>5385780</v>
      </c>
      <c r="D38" s="104">
        <f t="shared" si="567"/>
        <v>84096</v>
      </c>
      <c r="E38" s="38">
        <f t="shared" si="7"/>
        <v>50457.599999999999</v>
      </c>
      <c r="F38" s="104">
        <f t="shared" si="568"/>
        <v>33638.400000000001</v>
      </c>
      <c r="G38" s="78">
        <v>273277</v>
      </c>
      <c r="H38" s="104">
        <f t="shared" si="0"/>
        <v>480</v>
      </c>
      <c r="I38" s="78">
        <v>74832.5</v>
      </c>
      <c r="J38" s="38">
        <f t="shared" si="1"/>
        <v>552</v>
      </c>
      <c r="K38" s="78">
        <v>254233</v>
      </c>
      <c r="L38" s="104">
        <f t="shared" si="2"/>
        <v>336</v>
      </c>
      <c r="M38" s="78">
        <v>24364</v>
      </c>
      <c r="N38" s="38">
        <f t="shared" si="3"/>
        <v>0</v>
      </c>
      <c r="O38" s="78">
        <v>210513</v>
      </c>
      <c r="P38" s="38">
        <f t="shared" si="547"/>
        <v>1104</v>
      </c>
      <c r="Q38" s="78">
        <v>429800</v>
      </c>
      <c r="R38" s="104">
        <f t="shared" si="548"/>
        <v>6240</v>
      </c>
      <c r="S38" s="78">
        <v>686939</v>
      </c>
      <c r="T38" s="104">
        <f t="shared" si="549"/>
        <v>5904</v>
      </c>
      <c r="U38" s="78">
        <v>93701.285499999998</v>
      </c>
      <c r="V38" s="104">
        <f t="shared" si="550"/>
        <v>205.75200000009499</v>
      </c>
      <c r="W38" s="78">
        <v>77193</v>
      </c>
      <c r="X38" s="104">
        <f t="shared" si="551"/>
        <v>0</v>
      </c>
      <c r="Y38" s="78">
        <v>1474037</v>
      </c>
      <c r="Z38" s="104">
        <f t="shared" si="552"/>
        <v>240</v>
      </c>
      <c r="AA38" s="78">
        <v>13166</v>
      </c>
      <c r="AB38" s="104">
        <f t="shared" si="553"/>
        <v>0</v>
      </c>
      <c r="AC38" s="78">
        <v>425861.5</v>
      </c>
      <c r="AD38" s="104">
        <f t="shared" ref="AD38" si="571">(+AC38-+AC37)*48</f>
        <v>4104</v>
      </c>
      <c r="AE38" s="78">
        <v>502774.5</v>
      </c>
      <c r="AF38" s="104">
        <f t="shared" ref="AF38" si="572">(+AE38-+AE37)*48</f>
        <v>4584</v>
      </c>
      <c r="AG38" s="78">
        <v>48529</v>
      </c>
      <c r="AH38" s="104">
        <f t="shared" si="554"/>
        <v>144</v>
      </c>
      <c r="AI38" s="78">
        <v>386239</v>
      </c>
      <c r="AJ38" s="104">
        <f t="shared" si="555"/>
        <v>2640</v>
      </c>
      <c r="AK38" s="78">
        <v>102371</v>
      </c>
      <c r="AL38" s="104">
        <f t="shared" si="556"/>
        <v>0</v>
      </c>
      <c r="AM38" s="78">
        <v>548358.5</v>
      </c>
      <c r="AN38" s="104">
        <f t="shared" si="557"/>
        <v>5016</v>
      </c>
      <c r="AO38" s="78">
        <v>880309</v>
      </c>
      <c r="AP38" s="104">
        <f t="shared" si="558"/>
        <v>7776</v>
      </c>
      <c r="AQ38" s="78">
        <v>65475.5</v>
      </c>
      <c r="AR38" s="104">
        <f t="shared" si="559"/>
        <v>216</v>
      </c>
      <c r="AS38" s="78">
        <v>2204</v>
      </c>
      <c r="AT38" s="104">
        <f t="shared" si="560"/>
        <v>0</v>
      </c>
      <c r="AU38" s="78">
        <v>918</v>
      </c>
      <c r="AV38" s="104">
        <f t="shared" si="561"/>
        <v>0</v>
      </c>
      <c r="AW38" s="78">
        <v>3108</v>
      </c>
      <c r="AX38" s="104">
        <f t="shared" si="562"/>
        <v>0</v>
      </c>
      <c r="AY38" s="78">
        <v>294668</v>
      </c>
      <c r="AZ38" s="104">
        <f t="shared" si="563"/>
        <v>3216</v>
      </c>
      <c r="BA38" s="78">
        <v>160167</v>
      </c>
      <c r="BB38" s="104">
        <f t="shared" si="564"/>
        <v>0</v>
      </c>
      <c r="BC38" s="78">
        <v>201802.5</v>
      </c>
      <c r="BD38" s="104">
        <f t="shared" si="565"/>
        <v>648</v>
      </c>
      <c r="BE38" s="78">
        <v>5347</v>
      </c>
      <c r="BF38" s="104">
        <f t="shared" si="566"/>
        <v>0</v>
      </c>
      <c r="BH38" s="105">
        <f t="shared" si="569"/>
        <v>76991.352000000101</v>
      </c>
      <c r="BI38" s="105">
        <f t="shared" si="570"/>
        <v>50510.400000000001</v>
      </c>
    </row>
    <row r="39" spans="1:61" s="36" customFormat="1" ht="39.950000000000003" customHeight="1">
      <c r="A39" s="145">
        <v>44043</v>
      </c>
      <c r="B39" s="35"/>
      <c r="C39" s="77">
        <v>5387532</v>
      </c>
      <c r="D39" s="104">
        <f t="shared" ref="D39" si="573">(+C39-+C38)*48</f>
        <v>84096</v>
      </c>
      <c r="E39" s="38">
        <f t="shared" ref="E39" si="574">D39*0.6</f>
        <v>50457.599999999999</v>
      </c>
      <c r="F39" s="104">
        <f t="shared" ref="F39" si="575">D39*0.4</f>
        <v>33638.400000000001</v>
      </c>
      <c r="G39" s="77">
        <v>273287</v>
      </c>
      <c r="H39" s="104">
        <f t="shared" si="566"/>
        <v>480</v>
      </c>
      <c r="I39" s="77">
        <v>74844</v>
      </c>
      <c r="J39" s="104">
        <f t="shared" si="566"/>
        <v>552</v>
      </c>
      <c r="K39" s="77">
        <v>254240</v>
      </c>
      <c r="L39" s="104">
        <f t="shared" si="566"/>
        <v>336</v>
      </c>
      <c r="M39" s="77">
        <v>24364</v>
      </c>
      <c r="N39" s="104">
        <f t="shared" si="566"/>
        <v>0</v>
      </c>
      <c r="O39" s="77">
        <v>210536</v>
      </c>
      <c r="P39" s="104">
        <f t="shared" si="566"/>
        <v>1104</v>
      </c>
      <c r="Q39" s="77">
        <v>429930</v>
      </c>
      <c r="R39" s="104">
        <f t="shared" si="566"/>
        <v>6240</v>
      </c>
      <c r="S39" s="77">
        <v>687062</v>
      </c>
      <c r="T39" s="104">
        <f t="shared" si="566"/>
        <v>5904</v>
      </c>
      <c r="U39" s="77">
        <v>93705.572</v>
      </c>
      <c r="V39" s="104">
        <f t="shared" si="566"/>
        <v>205.75200000009499</v>
      </c>
      <c r="W39" s="77">
        <v>77193</v>
      </c>
      <c r="X39" s="104">
        <f t="shared" si="566"/>
        <v>0</v>
      </c>
      <c r="Y39" s="77">
        <v>1474042</v>
      </c>
      <c r="Z39" s="104">
        <f t="shared" si="566"/>
        <v>240</v>
      </c>
      <c r="AA39" s="77">
        <v>13166</v>
      </c>
      <c r="AB39" s="104">
        <f t="shared" si="566"/>
        <v>0</v>
      </c>
      <c r="AC39" s="77">
        <v>425947</v>
      </c>
      <c r="AD39" s="104">
        <f t="shared" si="566"/>
        <v>4104</v>
      </c>
      <c r="AE39" s="77">
        <v>502870</v>
      </c>
      <c r="AF39" s="104">
        <f t="shared" si="566"/>
        <v>4584</v>
      </c>
      <c r="AG39" s="77">
        <v>48532</v>
      </c>
      <c r="AH39" s="104">
        <f t="shared" si="566"/>
        <v>144</v>
      </c>
      <c r="AI39" s="77">
        <v>386294</v>
      </c>
      <c r="AJ39" s="104">
        <f t="shared" si="566"/>
        <v>2640</v>
      </c>
      <c r="AK39" s="77">
        <v>102371</v>
      </c>
      <c r="AL39" s="104">
        <f t="shared" si="566"/>
        <v>0</v>
      </c>
      <c r="AM39" s="77">
        <v>548463</v>
      </c>
      <c r="AN39" s="104">
        <f t="shared" si="566"/>
        <v>5016</v>
      </c>
      <c r="AO39" s="77">
        <v>880471</v>
      </c>
      <c r="AP39" s="104">
        <f t="shared" si="566"/>
        <v>7776</v>
      </c>
      <c r="AQ39" s="77">
        <v>65480</v>
      </c>
      <c r="AR39" s="104">
        <f t="shared" si="566"/>
        <v>216</v>
      </c>
      <c r="AS39" s="77">
        <v>2204</v>
      </c>
      <c r="AT39" s="104">
        <f t="shared" si="566"/>
        <v>0</v>
      </c>
      <c r="AU39" s="77">
        <v>918</v>
      </c>
      <c r="AV39" s="104">
        <f t="shared" si="566"/>
        <v>0</v>
      </c>
      <c r="AW39" s="77">
        <v>3108</v>
      </c>
      <c r="AX39" s="104">
        <f t="shared" si="566"/>
        <v>0</v>
      </c>
      <c r="AY39" s="77">
        <v>294735</v>
      </c>
      <c r="AZ39" s="104">
        <f t="shared" si="566"/>
        <v>3216</v>
      </c>
      <c r="BA39" s="77">
        <v>160167</v>
      </c>
      <c r="BB39" s="104">
        <f t="shared" si="566"/>
        <v>0</v>
      </c>
      <c r="BC39" s="77">
        <v>201816</v>
      </c>
      <c r="BD39" s="104">
        <f t="shared" si="566"/>
        <v>648</v>
      </c>
      <c r="BE39" s="77">
        <v>5347</v>
      </c>
      <c r="BF39" s="104">
        <f t="shared" si="566"/>
        <v>0</v>
      </c>
      <c r="BH39" s="105">
        <f t="shared" ref="BH39" si="576">SUM(E39,J39,P39,H39,L39,R39,T39,V39,X39,N39,AB39,Z39,AD39,AF39,AH39,AL39,AJ39)</f>
        <v>76991.352000000101</v>
      </c>
      <c r="BI39" s="105">
        <f t="shared" ref="BI39" si="577">SUM(F39,AN39,AP39,AT39,AV39,AX39,AR39,AZ39,BB39,BD39,BF39)</f>
        <v>50510.400000000001</v>
      </c>
    </row>
    <row r="40" spans="1:61" s="36" customFormat="1" ht="39.950000000000003" customHeight="1">
      <c r="A40" s="37"/>
      <c r="G40" s="77"/>
      <c r="I40" s="77"/>
      <c r="K40" s="77"/>
      <c r="M40" s="7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6" t="s">
        <v>196</v>
      </c>
      <c r="C1" s="246"/>
      <c r="D1" s="246" t="s">
        <v>196</v>
      </c>
      <c r="E1" s="246"/>
      <c r="F1" s="246" t="s">
        <v>196</v>
      </c>
      <c r="G1" s="246"/>
      <c r="H1" s="246" t="s">
        <v>197</v>
      </c>
      <c r="I1" s="246"/>
      <c r="J1" s="245"/>
      <c r="K1" s="245"/>
      <c r="L1" s="246" t="s">
        <v>198</v>
      </c>
      <c r="M1" s="246"/>
      <c r="N1" s="246" t="s">
        <v>198</v>
      </c>
      <c r="O1" s="246"/>
      <c r="P1" s="246" t="s">
        <v>198</v>
      </c>
      <c r="Q1" s="246"/>
      <c r="R1" s="246" t="s">
        <v>198</v>
      </c>
      <c r="S1" s="246"/>
      <c r="T1" s="246" t="s">
        <v>199</v>
      </c>
      <c r="U1" s="246"/>
      <c r="V1" s="250" t="s">
        <v>199</v>
      </c>
      <c r="W1" s="250"/>
      <c r="X1" s="246" t="s">
        <v>199</v>
      </c>
      <c r="Y1" s="246"/>
      <c r="Z1" s="246" t="s">
        <v>199</v>
      </c>
      <c r="AA1" s="246"/>
      <c r="AB1" s="245"/>
      <c r="AC1" s="245"/>
      <c r="AD1" s="246" t="s">
        <v>199</v>
      </c>
      <c r="AE1" s="246"/>
      <c r="AF1" s="246" t="s">
        <v>199</v>
      </c>
      <c r="AG1" s="246"/>
      <c r="AH1" s="246" t="s">
        <v>200</v>
      </c>
      <c r="AI1" s="246"/>
      <c r="AJ1" s="246" t="s">
        <v>200</v>
      </c>
      <c r="AK1" s="246"/>
      <c r="AL1" s="249" t="s">
        <v>200</v>
      </c>
      <c r="AM1" s="249"/>
      <c r="AN1" s="246" t="s">
        <v>200</v>
      </c>
      <c r="AO1" s="246"/>
      <c r="AP1" s="245" t="s">
        <v>200</v>
      </c>
      <c r="AQ1" s="245"/>
      <c r="AR1" s="249" t="s">
        <v>200</v>
      </c>
      <c r="AS1" s="249"/>
      <c r="AT1" s="246" t="s">
        <v>200</v>
      </c>
      <c r="AU1" s="246"/>
      <c r="AV1" s="245"/>
      <c r="AW1" s="245"/>
      <c r="AX1" s="246" t="s">
        <v>200</v>
      </c>
      <c r="AY1" s="246"/>
      <c r="AZ1" s="246" t="s">
        <v>200</v>
      </c>
      <c r="BA1" s="246"/>
      <c r="BB1" s="246" t="s">
        <v>200</v>
      </c>
      <c r="BC1" s="246"/>
      <c r="BD1" s="246" t="s">
        <v>201</v>
      </c>
      <c r="BE1" s="246"/>
      <c r="BF1" s="246" t="s">
        <v>201</v>
      </c>
      <c r="BG1" s="246"/>
      <c r="BH1" s="246" t="s">
        <v>201</v>
      </c>
      <c r="BI1" s="246"/>
      <c r="BJ1" s="246" t="s">
        <v>201</v>
      </c>
      <c r="BK1" s="246"/>
      <c r="BL1" s="246" t="s">
        <v>201</v>
      </c>
      <c r="BM1" s="246"/>
      <c r="BN1" s="246" t="s">
        <v>201</v>
      </c>
      <c r="BO1" s="246"/>
      <c r="BP1" s="246" t="s">
        <v>201</v>
      </c>
      <c r="BQ1" s="246"/>
      <c r="BR1" s="246" t="s">
        <v>201</v>
      </c>
      <c r="BS1" s="246"/>
      <c r="BT1" s="246" t="s">
        <v>201</v>
      </c>
      <c r="BU1" s="246"/>
      <c r="BV1" s="246" t="s">
        <v>201</v>
      </c>
      <c r="BW1" s="246"/>
      <c r="BX1" s="246" t="s">
        <v>201</v>
      </c>
      <c r="BY1" s="246"/>
      <c r="BZ1" s="246" t="s">
        <v>202</v>
      </c>
      <c r="CA1" s="246"/>
      <c r="CB1" s="250" t="s">
        <v>202</v>
      </c>
      <c r="CC1" s="250"/>
      <c r="CD1" s="246" t="s">
        <v>202</v>
      </c>
      <c r="CE1" s="246"/>
      <c r="CF1" s="246" t="s">
        <v>202</v>
      </c>
      <c r="CG1" s="246"/>
      <c r="CH1" s="246" t="s">
        <v>203</v>
      </c>
      <c r="CI1" s="246"/>
      <c r="CJ1" s="246" t="s">
        <v>203</v>
      </c>
      <c r="CK1" s="246"/>
      <c r="CL1" s="246" t="s">
        <v>203</v>
      </c>
      <c r="CM1" s="246"/>
      <c r="CN1" s="246" t="s">
        <v>204</v>
      </c>
      <c r="CO1" s="246"/>
      <c r="CP1" s="246" t="s">
        <v>204</v>
      </c>
      <c r="CQ1" s="246"/>
      <c r="CR1" s="250" t="s">
        <v>204</v>
      </c>
      <c r="CS1" s="250"/>
      <c r="CT1" s="246" t="s">
        <v>204</v>
      </c>
      <c r="CU1" s="246"/>
      <c r="CV1" s="246" t="s">
        <v>204</v>
      </c>
      <c r="CW1" s="246"/>
      <c r="CX1" s="246" t="s">
        <v>204</v>
      </c>
      <c r="CY1" s="246"/>
      <c r="CZ1" s="246" t="s">
        <v>204</v>
      </c>
      <c r="DA1" s="246"/>
      <c r="DB1" s="246" t="s">
        <v>204</v>
      </c>
      <c r="DC1" s="246"/>
      <c r="DD1" s="246" t="s">
        <v>204</v>
      </c>
      <c r="DE1" s="246"/>
      <c r="DF1" s="246" t="s">
        <v>204</v>
      </c>
      <c r="DG1" s="246"/>
      <c r="DH1" s="246" t="s">
        <v>204</v>
      </c>
      <c r="DI1" s="246"/>
      <c r="DJ1" s="245" t="s">
        <v>204</v>
      </c>
      <c r="DK1" s="245"/>
      <c r="DL1" s="246" t="s">
        <v>205</v>
      </c>
      <c r="DM1" s="246"/>
      <c r="DN1" s="246" t="s">
        <v>205</v>
      </c>
      <c r="DO1" s="246"/>
      <c r="DP1" s="246" t="s">
        <v>205</v>
      </c>
      <c r="DQ1" s="246"/>
      <c r="DR1" s="246" t="s">
        <v>205</v>
      </c>
      <c r="DS1" s="246"/>
      <c r="DT1" s="246" t="s">
        <v>205</v>
      </c>
      <c r="DU1" s="246"/>
      <c r="DV1" s="246" t="s">
        <v>205</v>
      </c>
      <c r="DW1" s="246"/>
      <c r="DX1" s="246" t="s">
        <v>206</v>
      </c>
      <c r="DY1" s="246"/>
      <c r="DZ1" s="246" t="s">
        <v>206</v>
      </c>
      <c r="EA1" s="246"/>
      <c r="EB1" s="246" t="s">
        <v>206</v>
      </c>
      <c r="EC1" s="246"/>
      <c r="ED1" s="246" t="s">
        <v>206</v>
      </c>
      <c r="EE1" s="246"/>
      <c r="EF1" s="246" t="s">
        <v>206</v>
      </c>
      <c r="EG1" s="246"/>
      <c r="EH1" s="246" t="s">
        <v>206</v>
      </c>
      <c r="EI1" s="246"/>
      <c r="EJ1" s="246" t="s">
        <v>206</v>
      </c>
      <c r="EK1" s="246"/>
      <c r="EL1" s="246" t="s">
        <v>207</v>
      </c>
      <c r="EM1" s="246"/>
      <c r="EN1" s="246" t="s">
        <v>207</v>
      </c>
      <c r="EO1" s="246"/>
      <c r="EP1" s="246" t="s">
        <v>207</v>
      </c>
      <c r="EQ1" s="246"/>
      <c r="ER1" s="246" t="s">
        <v>208</v>
      </c>
      <c r="ES1" s="246"/>
      <c r="ET1" s="246" t="s">
        <v>208</v>
      </c>
      <c r="EU1" s="246"/>
      <c r="EV1" s="246" t="s">
        <v>208</v>
      </c>
      <c r="EW1" s="246"/>
      <c r="EX1" s="246" t="s">
        <v>209</v>
      </c>
      <c r="EY1" s="246"/>
      <c r="EZ1" s="246" t="s">
        <v>210</v>
      </c>
      <c r="FA1" s="246"/>
      <c r="FB1" s="246" t="s">
        <v>210</v>
      </c>
      <c r="FC1" s="246"/>
      <c r="FD1" s="246" t="s">
        <v>210</v>
      </c>
      <c r="FE1" s="246"/>
      <c r="FF1" s="246" t="s">
        <v>211</v>
      </c>
      <c r="FG1" s="246"/>
      <c r="FH1" s="246" t="s">
        <v>211</v>
      </c>
      <c r="FI1" s="246"/>
      <c r="FJ1" s="246" t="s">
        <v>211</v>
      </c>
      <c r="FK1" s="246"/>
      <c r="FL1" s="245" t="s">
        <v>211</v>
      </c>
      <c r="FM1" s="245"/>
    </row>
    <row r="2" spans="1:169" s="24" customFormat="1" ht="49.5" customHeight="1">
      <c r="B2" s="246" t="s">
        <v>212</v>
      </c>
      <c r="C2" s="246"/>
      <c r="D2" s="246" t="s">
        <v>213</v>
      </c>
      <c r="E2" s="246"/>
      <c r="F2" s="246" t="s">
        <v>212</v>
      </c>
      <c r="G2" s="246"/>
      <c r="H2" s="246" t="s">
        <v>213</v>
      </c>
      <c r="I2" s="246"/>
      <c r="J2" s="246" t="s">
        <v>213</v>
      </c>
      <c r="K2" s="246"/>
      <c r="L2" s="246" t="s">
        <v>212</v>
      </c>
      <c r="M2" s="246"/>
      <c r="N2" s="246" t="s">
        <v>212</v>
      </c>
      <c r="O2" s="246"/>
      <c r="P2" s="246" t="s">
        <v>213</v>
      </c>
      <c r="Q2" s="246"/>
      <c r="R2" s="246" t="s">
        <v>213</v>
      </c>
      <c r="S2" s="246"/>
      <c r="T2" s="246" t="s">
        <v>212</v>
      </c>
      <c r="U2" s="246"/>
      <c r="V2" s="246" t="s">
        <v>213</v>
      </c>
      <c r="W2" s="246"/>
      <c r="X2" s="246" t="s">
        <v>213</v>
      </c>
      <c r="Y2" s="246"/>
      <c r="Z2" s="246" t="s">
        <v>213</v>
      </c>
      <c r="AA2" s="246"/>
      <c r="AB2" s="245" t="s">
        <v>213</v>
      </c>
      <c r="AC2" s="245"/>
      <c r="AD2" s="246" t="s">
        <v>212</v>
      </c>
      <c r="AE2" s="246"/>
      <c r="AF2" s="246" t="s">
        <v>213</v>
      </c>
      <c r="AG2" s="246"/>
      <c r="AH2" s="246" t="s">
        <v>213</v>
      </c>
      <c r="AI2" s="246"/>
      <c r="AJ2" s="246" t="s">
        <v>213</v>
      </c>
      <c r="AK2" s="246"/>
      <c r="AL2" s="246" t="s">
        <v>213</v>
      </c>
      <c r="AM2" s="246"/>
      <c r="AN2" s="246" t="s">
        <v>213</v>
      </c>
      <c r="AO2" s="246"/>
      <c r="AP2" s="245" t="s">
        <v>213</v>
      </c>
      <c r="AQ2" s="245"/>
      <c r="AR2" s="246" t="s">
        <v>213</v>
      </c>
      <c r="AS2" s="246"/>
      <c r="AT2" s="246" t="s">
        <v>213</v>
      </c>
      <c r="AU2" s="246"/>
      <c r="AV2" s="245" t="s">
        <v>213</v>
      </c>
      <c r="AW2" s="245"/>
      <c r="AX2" s="246" t="s">
        <v>213</v>
      </c>
      <c r="AY2" s="246"/>
      <c r="AZ2" s="246" t="s">
        <v>213</v>
      </c>
      <c r="BA2" s="246"/>
      <c r="BB2" s="246" t="s">
        <v>213</v>
      </c>
      <c r="BC2" s="246"/>
      <c r="BD2" s="246" t="s">
        <v>212</v>
      </c>
      <c r="BE2" s="246"/>
      <c r="BF2" s="246" t="s">
        <v>214</v>
      </c>
      <c r="BG2" s="246"/>
      <c r="BH2" s="246" t="s">
        <v>213</v>
      </c>
      <c r="BI2" s="246"/>
      <c r="BJ2" s="246" t="s">
        <v>213</v>
      </c>
      <c r="BK2" s="246"/>
      <c r="BL2" s="246" t="s">
        <v>213</v>
      </c>
      <c r="BM2" s="246"/>
      <c r="BN2" s="246" t="s">
        <v>213</v>
      </c>
      <c r="BO2" s="246"/>
      <c r="BP2" s="246" t="s">
        <v>213</v>
      </c>
      <c r="BQ2" s="246"/>
      <c r="BR2" s="246" t="s">
        <v>213</v>
      </c>
      <c r="BS2" s="246"/>
      <c r="BT2" s="246" t="s">
        <v>213</v>
      </c>
      <c r="BU2" s="246"/>
      <c r="BV2" s="246" t="s">
        <v>213</v>
      </c>
      <c r="BW2" s="246"/>
      <c r="BX2" s="246" t="s">
        <v>213</v>
      </c>
      <c r="BY2" s="246"/>
      <c r="BZ2" s="246" t="s">
        <v>212</v>
      </c>
      <c r="CA2" s="246"/>
      <c r="CB2" s="246" t="s">
        <v>212</v>
      </c>
      <c r="CC2" s="246"/>
      <c r="CD2" s="246" t="s">
        <v>212</v>
      </c>
      <c r="CE2" s="246"/>
      <c r="CF2" s="246" t="s">
        <v>212</v>
      </c>
      <c r="CG2" s="246"/>
      <c r="CH2" s="246" t="s">
        <v>213</v>
      </c>
      <c r="CI2" s="246"/>
      <c r="CJ2" s="246" t="s">
        <v>213</v>
      </c>
      <c r="CK2" s="246"/>
      <c r="CL2" s="246" t="s">
        <v>213</v>
      </c>
      <c r="CM2" s="246"/>
      <c r="CN2" s="246" t="s">
        <v>212</v>
      </c>
      <c r="CO2" s="246"/>
      <c r="CP2" s="246" t="s">
        <v>213</v>
      </c>
      <c r="CQ2" s="246"/>
      <c r="CR2" s="246" t="s">
        <v>213</v>
      </c>
      <c r="CS2" s="246"/>
      <c r="CT2" s="246" t="s">
        <v>213</v>
      </c>
      <c r="CU2" s="246"/>
      <c r="CV2" s="246" t="s">
        <v>213</v>
      </c>
      <c r="CW2" s="246"/>
      <c r="CX2" s="246" t="s">
        <v>213</v>
      </c>
      <c r="CY2" s="246"/>
      <c r="CZ2" s="246" t="s">
        <v>213</v>
      </c>
      <c r="DA2" s="246"/>
      <c r="DB2" s="246" t="s">
        <v>212</v>
      </c>
      <c r="DC2" s="246"/>
      <c r="DD2" s="246" t="s">
        <v>213</v>
      </c>
      <c r="DE2" s="246"/>
      <c r="DF2" s="246" t="s">
        <v>213</v>
      </c>
      <c r="DG2" s="246"/>
      <c r="DH2" s="246" t="s">
        <v>213</v>
      </c>
      <c r="DI2" s="246"/>
      <c r="DJ2" s="245" t="s">
        <v>213</v>
      </c>
      <c r="DK2" s="245"/>
      <c r="DL2" s="246" t="s">
        <v>213</v>
      </c>
      <c r="DM2" s="246"/>
      <c r="DN2" s="246" t="s">
        <v>213</v>
      </c>
      <c r="DO2" s="246"/>
      <c r="DP2" s="246" t="s">
        <v>213</v>
      </c>
      <c r="DQ2" s="246"/>
      <c r="DR2" s="246" t="s">
        <v>213</v>
      </c>
      <c r="DS2" s="246"/>
      <c r="DT2" s="246" t="s">
        <v>213</v>
      </c>
      <c r="DU2" s="246"/>
      <c r="DV2" s="246" t="s">
        <v>213</v>
      </c>
      <c r="DW2" s="246"/>
      <c r="DX2" s="246" t="s">
        <v>213</v>
      </c>
      <c r="DY2" s="246"/>
      <c r="DZ2" s="246" t="s">
        <v>213</v>
      </c>
      <c r="EA2" s="246"/>
      <c r="EB2" s="246" t="s">
        <v>213</v>
      </c>
      <c r="EC2" s="246"/>
      <c r="ED2" s="246" t="s">
        <v>213</v>
      </c>
      <c r="EE2" s="246"/>
      <c r="EF2" s="246" t="s">
        <v>213</v>
      </c>
      <c r="EG2" s="246"/>
      <c r="EH2" s="246" t="s">
        <v>213</v>
      </c>
      <c r="EI2" s="246"/>
      <c r="EJ2" s="246" t="s">
        <v>213</v>
      </c>
      <c r="EK2" s="246"/>
      <c r="EL2" s="246" t="s">
        <v>213</v>
      </c>
      <c r="EM2" s="246"/>
      <c r="EN2" s="246" t="s">
        <v>213</v>
      </c>
      <c r="EO2" s="246"/>
      <c r="EP2" s="246" t="s">
        <v>213</v>
      </c>
      <c r="EQ2" s="246"/>
      <c r="ER2" s="246" t="s">
        <v>213</v>
      </c>
      <c r="ES2" s="246"/>
      <c r="ET2" s="246" t="s">
        <v>213</v>
      </c>
      <c r="EU2" s="246"/>
      <c r="EV2" s="246" t="s">
        <v>213</v>
      </c>
      <c r="EW2" s="246"/>
      <c r="EX2" s="246" t="s">
        <v>213</v>
      </c>
      <c r="EY2" s="246"/>
      <c r="EZ2" s="246" t="s">
        <v>213</v>
      </c>
      <c r="FA2" s="246"/>
      <c r="FB2" s="246" t="s">
        <v>213</v>
      </c>
      <c r="FC2" s="246"/>
      <c r="FD2" s="246" t="s">
        <v>213</v>
      </c>
      <c r="FE2" s="246"/>
      <c r="FF2" s="246" t="s">
        <v>213</v>
      </c>
      <c r="FG2" s="246"/>
      <c r="FH2" s="246" t="s">
        <v>213</v>
      </c>
      <c r="FI2" s="246"/>
      <c r="FJ2" s="246" t="s">
        <v>213</v>
      </c>
      <c r="FK2" s="246"/>
      <c r="FL2" s="245" t="s">
        <v>213</v>
      </c>
      <c r="FM2" s="245"/>
    </row>
    <row r="3" spans="1:169" s="24" customFormat="1" ht="49.5" customHeight="1">
      <c r="B3" s="211" t="s">
        <v>66</v>
      </c>
      <c r="C3" s="213"/>
      <c r="D3" s="211" t="s">
        <v>215</v>
      </c>
      <c r="E3" s="213"/>
      <c r="F3" s="211"/>
      <c r="G3" s="213"/>
      <c r="H3" s="211" t="s">
        <v>215</v>
      </c>
      <c r="I3" s="213"/>
      <c r="J3" s="211" t="s">
        <v>215</v>
      </c>
      <c r="K3" s="213"/>
      <c r="L3" s="211"/>
      <c r="M3" s="213"/>
      <c r="N3" s="211"/>
      <c r="O3" s="213"/>
      <c r="P3" s="211" t="s">
        <v>215</v>
      </c>
      <c r="Q3" s="213"/>
      <c r="R3" s="211" t="s">
        <v>215</v>
      </c>
      <c r="S3" s="213"/>
      <c r="T3" s="211"/>
      <c r="U3" s="213"/>
      <c r="V3" s="211" t="s">
        <v>216</v>
      </c>
      <c r="W3" s="213"/>
      <c r="X3" s="211" t="s">
        <v>216</v>
      </c>
      <c r="Y3" s="213"/>
      <c r="Z3" s="211" t="s">
        <v>216</v>
      </c>
      <c r="AA3" s="213"/>
      <c r="AB3" s="247" t="s">
        <v>216</v>
      </c>
      <c r="AC3" s="248"/>
      <c r="AD3" s="211"/>
      <c r="AE3" s="213"/>
      <c r="AF3" s="211" t="s">
        <v>216</v>
      </c>
      <c r="AG3" s="213"/>
      <c r="AH3" s="211" t="s">
        <v>215</v>
      </c>
      <c r="AI3" s="213"/>
      <c r="AJ3" s="211" t="s">
        <v>215</v>
      </c>
      <c r="AK3" s="213"/>
      <c r="AL3" s="211" t="s">
        <v>215</v>
      </c>
      <c r="AM3" s="213"/>
      <c r="AN3" s="211" t="s">
        <v>215</v>
      </c>
      <c r="AO3" s="213"/>
      <c r="AP3" s="247" t="s">
        <v>215</v>
      </c>
      <c r="AQ3" s="248"/>
      <c r="AR3" s="211" t="s">
        <v>215</v>
      </c>
      <c r="AS3" s="213"/>
      <c r="AT3" s="211" t="s">
        <v>215</v>
      </c>
      <c r="AU3" s="213"/>
      <c r="AV3" s="247" t="s">
        <v>215</v>
      </c>
      <c r="AW3" s="248"/>
      <c r="AX3" s="211" t="s">
        <v>215</v>
      </c>
      <c r="AY3" s="213"/>
      <c r="AZ3" s="211" t="s">
        <v>215</v>
      </c>
      <c r="BA3" s="213"/>
      <c r="BB3" s="211" t="s">
        <v>215</v>
      </c>
      <c r="BC3" s="213"/>
      <c r="BD3" s="211"/>
      <c r="BE3" s="213"/>
      <c r="BF3" s="211"/>
      <c r="BG3" s="213"/>
      <c r="BH3" s="211" t="s">
        <v>215</v>
      </c>
      <c r="BI3" s="213"/>
      <c r="BJ3" s="211" t="s">
        <v>215</v>
      </c>
      <c r="BK3" s="213"/>
      <c r="BL3" s="211" t="s">
        <v>215</v>
      </c>
      <c r="BM3" s="213"/>
      <c r="BN3" s="211" t="s">
        <v>215</v>
      </c>
      <c r="BO3" s="213"/>
      <c r="BP3" s="211" t="s">
        <v>215</v>
      </c>
      <c r="BQ3" s="213"/>
      <c r="BR3" s="211" t="s">
        <v>215</v>
      </c>
      <c r="BS3" s="213"/>
      <c r="BT3" s="211" t="s">
        <v>215</v>
      </c>
      <c r="BU3" s="213"/>
      <c r="BV3" s="211" t="s">
        <v>215</v>
      </c>
      <c r="BW3" s="213"/>
      <c r="BX3" s="211" t="s">
        <v>215</v>
      </c>
      <c r="BY3" s="213"/>
      <c r="BZ3" s="211" t="s">
        <v>65</v>
      </c>
      <c r="CA3" s="213"/>
      <c r="CB3" s="211" t="s">
        <v>65</v>
      </c>
      <c r="CC3" s="213"/>
      <c r="CD3" s="211" t="s">
        <v>65</v>
      </c>
      <c r="CE3" s="213"/>
      <c r="CF3" s="113"/>
      <c r="CG3" s="113"/>
      <c r="CH3" s="211" t="s">
        <v>66</v>
      </c>
      <c r="CI3" s="213"/>
      <c r="CJ3" s="211" t="s">
        <v>66</v>
      </c>
      <c r="CK3" s="213"/>
      <c r="CL3" s="211" t="s">
        <v>215</v>
      </c>
      <c r="CM3" s="213"/>
      <c r="CN3" s="211"/>
      <c r="CO3" s="213"/>
      <c r="CP3" s="211" t="s">
        <v>215</v>
      </c>
      <c r="CQ3" s="213"/>
      <c r="CR3" s="211" t="s">
        <v>215</v>
      </c>
      <c r="CS3" s="213"/>
      <c r="CT3" s="211" t="s">
        <v>215</v>
      </c>
      <c r="CU3" s="213"/>
      <c r="CV3" s="211" t="s">
        <v>215</v>
      </c>
      <c r="CW3" s="213"/>
      <c r="CX3" s="211" t="s">
        <v>215</v>
      </c>
      <c r="CY3" s="213"/>
      <c r="CZ3" s="211" t="s">
        <v>215</v>
      </c>
      <c r="DA3" s="213"/>
      <c r="DB3" s="211" t="s">
        <v>215</v>
      </c>
      <c r="DC3" s="213"/>
      <c r="DD3" s="211" t="s">
        <v>215</v>
      </c>
      <c r="DE3" s="213"/>
      <c r="DF3" s="211" t="s">
        <v>215</v>
      </c>
      <c r="DG3" s="213"/>
      <c r="DH3" s="211" t="s">
        <v>215</v>
      </c>
      <c r="DI3" s="213"/>
      <c r="DJ3" s="247" t="s">
        <v>215</v>
      </c>
      <c r="DK3" s="248"/>
      <c r="DL3" s="211" t="s">
        <v>64</v>
      </c>
      <c r="DM3" s="213"/>
      <c r="DN3" s="211" t="s">
        <v>64</v>
      </c>
      <c r="DO3" s="213"/>
      <c r="DP3" s="211" t="s">
        <v>64</v>
      </c>
      <c r="DQ3" s="213"/>
      <c r="DR3" s="211" t="s">
        <v>64</v>
      </c>
      <c r="DS3" s="213"/>
      <c r="DT3" s="211" t="s">
        <v>64</v>
      </c>
      <c r="DU3" s="213"/>
      <c r="DV3" s="211" t="s">
        <v>217</v>
      </c>
      <c r="DW3" s="213"/>
      <c r="DX3" s="211" t="s">
        <v>64</v>
      </c>
      <c r="DY3" s="213"/>
      <c r="DZ3" s="211" t="s">
        <v>216</v>
      </c>
      <c r="EA3" s="213"/>
      <c r="EB3" s="211" t="s">
        <v>64</v>
      </c>
      <c r="EC3" s="213"/>
      <c r="ED3" s="211" t="s">
        <v>64</v>
      </c>
      <c r="EE3" s="213"/>
      <c r="EF3" s="211" t="s">
        <v>64</v>
      </c>
      <c r="EG3" s="213"/>
      <c r="EH3" s="211" t="s">
        <v>64</v>
      </c>
      <c r="EI3" s="213"/>
      <c r="EJ3" s="211" t="s">
        <v>64</v>
      </c>
      <c r="EK3" s="213"/>
      <c r="EL3" s="211" t="s">
        <v>66</v>
      </c>
      <c r="EM3" s="213"/>
      <c r="EN3" s="211" t="s">
        <v>66</v>
      </c>
      <c r="EO3" s="213"/>
      <c r="EP3" s="211" t="s">
        <v>66</v>
      </c>
      <c r="EQ3" s="213"/>
      <c r="ER3" s="211" t="s">
        <v>66</v>
      </c>
      <c r="ES3" s="213"/>
      <c r="ET3" s="211" t="s">
        <v>66</v>
      </c>
      <c r="EU3" s="213"/>
      <c r="EV3" s="211" t="s">
        <v>66</v>
      </c>
      <c r="EW3" s="213"/>
      <c r="EX3" s="211" t="s">
        <v>66</v>
      </c>
      <c r="EY3" s="213"/>
      <c r="EZ3" s="211" t="s">
        <v>66</v>
      </c>
      <c r="FA3" s="213"/>
      <c r="FB3" s="211" t="s">
        <v>66</v>
      </c>
      <c r="FC3" s="213"/>
      <c r="FD3" s="211" t="s">
        <v>66</v>
      </c>
      <c r="FE3" s="213"/>
      <c r="FF3" s="211" t="s">
        <v>66</v>
      </c>
      <c r="FG3" s="213"/>
      <c r="FH3" s="211" t="s">
        <v>66</v>
      </c>
      <c r="FI3" s="213"/>
      <c r="FJ3" s="211" t="s">
        <v>66</v>
      </c>
      <c r="FK3" s="213"/>
      <c r="FL3" s="247" t="s">
        <v>215</v>
      </c>
      <c r="FM3" s="248"/>
    </row>
    <row r="4" spans="1:169" s="24" customFormat="1" ht="30" customHeight="1">
      <c r="B4" s="211" t="s">
        <v>218</v>
      </c>
      <c r="C4" s="213"/>
      <c r="D4" s="211" t="s">
        <v>218</v>
      </c>
      <c r="E4" s="213"/>
      <c r="F4" s="110"/>
      <c r="G4" s="111"/>
      <c r="H4" s="211" t="s">
        <v>218</v>
      </c>
      <c r="I4" s="213"/>
      <c r="J4" s="211" t="s">
        <v>219</v>
      </c>
      <c r="K4" s="213"/>
      <c r="L4" s="110"/>
      <c r="M4" s="111"/>
      <c r="N4" s="211"/>
      <c r="O4" s="213"/>
      <c r="P4" s="211" t="s">
        <v>220</v>
      </c>
      <c r="Q4" s="213"/>
      <c r="R4" s="211" t="s">
        <v>220</v>
      </c>
      <c r="S4" s="213"/>
      <c r="T4" s="110"/>
      <c r="U4" s="111"/>
      <c r="V4" s="211" t="s">
        <v>220</v>
      </c>
      <c r="W4" s="213"/>
      <c r="X4" s="211" t="s">
        <v>220</v>
      </c>
      <c r="Y4" s="213"/>
      <c r="Z4" s="211" t="s">
        <v>220</v>
      </c>
      <c r="AA4" s="213"/>
      <c r="AB4" s="247" t="s">
        <v>220</v>
      </c>
      <c r="AC4" s="248"/>
      <c r="AD4" s="110"/>
      <c r="AE4" s="111"/>
      <c r="AF4" s="211" t="s">
        <v>220</v>
      </c>
      <c r="AG4" s="213"/>
      <c r="AH4" s="211" t="s">
        <v>220</v>
      </c>
      <c r="AI4" s="213"/>
      <c r="AJ4" s="211" t="s">
        <v>218</v>
      </c>
      <c r="AK4" s="213"/>
      <c r="AL4" s="211" t="s">
        <v>218</v>
      </c>
      <c r="AM4" s="213"/>
      <c r="AN4" s="211" t="s">
        <v>218</v>
      </c>
      <c r="AO4" s="213"/>
      <c r="AP4" s="247" t="s">
        <v>219</v>
      </c>
      <c r="AQ4" s="248"/>
      <c r="AR4" s="211" t="s">
        <v>218</v>
      </c>
      <c r="AS4" s="213"/>
      <c r="AT4" s="211" t="s">
        <v>218</v>
      </c>
      <c r="AU4" s="213"/>
      <c r="AV4" s="247" t="s">
        <v>218</v>
      </c>
      <c r="AW4" s="248"/>
      <c r="AX4" s="211" t="s">
        <v>220</v>
      </c>
      <c r="AY4" s="213"/>
      <c r="AZ4" s="211" t="s">
        <v>218</v>
      </c>
      <c r="BA4" s="213"/>
      <c r="BB4" s="211" t="s">
        <v>218</v>
      </c>
      <c r="BC4" s="213"/>
      <c r="BD4" s="110"/>
      <c r="BE4" s="111"/>
      <c r="BF4" s="110"/>
      <c r="BG4" s="111"/>
      <c r="BH4" s="211" t="s">
        <v>219</v>
      </c>
      <c r="BI4" s="213"/>
      <c r="BJ4" s="211" t="s">
        <v>220</v>
      </c>
      <c r="BK4" s="213"/>
      <c r="BL4" s="211" t="s">
        <v>218</v>
      </c>
      <c r="BM4" s="213"/>
      <c r="BN4" s="211" t="s">
        <v>218</v>
      </c>
      <c r="BO4" s="213"/>
      <c r="BP4" s="211" t="s">
        <v>218</v>
      </c>
      <c r="BQ4" s="213"/>
      <c r="BR4" s="211" t="s">
        <v>218</v>
      </c>
      <c r="BS4" s="213"/>
      <c r="BT4" s="211" t="s">
        <v>218</v>
      </c>
      <c r="BU4" s="213"/>
      <c r="BV4" s="211" t="s">
        <v>218</v>
      </c>
      <c r="BW4" s="213"/>
      <c r="BX4" s="211" t="s">
        <v>218</v>
      </c>
      <c r="BY4" s="213"/>
      <c r="BZ4" s="211" t="s">
        <v>220</v>
      </c>
      <c r="CA4" s="213"/>
      <c r="CB4" s="211" t="s">
        <v>220</v>
      </c>
      <c r="CC4" s="213"/>
      <c r="CD4" s="211" t="s">
        <v>220</v>
      </c>
      <c r="CE4" s="213"/>
      <c r="CF4" s="211" t="s">
        <v>218</v>
      </c>
      <c r="CG4" s="213"/>
      <c r="CH4" s="211" t="s">
        <v>218</v>
      </c>
      <c r="CI4" s="213"/>
      <c r="CJ4" s="211" t="s">
        <v>218</v>
      </c>
      <c r="CK4" s="213"/>
      <c r="CL4" s="211" t="s">
        <v>218</v>
      </c>
      <c r="CM4" s="213"/>
      <c r="CN4" s="110"/>
      <c r="CO4" s="111"/>
      <c r="CP4" s="211" t="s">
        <v>219</v>
      </c>
      <c r="CQ4" s="213"/>
      <c r="CR4" s="211" t="s">
        <v>221</v>
      </c>
      <c r="CS4" s="213"/>
      <c r="CT4" s="211" t="s">
        <v>219</v>
      </c>
      <c r="CU4" s="213"/>
      <c r="CV4" s="211" t="s">
        <v>220</v>
      </c>
      <c r="CW4" s="213"/>
      <c r="CX4" s="211" t="s">
        <v>218</v>
      </c>
      <c r="CY4" s="213"/>
      <c r="CZ4" s="211" t="s">
        <v>218</v>
      </c>
      <c r="DA4" s="213"/>
      <c r="DB4" s="110"/>
      <c r="DC4" s="111"/>
      <c r="DD4" s="211" t="s">
        <v>219</v>
      </c>
      <c r="DE4" s="213"/>
      <c r="DF4" s="211" t="s">
        <v>220</v>
      </c>
      <c r="DG4" s="213"/>
      <c r="DH4" s="211" t="s">
        <v>220</v>
      </c>
      <c r="DI4" s="213"/>
      <c r="DJ4" s="247" t="s">
        <v>219</v>
      </c>
      <c r="DK4" s="248"/>
      <c r="DL4" s="211" t="s">
        <v>218</v>
      </c>
      <c r="DM4" s="213"/>
      <c r="DN4" s="211" t="s">
        <v>218</v>
      </c>
      <c r="DO4" s="213"/>
      <c r="DP4" s="211" t="s">
        <v>218</v>
      </c>
      <c r="DQ4" s="213"/>
      <c r="DR4" s="211" t="s">
        <v>218</v>
      </c>
      <c r="DS4" s="213"/>
      <c r="DT4" s="211" t="s">
        <v>220</v>
      </c>
      <c r="DU4" s="213"/>
      <c r="DV4" s="211" t="s">
        <v>220</v>
      </c>
      <c r="DW4" s="213"/>
      <c r="DX4" s="211" t="s">
        <v>222</v>
      </c>
      <c r="DY4" s="213"/>
      <c r="DZ4" s="211" t="s">
        <v>223</v>
      </c>
      <c r="EA4" s="213"/>
      <c r="EB4" s="211" t="s">
        <v>222</v>
      </c>
      <c r="EC4" s="213"/>
      <c r="ED4" s="211" t="s">
        <v>218</v>
      </c>
      <c r="EE4" s="213"/>
      <c r="EF4" s="211" t="s">
        <v>218</v>
      </c>
      <c r="EG4" s="213"/>
      <c r="EH4" s="211" t="s">
        <v>220</v>
      </c>
      <c r="EI4" s="213"/>
      <c r="EJ4" s="211" t="s">
        <v>220</v>
      </c>
      <c r="EK4" s="213"/>
      <c r="EL4" s="211" t="s">
        <v>218</v>
      </c>
      <c r="EM4" s="213"/>
      <c r="EN4" s="211" t="s">
        <v>218</v>
      </c>
      <c r="EO4" s="213"/>
      <c r="EP4" s="211" t="s">
        <v>218</v>
      </c>
      <c r="EQ4" s="213"/>
      <c r="ER4" s="211" t="s">
        <v>218</v>
      </c>
      <c r="ES4" s="213"/>
      <c r="ET4" s="211" t="s">
        <v>218</v>
      </c>
      <c r="EU4" s="213"/>
      <c r="EV4" s="211" t="s">
        <v>218</v>
      </c>
      <c r="EW4" s="213"/>
      <c r="EX4" s="211" t="s">
        <v>218</v>
      </c>
      <c r="EY4" s="213"/>
      <c r="EZ4" s="211" t="s">
        <v>220</v>
      </c>
      <c r="FA4" s="213"/>
      <c r="FB4" s="211" t="s">
        <v>218</v>
      </c>
      <c r="FC4" s="213"/>
      <c r="FD4" s="211" t="s">
        <v>218</v>
      </c>
      <c r="FE4" s="213"/>
      <c r="FF4" s="211" t="s">
        <v>222</v>
      </c>
      <c r="FG4" s="213"/>
      <c r="FH4" s="211" t="s">
        <v>218</v>
      </c>
      <c r="FI4" s="213"/>
      <c r="FJ4" s="211" t="s">
        <v>222</v>
      </c>
      <c r="FK4" s="213"/>
      <c r="FL4" s="247" t="s">
        <v>218</v>
      </c>
      <c r="FM4" s="248"/>
    </row>
    <row r="5" spans="1:169" s="85" customFormat="1" ht="138.75" customHeight="1">
      <c r="B5" s="251" t="s">
        <v>77</v>
      </c>
      <c r="C5" s="251"/>
      <c r="D5" s="251" t="s">
        <v>224</v>
      </c>
      <c r="E5" s="251"/>
      <c r="F5" s="251" t="s">
        <v>78</v>
      </c>
      <c r="G5" s="251"/>
      <c r="H5" s="251" t="s">
        <v>225</v>
      </c>
      <c r="I5" s="251"/>
      <c r="J5" s="251" t="s">
        <v>226</v>
      </c>
      <c r="K5" s="251"/>
      <c r="L5" s="251" t="s">
        <v>77</v>
      </c>
      <c r="M5" s="251"/>
      <c r="N5" s="251" t="s">
        <v>79</v>
      </c>
      <c r="O5" s="251"/>
      <c r="P5" s="251" t="s">
        <v>227</v>
      </c>
      <c r="Q5" s="251"/>
      <c r="R5" s="251" t="s">
        <v>227</v>
      </c>
      <c r="S5" s="251"/>
      <c r="T5" s="251" t="s">
        <v>67</v>
      </c>
      <c r="U5" s="251"/>
      <c r="V5" s="251" t="s">
        <v>228</v>
      </c>
      <c r="W5" s="251"/>
      <c r="X5" s="251" t="s">
        <v>229</v>
      </c>
      <c r="Y5" s="251"/>
      <c r="Z5" s="251" t="s">
        <v>230</v>
      </c>
      <c r="AA5" s="251"/>
      <c r="AB5" s="252" t="s">
        <v>227</v>
      </c>
      <c r="AC5" s="252"/>
      <c r="AD5" s="251" t="s">
        <v>68</v>
      </c>
      <c r="AE5" s="251"/>
      <c r="AF5" s="251" t="s">
        <v>231</v>
      </c>
      <c r="AG5" s="251"/>
      <c r="AH5" s="251" t="s">
        <v>232</v>
      </c>
      <c r="AI5" s="251"/>
      <c r="AJ5" s="251" t="s">
        <v>233</v>
      </c>
      <c r="AK5" s="251"/>
      <c r="AL5" s="251" t="s">
        <v>225</v>
      </c>
      <c r="AM5" s="251"/>
      <c r="AN5" s="251" t="s">
        <v>234</v>
      </c>
      <c r="AO5" s="251"/>
      <c r="AP5" s="252" t="s">
        <v>235</v>
      </c>
      <c r="AQ5" s="252"/>
      <c r="AR5" s="251" t="s">
        <v>236</v>
      </c>
      <c r="AS5" s="251"/>
      <c r="AT5" s="251" t="s">
        <v>237</v>
      </c>
      <c r="AU5" s="251"/>
      <c r="AV5" s="252" t="s">
        <v>238</v>
      </c>
      <c r="AW5" s="252"/>
      <c r="AX5" s="251" t="s">
        <v>227</v>
      </c>
      <c r="AY5" s="251"/>
      <c r="AZ5" s="251" t="s">
        <v>225</v>
      </c>
      <c r="BA5" s="251"/>
      <c r="BB5" s="251" t="s">
        <v>239</v>
      </c>
      <c r="BC5" s="251"/>
      <c r="BD5" s="251" t="s">
        <v>70</v>
      </c>
      <c r="BE5" s="251"/>
      <c r="BF5" s="251" t="s">
        <v>71</v>
      </c>
      <c r="BG5" s="251"/>
      <c r="BH5" s="251" t="s">
        <v>240</v>
      </c>
      <c r="BI5" s="251"/>
      <c r="BJ5" s="251" t="s">
        <v>241</v>
      </c>
      <c r="BK5" s="251"/>
      <c r="BL5" s="251" t="s">
        <v>242</v>
      </c>
      <c r="BM5" s="251"/>
      <c r="BN5" s="251" t="s">
        <v>243</v>
      </c>
      <c r="BO5" s="251"/>
      <c r="BP5" s="251" t="s">
        <v>244</v>
      </c>
      <c r="BQ5" s="251"/>
      <c r="BR5" s="251" t="s">
        <v>245</v>
      </c>
      <c r="BS5" s="251"/>
      <c r="BT5" s="251" t="s">
        <v>246</v>
      </c>
      <c r="BU5" s="251"/>
      <c r="BV5" s="251" t="s">
        <v>247</v>
      </c>
      <c r="BW5" s="251"/>
      <c r="BX5" s="251" t="s">
        <v>245</v>
      </c>
      <c r="BY5" s="251"/>
      <c r="BZ5" s="251" t="s">
        <v>73</v>
      </c>
      <c r="CA5" s="251"/>
      <c r="CB5" s="251" t="s">
        <v>74</v>
      </c>
      <c r="CC5" s="251"/>
      <c r="CD5" s="251" t="s">
        <v>75</v>
      </c>
      <c r="CE5" s="251"/>
      <c r="CF5" s="251" t="s">
        <v>76</v>
      </c>
      <c r="CG5" s="251"/>
      <c r="CH5" s="251" t="s">
        <v>248</v>
      </c>
      <c r="CI5" s="251"/>
      <c r="CJ5" s="251" t="s">
        <v>248</v>
      </c>
      <c r="CK5" s="251"/>
      <c r="CL5" s="251" t="s">
        <v>249</v>
      </c>
      <c r="CM5" s="251"/>
      <c r="CN5" s="251" t="s">
        <v>69</v>
      </c>
      <c r="CO5" s="251"/>
      <c r="CP5" s="253" t="s">
        <v>250</v>
      </c>
      <c r="CQ5" s="253"/>
      <c r="CR5" s="253" t="s">
        <v>221</v>
      </c>
      <c r="CS5" s="253"/>
      <c r="CT5" s="253" t="s">
        <v>251</v>
      </c>
      <c r="CU5" s="253"/>
      <c r="CV5" s="253" t="s">
        <v>252</v>
      </c>
      <c r="CW5" s="253"/>
      <c r="CX5" s="253" t="s">
        <v>253</v>
      </c>
      <c r="CY5" s="253"/>
      <c r="CZ5" s="253" t="s">
        <v>254</v>
      </c>
      <c r="DA5" s="253"/>
      <c r="DB5" s="251" t="s">
        <v>72</v>
      </c>
      <c r="DC5" s="251"/>
      <c r="DD5" s="251" t="s">
        <v>255</v>
      </c>
      <c r="DE5" s="251"/>
      <c r="DF5" s="251" t="s">
        <v>256</v>
      </c>
      <c r="DG5" s="251"/>
      <c r="DH5" s="251" t="s">
        <v>257</v>
      </c>
      <c r="DI5" s="251"/>
      <c r="DJ5" s="252" t="s">
        <v>255</v>
      </c>
      <c r="DK5" s="252"/>
      <c r="DL5" s="251" t="s">
        <v>258</v>
      </c>
      <c r="DM5" s="251"/>
      <c r="DN5" s="251" t="s">
        <v>258</v>
      </c>
      <c r="DO5" s="251"/>
      <c r="DP5" s="251" t="s">
        <v>259</v>
      </c>
      <c r="DQ5" s="251"/>
      <c r="DR5" s="251" t="s">
        <v>259</v>
      </c>
      <c r="DS5" s="251"/>
      <c r="DT5" s="251" t="s">
        <v>231</v>
      </c>
      <c r="DU5" s="251"/>
      <c r="DV5" s="251" t="s">
        <v>260</v>
      </c>
      <c r="DW5" s="251"/>
      <c r="DX5" s="253" t="s">
        <v>261</v>
      </c>
      <c r="DY5" s="253"/>
      <c r="DZ5" s="251" t="s">
        <v>225</v>
      </c>
      <c r="EA5" s="251"/>
      <c r="EB5" s="253" t="s">
        <v>262</v>
      </c>
      <c r="EC5" s="253"/>
      <c r="ED5" s="253" t="s">
        <v>263</v>
      </c>
      <c r="EE5" s="253"/>
      <c r="EF5" s="253" t="s">
        <v>264</v>
      </c>
      <c r="EG5" s="253"/>
      <c r="EH5" s="253" t="s">
        <v>227</v>
      </c>
      <c r="EI5" s="253"/>
      <c r="EJ5" s="253" t="s">
        <v>265</v>
      </c>
      <c r="EK5" s="253"/>
      <c r="EL5" s="251" t="s">
        <v>266</v>
      </c>
      <c r="EM5" s="251"/>
      <c r="EN5" s="251" t="s">
        <v>267</v>
      </c>
      <c r="EO5" s="251"/>
      <c r="EP5" s="251" t="s">
        <v>268</v>
      </c>
      <c r="EQ5" s="251"/>
      <c r="ER5" s="251" t="s">
        <v>269</v>
      </c>
      <c r="ES5" s="251"/>
      <c r="ET5" s="251" t="s">
        <v>267</v>
      </c>
      <c r="EU5" s="251"/>
      <c r="EV5" s="251" t="s">
        <v>268</v>
      </c>
      <c r="EW5" s="251"/>
      <c r="EX5" s="251" t="s">
        <v>270</v>
      </c>
      <c r="EY5" s="251"/>
      <c r="EZ5" s="251" t="s">
        <v>265</v>
      </c>
      <c r="FA5" s="251"/>
      <c r="FB5" s="251" t="s">
        <v>271</v>
      </c>
      <c r="FC5" s="251"/>
      <c r="FD5" s="251" t="s">
        <v>272</v>
      </c>
      <c r="FE5" s="251"/>
      <c r="FF5" s="251" t="s">
        <v>273</v>
      </c>
      <c r="FG5" s="251"/>
      <c r="FH5" s="251" t="s">
        <v>274</v>
      </c>
      <c r="FI5" s="251"/>
      <c r="FJ5" s="251" t="s">
        <v>275</v>
      </c>
      <c r="FK5" s="251"/>
      <c r="FL5" s="252" t="s">
        <v>276</v>
      </c>
      <c r="FM5" s="252"/>
    </row>
    <row r="6" spans="1:169" s="24" customFormat="1" ht="30" customHeight="1">
      <c r="B6" s="246">
        <v>5065544</v>
      </c>
      <c r="C6" s="246"/>
      <c r="D6" s="211"/>
      <c r="E6" s="213"/>
      <c r="F6" s="246">
        <v>5065541</v>
      </c>
      <c r="G6" s="246"/>
      <c r="H6" s="211"/>
      <c r="I6" s="213"/>
      <c r="J6" s="211"/>
      <c r="K6" s="213"/>
      <c r="L6" s="246">
        <v>5065542</v>
      </c>
      <c r="M6" s="246"/>
      <c r="N6" s="246">
        <v>5065540</v>
      </c>
      <c r="O6" s="246"/>
      <c r="P6" s="211"/>
      <c r="Q6" s="213"/>
      <c r="R6" s="211"/>
      <c r="S6" s="213"/>
      <c r="T6" s="246">
        <v>5065546</v>
      </c>
      <c r="U6" s="246"/>
      <c r="V6" s="211"/>
      <c r="W6" s="213"/>
      <c r="X6" s="211"/>
      <c r="Y6" s="213"/>
      <c r="Z6" s="211"/>
      <c r="AA6" s="213"/>
      <c r="AB6" s="211"/>
      <c r="AC6" s="213"/>
      <c r="AD6" s="246">
        <v>5065547</v>
      </c>
      <c r="AE6" s="246"/>
      <c r="AF6" s="211"/>
      <c r="AG6" s="213"/>
      <c r="AH6" s="254"/>
      <c r="AI6" s="255"/>
      <c r="AJ6" s="254"/>
      <c r="AK6" s="255"/>
      <c r="AL6" s="254"/>
      <c r="AM6" s="255"/>
      <c r="AN6" s="254"/>
      <c r="AO6" s="255"/>
      <c r="AP6" s="254"/>
      <c r="AQ6" s="255"/>
      <c r="AR6" s="254"/>
      <c r="AS6" s="255"/>
      <c r="AT6" s="254"/>
      <c r="AU6" s="255"/>
      <c r="AV6" s="254"/>
      <c r="AW6" s="255"/>
      <c r="AX6" s="254"/>
      <c r="AY6" s="255"/>
      <c r="AZ6" s="254"/>
      <c r="BA6" s="255"/>
      <c r="BB6" s="254"/>
      <c r="BC6" s="255"/>
      <c r="BD6" s="246">
        <v>5065548</v>
      </c>
      <c r="BE6" s="246"/>
      <c r="BF6" s="246">
        <v>5465545</v>
      </c>
      <c r="BG6" s="246"/>
      <c r="BH6" s="211"/>
      <c r="BI6" s="213"/>
      <c r="BJ6" s="211"/>
      <c r="BK6" s="213"/>
      <c r="BL6" s="211"/>
      <c r="BM6" s="213"/>
      <c r="BN6" s="211"/>
      <c r="BO6" s="213"/>
      <c r="BP6" s="211"/>
      <c r="BQ6" s="213"/>
      <c r="BR6" s="211"/>
      <c r="BS6" s="213"/>
      <c r="BT6" s="211"/>
      <c r="BU6" s="213"/>
      <c r="BV6" s="211"/>
      <c r="BW6" s="213"/>
      <c r="BX6" s="211"/>
      <c r="BY6" s="213"/>
      <c r="BZ6" s="246">
        <v>5018351</v>
      </c>
      <c r="CA6" s="246"/>
      <c r="CB6" s="246">
        <v>5018354</v>
      </c>
      <c r="CC6" s="246"/>
      <c r="CD6" s="246">
        <v>5018350</v>
      </c>
      <c r="CE6" s="246"/>
      <c r="CF6" s="246">
        <v>5065543</v>
      </c>
      <c r="CG6" s="246"/>
      <c r="CH6" s="211"/>
      <c r="CI6" s="213"/>
      <c r="CJ6" s="211"/>
      <c r="CK6" s="213"/>
      <c r="CL6" s="211"/>
      <c r="CM6" s="213"/>
      <c r="CN6" s="246">
        <v>5008272</v>
      </c>
      <c r="CO6" s="246"/>
      <c r="CP6" s="211"/>
      <c r="CQ6" s="213"/>
      <c r="CR6" s="211"/>
      <c r="CS6" s="213"/>
      <c r="CT6" s="211"/>
      <c r="CU6" s="213"/>
      <c r="CV6" s="211"/>
      <c r="CW6" s="213"/>
      <c r="CX6" s="211"/>
      <c r="CY6" s="213"/>
      <c r="CZ6" s="211"/>
      <c r="DA6" s="213"/>
      <c r="DB6" s="246">
        <v>5008273</v>
      </c>
      <c r="DC6" s="246"/>
      <c r="DD6" s="211"/>
      <c r="DE6" s="213"/>
      <c r="DF6" s="211"/>
      <c r="DG6" s="213"/>
      <c r="DH6" s="211"/>
      <c r="DI6" s="213"/>
      <c r="DJ6" s="211"/>
      <c r="DK6" s="213"/>
      <c r="DL6" s="211"/>
      <c r="DM6" s="213"/>
      <c r="DN6" s="211"/>
      <c r="DO6" s="213"/>
      <c r="DP6" s="211"/>
      <c r="DQ6" s="213"/>
      <c r="DR6" s="211"/>
      <c r="DS6" s="213"/>
      <c r="DT6" s="211"/>
      <c r="DU6" s="213"/>
      <c r="DV6" s="211"/>
      <c r="DW6" s="213"/>
      <c r="DX6" s="211"/>
      <c r="DY6" s="213"/>
      <c r="DZ6" s="211"/>
      <c r="EA6" s="213"/>
      <c r="EB6" s="211"/>
      <c r="EC6" s="213"/>
      <c r="ED6" s="211"/>
      <c r="EE6" s="213"/>
      <c r="EF6" s="211"/>
      <c r="EG6" s="213"/>
      <c r="EH6" s="211"/>
      <c r="EI6" s="213"/>
      <c r="EJ6" s="211"/>
      <c r="EK6" s="213"/>
      <c r="EL6" s="211"/>
      <c r="EM6" s="213"/>
      <c r="EN6" s="211"/>
      <c r="EO6" s="213"/>
      <c r="EP6" s="211"/>
      <c r="EQ6" s="213"/>
      <c r="ER6" s="211"/>
      <c r="ES6" s="213"/>
      <c r="ET6" s="211"/>
      <c r="EU6" s="213"/>
      <c r="EV6" s="211"/>
      <c r="EW6" s="213"/>
      <c r="EX6" s="211"/>
      <c r="EY6" s="213"/>
      <c r="EZ6" s="211"/>
      <c r="FA6" s="213"/>
      <c r="FB6" s="211"/>
      <c r="FC6" s="213"/>
      <c r="FD6" s="211"/>
      <c r="FE6" s="213"/>
      <c r="FF6" s="211"/>
      <c r="FG6" s="213"/>
      <c r="FH6" s="211"/>
      <c r="FI6" s="213"/>
      <c r="FJ6" s="211"/>
      <c r="FK6" s="213"/>
      <c r="FL6" s="211"/>
      <c r="FM6" s="213"/>
    </row>
    <row r="7" spans="1:169" s="24" customFormat="1" ht="30" customHeight="1">
      <c r="B7" s="256" t="s">
        <v>91</v>
      </c>
      <c r="C7" s="256"/>
      <c r="D7" s="256" t="s">
        <v>91</v>
      </c>
      <c r="E7" s="256"/>
      <c r="F7" s="257" t="s">
        <v>92</v>
      </c>
      <c r="G7" s="257"/>
      <c r="H7" s="258" t="s">
        <v>93</v>
      </c>
      <c r="I7" s="258"/>
      <c r="J7" s="258" t="s">
        <v>93</v>
      </c>
      <c r="K7" s="258"/>
      <c r="L7" s="258" t="s">
        <v>93</v>
      </c>
      <c r="M7" s="258"/>
      <c r="N7" s="259" t="s">
        <v>94</v>
      </c>
      <c r="O7" s="259"/>
      <c r="P7" s="259" t="s">
        <v>94</v>
      </c>
      <c r="Q7" s="259"/>
      <c r="R7" s="259" t="s">
        <v>94</v>
      </c>
      <c r="S7" s="259"/>
      <c r="T7" s="260" t="s">
        <v>81</v>
      </c>
      <c r="U7" s="260"/>
      <c r="V7" s="260" t="s">
        <v>81</v>
      </c>
      <c r="W7" s="260"/>
      <c r="X7" s="260" t="s">
        <v>81</v>
      </c>
      <c r="Y7" s="260"/>
      <c r="Z7" s="260" t="s">
        <v>81</v>
      </c>
      <c r="AA7" s="260"/>
      <c r="AB7" s="260" t="s">
        <v>81</v>
      </c>
      <c r="AC7" s="260"/>
      <c r="AD7" s="261" t="s">
        <v>82</v>
      </c>
      <c r="AE7" s="261"/>
      <c r="AF7" s="261" t="s">
        <v>82</v>
      </c>
      <c r="AG7" s="261"/>
      <c r="AH7" s="262" t="s">
        <v>84</v>
      </c>
      <c r="AI7" s="262"/>
      <c r="AJ7" s="262" t="s">
        <v>84</v>
      </c>
      <c r="AK7" s="262"/>
      <c r="AL7" s="262" t="s">
        <v>84</v>
      </c>
      <c r="AM7" s="262"/>
      <c r="AN7" s="262" t="s">
        <v>84</v>
      </c>
      <c r="AO7" s="262"/>
      <c r="AP7" s="262" t="s">
        <v>84</v>
      </c>
      <c r="AQ7" s="262"/>
      <c r="AR7" s="262" t="s">
        <v>84</v>
      </c>
      <c r="AS7" s="262"/>
      <c r="AT7" s="262" t="s">
        <v>84</v>
      </c>
      <c r="AU7" s="262"/>
      <c r="AV7" s="262" t="s">
        <v>84</v>
      </c>
      <c r="AW7" s="262"/>
      <c r="AX7" s="262" t="s">
        <v>84</v>
      </c>
      <c r="AY7" s="262"/>
      <c r="AZ7" s="262" t="s">
        <v>84</v>
      </c>
      <c r="BA7" s="262"/>
      <c r="BB7" s="262" t="s">
        <v>84</v>
      </c>
      <c r="BC7" s="262"/>
      <c r="BD7" s="262" t="s">
        <v>84</v>
      </c>
      <c r="BE7" s="262"/>
      <c r="BF7" s="263" t="s">
        <v>85</v>
      </c>
      <c r="BG7" s="263"/>
      <c r="BH7" s="263" t="s">
        <v>85</v>
      </c>
      <c r="BI7" s="263"/>
      <c r="BJ7" s="263" t="s">
        <v>85</v>
      </c>
      <c r="BK7" s="263"/>
      <c r="BL7" s="263" t="s">
        <v>85</v>
      </c>
      <c r="BM7" s="263"/>
      <c r="BN7" s="263" t="s">
        <v>85</v>
      </c>
      <c r="BO7" s="263"/>
      <c r="BP7" s="263" t="s">
        <v>85</v>
      </c>
      <c r="BQ7" s="263"/>
      <c r="BR7" s="263" t="s">
        <v>85</v>
      </c>
      <c r="BS7" s="263"/>
      <c r="BT7" s="263" t="s">
        <v>85</v>
      </c>
      <c r="BU7" s="263"/>
      <c r="BV7" s="263" t="s">
        <v>85</v>
      </c>
      <c r="BW7" s="263"/>
      <c r="BX7" s="263" t="s">
        <v>85</v>
      </c>
      <c r="BY7" s="263"/>
      <c r="BZ7" s="264" t="s">
        <v>87</v>
      </c>
      <c r="CA7" s="264"/>
      <c r="CB7" s="265" t="s">
        <v>88</v>
      </c>
      <c r="CC7" s="265"/>
      <c r="CD7" s="245" t="s">
        <v>89</v>
      </c>
      <c r="CE7" s="245"/>
      <c r="CF7" s="266" t="s">
        <v>90</v>
      </c>
      <c r="CG7" s="266"/>
      <c r="CH7" s="266" t="s">
        <v>90</v>
      </c>
      <c r="CI7" s="266"/>
      <c r="CJ7" s="266" t="s">
        <v>90</v>
      </c>
      <c r="CK7" s="266"/>
      <c r="CL7" s="266" t="s">
        <v>90</v>
      </c>
      <c r="CM7" s="266"/>
      <c r="CN7" s="267" t="s">
        <v>83</v>
      </c>
      <c r="CO7" s="267"/>
      <c r="CP7" s="267" t="s">
        <v>83</v>
      </c>
      <c r="CQ7" s="267"/>
      <c r="CR7" s="267" t="s">
        <v>83</v>
      </c>
      <c r="CS7" s="267"/>
      <c r="CT7" s="267" t="s">
        <v>83</v>
      </c>
      <c r="CU7" s="267"/>
      <c r="CV7" s="267" t="s">
        <v>83</v>
      </c>
      <c r="CW7" s="267"/>
      <c r="CX7" s="267" t="s">
        <v>83</v>
      </c>
      <c r="CY7" s="267"/>
      <c r="CZ7" s="267" t="s">
        <v>83</v>
      </c>
      <c r="DA7" s="267"/>
      <c r="DB7" s="268" t="s">
        <v>86</v>
      </c>
      <c r="DC7" s="268"/>
      <c r="DD7" s="268" t="s">
        <v>86</v>
      </c>
      <c r="DE7" s="268"/>
      <c r="DF7" s="268" t="s">
        <v>86</v>
      </c>
      <c r="DG7" s="268"/>
      <c r="DH7" s="268" t="s">
        <v>86</v>
      </c>
      <c r="DI7" s="268"/>
      <c r="DJ7" s="268" t="s">
        <v>86</v>
      </c>
      <c r="DK7" s="268"/>
      <c r="DL7" s="261" t="s">
        <v>82</v>
      </c>
      <c r="DM7" s="261"/>
      <c r="DN7" s="261" t="s">
        <v>82</v>
      </c>
      <c r="DO7" s="261"/>
      <c r="DP7" s="261" t="s">
        <v>82</v>
      </c>
      <c r="DQ7" s="261"/>
      <c r="DR7" s="261" t="s">
        <v>82</v>
      </c>
      <c r="DS7" s="261"/>
      <c r="DT7" s="261" t="s">
        <v>82</v>
      </c>
      <c r="DU7" s="261"/>
      <c r="DV7" s="261" t="s">
        <v>82</v>
      </c>
      <c r="DW7" s="261"/>
      <c r="DX7" s="260" t="s">
        <v>81</v>
      </c>
      <c r="DY7" s="260"/>
      <c r="DZ7" s="260" t="s">
        <v>81</v>
      </c>
      <c r="EA7" s="260"/>
      <c r="EB7" s="260" t="s">
        <v>81</v>
      </c>
      <c r="EC7" s="260"/>
      <c r="ED7" s="260" t="s">
        <v>81</v>
      </c>
      <c r="EE7" s="260"/>
      <c r="EF7" s="260" t="s">
        <v>81</v>
      </c>
      <c r="EG7" s="260"/>
      <c r="EH7" s="260" t="s">
        <v>81</v>
      </c>
      <c r="EI7" s="260"/>
      <c r="EJ7" s="260" t="s">
        <v>81</v>
      </c>
      <c r="EK7" s="260"/>
      <c r="EL7" s="258" t="s">
        <v>93</v>
      </c>
      <c r="EM7" s="258"/>
      <c r="EN7" s="258" t="s">
        <v>93</v>
      </c>
      <c r="EO7" s="258"/>
      <c r="EP7" s="258" t="s">
        <v>93</v>
      </c>
      <c r="EQ7" s="258"/>
      <c r="ER7" s="256" t="s">
        <v>91</v>
      </c>
      <c r="ES7" s="256"/>
      <c r="ET7" s="256" t="s">
        <v>91</v>
      </c>
      <c r="EU7" s="256"/>
      <c r="EV7" s="256" t="s">
        <v>91</v>
      </c>
      <c r="EW7" s="256"/>
      <c r="EX7" s="257" t="s">
        <v>92</v>
      </c>
      <c r="EY7" s="257"/>
      <c r="EZ7" s="259" t="s">
        <v>94</v>
      </c>
      <c r="FA7" s="259"/>
      <c r="FB7" s="259" t="s">
        <v>94</v>
      </c>
      <c r="FC7" s="259"/>
      <c r="FD7" s="259" t="s">
        <v>94</v>
      </c>
      <c r="FE7" s="259"/>
      <c r="FF7" s="257" t="s">
        <v>92</v>
      </c>
      <c r="FG7" s="257"/>
      <c r="FH7" s="257" t="s">
        <v>92</v>
      </c>
      <c r="FI7" s="257"/>
      <c r="FJ7" s="257" t="s">
        <v>92</v>
      </c>
      <c r="FK7" s="257"/>
      <c r="FL7" s="257" t="s">
        <v>92</v>
      </c>
      <c r="FM7" s="257"/>
    </row>
    <row r="8" spans="1:169" s="24" customFormat="1" ht="30" customHeight="1">
      <c r="B8" s="269"/>
      <c r="C8" s="269"/>
      <c r="D8" s="270" t="s">
        <v>277</v>
      </c>
      <c r="E8" s="271"/>
      <c r="F8" s="269"/>
      <c r="G8" s="269"/>
      <c r="H8" s="270" t="s">
        <v>278</v>
      </c>
      <c r="I8" s="271"/>
      <c r="J8" s="270" t="s">
        <v>279</v>
      </c>
      <c r="K8" s="271"/>
      <c r="L8" s="269"/>
      <c r="M8" s="269"/>
      <c r="N8" s="269"/>
      <c r="O8" s="269"/>
      <c r="P8" s="270" t="s">
        <v>280</v>
      </c>
      <c r="Q8" s="271"/>
      <c r="R8" s="270" t="s">
        <v>281</v>
      </c>
      <c r="S8" s="271"/>
      <c r="T8" s="269"/>
      <c r="U8" s="269"/>
      <c r="V8" s="270" t="s">
        <v>282</v>
      </c>
      <c r="W8" s="271"/>
      <c r="X8" s="270" t="s">
        <v>283</v>
      </c>
      <c r="Y8" s="271"/>
      <c r="Z8" s="270" t="s">
        <v>284</v>
      </c>
      <c r="AA8" s="271"/>
      <c r="AB8" s="270" t="s">
        <v>285</v>
      </c>
      <c r="AC8" s="271"/>
      <c r="AD8" s="269"/>
      <c r="AE8" s="269"/>
      <c r="AF8" s="270" t="s">
        <v>286</v>
      </c>
      <c r="AG8" s="271"/>
      <c r="AH8" s="270" t="s">
        <v>287</v>
      </c>
      <c r="AI8" s="271"/>
      <c r="AJ8" s="270" t="s">
        <v>288</v>
      </c>
      <c r="AK8" s="271"/>
      <c r="AL8" s="270" t="s">
        <v>289</v>
      </c>
      <c r="AM8" s="271"/>
      <c r="AN8" s="270" t="s">
        <v>290</v>
      </c>
      <c r="AO8" s="271"/>
      <c r="AP8" s="270" t="s">
        <v>291</v>
      </c>
      <c r="AQ8" s="271"/>
      <c r="AR8" s="270" t="s">
        <v>292</v>
      </c>
      <c r="AS8" s="271"/>
      <c r="AT8" s="270" t="s">
        <v>293</v>
      </c>
      <c r="AU8" s="271"/>
      <c r="AV8" s="270" t="s">
        <v>294</v>
      </c>
      <c r="AW8" s="271"/>
      <c r="AX8" s="270" t="s">
        <v>295</v>
      </c>
      <c r="AY8" s="271"/>
      <c r="AZ8" s="270" t="s">
        <v>296</v>
      </c>
      <c r="BA8" s="271"/>
      <c r="BB8" s="270" t="s">
        <v>297</v>
      </c>
      <c r="BC8" s="271"/>
      <c r="BD8" s="270"/>
      <c r="BE8" s="271"/>
      <c r="BF8" s="269"/>
      <c r="BG8" s="269"/>
      <c r="BH8" s="270" t="s">
        <v>298</v>
      </c>
      <c r="BI8" s="271"/>
      <c r="BJ8" s="270" t="s">
        <v>299</v>
      </c>
      <c r="BK8" s="271"/>
      <c r="BL8" s="270" t="s">
        <v>300</v>
      </c>
      <c r="BM8" s="271"/>
      <c r="BN8" s="270" t="s">
        <v>301</v>
      </c>
      <c r="BO8" s="271"/>
      <c r="BP8" s="270" t="s">
        <v>302</v>
      </c>
      <c r="BQ8" s="271"/>
      <c r="BR8" s="270" t="s">
        <v>303</v>
      </c>
      <c r="BS8" s="271"/>
      <c r="BT8" s="270" t="s">
        <v>304</v>
      </c>
      <c r="BU8" s="271"/>
      <c r="BV8" s="270" t="s">
        <v>305</v>
      </c>
      <c r="BW8" s="271"/>
      <c r="BX8" s="270" t="s">
        <v>306</v>
      </c>
      <c r="BY8" s="271"/>
      <c r="BZ8" s="269"/>
      <c r="CA8" s="269"/>
      <c r="CB8" s="269"/>
      <c r="CC8" s="269"/>
      <c r="CD8" s="269"/>
      <c r="CE8" s="269"/>
      <c r="CF8" s="269"/>
      <c r="CG8" s="269"/>
      <c r="CH8" s="270" t="s">
        <v>307</v>
      </c>
      <c r="CI8" s="271"/>
      <c r="CJ8" s="270" t="s">
        <v>308</v>
      </c>
      <c r="CK8" s="271"/>
      <c r="CL8" s="270" t="s">
        <v>309</v>
      </c>
      <c r="CM8" s="271"/>
      <c r="CN8" s="269"/>
      <c r="CO8" s="269"/>
      <c r="CP8" s="270" t="s">
        <v>310</v>
      </c>
      <c r="CQ8" s="271"/>
      <c r="CR8" s="270" t="s">
        <v>311</v>
      </c>
      <c r="CS8" s="271"/>
      <c r="CT8" s="270" t="s">
        <v>312</v>
      </c>
      <c r="CU8" s="271"/>
      <c r="CV8" s="270" t="s">
        <v>313</v>
      </c>
      <c r="CW8" s="271"/>
      <c r="CX8" s="270" t="s">
        <v>314</v>
      </c>
      <c r="CY8" s="271"/>
      <c r="CZ8" s="270" t="s">
        <v>315</v>
      </c>
      <c r="DA8" s="271"/>
      <c r="DB8" s="269"/>
      <c r="DC8" s="269"/>
      <c r="DD8" s="270" t="s">
        <v>316</v>
      </c>
      <c r="DE8" s="271"/>
      <c r="DF8" s="270" t="s">
        <v>317</v>
      </c>
      <c r="DG8" s="271"/>
      <c r="DH8" s="270" t="s">
        <v>318</v>
      </c>
      <c r="DI8" s="271"/>
      <c r="DJ8" s="270" t="s">
        <v>319</v>
      </c>
      <c r="DK8" s="271"/>
      <c r="DL8" s="270" t="s">
        <v>320</v>
      </c>
      <c r="DM8" s="271"/>
      <c r="DN8" s="270" t="s">
        <v>321</v>
      </c>
      <c r="DO8" s="271"/>
      <c r="DP8" s="270" t="s">
        <v>322</v>
      </c>
      <c r="DQ8" s="271"/>
      <c r="DR8" s="270" t="s">
        <v>323</v>
      </c>
      <c r="DS8" s="271"/>
      <c r="DT8" s="270" t="s">
        <v>324</v>
      </c>
      <c r="DU8" s="271"/>
      <c r="DV8" s="270" t="s">
        <v>325</v>
      </c>
      <c r="DW8" s="271"/>
      <c r="DX8" s="270" t="s">
        <v>326</v>
      </c>
      <c r="DY8" s="271"/>
      <c r="DZ8" s="270" t="s">
        <v>327</v>
      </c>
      <c r="EA8" s="271"/>
      <c r="EB8" s="270" t="s">
        <v>328</v>
      </c>
      <c r="EC8" s="271"/>
      <c r="ED8" s="270" t="s">
        <v>329</v>
      </c>
      <c r="EE8" s="271"/>
      <c r="EF8" s="270" t="s">
        <v>330</v>
      </c>
      <c r="EG8" s="271"/>
      <c r="EH8" s="270" t="s">
        <v>331</v>
      </c>
      <c r="EI8" s="271"/>
      <c r="EJ8" s="270" t="s">
        <v>332</v>
      </c>
      <c r="EK8" s="271"/>
      <c r="EL8" s="270" t="s">
        <v>333</v>
      </c>
      <c r="EM8" s="271"/>
      <c r="EN8" s="270" t="s">
        <v>334</v>
      </c>
      <c r="EO8" s="271"/>
      <c r="EP8" s="270" t="s">
        <v>335</v>
      </c>
      <c r="EQ8" s="271"/>
      <c r="ER8" s="270" t="s">
        <v>336</v>
      </c>
      <c r="ES8" s="271"/>
      <c r="ET8" s="270" t="s">
        <v>337</v>
      </c>
      <c r="EU8" s="271"/>
      <c r="EV8" s="270" t="s">
        <v>338</v>
      </c>
      <c r="EW8" s="271"/>
      <c r="EX8" s="270" t="s">
        <v>339</v>
      </c>
      <c r="EY8" s="271"/>
      <c r="EZ8" s="270" t="s">
        <v>340</v>
      </c>
      <c r="FA8" s="271"/>
      <c r="FB8" s="270" t="s">
        <v>341</v>
      </c>
      <c r="FC8" s="271"/>
      <c r="FD8" s="270" t="s">
        <v>342</v>
      </c>
      <c r="FE8" s="271"/>
      <c r="FF8" s="270" t="s">
        <v>343</v>
      </c>
      <c r="FG8" s="271"/>
      <c r="FH8" s="270" t="s">
        <v>344</v>
      </c>
      <c r="FI8" s="271"/>
      <c r="FJ8" s="270" t="s">
        <v>345</v>
      </c>
      <c r="FK8" s="271"/>
      <c r="FL8" s="270" t="s">
        <v>346</v>
      </c>
      <c r="FM8" s="271"/>
    </row>
    <row r="9" spans="1:169" s="85" customFormat="1" ht="50.1" customHeight="1">
      <c r="A9" s="114" t="s">
        <v>98</v>
      </c>
      <c r="B9" s="114" t="s">
        <v>99</v>
      </c>
      <c r="C9" s="114" t="s">
        <v>100</v>
      </c>
      <c r="D9" s="114" t="s">
        <v>99</v>
      </c>
      <c r="E9" s="114" t="s">
        <v>100</v>
      </c>
      <c r="F9" s="114" t="s">
        <v>99</v>
      </c>
      <c r="G9" s="114" t="s">
        <v>100</v>
      </c>
      <c r="H9" s="114" t="s">
        <v>99</v>
      </c>
      <c r="I9" s="114" t="s">
        <v>100</v>
      </c>
      <c r="J9" s="114" t="s">
        <v>99</v>
      </c>
      <c r="K9" s="114" t="s">
        <v>100</v>
      </c>
      <c r="L9" s="114" t="s">
        <v>99</v>
      </c>
      <c r="M9" s="114" t="s">
        <v>100</v>
      </c>
      <c r="N9" s="114" t="s">
        <v>99</v>
      </c>
      <c r="O9" s="114" t="s">
        <v>100</v>
      </c>
      <c r="P9" s="114" t="s">
        <v>99</v>
      </c>
      <c r="Q9" s="114" t="s">
        <v>100</v>
      </c>
      <c r="R9" s="114" t="s">
        <v>99</v>
      </c>
      <c r="S9" s="114" t="s">
        <v>100</v>
      </c>
      <c r="T9" s="114" t="s">
        <v>99</v>
      </c>
      <c r="U9" s="114" t="s">
        <v>100</v>
      </c>
      <c r="V9" s="114" t="s">
        <v>99</v>
      </c>
      <c r="W9" s="114" t="s">
        <v>100</v>
      </c>
      <c r="X9" s="114" t="s">
        <v>99</v>
      </c>
      <c r="Y9" s="114" t="s">
        <v>100</v>
      </c>
      <c r="Z9" s="114" t="s">
        <v>99</v>
      </c>
      <c r="AA9" s="114" t="s">
        <v>100</v>
      </c>
      <c r="AB9" s="114" t="s">
        <v>99</v>
      </c>
      <c r="AC9" s="114" t="s">
        <v>100</v>
      </c>
      <c r="AD9" s="114" t="s">
        <v>99</v>
      </c>
      <c r="AE9" s="114" t="s">
        <v>100</v>
      </c>
      <c r="AF9" s="114" t="s">
        <v>99</v>
      </c>
      <c r="AG9" s="114" t="s">
        <v>100</v>
      </c>
      <c r="AH9" s="114" t="s">
        <v>99</v>
      </c>
      <c r="AI9" s="114" t="s">
        <v>100</v>
      </c>
      <c r="AJ9" s="114" t="s">
        <v>99</v>
      </c>
      <c r="AK9" s="114" t="s">
        <v>100</v>
      </c>
      <c r="AL9" s="114" t="s">
        <v>99</v>
      </c>
      <c r="AM9" s="114" t="s">
        <v>100</v>
      </c>
      <c r="AN9" s="114" t="s">
        <v>99</v>
      </c>
      <c r="AO9" s="114" t="s">
        <v>100</v>
      </c>
      <c r="AP9" s="114" t="s">
        <v>99</v>
      </c>
      <c r="AQ9" s="114" t="s">
        <v>100</v>
      </c>
      <c r="AR9" s="114" t="s">
        <v>99</v>
      </c>
      <c r="AS9" s="114" t="s">
        <v>100</v>
      </c>
      <c r="AT9" s="114" t="s">
        <v>99</v>
      </c>
      <c r="AU9" s="114" t="s">
        <v>100</v>
      </c>
      <c r="AV9" s="114" t="s">
        <v>99</v>
      </c>
      <c r="AW9" s="114" t="s">
        <v>100</v>
      </c>
      <c r="AX9" s="114" t="s">
        <v>99</v>
      </c>
      <c r="AY9" s="114" t="s">
        <v>100</v>
      </c>
      <c r="AZ9" s="114" t="s">
        <v>99</v>
      </c>
      <c r="BA9" s="114" t="s">
        <v>100</v>
      </c>
      <c r="BB9" s="114" t="s">
        <v>99</v>
      </c>
      <c r="BC9" s="114" t="s">
        <v>100</v>
      </c>
      <c r="BD9" s="114" t="s">
        <v>99</v>
      </c>
      <c r="BE9" s="114" t="s">
        <v>100</v>
      </c>
      <c r="BF9" s="114" t="s">
        <v>99</v>
      </c>
      <c r="BG9" s="114" t="s">
        <v>100</v>
      </c>
      <c r="BH9" s="114" t="s">
        <v>99</v>
      </c>
      <c r="BI9" s="114" t="s">
        <v>100</v>
      </c>
      <c r="BJ9" s="114" t="s">
        <v>99</v>
      </c>
      <c r="BK9" s="114" t="s">
        <v>100</v>
      </c>
      <c r="BL9" s="114" t="s">
        <v>99</v>
      </c>
      <c r="BM9" s="114" t="s">
        <v>100</v>
      </c>
      <c r="BN9" s="114" t="s">
        <v>99</v>
      </c>
      <c r="BO9" s="114" t="s">
        <v>100</v>
      </c>
      <c r="BP9" s="114" t="s">
        <v>99</v>
      </c>
      <c r="BQ9" s="114" t="s">
        <v>100</v>
      </c>
      <c r="BR9" s="114" t="s">
        <v>99</v>
      </c>
      <c r="BS9" s="114" t="s">
        <v>100</v>
      </c>
      <c r="BT9" s="114" t="s">
        <v>99</v>
      </c>
      <c r="BU9" s="114" t="s">
        <v>100</v>
      </c>
      <c r="BV9" s="114" t="s">
        <v>99</v>
      </c>
      <c r="BW9" s="114" t="s">
        <v>100</v>
      </c>
      <c r="BX9" s="114" t="s">
        <v>99</v>
      </c>
      <c r="BY9" s="114" t="s">
        <v>100</v>
      </c>
      <c r="BZ9" s="114" t="s">
        <v>99</v>
      </c>
      <c r="CA9" s="114" t="s">
        <v>100</v>
      </c>
      <c r="CB9" s="114" t="s">
        <v>99</v>
      </c>
      <c r="CC9" s="114" t="s">
        <v>100</v>
      </c>
      <c r="CD9" s="114" t="s">
        <v>99</v>
      </c>
      <c r="CE9" s="114" t="s">
        <v>100</v>
      </c>
      <c r="CF9" s="114" t="s">
        <v>99</v>
      </c>
      <c r="CG9" s="114" t="s">
        <v>100</v>
      </c>
      <c r="CH9" s="114" t="s">
        <v>99</v>
      </c>
      <c r="CI9" s="114" t="s">
        <v>100</v>
      </c>
      <c r="CJ9" s="114" t="s">
        <v>99</v>
      </c>
      <c r="CK9" s="114" t="s">
        <v>100</v>
      </c>
      <c r="CL9" s="114" t="s">
        <v>99</v>
      </c>
      <c r="CM9" s="114" t="s">
        <v>100</v>
      </c>
      <c r="CN9" s="114" t="s">
        <v>99</v>
      </c>
      <c r="CO9" s="114" t="s">
        <v>100</v>
      </c>
      <c r="CP9" s="114" t="s">
        <v>99</v>
      </c>
      <c r="CQ9" s="114" t="s">
        <v>100</v>
      </c>
      <c r="CR9" s="114" t="s">
        <v>99</v>
      </c>
      <c r="CS9" s="114" t="s">
        <v>100</v>
      </c>
      <c r="CT9" s="114" t="s">
        <v>99</v>
      </c>
      <c r="CU9" s="114" t="s">
        <v>100</v>
      </c>
      <c r="CV9" s="114" t="s">
        <v>99</v>
      </c>
      <c r="CW9" s="114" t="s">
        <v>100</v>
      </c>
      <c r="CX9" s="114" t="s">
        <v>99</v>
      </c>
      <c r="CY9" s="114" t="s">
        <v>100</v>
      </c>
      <c r="CZ9" s="114" t="s">
        <v>99</v>
      </c>
      <c r="DA9" s="114" t="s">
        <v>100</v>
      </c>
      <c r="DB9" s="114" t="s">
        <v>99</v>
      </c>
      <c r="DC9" s="114" t="s">
        <v>100</v>
      </c>
      <c r="DD9" s="114" t="s">
        <v>99</v>
      </c>
      <c r="DE9" s="114" t="s">
        <v>100</v>
      </c>
      <c r="DF9" s="114" t="s">
        <v>99</v>
      </c>
      <c r="DG9" s="114" t="s">
        <v>100</v>
      </c>
      <c r="DH9" s="114" t="s">
        <v>99</v>
      </c>
      <c r="DI9" s="114" t="s">
        <v>100</v>
      </c>
      <c r="DJ9" s="114" t="s">
        <v>99</v>
      </c>
      <c r="DK9" s="114" t="s">
        <v>100</v>
      </c>
      <c r="DL9" s="114" t="s">
        <v>99</v>
      </c>
      <c r="DM9" s="114" t="s">
        <v>100</v>
      </c>
      <c r="DN9" s="114" t="s">
        <v>99</v>
      </c>
      <c r="DO9" s="114" t="s">
        <v>100</v>
      </c>
      <c r="DP9" s="114" t="s">
        <v>99</v>
      </c>
      <c r="DQ9" s="114" t="s">
        <v>100</v>
      </c>
      <c r="DR9" s="114" t="s">
        <v>99</v>
      </c>
      <c r="DS9" s="114" t="s">
        <v>100</v>
      </c>
      <c r="DT9" s="114" t="s">
        <v>99</v>
      </c>
      <c r="DU9" s="114" t="s">
        <v>100</v>
      </c>
      <c r="DV9" s="114" t="s">
        <v>99</v>
      </c>
      <c r="DW9" s="114" t="s">
        <v>100</v>
      </c>
      <c r="DX9" s="114" t="s">
        <v>99</v>
      </c>
      <c r="DY9" s="114" t="s">
        <v>100</v>
      </c>
      <c r="DZ9" s="114" t="s">
        <v>99</v>
      </c>
      <c r="EA9" s="114" t="s">
        <v>100</v>
      </c>
      <c r="EB9" s="114" t="s">
        <v>99</v>
      </c>
      <c r="EC9" s="114" t="s">
        <v>100</v>
      </c>
      <c r="ED9" s="114" t="s">
        <v>99</v>
      </c>
      <c r="EE9" s="114" t="s">
        <v>100</v>
      </c>
      <c r="EF9" s="114" t="s">
        <v>99</v>
      </c>
      <c r="EG9" s="114" t="s">
        <v>100</v>
      </c>
      <c r="EH9" s="114" t="s">
        <v>99</v>
      </c>
      <c r="EI9" s="114" t="s">
        <v>100</v>
      </c>
      <c r="EJ9" s="114" t="s">
        <v>99</v>
      </c>
      <c r="EK9" s="114" t="s">
        <v>100</v>
      </c>
      <c r="EL9" s="114" t="s">
        <v>99</v>
      </c>
      <c r="EM9" s="114" t="s">
        <v>100</v>
      </c>
      <c r="EN9" s="114" t="s">
        <v>99</v>
      </c>
      <c r="EO9" s="114" t="s">
        <v>100</v>
      </c>
      <c r="EP9" s="114" t="s">
        <v>99</v>
      </c>
      <c r="EQ9" s="114" t="s">
        <v>100</v>
      </c>
      <c r="ER9" s="114" t="s">
        <v>99</v>
      </c>
      <c r="ES9" s="114" t="s">
        <v>100</v>
      </c>
      <c r="ET9" s="114" t="s">
        <v>99</v>
      </c>
      <c r="EU9" s="114" t="s">
        <v>100</v>
      </c>
      <c r="EV9" s="114" t="s">
        <v>99</v>
      </c>
      <c r="EW9" s="114" t="s">
        <v>100</v>
      </c>
      <c r="EX9" s="114" t="s">
        <v>99</v>
      </c>
      <c r="EY9" s="114" t="s">
        <v>100</v>
      </c>
      <c r="EZ9" s="114" t="s">
        <v>99</v>
      </c>
      <c r="FA9" s="114" t="s">
        <v>100</v>
      </c>
      <c r="FB9" s="114" t="s">
        <v>99</v>
      </c>
      <c r="FC9" s="114" t="s">
        <v>100</v>
      </c>
      <c r="FD9" s="114" t="s">
        <v>99</v>
      </c>
      <c r="FE9" s="114" t="s">
        <v>100</v>
      </c>
      <c r="FF9" s="114" t="s">
        <v>99</v>
      </c>
      <c r="FG9" s="114" t="s">
        <v>100</v>
      </c>
      <c r="FH9" s="114" t="s">
        <v>99</v>
      </c>
      <c r="FI9" s="114" t="s">
        <v>100</v>
      </c>
      <c r="FJ9" s="114" t="s">
        <v>99</v>
      </c>
      <c r="FK9" s="114" t="s">
        <v>100</v>
      </c>
      <c r="FL9" s="114" t="s">
        <v>99</v>
      </c>
      <c r="FM9" s="114" t="s">
        <v>100</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4" t="s">
        <v>347</v>
      </c>
      <c r="D2" s="274"/>
      <c r="E2" s="274" t="s">
        <v>348</v>
      </c>
      <c r="F2" s="274"/>
      <c r="G2" s="274" t="s">
        <v>349</v>
      </c>
      <c r="H2" s="274"/>
      <c r="I2" s="274" t="s">
        <v>350</v>
      </c>
      <c r="J2" s="274"/>
      <c r="K2" s="274" t="s">
        <v>351</v>
      </c>
      <c r="L2" s="274"/>
      <c r="M2" s="274" t="s">
        <v>352</v>
      </c>
      <c r="N2" s="274"/>
      <c r="O2" s="274" t="s">
        <v>353</v>
      </c>
      <c r="P2" s="274"/>
      <c r="Q2" s="274" t="s">
        <v>354</v>
      </c>
      <c r="R2" s="274"/>
      <c r="S2" s="274" t="s">
        <v>355</v>
      </c>
      <c r="T2" s="274"/>
      <c r="V2" s="274" t="s">
        <v>356</v>
      </c>
      <c r="W2" s="274"/>
      <c r="X2" s="274" t="s">
        <v>357</v>
      </c>
      <c r="Y2" s="274"/>
      <c r="Z2" s="274" t="s">
        <v>358</v>
      </c>
      <c r="AA2" s="274"/>
      <c r="AB2" s="274" t="s">
        <v>359</v>
      </c>
      <c r="AC2" s="274"/>
      <c r="AD2" s="274" t="s">
        <v>360</v>
      </c>
      <c r="AE2" s="274"/>
      <c r="AF2" s="274" t="s">
        <v>361</v>
      </c>
      <c r="AG2" s="274"/>
      <c r="AH2" s="274" t="s">
        <v>362</v>
      </c>
      <c r="AI2" s="274"/>
      <c r="AJ2" s="274" t="s">
        <v>363</v>
      </c>
      <c r="AK2" s="274"/>
      <c r="AL2" s="274" t="s">
        <v>364</v>
      </c>
      <c r="AM2" s="274"/>
      <c r="AO2" s="274" t="s">
        <v>365</v>
      </c>
      <c r="AP2" s="274"/>
      <c r="AQ2" s="274" t="s">
        <v>366</v>
      </c>
      <c r="AR2" s="274"/>
      <c r="AS2" s="274" t="s">
        <v>367</v>
      </c>
      <c r="AT2" s="274"/>
      <c r="AU2" s="274" t="s">
        <v>368</v>
      </c>
      <c r="AV2" s="274"/>
      <c r="AW2" s="274" t="s">
        <v>369</v>
      </c>
      <c r="AX2" s="274"/>
      <c r="AY2" s="274" t="s">
        <v>370</v>
      </c>
      <c r="AZ2" s="274"/>
      <c r="BA2" s="274" t="s">
        <v>371</v>
      </c>
      <c r="BB2" s="274"/>
      <c r="BC2" s="274" t="s">
        <v>372</v>
      </c>
      <c r="BD2" s="274"/>
      <c r="BE2" s="274" t="s">
        <v>373</v>
      </c>
      <c r="BF2" s="274"/>
      <c r="BH2" s="274" t="s">
        <v>103</v>
      </c>
      <c r="BI2" s="274"/>
      <c r="BJ2" s="274" t="s">
        <v>374</v>
      </c>
      <c r="BK2" s="274"/>
      <c r="BL2" s="274" t="s">
        <v>375</v>
      </c>
      <c r="BM2" s="274"/>
      <c r="BN2" s="274" t="s">
        <v>376</v>
      </c>
      <c r="BO2" s="274"/>
      <c r="BP2" s="274" t="s">
        <v>377</v>
      </c>
      <c r="BQ2" s="274"/>
      <c r="BR2" s="274" t="s">
        <v>378</v>
      </c>
      <c r="BS2" s="274"/>
      <c r="BT2" s="274" t="s">
        <v>379</v>
      </c>
      <c r="BU2" s="274"/>
      <c r="BV2" s="274" t="s">
        <v>380</v>
      </c>
      <c r="BW2" s="274"/>
      <c r="BX2" s="274" t="s">
        <v>381</v>
      </c>
      <c r="BY2" s="274"/>
      <c r="BZ2" s="274" t="s">
        <v>382</v>
      </c>
      <c r="CA2" s="274"/>
      <c r="CB2" s="274" t="s">
        <v>383</v>
      </c>
      <c r="CC2" s="274"/>
      <c r="CD2" s="274" t="s">
        <v>384</v>
      </c>
      <c r="CE2" s="274"/>
      <c r="CF2" s="274" t="s">
        <v>385</v>
      </c>
      <c r="CG2" s="274"/>
      <c r="CH2" s="274" t="s">
        <v>386</v>
      </c>
      <c r="CI2" s="274"/>
      <c r="CJ2" s="274" t="s">
        <v>387</v>
      </c>
      <c r="CK2" s="274"/>
      <c r="CL2" s="274" t="s">
        <v>388</v>
      </c>
      <c r="CM2" s="274"/>
      <c r="CN2" s="274" t="s">
        <v>389</v>
      </c>
      <c r="CO2" s="274"/>
      <c r="CP2" s="274" t="s">
        <v>390</v>
      </c>
      <c r="CQ2" s="274"/>
      <c r="CR2" s="274" t="s">
        <v>391</v>
      </c>
      <c r="CS2" s="274"/>
    </row>
    <row r="3" spans="1:97" s="56" customFormat="1" ht="49.5" customHeight="1">
      <c r="A3" s="115"/>
      <c r="B3" s="70"/>
      <c r="C3" s="272"/>
      <c r="D3" s="272"/>
      <c r="E3" s="275" t="s">
        <v>110</v>
      </c>
      <c r="F3" s="275"/>
      <c r="G3" s="272"/>
      <c r="H3" s="272"/>
      <c r="I3" s="276" t="s">
        <v>112</v>
      </c>
      <c r="J3" s="276"/>
      <c r="K3" s="272"/>
      <c r="L3" s="272"/>
      <c r="M3" s="272"/>
      <c r="N3" s="272"/>
      <c r="O3" s="272"/>
      <c r="P3" s="272"/>
      <c r="Q3" s="273" t="s">
        <v>113</v>
      </c>
      <c r="R3" s="273"/>
      <c r="S3" s="272"/>
      <c r="T3" s="272"/>
      <c r="U3" s="55"/>
      <c r="V3" s="273" t="s">
        <v>108</v>
      </c>
      <c r="W3" s="273"/>
      <c r="X3" s="272"/>
      <c r="Y3" s="272"/>
      <c r="Z3" s="272"/>
      <c r="AA3" s="272"/>
      <c r="AB3" s="272"/>
      <c r="AC3" s="272"/>
      <c r="AD3" s="272"/>
      <c r="AE3" s="272"/>
      <c r="AF3" s="272"/>
      <c r="AG3" s="272"/>
      <c r="AH3" s="272"/>
      <c r="AI3" s="272"/>
      <c r="AJ3" s="272"/>
      <c r="AK3" s="272"/>
      <c r="AL3" s="272"/>
      <c r="AM3" s="272"/>
      <c r="AN3" s="55"/>
      <c r="AO3" s="275" t="s">
        <v>111</v>
      </c>
      <c r="AP3" s="275"/>
      <c r="AQ3" s="272"/>
      <c r="AR3" s="272"/>
      <c r="AS3" s="272"/>
      <c r="AT3" s="272"/>
      <c r="AU3" s="272"/>
      <c r="AV3" s="272"/>
      <c r="AW3" s="272"/>
      <c r="AX3" s="272"/>
      <c r="AY3" s="272"/>
      <c r="AZ3" s="272"/>
      <c r="BA3" s="272"/>
      <c r="BB3" s="272"/>
      <c r="BC3" s="272"/>
      <c r="BD3" s="272"/>
      <c r="BE3" s="272"/>
      <c r="BF3" s="272"/>
      <c r="BG3" s="55"/>
      <c r="BH3" s="275" t="s">
        <v>109</v>
      </c>
      <c r="BI3" s="275"/>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272"/>
      <c r="CM3" s="272"/>
      <c r="CN3" s="272"/>
      <c r="CO3" s="272"/>
      <c r="CP3" s="272"/>
      <c r="CQ3" s="272"/>
      <c r="CR3" s="272"/>
      <c r="CS3" s="272"/>
    </row>
    <row r="4" spans="1:97" s="59" customFormat="1" ht="50.1" customHeight="1">
      <c r="A4" s="60" t="s">
        <v>98</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2021-07-18T04:00:31Z</dcterms:modified>
  <cp:category/>
  <cp:contentStatus/>
</cp:coreProperties>
</file>