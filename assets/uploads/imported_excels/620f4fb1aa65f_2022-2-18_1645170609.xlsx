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0" windowWidth="19440" windowHeight="12225" activeTab="5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45621"/>
</workbook>
</file>

<file path=xl/calcChain.xml><?xml version="1.0" encoding="utf-8"?>
<calcChain xmlns="http://schemas.openxmlformats.org/spreadsheetml/2006/main">
  <c r="K30" i="6" l="1"/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4" i="8"/>
  <c r="Y6" i="8" l="1"/>
  <c r="Y7" i="8"/>
  <c r="Y8" i="8"/>
  <c r="Y5" i="8"/>
  <c r="C27" i="2" l="1"/>
  <c r="C28" i="2"/>
  <c r="C29" i="2"/>
  <c r="C30" i="2"/>
  <c r="C31" i="2"/>
  <c r="J30" i="2" l="1"/>
  <c r="J31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M14" i="2"/>
  <c r="G24" i="2" l="1"/>
  <c r="U23" i="2" l="1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G30" i="6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O30" i="6"/>
  <c r="N30" i="6"/>
  <c r="M30" i="6"/>
  <c r="E30" i="6"/>
  <c r="B33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" i="3"/>
  <c r="C3" i="3" s="1"/>
  <c r="Q18" i="2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0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O18" i="2"/>
  <c r="U5" i="2"/>
  <c r="A30" i="3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24" i="2"/>
  <c r="M23" i="3" s="1"/>
  <c r="C28" i="3"/>
  <c r="V29" i="2"/>
  <c r="M28" i="3" s="1"/>
  <c r="F13" i="3"/>
  <c r="V28" i="2"/>
  <c r="M27" i="3" s="1"/>
  <c r="V27" i="2"/>
  <c r="M26" i="3" s="1"/>
  <c r="V26" i="2"/>
  <c r="M25" i="3" s="1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G5" i="4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J5" i="8"/>
  <c r="K19" i="4"/>
  <c r="L3" i="3"/>
  <c r="I21" i="4"/>
  <c r="I5" i="4"/>
  <c r="C8" i="3"/>
  <c r="P5" i="8"/>
  <c r="G9" i="4"/>
  <c r="J10" i="4"/>
  <c r="L7" i="8"/>
  <c r="V5" i="8"/>
  <c r="H30" i="8"/>
  <c r="V30" i="8"/>
  <c r="X30" i="8"/>
  <c r="R30" i="8"/>
  <c r="G29" i="4"/>
  <c r="H29" i="3"/>
  <c r="G28" i="4"/>
  <c r="J29" i="3"/>
  <c r="L29" i="3"/>
  <c r="G29" i="3"/>
  <c r="I30" i="4"/>
  <c r="I29" i="4"/>
  <c r="J29" i="4"/>
  <c r="J30" i="4"/>
  <c r="K29" i="3"/>
  <c r="J5" i="3"/>
  <c r="G10" i="3"/>
  <c r="V24" i="8"/>
  <c r="G23" i="3"/>
  <c r="E4" i="4"/>
  <c r="J13" i="4"/>
  <c r="G30" i="4"/>
  <c r="G26" i="4"/>
  <c r="H21" i="3"/>
  <c r="H13" i="3"/>
  <c r="F8" i="8"/>
  <c r="N4" i="8"/>
  <c r="R4" i="8"/>
  <c r="V8" i="8"/>
  <c r="T21" i="8"/>
  <c r="T30" i="8"/>
  <c r="I7" i="4"/>
  <c r="L7" i="3"/>
  <c r="G22" i="3"/>
  <c r="F21" i="3"/>
  <c r="J12" i="4"/>
  <c r="F6" i="8"/>
  <c r="F18" i="4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E8" i="3"/>
  <c r="F8" i="4"/>
  <c r="J23" i="3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N20" i="8"/>
  <c r="N28" i="8"/>
  <c r="I3" i="4"/>
  <c r="K20" i="3"/>
  <c r="I29" i="3"/>
  <c r="K5" i="3"/>
  <c r="K24" i="3"/>
  <c r="F15" i="3"/>
  <c r="F5" i="3"/>
  <c r="I6" i="4"/>
  <c r="D5" i="3"/>
  <c r="R7" i="8"/>
  <c r="R5" i="8"/>
  <c r="X5" i="8"/>
  <c r="T6" i="8"/>
  <c r="N8" i="8"/>
  <c r="N18" i="8"/>
  <c r="V28" i="8"/>
  <c r="H24" i="8"/>
  <c r="L6" i="8"/>
  <c r="I8" i="3"/>
  <c r="D24" i="3"/>
  <c r="F16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G3" i="4"/>
  <c r="H3" i="3"/>
  <c r="V4" i="2"/>
  <c r="M3" i="3" s="1"/>
  <c r="G23" i="4"/>
  <c r="H23" i="3"/>
  <c r="K15" i="4"/>
  <c r="L15" i="3"/>
  <c r="G9" i="3"/>
  <c r="F10" i="8"/>
  <c r="F31" i="8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J8" i="4"/>
  <c r="K8" i="3"/>
  <c r="F30" i="4"/>
  <c r="F11" i="4"/>
  <c r="F5" i="4"/>
  <c r="E9" i="3"/>
  <c r="J9" i="3"/>
  <c r="Y15" i="8"/>
  <c r="Z15" i="8" s="1"/>
  <c r="R31" i="8"/>
  <c r="D8" i="4"/>
  <c r="H24" i="4"/>
  <c r="I24" i="3"/>
  <c r="H11" i="3"/>
  <c r="G11" i="4"/>
  <c r="F17" i="3"/>
  <c r="I17" i="3"/>
  <c r="D17" i="3"/>
  <c r="E17" i="3"/>
  <c r="C17" i="3"/>
  <c r="F12" i="3"/>
  <c r="L2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D4" i="3"/>
  <c r="T5" i="8"/>
  <c r="L17" i="3"/>
  <c r="H5" i="8"/>
  <c r="E16" i="3"/>
  <c r="F9" i="4"/>
  <c r="K28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I17" i="4"/>
  <c r="K12" i="3"/>
  <c r="H15" i="3"/>
  <c r="L21" i="3"/>
  <c r="I23" i="4"/>
  <c r="H12" i="3"/>
  <c r="G13" i="4"/>
  <c r="J7" i="3"/>
  <c r="C20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2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2" i="8"/>
  <c r="J23" i="8"/>
  <c r="Y24" i="8"/>
  <c r="Z24" i="8" s="1"/>
  <c r="T24" i="8"/>
  <c r="Y25" i="8"/>
  <c r="Z25" i="8" s="1"/>
  <c r="G24" i="3"/>
  <c r="G24" i="4"/>
  <c r="O32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2" i="8"/>
  <c r="Y22" i="8"/>
  <c r="Z22" i="8" s="1"/>
  <c r="L22" i="8"/>
  <c r="F21" i="8"/>
  <c r="V22" i="8"/>
  <c r="T22" i="8"/>
  <c r="P21" i="8"/>
  <c r="N22" i="8"/>
  <c r="L21" i="8"/>
  <c r="J22" i="8"/>
  <c r="J32" i="2"/>
  <c r="U32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2" i="2"/>
  <c r="I32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2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2" i="2"/>
  <c r="I15" i="4"/>
  <c r="G16" i="3"/>
  <c r="G32" i="2"/>
  <c r="F16" i="4"/>
  <c r="I16" i="3"/>
  <c r="I15" i="3"/>
  <c r="D16" i="4"/>
  <c r="V17" i="2"/>
  <c r="M16" i="3" s="1"/>
  <c r="K15" i="3"/>
  <c r="J15" i="4"/>
  <c r="H16" i="4"/>
  <c r="N16" i="8"/>
  <c r="J15" i="8"/>
  <c r="E32" i="8"/>
  <c r="V16" i="8"/>
  <c r="H16" i="8"/>
  <c r="J16" i="8"/>
  <c r="F16" i="8"/>
  <c r="T16" i="8"/>
  <c r="L16" i="8"/>
  <c r="X16" i="8"/>
  <c r="V15" i="8"/>
  <c r="P16" i="8"/>
  <c r="X15" i="8"/>
  <c r="R16" i="8"/>
  <c r="F15" i="4"/>
  <c r="Q32" i="2"/>
  <c r="G15" i="3"/>
  <c r="G14" i="3"/>
  <c r="H14" i="4"/>
  <c r="T32" i="2"/>
  <c r="V16" i="2"/>
  <c r="M15" i="3" s="1"/>
  <c r="V15" i="2"/>
  <c r="M14" i="3" s="1"/>
  <c r="B32" i="2"/>
  <c r="V5" i="2"/>
  <c r="M4" i="3" s="1"/>
  <c r="B31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2" i="2"/>
  <c r="I14" i="3"/>
  <c r="I13" i="3"/>
  <c r="D32" i="2"/>
  <c r="S32" i="2"/>
  <c r="K13" i="3"/>
  <c r="H13" i="4"/>
  <c r="L32" i="2"/>
  <c r="B32" i="8"/>
  <c r="V6" i="2"/>
  <c r="M5" i="3" s="1"/>
  <c r="C5" i="3"/>
  <c r="N13" i="8"/>
  <c r="O32" i="8"/>
  <c r="W32" i="8"/>
  <c r="K32" i="8"/>
  <c r="Y14" i="8"/>
  <c r="Z14" i="8" s="1"/>
  <c r="F12" i="8"/>
  <c r="R14" i="8"/>
  <c r="Y13" i="8"/>
  <c r="Z13" i="8" s="1"/>
  <c r="Q32" i="8"/>
  <c r="Y11" i="8"/>
  <c r="Z11" i="8" s="1"/>
  <c r="S32" i="8"/>
  <c r="Y12" i="8"/>
  <c r="Z12" i="8" s="1"/>
  <c r="G32" i="8"/>
  <c r="L13" i="8"/>
  <c r="R13" i="8"/>
  <c r="V13" i="8"/>
  <c r="J13" i="8"/>
  <c r="P13" i="8"/>
  <c r="C32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2" i="2"/>
  <c r="G13" i="3"/>
  <c r="H32" i="2"/>
  <c r="F32" i="2"/>
  <c r="H12" i="4"/>
  <c r="H10" i="4"/>
  <c r="N32" i="2"/>
  <c r="I10" i="4"/>
  <c r="K10" i="3"/>
  <c r="V12" i="2"/>
  <c r="M11" i="3" s="1"/>
  <c r="K11" i="3"/>
  <c r="V14" i="2"/>
  <c r="M13" i="3" s="1"/>
  <c r="E13" i="4"/>
  <c r="E32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1" i="4"/>
  <c r="K33" i="4" s="1"/>
  <c r="L5" i="4"/>
  <c r="L6" i="4"/>
  <c r="L4" i="4"/>
  <c r="L9" i="4"/>
  <c r="C31" i="4"/>
  <c r="C33" i="4" s="1"/>
  <c r="L30" i="4"/>
  <c r="L29" i="4"/>
  <c r="L17" i="4"/>
  <c r="L26" i="4"/>
  <c r="L28" i="4"/>
  <c r="D31" i="4"/>
  <c r="D33" i="4" s="1"/>
  <c r="L8" i="4"/>
  <c r="L22" i="4"/>
  <c r="L21" i="4"/>
  <c r="L19" i="4"/>
  <c r="L27" i="4"/>
  <c r="L10" i="4"/>
  <c r="G31" i="4"/>
  <c r="G33" i="4" s="1"/>
  <c r="L24" i="4"/>
  <c r="L25" i="4"/>
  <c r="L20" i="4"/>
  <c r="L18" i="4"/>
  <c r="L16" i="4"/>
  <c r="F31" i="4"/>
  <c r="F33" i="4" s="1"/>
  <c r="L15" i="4"/>
  <c r="G31" i="3"/>
  <c r="J31" i="4"/>
  <c r="J33" i="4" s="1"/>
  <c r="F32" i="8"/>
  <c r="H31" i="3"/>
  <c r="L14" i="4"/>
  <c r="C31" i="3"/>
  <c r="R32" i="8"/>
  <c r="H31" i="4"/>
  <c r="H33" i="4" s="1"/>
  <c r="L13" i="4"/>
  <c r="E31" i="4"/>
  <c r="E33" i="4" s="1"/>
  <c r="Y32" i="8"/>
  <c r="Z32" i="8" s="1"/>
  <c r="V32" i="8"/>
  <c r="N32" i="8"/>
  <c r="J32" i="8"/>
  <c r="L32" i="8"/>
  <c r="P32" i="8"/>
  <c r="D32" i="8"/>
  <c r="X32" i="8"/>
  <c r="H32" i="8"/>
  <c r="T32" i="8"/>
  <c r="D31" i="3"/>
  <c r="I31" i="4"/>
  <c r="I33" i="4" s="1"/>
  <c r="L11" i="4"/>
  <c r="L12" i="4"/>
  <c r="J31" i="3"/>
  <c r="V32" i="2"/>
  <c r="M31" i="3"/>
  <c r="F31" i="3"/>
  <c r="I31" i="3"/>
  <c r="L31" i="3"/>
  <c r="E31" i="3"/>
  <c r="K31" i="3"/>
  <c r="L31" i="4" l="1"/>
  <c r="L33" i="4" s="1"/>
  <c r="M33" i="4" s="1"/>
  <c r="N31" i="3"/>
  <c r="M31" i="4" l="1"/>
</calcChain>
</file>

<file path=xl/sharedStrings.xml><?xml version="1.0" encoding="utf-8"?>
<sst xmlns="http://schemas.openxmlformats.org/spreadsheetml/2006/main" count="201" uniqueCount="130">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</sst>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43" fontId="2" fillId="3" borderId="1" xfId="2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0" xfId="0" applyFont="1"/>
    <xf numFmtId="0" fontId="14" fillId="0" borderId="18" xfId="0" applyFont="1" applyBorder="1"/>
    <xf numFmtId="0" fontId="14" fillId="11" borderId="9" xfId="0" applyFont="1" applyFill="1" applyBorder="1"/>
    <xf numFmtId="0" fontId="14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0" borderId="1" xfId="0" applyFont="1" applyBorder="1" applyAlignment="1"/>
    <xf numFmtId="0" fontId="14" fillId="0" borderId="7" xfId="0" applyFont="1" applyFill="1" applyBorder="1" applyAlignment="1"/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'!$C$31:$F$31</c:f>
              <c:numCache>
                <c:formatCode>_(* #,##0.00_);_(* \(#,##0.00\);_(* "-"??_);_(@_)</c:formatCode>
                <c:ptCount val="4"/>
                <c:pt idx="0">
                  <c:v>-524179.99999999994</c:v>
                </c:pt>
                <c:pt idx="1">
                  <c:v>-2927000</c:v>
                </c:pt>
                <c:pt idx="2">
                  <c:v>-283840</c:v>
                </c:pt>
                <c:pt idx="3">
                  <c:v>-1095670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consumption'!$E$32:$X$32</c:f>
              <c:numCache>
                <c:formatCode>0.00%</c:formatCode>
                <c:ptCount val="20"/>
                <c:pt idx="0" formatCode="0.00">
                  <c:v>-59861</c:v>
                </c:pt>
                <c:pt idx="1">
                  <c:v>0.29069886024252017</c:v>
                </c:pt>
                <c:pt idx="2" formatCode="_(* #,##0.00_);_(* \(#,##0.00\);_(* &quot;-&quot;??_);_(@_)">
                  <c:v>-237179</c:v>
                </c:pt>
                <c:pt idx="3">
                  <c:v>1.1517960771363775</c:v>
                </c:pt>
                <c:pt idx="4" formatCode="0.00">
                  <c:v>-29565</c:v>
                </c:pt>
                <c:pt idx="5">
                  <c:v>0.14357447759092079</c:v>
                </c:pt>
                <c:pt idx="6" formatCode="0.00">
                  <c:v>-41440</c:v>
                </c:pt>
                <c:pt idx="7">
                  <c:v>0.20124222395967387</c:v>
                </c:pt>
                <c:pt idx="8" formatCode="0.00">
                  <c:v>-7557</c:v>
                </c:pt>
                <c:pt idx="9">
                  <c:v>3.6698539731256162E-2</c:v>
                </c:pt>
                <c:pt idx="10" formatCode="0.00">
                  <c:v>-1295</c:v>
                </c:pt>
                <c:pt idx="11">
                  <c:v>6.2888194987398083E-3</c:v>
                </c:pt>
                <c:pt idx="12" formatCode="0.00">
                  <c:v>-8303</c:v>
                </c:pt>
                <c:pt idx="13">
                  <c:v>4.0321288261032144E-2</c:v>
                </c:pt>
                <c:pt idx="14" formatCode="_(* #,##0.00_);_(* \(#,##0.00\);_(* &quot;-&quot;??_);_(@_)">
                  <c:v>-261977</c:v>
                </c:pt>
                <c:pt idx="15">
                  <c:v>1.2722209002481535</c:v>
                </c:pt>
                <c:pt idx="16" formatCode="0.00">
                  <c:v>-1953</c:v>
                </c:pt>
                <c:pt idx="17">
                  <c:v>9.4842196764778723E-3</c:v>
                </c:pt>
                <c:pt idx="18" formatCode="0.00">
                  <c:v>-7557</c:v>
                </c:pt>
                <c:pt idx="19">
                  <c:v>3.6698539731256162E-2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1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consumption'!$B$32</c:f>
              <c:numCache>
                <c:formatCode>_(* #,##0.00_);_(* \(#,##0.00\);_(* "-"??_);_(@_)</c:formatCode>
                <c:ptCount val="1"/>
                <c:pt idx="0">
                  <c:v>4704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1"/>
                <c:pt idx="0">
                  <c:v>Total Consumption M3                       (Meter 1 : 2) M3</c:v>
                </c:pt>
              </c:strCache>
            </c:strRef>
          </c:tx>
          <c:invertIfNegative val="0"/>
          <c:val>
            <c:numRef>
              <c:f>'Water consumption'!$C$32</c:f>
              <c:numCache>
                <c:formatCode>_(* #,##0.00_);_(* \(#,##0.00\);_(* "-"??_);_(@_)</c:formatCode>
                <c:ptCount val="1"/>
                <c:pt idx="0">
                  <c:v>-205921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consumption'!$Y$32</c:f>
              <c:numCache>
                <c:formatCode>_(* #,##0.00_);_(* \(#,##0.00\);_(* "-"??_);_(@_)</c:formatCode>
                <c:ptCount val="1"/>
                <c:pt idx="0">
                  <c:v>-656687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910656"/>
        <c:axId val="213912192"/>
      </c:barChart>
      <c:catAx>
        <c:axId val="2139106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3912192"/>
        <c:crosses val="autoZero"/>
        <c:auto val="1"/>
        <c:lblAlgn val="ctr"/>
        <c:lblOffset val="100"/>
        <c:noMultiLvlLbl val="0"/>
      </c:catAx>
      <c:valAx>
        <c:axId val="213912192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13910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36</xdr:row>
      <xdr:rowOff>33337</xdr:rowOff>
    </xdr:from>
    <xdr:to>
      <xdr:col>9</xdr:col>
      <xdr:colOff>904875</xdr:colOff>
      <xdr:row>52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34</xdr:row>
      <xdr:rowOff>74084</xdr:rowOff>
    </xdr:from>
    <xdr:to>
      <xdr:col>16</xdr:col>
      <xdr:colOff>0</xdr:colOff>
      <xdr:row>53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37</xdr:row>
      <xdr:rowOff>17992</xdr:rowOff>
    </xdr:from>
    <xdr:to>
      <xdr:col>5</xdr:col>
      <xdr:colOff>369358</xdr:colOff>
      <xdr:row>51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zoomScale="85" zoomScaleNormal="85" workbookViewId="0">
      <selection activeCell="E15" sqref="E15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8" t="s">
        <v>4</v>
      </c>
      <c r="F1" s="112" t="s">
        <v>5</v>
      </c>
      <c r="G1" s="40" t="s">
        <v>129</v>
      </c>
      <c r="H1" s="113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2</v>
      </c>
      <c r="D2" s="116">
        <v>2022</v>
      </c>
      <c r="E2" s="101">
        <v>23690.000000001193</v>
      </c>
      <c r="F2" s="117">
        <v>0.18</v>
      </c>
      <c r="G2" s="101">
        <v>6532</v>
      </c>
      <c r="H2" s="114">
        <v>0.63500000000000001</v>
      </c>
      <c r="I2" s="62">
        <v>341</v>
      </c>
      <c r="J2" s="72">
        <v>1.8</v>
      </c>
      <c r="K2" s="98"/>
      <c r="L2" s="72">
        <v>0.9</v>
      </c>
      <c r="M2" s="68">
        <v>32</v>
      </c>
      <c r="N2" s="68">
        <v>70</v>
      </c>
      <c r="O2" s="68">
        <v>214</v>
      </c>
    </row>
    <row r="3" spans="1:15" ht="15" x14ac:dyDescent="0.25">
      <c r="A3" s="44" t="s">
        <v>9</v>
      </c>
      <c r="B3" s="45">
        <f>B2+1</f>
        <v>2</v>
      </c>
      <c r="C3" s="46">
        <v>2</v>
      </c>
      <c r="D3" s="116">
        <v>2022</v>
      </c>
      <c r="E3" s="101">
        <v>22029.999999999061</v>
      </c>
      <c r="F3" s="117">
        <v>0.18</v>
      </c>
      <c r="G3" s="101">
        <v>5856</v>
      </c>
      <c r="H3" s="114">
        <v>0.63500000000000001</v>
      </c>
      <c r="I3" s="62">
        <v>323</v>
      </c>
      <c r="J3" s="72">
        <v>1.8</v>
      </c>
      <c r="K3" s="98"/>
      <c r="L3" s="72">
        <v>0.9</v>
      </c>
      <c r="M3" s="68">
        <v>27</v>
      </c>
      <c r="N3" s="68">
        <v>61</v>
      </c>
      <c r="O3" s="68">
        <v>168</v>
      </c>
    </row>
    <row r="4" spans="1:15" ht="15" x14ac:dyDescent="0.25">
      <c r="A4" s="44" t="s">
        <v>9</v>
      </c>
      <c r="B4" s="45">
        <f t="shared" ref="B4:B29" si="0">B3+1</f>
        <v>3</v>
      </c>
      <c r="C4" s="46">
        <v>2</v>
      </c>
      <c r="D4" s="116">
        <v>2022</v>
      </c>
      <c r="E4" s="101">
        <v>21909.999999999396</v>
      </c>
      <c r="F4" s="117">
        <v>0.18</v>
      </c>
      <c r="G4" s="101">
        <v>5761</v>
      </c>
      <c r="H4" s="114">
        <v>0.63500000000000001</v>
      </c>
      <c r="I4" s="62">
        <v>371</v>
      </c>
      <c r="J4" s="72">
        <v>1.8</v>
      </c>
      <c r="K4" s="98"/>
      <c r="L4" s="72">
        <v>0.9</v>
      </c>
      <c r="M4" s="68">
        <v>30</v>
      </c>
      <c r="N4" s="68">
        <v>69</v>
      </c>
      <c r="O4" s="68">
        <v>184</v>
      </c>
    </row>
    <row r="5" spans="1:15" ht="15" x14ac:dyDescent="0.25">
      <c r="A5" s="44" t="s">
        <v>9</v>
      </c>
      <c r="B5" s="45">
        <f t="shared" si="0"/>
        <v>4</v>
      </c>
      <c r="C5" s="46">
        <v>2</v>
      </c>
      <c r="D5" s="116">
        <v>2022</v>
      </c>
      <c r="E5" s="101">
        <v>22420.000000001892</v>
      </c>
      <c r="F5" s="117">
        <v>0.18</v>
      </c>
      <c r="G5" s="101">
        <v>5677</v>
      </c>
      <c r="H5" s="114">
        <v>0.63500000000000001</v>
      </c>
      <c r="I5" s="62">
        <v>401</v>
      </c>
      <c r="J5" s="72">
        <v>1.8</v>
      </c>
      <c r="K5" s="98"/>
      <c r="L5" s="72">
        <v>0.9</v>
      </c>
      <c r="M5" s="68">
        <v>36</v>
      </c>
      <c r="N5" s="68">
        <v>86</v>
      </c>
      <c r="O5" s="68">
        <v>235</v>
      </c>
    </row>
    <row r="6" spans="1:15" ht="15" x14ac:dyDescent="0.25">
      <c r="A6" s="44" t="s">
        <v>9</v>
      </c>
      <c r="B6" s="45">
        <f t="shared" si="0"/>
        <v>5</v>
      </c>
      <c r="C6" s="46">
        <v>2</v>
      </c>
      <c r="D6" s="116">
        <v>2022</v>
      </c>
      <c r="E6" s="101">
        <v>21719.999999997981</v>
      </c>
      <c r="F6" s="117">
        <v>0.18</v>
      </c>
      <c r="G6" s="101">
        <v>5482</v>
      </c>
      <c r="H6" s="114">
        <v>0.63500000000000001</v>
      </c>
      <c r="I6" s="62">
        <v>353</v>
      </c>
      <c r="J6" s="72">
        <v>1.8</v>
      </c>
      <c r="K6" s="98"/>
      <c r="L6" s="72">
        <v>0.9</v>
      </c>
      <c r="M6" s="68">
        <v>39</v>
      </c>
      <c r="N6" s="68">
        <v>99</v>
      </c>
      <c r="O6" s="68">
        <v>263</v>
      </c>
    </row>
    <row r="7" spans="1:15" ht="15" x14ac:dyDescent="0.25">
      <c r="A7" s="44" t="s">
        <v>9</v>
      </c>
      <c r="B7" s="45">
        <f t="shared" si="0"/>
        <v>6</v>
      </c>
      <c r="C7" s="46">
        <v>2</v>
      </c>
      <c r="D7" s="116">
        <v>2022</v>
      </c>
      <c r="E7" s="101">
        <v>21540.000000001328</v>
      </c>
      <c r="F7" s="117">
        <v>0.18</v>
      </c>
      <c r="G7" s="101">
        <v>5484</v>
      </c>
      <c r="H7" s="114">
        <v>0.63500000000000001</v>
      </c>
      <c r="I7" s="62">
        <v>337</v>
      </c>
      <c r="J7" s="72">
        <v>1.8</v>
      </c>
      <c r="K7" s="98"/>
      <c r="L7" s="72">
        <v>0.9</v>
      </c>
      <c r="M7" s="68">
        <v>42</v>
      </c>
      <c r="N7" s="68">
        <v>108</v>
      </c>
      <c r="O7" s="68">
        <v>298</v>
      </c>
    </row>
    <row r="8" spans="1:15" ht="15" x14ac:dyDescent="0.25">
      <c r="A8" s="44" t="s">
        <v>9</v>
      </c>
      <c r="B8" s="45">
        <f t="shared" si="0"/>
        <v>7</v>
      </c>
      <c r="C8" s="46">
        <v>2</v>
      </c>
      <c r="D8" s="116">
        <v>2022</v>
      </c>
      <c r="E8" s="101">
        <v>22099.999999999454</v>
      </c>
      <c r="F8" s="117">
        <v>0.18</v>
      </c>
      <c r="G8" s="101">
        <v>5542</v>
      </c>
      <c r="H8" s="114">
        <v>0.63500000000000001</v>
      </c>
      <c r="I8" s="62">
        <v>348</v>
      </c>
      <c r="J8" s="72">
        <v>1.8</v>
      </c>
      <c r="K8" s="98"/>
      <c r="L8" s="72">
        <v>0.9</v>
      </c>
      <c r="M8" s="68">
        <v>42</v>
      </c>
      <c r="N8" s="68">
        <v>108</v>
      </c>
      <c r="O8" s="68">
        <v>276</v>
      </c>
    </row>
    <row r="9" spans="1:15" ht="15" x14ac:dyDescent="0.25">
      <c r="A9" s="44" t="s">
        <v>9</v>
      </c>
      <c r="B9" s="45">
        <f t="shared" si="0"/>
        <v>8</v>
      </c>
      <c r="C9" s="46">
        <v>2</v>
      </c>
      <c r="D9" s="116">
        <v>2022</v>
      </c>
      <c r="E9" s="101">
        <v>21490.000000001601</v>
      </c>
      <c r="F9" s="117">
        <v>0.18</v>
      </c>
      <c r="G9" s="101">
        <v>5644</v>
      </c>
      <c r="H9" s="114">
        <v>0.63500000000000001</v>
      </c>
      <c r="I9" s="62">
        <v>361</v>
      </c>
      <c r="J9" s="72">
        <v>1.8</v>
      </c>
      <c r="K9" s="98"/>
      <c r="L9" s="72">
        <v>0.9</v>
      </c>
      <c r="M9" s="68">
        <v>42</v>
      </c>
      <c r="N9" s="68">
        <v>104</v>
      </c>
      <c r="O9" s="68">
        <v>266</v>
      </c>
    </row>
    <row r="10" spans="1:15" ht="15" x14ac:dyDescent="0.25">
      <c r="A10" s="44" t="s">
        <v>9</v>
      </c>
      <c r="B10" s="45">
        <f t="shared" si="0"/>
        <v>9</v>
      </c>
      <c r="C10" s="46">
        <v>2</v>
      </c>
      <c r="D10" s="116">
        <v>2022</v>
      </c>
      <c r="E10" s="101">
        <v>22419.999999999163</v>
      </c>
      <c r="F10" s="117">
        <v>0.18</v>
      </c>
      <c r="G10" s="101">
        <v>5628</v>
      </c>
      <c r="H10" s="114">
        <v>0.63500000000000001</v>
      </c>
      <c r="I10" s="62">
        <v>359</v>
      </c>
      <c r="J10" s="72">
        <v>1.8</v>
      </c>
      <c r="K10" s="98"/>
      <c r="L10" s="72">
        <v>0.9</v>
      </c>
      <c r="M10" s="68">
        <v>39</v>
      </c>
      <c r="N10" s="68">
        <v>99</v>
      </c>
      <c r="O10" s="68">
        <v>268</v>
      </c>
    </row>
    <row r="11" spans="1:15" ht="15" x14ac:dyDescent="0.25">
      <c r="A11" s="44" t="s">
        <v>9</v>
      </c>
      <c r="B11" s="45">
        <f t="shared" si="0"/>
        <v>10</v>
      </c>
      <c r="C11" s="46">
        <v>2</v>
      </c>
      <c r="D11" s="116">
        <v>2022</v>
      </c>
      <c r="E11" s="101">
        <v>24009.99999999908</v>
      </c>
      <c r="F11" s="117">
        <v>0.18</v>
      </c>
      <c r="G11" s="101">
        <v>5606</v>
      </c>
      <c r="H11" s="114">
        <v>0.63500000000000001</v>
      </c>
      <c r="I11" s="62">
        <v>353</v>
      </c>
      <c r="J11" s="72">
        <v>1.8</v>
      </c>
      <c r="K11" s="98"/>
      <c r="L11" s="72">
        <v>0.9</v>
      </c>
      <c r="M11" s="68">
        <v>48</v>
      </c>
      <c r="N11" s="68">
        <v>122</v>
      </c>
      <c r="O11" s="68">
        <v>336</v>
      </c>
    </row>
    <row r="12" spans="1:15" ht="15" x14ac:dyDescent="0.25">
      <c r="A12" s="44" t="s">
        <v>9</v>
      </c>
      <c r="B12" s="45">
        <f t="shared" si="0"/>
        <v>11</v>
      </c>
      <c r="C12" s="46">
        <v>2</v>
      </c>
      <c r="D12" s="116">
        <v>2022</v>
      </c>
      <c r="E12" s="101">
        <v>20460.000000000036</v>
      </c>
      <c r="F12" s="117">
        <v>0.18</v>
      </c>
      <c r="G12" s="101">
        <v>5590</v>
      </c>
      <c r="H12" s="114">
        <v>0.63500000000000001</v>
      </c>
      <c r="I12" s="62">
        <v>402</v>
      </c>
      <c r="J12" s="72">
        <v>1.8</v>
      </c>
      <c r="K12" s="98"/>
      <c r="L12" s="72">
        <v>0.9</v>
      </c>
      <c r="M12" s="68">
        <v>50</v>
      </c>
      <c r="N12" s="68">
        <v>127</v>
      </c>
      <c r="O12" s="68">
        <v>365</v>
      </c>
    </row>
    <row r="13" spans="1:15" ht="15" x14ac:dyDescent="0.25">
      <c r="A13" s="44" t="s">
        <v>9</v>
      </c>
      <c r="B13" s="45">
        <f t="shared" si="0"/>
        <v>12</v>
      </c>
      <c r="C13" s="46">
        <v>2</v>
      </c>
      <c r="D13" s="116">
        <v>2022</v>
      </c>
      <c r="E13" s="101">
        <v>21459.999999999582</v>
      </c>
      <c r="F13" s="117">
        <v>0.18</v>
      </c>
      <c r="G13" s="101">
        <v>5538</v>
      </c>
      <c r="H13" s="114">
        <v>0.63500000000000001</v>
      </c>
      <c r="I13" s="62">
        <v>369</v>
      </c>
      <c r="J13" s="72">
        <v>1.8</v>
      </c>
      <c r="K13" s="98"/>
      <c r="L13" s="72">
        <v>0.9</v>
      </c>
      <c r="M13" s="68">
        <v>63</v>
      </c>
      <c r="N13" s="68">
        <v>169</v>
      </c>
      <c r="O13" s="68">
        <v>482</v>
      </c>
    </row>
    <row r="14" spans="1:15" ht="15" x14ac:dyDescent="0.25">
      <c r="A14" s="44" t="s">
        <v>9</v>
      </c>
      <c r="B14" s="45">
        <f t="shared" si="0"/>
        <v>13</v>
      </c>
      <c r="C14" s="46">
        <v>2</v>
      </c>
      <c r="D14" s="116">
        <v>2022</v>
      </c>
      <c r="E14" s="101">
        <v>22780.000000001339</v>
      </c>
      <c r="F14" s="117">
        <v>0.18</v>
      </c>
      <c r="G14" s="101">
        <v>5769</v>
      </c>
      <c r="H14" s="114">
        <v>0.63500000000000001</v>
      </c>
      <c r="I14" s="62">
        <v>386</v>
      </c>
      <c r="J14" s="72">
        <v>1.8</v>
      </c>
      <c r="K14" s="98"/>
      <c r="L14" s="72">
        <v>0.9</v>
      </c>
      <c r="M14" s="68">
        <v>64</v>
      </c>
      <c r="N14" s="68">
        <v>169</v>
      </c>
      <c r="O14" s="68">
        <v>496</v>
      </c>
    </row>
    <row r="15" spans="1:15" ht="15" x14ac:dyDescent="0.25">
      <c r="A15" s="44" t="s">
        <v>9</v>
      </c>
      <c r="B15" s="45">
        <f t="shared" si="0"/>
        <v>14</v>
      </c>
      <c r="C15" s="46">
        <v>2</v>
      </c>
      <c r="D15" s="116">
        <v>2022</v>
      </c>
      <c r="E15" s="101"/>
      <c r="F15" s="117">
        <v>0.18</v>
      </c>
      <c r="G15" s="101"/>
      <c r="H15" s="114">
        <v>0.63500000000000001</v>
      </c>
      <c r="I15" s="62"/>
      <c r="J15" s="72">
        <v>1.8</v>
      </c>
      <c r="K15" s="98"/>
      <c r="L15" s="72">
        <v>0.9</v>
      </c>
      <c r="M15" s="68">
        <v>64</v>
      </c>
      <c r="N15" s="68">
        <v>174</v>
      </c>
      <c r="O15" s="68">
        <v>488</v>
      </c>
    </row>
    <row r="16" spans="1:15" ht="15" x14ac:dyDescent="0.25">
      <c r="A16" s="44" t="s">
        <v>9</v>
      </c>
      <c r="B16" s="45">
        <f t="shared" si="0"/>
        <v>15</v>
      </c>
      <c r="C16" s="46">
        <v>2</v>
      </c>
      <c r="D16" s="116">
        <v>2022</v>
      </c>
      <c r="E16" s="101"/>
      <c r="F16" s="117">
        <v>0.18</v>
      </c>
      <c r="G16" s="101"/>
      <c r="H16" s="114">
        <v>0.63500000000000001</v>
      </c>
      <c r="I16" s="62"/>
      <c r="J16" s="72">
        <v>1.8</v>
      </c>
      <c r="K16" s="98"/>
      <c r="L16" s="72">
        <v>0.9</v>
      </c>
      <c r="M16" s="68">
        <v>62</v>
      </c>
      <c r="N16" s="68">
        <v>172</v>
      </c>
      <c r="O16" s="68">
        <v>497</v>
      </c>
    </row>
    <row r="17" spans="1:15" ht="15" x14ac:dyDescent="0.25">
      <c r="A17" s="44" t="s">
        <v>9</v>
      </c>
      <c r="B17" s="45">
        <f t="shared" si="0"/>
        <v>16</v>
      </c>
      <c r="C17" s="46">
        <v>2</v>
      </c>
      <c r="D17" s="116">
        <v>2022</v>
      </c>
      <c r="E17" s="101"/>
      <c r="F17" s="117">
        <v>0.18</v>
      </c>
      <c r="G17" s="101"/>
      <c r="H17" s="114">
        <v>0.63500000000000001</v>
      </c>
      <c r="I17" s="62"/>
      <c r="J17" s="72">
        <v>1.8</v>
      </c>
      <c r="K17" s="98"/>
      <c r="L17" s="72">
        <v>0.9</v>
      </c>
      <c r="M17" s="68">
        <v>61</v>
      </c>
      <c r="N17" s="68">
        <v>170</v>
      </c>
      <c r="O17" s="68">
        <v>491</v>
      </c>
    </row>
    <row r="18" spans="1:15" ht="15" x14ac:dyDescent="0.25">
      <c r="A18" s="44" t="s">
        <v>9</v>
      </c>
      <c r="B18" s="45">
        <f t="shared" si="0"/>
        <v>17</v>
      </c>
      <c r="C18" s="46">
        <v>2</v>
      </c>
      <c r="D18" s="116">
        <v>2022</v>
      </c>
      <c r="E18" s="101"/>
      <c r="F18" s="117">
        <v>0.18</v>
      </c>
      <c r="G18" s="101"/>
      <c r="H18" s="114">
        <v>0.63500000000000001</v>
      </c>
      <c r="I18" s="62"/>
      <c r="J18" s="72">
        <v>1.8</v>
      </c>
      <c r="K18" s="98"/>
      <c r="L18" s="72">
        <v>0.9</v>
      </c>
      <c r="M18" s="68">
        <v>63</v>
      </c>
      <c r="N18" s="68">
        <v>177</v>
      </c>
      <c r="O18" s="68">
        <v>506</v>
      </c>
    </row>
    <row r="19" spans="1:15" ht="15" x14ac:dyDescent="0.25">
      <c r="A19" s="44" t="s">
        <v>9</v>
      </c>
      <c r="B19" s="45">
        <f t="shared" si="0"/>
        <v>18</v>
      </c>
      <c r="C19" s="46">
        <v>2</v>
      </c>
      <c r="D19" s="116">
        <v>2022</v>
      </c>
      <c r="E19" s="101"/>
      <c r="F19" s="117">
        <v>0.18</v>
      </c>
      <c r="G19" s="101"/>
      <c r="H19" s="114">
        <v>0.63500000000000001</v>
      </c>
      <c r="I19" s="62"/>
      <c r="J19" s="72">
        <v>1.8</v>
      </c>
      <c r="K19" s="98"/>
      <c r="L19" s="72">
        <v>0.9</v>
      </c>
      <c r="M19" s="68"/>
      <c r="N19" s="68"/>
      <c r="O19" s="68"/>
    </row>
    <row r="20" spans="1:15" ht="15" x14ac:dyDescent="0.25">
      <c r="A20" s="44" t="s">
        <v>9</v>
      </c>
      <c r="B20" s="45">
        <f t="shared" si="0"/>
        <v>19</v>
      </c>
      <c r="C20" s="46">
        <v>2</v>
      </c>
      <c r="D20" s="116">
        <v>2022</v>
      </c>
      <c r="E20" s="101"/>
      <c r="F20" s="117">
        <v>0.18</v>
      </c>
      <c r="G20" s="101"/>
      <c r="H20" s="114">
        <v>0.63500000000000001</v>
      </c>
      <c r="I20" s="62"/>
      <c r="J20" s="72">
        <v>1.8</v>
      </c>
      <c r="K20" s="98"/>
      <c r="L20" s="72">
        <v>0.9</v>
      </c>
      <c r="M20" s="68"/>
      <c r="N20" s="68"/>
      <c r="O20" s="68"/>
    </row>
    <row r="21" spans="1:15" ht="15" x14ac:dyDescent="0.25">
      <c r="A21" s="44" t="s">
        <v>9</v>
      </c>
      <c r="B21" s="45">
        <f t="shared" si="0"/>
        <v>20</v>
      </c>
      <c r="C21" s="46">
        <v>2</v>
      </c>
      <c r="D21" s="116">
        <v>2022</v>
      </c>
      <c r="E21" s="101"/>
      <c r="F21" s="117">
        <v>0.18</v>
      </c>
      <c r="G21" s="101"/>
      <c r="H21" s="114">
        <v>0.63500000000000001</v>
      </c>
      <c r="I21" s="62"/>
      <c r="J21" s="72">
        <v>1.8</v>
      </c>
      <c r="K21" s="98"/>
      <c r="L21" s="72">
        <v>0.9</v>
      </c>
      <c r="M21" s="68"/>
      <c r="N21" s="68"/>
      <c r="O21" s="68"/>
    </row>
    <row r="22" spans="1:15" ht="15" x14ac:dyDescent="0.25">
      <c r="A22" s="44" t="s">
        <v>9</v>
      </c>
      <c r="B22" s="45">
        <f t="shared" si="0"/>
        <v>21</v>
      </c>
      <c r="C22" s="46">
        <v>2</v>
      </c>
      <c r="D22" s="116">
        <v>2022</v>
      </c>
      <c r="E22" s="101"/>
      <c r="F22" s="117">
        <v>0.18</v>
      </c>
      <c r="G22" s="101"/>
      <c r="H22" s="114">
        <v>0.63500000000000001</v>
      </c>
      <c r="I22" s="62"/>
      <c r="J22" s="72">
        <v>1.8</v>
      </c>
      <c r="K22" s="98"/>
      <c r="L22" s="72">
        <v>0.9</v>
      </c>
      <c r="M22" s="68"/>
      <c r="N22" s="68"/>
      <c r="O22" s="68"/>
    </row>
    <row r="23" spans="1:15" ht="15" x14ac:dyDescent="0.25">
      <c r="A23" s="44" t="s">
        <v>9</v>
      </c>
      <c r="B23" s="45">
        <f t="shared" si="0"/>
        <v>22</v>
      </c>
      <c r="C23" s="46">
        <v>2</v>
      </c>
      <c r="D23" s="116">
        <v>2022</v>
      </c>
      <c r="E23" s="101"/>
      <c r="F23" s="117">
        <v>0.18</v>
      </c>
      <c r="G23" s="101"/>
      <c r="H23" s="114">
        <v>0.63500000000000001</v>
      </c>
      <c r="I23" s="62"/>
      <c r="J23" s="72">
        <v>1.8</v>
      </c>
      <c r="K23" s="98"/>
      <c r="L23" s="72">
        <v>0.9</v>
      </c>
      <c r="M23" s="68"/>
      <c r="N23" s="68"/>
      <c r="O23" s="68"/>
    </row>
    <row r="24" spans="1:15" ht="15" x14ac:dyDescent="0.25">
      <c r="A24" s="44" t="s">
        <v>9</v>
      </c>
      <c r="B24" s="45">
        <f t="shared" si="0"/>
        <v>23</v>
      </c>
      <c r="C24" s="46">
        <v>2</v>
      </c>
      <c r="D24" s="116">
        <v>2022</v>
      </c>
      <c r="E24" s="101"/>
      <c r="F24" s="117">
        <v>0.18</v>
      </c>
      <c r="G24" s="101"/>
      <c r="H24" s="114">
        <v>0.63500000000000001</v>
      </c>
      <c r="I24" s="62"/>
      <c r="J24" s="72">
        <v>1.8</v>
      </c>
      <c r="K24" s="98"/>
      <c r="L24" s="72">
        <v>0.9</v>
      </c>
      <c r="M24" s="68"/>
      <c r="N24" s="68"/>
      <c r="O24" s="68"/>
    </row>
    <row r="25" spans="1:15" ht="15" x14ac:dyDescent="0.25">
      <c r="A25" s="44" t="s">
        <v>9</v>
      </c>
      <c r="B25" s="45">
        <f t="shared" si="0"/>
        <v>24</v>
      </c>
      <c r="C25" s="46">
        <v>2</v>
      </c>
      <c r="D25" s="116">
        <v>2022</v>
      </c>
      <c r="E25" s="101"/>
      <c r="F25" s="117">
        <v>0.18</v>
      </c>
      <c r="G25" s="101"/>
      <c r="H25" s="114">
        <v>0.63500000000000001</v>
      </c>
      <c r="I25" s="62"/>
      <c r="J25" s="72">
        <v>1.8</v>
      </c>
      <c r="K25" s="98"/>
      <c r="L25" s="72">
        <v>0.9</v>
      </c>
      <c r="M25" s="68"/>
      <c r="N25" s="68"/>
      <c r="O25" s="68"/>
    </row>
    <row r="26" spans="1:15" ht="15" x14ac:dyDescent="0.25">
      <c r="A26" s="44" t="s">
        <v>9</v>
      </c>
      <c r="B26" s="45">
        <f>B25+1</f>
        <v>25</v>
      </c>
      <c r="C26" s="46">
        <v>2</v>
      </c>
      <c r="D26" s="116">
        <v>2022</v>
      </c>
      <c r="E26" s="101"/>
      <c r="F26" s="117">
        <v>0.18</v>
      </c>
      <c r="G26" s="101"/>
      <c r="H26" s="114">
        <v>0.63500000000000001</v>
      </c>
      <c r="I26" s="62"/>
      <c r="J26" s="72">
        <v>1.8</v>
      </c>
      <c r="K26" s="98"/>
      <c r="L26" s="72">
        <v>0.9</v>
      </c>
      <c r="M26" s="68"/>
      <c r="N26" s="68"/>
      <c r="O26" s="68"/>
    </row>
    <row r="27" spans="1:15" ht="15" x14ac:dyDescent="0.25">
      <c r="A27" s="44" t="s">
        <v>9</v>
      </c>
      <c r="B27" s="45">
        <f t="shared" si="0"/>
        <v>26</v>
      </c>
      <c r="C27" s="46">
        <v>2</v>
      </c>
      <c r="D27" s="116">
        <v>2022</v>
      </c>
      <c r="E27" s="101"/>
      <c r="F27" s="117">
        <v>0.18</v>
      </c>
      <c r="G27" s="101"/>
      <c r="H27" s="114">
        <v>0.63500000000000001</v>
      </c>
      <c r="I27" s="62"/>
      <c r="J27" s="72">
        <v>1.8</v>
      </c>
      <c r="K27" s="98"/>
      <c r="L27" s="72">
        <v>0.9</v>
      </c>
      <c r="M27" s="68"/>
      <c r="N27" s="68"/>
      <c r="O27" s="68"/>
    </row>
    <row r="28" spans="1:15" ht="15" x14ac:dyDescent="0.25">
      <c r="A28" s="44" t="s">
        <v>9</v>
      </c>
      <c r="B28" s="45">
        <f t="shared" si="0"/>
        <v>27</v>
      </c>
      <c r="C28" s="46">
        <v>2</v>
      </c>
      <c r="D28" s="116">
        <v>2022</v>
      </c>
      <c r="E28" s="101"/>
      <c r="F28" s="117">
        <v>0.18</v>
      </c>
      <c r="G28" s="101"/>
      <c r="H28" s="114">
        <v>0.63500000000000001</v>
      </c>
      <c r="I28" s="62"/>
      <c r="J28" s="72">
        <v>1.8</v>
      </c>
      <c r="K28" s="98"/>
      <c r="L28" s="72">
        <v>0.9</v>
      </c>
      <c r="M28" s="68"/>
      <c r="N28" s="68"/>
      <c r="O28" s="68"/>
    </row>
    <row r="29" spans="1:15" ht="15" x14ac:dyDescent="0.25">
      <c r="A29" s="44" t="s">
        <v>9</v>
      </c>
      <c r="B29" s="45">
        <f t="shared" si="0"/>
        <v>28</v>
      </c>
      <c r="C29" s="46">
        <v>2</v>
      </c>
      <c r="D29" s="116">
        <v>2022</v>
      </c>
      <c r="E29" s="101"/>
      <c r="F29" s="117">
        <v>0.18</v>
      </c>
      <c r="G29" s="101"/>
      <c r="H29" s="114">
        <v>0.63500000000000001</v>
      </c>
      <c r="I29" s="62"/>
      <c r="J29" s="72">
        <v>1.8</v>
      </c>
      <c r="K29" s="98"/>
      <c r="L29" s="72">
        <v>0.9</v>
      </c>
      <c r="M29" s="68"/>
      <c r="N29" s="68"/>
      <c r="O29" s="68"/>
    </row>
    <row r="30" spans="1:15" ht="18.75" customHeight="1" x14ac:dyDescent="0.2">
      <c r="A30" s="122" t="s">
        <v>52</v>
      </c>
      <c r="B30" s="122"/>
      <c r="C30" s="122"/>
      <c r="D30" s="122"/>
      <c r="E30" s="115">
        <f>SUM(E2:E29)</f>
        <v>288030.00000000105</v>
      </c>
      <c r="F30" s="95">
        <v>0</v>
      </c>
      <c r="G30" s="115">
        <f>SUM(G2:G29)</f>
        <v>74109</v>
      </c>
      <c r="H30" s="93">
        <v>0</v>
      </c>
      <c r="I30" s="94">
        <f>SUM(I2:I29)</f>
        <v>4704</v>
      </c>
      <c r="J30" s="95">
        <v>0</v>
      </c>
      <c r="K30" s="96">
        <f>SUM(K2:K29)</f>
        <v>0</v>
      </c>
      <c r="L30" s="93">
        <v>0</v>
      </c>
      <c r="M30" s="97">
        <f>SUM(M2:M29)</f>
        <v>804</v>
      </c>
      <c r="N30" s="97">
        <f>SUM(N2:N29)</f>
        <v>2084</v>
      </c>
      <c r="O30" s="97">
        <f>SUM(O2:O29)</f>
        <v>5833</v>
      </c>
    </row>
    <row r="37" spans="3:3" x14ac:dyDescent="0.2">
      <c r="C37" s="43" t="s">
        <v>128</v>
      </c>
    </row>
  </sheetData>
  <mergeCells count="1">
    <mergeCell ref="A30:D30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Views>
    <sheetView zoomScale="78" zoomScaleNormal="78" workbookViewId="0">
      <selection activeCell="B21" sqref="B2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6" t="s">
        <v>10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73"/>
      <c r="V1" s="73"/>
    </row>
    <row r="2" spans="1:25" s="17" customFormat="1" ht="33" customHeight="1" x14ac:dyDescent="0.25">
      <c r="A2" s="28" t="s">
        <v>2</v>
      </c>
      <c r="B2" s="123" t="s">
        <v>126</v>
      </c>
      <c r="C2" s="123" t="s">
        <v>11</v>
      </c>
      <c r="D2" s="123" t="s">
        <v>12</v>
      </c>
      <c r="E2" s="123" t="s">
        <v>13</v>
      </c>
      <c r="F2" s="123" t="s">
        <v>14</v>
      </c>
      <c r="G2" s="128" t="s">
        <v>15</v>
      </c>
      <c r="H2" s="130" t="s">
        <v>16</v>
      </c>
      <c r="I2" s="123" t="s">
        <v>17</v>
      </c>
      <c r="J2" s="133" t="s">
        <v>18</v>
      </c>
      <c r="K2" s="134"/>
      <c r="L2" s="135"/>
      <c r="M2" s="128" t="s">
        <v>19</v>
      </c>
      <c r="N2" s="130" t="s">
        <v>20</v>
      </c>
      <c r="O2" s="131" t="s">
        <v>21</v>
      </c>
      <c r="P2" s="130" t="s">
        <v>22</v>
      </c>
      <c r="Q2" s="136" t="s">
        <v>23</v>
      </c>
      <c r="R2" s="123" t="s">
        <v>24</v>
      </c>
      <c r="S2" s="123" t="s">
        <v>25</v>
      </c>
      <c r="T2" s="123" t="s">
        <v>26</v>
      </c>
      <c r="V2" s="125" t="s">
        <v>6</v>
      </c>
      <c r="W2" s="125" t="s">
        <v>7</v>
      </c>
      <c r="X2" s="125" t="s">
        <v>8</v>
      </c>
    </row>
    <row r="3" spans="1:25" s="17" customFormat="1" ht="45" customHeight="1" x14ac:dyDescent="0.25">
      <c r="A3" s="29"/>
      <c r="B3" s="124"/>
      <c r="C3" s="124"/>
      <c r="D3" s="124"/>
      <c r="E3" s="124"/>
      <c r="F3" s="124"/>
      <c r="G3" s="129"/>
      <c r="H3" s="130"/>
      <c r="I3" s="124"/>
      <c r="J3" s="18" t="s">
        <v>27</v>
      </c>
      <c r="K3" s="18" t="s">
        <v>28</v>
      </c>
      <c r="L3" s="18" t="s">
        <v>29</v>
      </c>
      <c r="M3" s="129"/>
      <c r="N3" s="130"/>
      <c r="O3" s="132"/>
      <c r="P3" s="130"/>
      <c r="Q3" s="137"/>
      <c r="R3" s="124"/>
      <c r="S3" s="124"/>
      <c r="T3" s="124"/>
      <c r="V3" s="125"/>
      <c r="W3" s="125"/>
      <c r="X3" s="125"/>
    </row>
    <row r="4" spans="1:25" ht="21" customHeight="1" x14ac:dyDescent="0.25">
      <c r="A4" s="8">
        <v>44593</v>
      </c>
      <c r="B4" s="1">
        <v>1.2423999999999999</v>
      </c>
      <c r="C4" s="1">
        <v>283.83999999999997</v>
      </c>
      <c r="D4" s="1">
        <v>7945515.8600000003</v>
      </c>
      <c r="E4" s="1">
        <v>8788665.5099999998</v>
      </c>
      <c r="F4" s="1">
        <v>2.927</v>
      </c>
      <c r="G4" s="1">
        <v>931.94</v>
      </c>
      <c r="H4" s="1">
        <v>791.19</v>
      </c>
      <c r="I4" s="1">
        <v>297.02</v>
      </c>
      <c r="J4" s="1">
        <v>400.07</v>
      </c>
      <c r="K4" s="1">
        <v>413.25</v>
      </c>
      <c r="L4" s="1">
        <v>282.35000000000002</v>
      </c>
      <c r="M4" s="1">
        <v>679.66</v>
      </c>
      <c r="N4" s="1">
        <v>634.62</v>
      </c>
      <c r="O4" s="1">
        <v>196.85</v>
      </c>
      <c r="P4" s="1">
        <v>828.57</v>
      </c>
      <c r="Q4" s="1">
        <v>610.9</v>
      </c>
      <c r="R4" s="1">
        <v>190.15</v>
      </c>
      <c r="S4" s="1">
        <v>143.46</v>
      </c>
      <c r="T4" s="1">
        <v>524.17999999999995</v>
      </c>
      <c r="V4" s="68">
        <v>32</v>
      </c>
      <c r="W4" s="68">
        <v>70</v>
      </c>
      <c r="X4" s="68">
        <v>214</v>
      </c>
      <c r="Y4" s="17"/>
    </row>
    <row r="5" spans="1:25" ht="21" customHeight="1" x14ac:dyDescent="0.25">
      <c r="A5" s="8">
        <v>44594</v>
      </c>
      <c r="B5" s="105">
        <v>1.2436</v>
      </c>
      <c r="C5" s="106">
        <v>284.08999999999997</v>
      </c>
      <c r="D5" s="106">
        <v>7947443.8499999996</v>
      </c>
      <c r="E5" s="106">
        <v>8591418.9199999999</v>
      </c>
      <c r="F5" s="106">
        <v>2.9297</v>
      </c>
      <c r="G5" s="106">
        <v>932.82</v>
      </c>
      <c r="H5" s="106">
        <v>792.51</v>
      </c>
      <c r="I5" s="106">
        <v>297.36</v>
      </c>
      <c r="J5" s="106">
        <v>400.71</v>
      </c>
      <c r="K5" s="106">
        <v>413.67</v>
      </c>
      <c r="L5" s="106">
        <v>282.58999999999997</v>
      </c>
      <c r="M5" s="106">
        <v>680.46</v>
      </c>
      <c r="N5" s="106">
        <v>635.42999999999995</v>
      </c>
      <c r="O5" s="106">
        <v>197.08</v>
      </c>
      <c r="P5" s="106">
        <v>829.67</v>
      </c>
      <c r="Q5" s="106">
        <v>611.63</v>
      </c>
      <c r="R5" s="106">
        <v>190.15</v>
      </c>
      <c r="S5" s="106">
        <v>143.6</v>
      </c>
      <c r="T5" s="106">
        <v>524.64</v>
      </c>
      <c r="V5" s="68">
        <v>27</v>
      </c>
      <c r="W5" s="68">
        <v>61</v>
      </c>
      <c r="X5" s="68">
        <v>168</v>
      </c>
      <c r="Y5" s="17"/>
    </row>
    <row r="6" spans="1:25" ht="21" customHeight="1" x14ac:dyDescent="0.25">
      <c r="A6" s="8">
        <v>44595</v>
      </c>
      <c r="B6" s="105">
        <v>1.2447999999999999</v>
      </c>
      <c r="C6" s="106">
        <v>284.33</v>
      </c>
      <c r="D6" s="106">
        <v>7949146.3099999996</v>
      </c>
      <c r="E6" s="106">
        <v>8794024.7400000002</v>
      </c>
      <c r="F6" s="106">
        <v>2.9323000000000001</v>
      </c>
      <c r="G6" s="106">
        <v>933.7</v>
      </c>
      <c r="H6" s="106">
        <v>793.82</v>
      </c>
      <c r="I6" s="106">
        <v>297.7</v>
      </c>
      <c r="J6" s="106">
        <v>401.03</v>
      </c>
      <c r="K6" s="106">
        <v>414.01</v>
      </c>
      <c r="L6" s="106">
        <v>282.83</v>
      </c>
      <c r="M6" s="106">
        <v>681.21</v>
      </c>
      <c r="N6" s="106">
        <v>636.17999999999995</v>
      </c>
      <c r="O6" s="106">
        <v>197.3</v>
      </c>
      <c r="P6" s="106">
        <v>830.75</v>
      </c>
      <c r="Q6" s="106">
        <v>612.33000000000004</v>
      </c>
      <c r="R6" s="106">
        <v>190.15</v>
      </c>
      <c r="S6" s="106">
        <v>143.75</v>
      </c>
      <c r="T6" s="106">
        <v>525.14</v>
      </c>
      <c r="V6" s="68">
        <v>30</v>
      </c>
      <c r="W6" s="68">
        <v>69</v>
      </c>
      <c r="X6" s="68">
        <v>184</v>
      </c>
      <c r="Y6" s="17"/>
    </row>
    <row r="7" spans="1:25" ht="21" customHeight="1" x14ac:dyDescent="0.25">
      <c r="A7" s="8">
        <v>44596</v>
      </c>
      <c r="B7" s="105">
        <v>1.2459</v>
      </c>
      <c r="C7" s="106">
        <v>284.54000000000002</v>
      </c>
      <c r="D7" s="106">
        <v>7950910.9800000004</v>
      </c>
      <c r="E7" s="106">
        <v>8796332.1999999993</v>
      </c>
      <c r="F7" s="106">
        <v>2.9350000000000001</v>
      </c>
      <c r="G7" s="106">
        <v>934.59</v>
      </c>
      <c r="H7" s="106">
        <v>794.97</v>
      </c>
      <c r="I7" s="106">
        <v>298.06</v>
      </c>
      <c r="J7" s="106">
        <v>401.35</v>
      </c>
      <c r="K7" s="106">
        <v>414.36</v>
      </c>
      <c r="L7" s="106">
        <v>283.05</v>
      </c>
      <c r="M7" s="106">
        <v>681.94</v>
      </c>
      <c r="N7" s="106">
        <v>636.9</v>
      </c>
      <c r="O7" s="106">
        <v>197.54</v>
      </c>
      <c r="P7" s="106">
        <v>831.63</v>
      </c>
      <c r="Q7" s="106">
        <v>613</v>
      </c>
      <c r="R7" s="106">
        <v>190.15</v>
      </c>
      <c r="S7" s="106">
        <v>143.9</v>
      </c>
      <c r="T7" s="106">
        <v>525.55999999999995</v>
      </c>
      <c r="V7" s="68">
        <v>36</v>
      </c>
      <c r="W7" s="68">
        <v>86</v>
      </c>
      <c r="X7" s="68">
        <v>235</v>
      </c>
      <c r="Y7" s="17"/>
    </row>
    <row r="8" spans="1:25" ht="21" customHeight="1" x14ac:dyDescent="0.25">
      <c r="A8" s="8">
        <v>44597</v>
      </c>
      <c r="B8" s="105">
        <v>1.2470000000000001</v>
      </c>
      <c r="C8" s="106">
        <v>284.18</v>
      </c>
      <c r="D8" s="106">
        <v>7952519.5</v>
      </c>
      <c r="E8" s="106">
        <v>8798435.5399999991</v>
      </c>
      <c r="F8" s="106">
        <v>2.9375</v>
      </c>
      <c r="G8" s="106">
        <v>935.51</v>
      </c>
      <c r="H8" s="106">
        <v>796.09</v>
      </c>
      <c r="I8" s="106">
        <v>298.41000000000003</v>
      </c>
      <c r="J8" s="106">
        <v>401.75</v>
      </c>
      <c r="K8" s="106">
        <v>414.71</v>
      </c>
      <c r="L8" s="106">
        <v>283.27999999999997</v>
      </c>
      <c r="M8" s="106">
        <v>682.62</v>
      </c>
      <c r="N8" s="106">
        <v>637.72</v>
      </c>
      <c r="O8" s="106">
        <v>197.76</v>
      </c>
      <c r="P8" s="106">
        <v>832.71</v>
      </c>
      <c r="Q8" s="106">
        <v>613.16999999999996</v>
      </c>
      <c r="R8" s="106">
        <v>190.15</v>
      </c>
      <c r="S8" s="106">
        <v>144.04</v>
      </c>
      <c r="T8" s="106">
        <v>525.84</v>
      </c>
      <c r="V8" s="100">
        <v>39</v>
      </c>
      <c r="W8" s="100">
        <v>99</v>
      </c>
      <c r="X8" s="100">
        <v>263</v>
      </c>
      <c r="Y8" s="17"/>
    </row>
    <row r="9" spans="1:25" ht="21" customHeight="1" x14ac:dyDescent="0.25">
      <c r="A9" s="8">
        <v>44598</v>
      </c>
      <c r="B9" s="107">
        <v>1.248</v>
      </c>
      <c r="C9" s="108">
        <v>285.08</v>
      </c>
      <c r="D9" s="107">
        <v>7954137.7300000004</v>
      </c>
      <c r="E9" s="109">
        <v>8800751.5899999999</v>
      </c>
      <c r="F9" s="108">
        <v>2.9401000000000002</v>
      </c>
      <c r="G9" s="107">
        <v>936.44</v>
      </c>
      <c r="H9" s="109">
        <v>797.22</v>
      </c>
      <c r="I9" s="109">
        <v>298.79000000000002</v>
      </c>
      <c r="J9" s="106">
        <v>402.05</v>
      </c>
      <c r="K9" s="106">
        <v>415.01</v>
      </c>
      <c r="L9" s="106">
        <v>283.5</v>
      </c>
      <c r="M9" s="106">
        <v>683.31</v>
      </c>
      <c r="N9" s="106">
        <v>638.51</v>
      </c>
      <c r="O9" s="106">
        <v>197.98</v>
      </c>
      <c r="P9" s="106">
        <v>833.69</v>
      </c>
      <c r="Q9" s="106">
        <v>614.45000000000005</v>
      </c>
      <c r="R9" s="106">
        <v>190.15</v>
      </c>
      <c r="S9" s="106">
        <v>144.18</v>
      </c>
      <c r="T9" s="106">
        <v>526.30999999999995</v>
      </c>
      <c r="V9" s="100">
        <v>42</v>
      </c>
      <c r="W9" s="100">
        <v>108</v>
      </c>
      <c r="X9" s="100">
        <v>298</v>
      </c>
      <c r="Y9" s="17"/>
    </row>
    <row r="10" spans="1:25" ht="21" customHeight="1" x14ac:dyDescent="0.25">
      <c r="A10" s="8">
        <v>44599</v>
      </c>
      <c r="B10" s="103">
        <v>1.2492000000000001</v>
      </c>
      <c r="C10" s="104">
        <v>285.36</v>
      </c>
      <c r="D10" s="104">
        <v>7955843.4100000001</v>
      </c>
      <c r="E10" s="104">
        <v>8803180.75</v>
      </c>
      <c r="F10" s="104">
        <v>2.9428000000000001</v>
      </c>
      <c r="G10" s="104">
        <v>937.42</v>
      </c>
      <c r="H10" s="104">
        <v>798.38</v>
      </c>
      <c r="I10" s="104">
        <v>299.16000000000003</v>
      </c>
      <c r="J10" s="106">
        <v>402.46</v>
      </c>
      <c r="K10" s="106">
        <v>415.4</v>
      </c>
      <c r="L10" s="106">
        <v>283.77999999999997</v>
      </c>
      <c r="M10" s="106">
        <v>684.02</v>
      </c>
      <c r="N10" s="106">
        <v>639.36</v>
      </c>
      <c r="O10" s="106">
        <v>198.2</v>
      </c>
      <c r="P10" s="106">
        <v>834.66</v>
      </c>
      <c r="Q10" s="106">
        <v>615.23</v>
      </c>
      <c r="R10" s="106">
        <v>190.15</v>
      </c>
      <c r="S10" s="106">
        <v>144.32</v>
      </c>
      <c r="T10" s="106">
        <v>526.74</v>
      </c>
      <c r="V10" s="100">
        <v>42</v>
      </c>
      <c r="W10" s="100">
        <v>108</v>
      </c>
      <c r="X10" s="100">
        <v>276</v>
      </c>
      <c r="Y10" s="17"/>
    </row>
    <row r="11" spans="1:25" ht="21" customHeight="1" x14ac:dyDescent="0.25">
      <c r="A11" s="8">
        <v>44600</v>
      </c>
      <c r="B11" s="105">
        <v>1.2502</v>
      </c>
      <c r="C11" s="106">
        <v>285.58999999999997</v>
      </c>
      <c r="D11" s="106">
        <v>7957373.0099999998</v>
      </c>
      <c r="E11" s="106">
        <v>8805397.9700000007</v>
      </c>
      <c r="F11" s="106">
        <v>2.9451000000000001</v>
      </c>
      <c r="G11" s="106">
        <v>938.34</v>
      </c>
      <c r="H11" s="106">
        <v>799.49</v>
      </c>
      <c r="I11" s="106">
        <v>299.42</v>
      </c>
      <c r="J11" s="106">
        <v>402.86</v>
      </c>
      <c r="K11" s="106">
        <v>415.86</v>
      </c>
      <c r="L11" s="106">
        <v>283.97000000000003</v>
      </c>
      <c r="M11" s="106">
        <v>684.78</v>
      </c>
      <c r="N11" s="106">
        <v>640.16</v>
      </c>
      <c r="O11" s="106">
        <v>198.42</v>
      </c>
      <c r="P11" s="106">
        <v>835.53</v>
      </c>
      <c r="Q11" s="106">
        <v>615.94000000000005</v>
      </c>
      <c r="R11" s="106">
        <v>190.15</v>
      </c>
      <c r="S11" s="106">
        <v>144.47</v>
      </c>
      <c r="T11" s="106">
        <v>527.20000000000005</v>
      </c>
      <c r="V11" s="100">
        <v>42</v>
      </c>
      <c r="W11" s="100">
        <v>104</v>
      </c>
      <c r="X11" s="100">
        <v>266</v>
      </c>
      <c r="Y11" s="17"/>
    </row>
    <row r="12" spans="1:25" ht="21" customHeight="1" x14ac:dyDescent="0.25">
      <c r="A12" s="8">
        <v>44601</v>
      </c>
      <c r="B12" s="105">
        <v>1.2513000000000001</v>
      </c>
      <c r="C12" s="106">
        <v>285.83</v>
      </c>
      <c r="D12" s="106">
        <v>7959083.6200000001</v>
      </c>
      <c r="E12" s="106">
        <v>8807575.6600000001</v>
      </c>
      <c r="F12" s="106">
        <v>2.9477000000000002</v>
      </c>
      <c r="G12" s="106">
        <v>939.31</v>
      </c>
      <c r="H12" s="106">
        <v>800.7</v>
      </c>
      <c r="I12" s="106">
        <v>299.69</v>
      </c>
      <c r="J12" s="106">
        <v>403.27</v>
      </c>
      <c r="K12" s="106">
        <v>416.04</v>
      </c>
      <c r="L12" s="106">
        <v>284.2</v>
      </c>
      <c r="M12" s="106">
        <v>685.56</v>
      </c>
      <c r="N12" s="106">
        <v>640.96</v>
      </c>
      <c r="O12" s="106">
        <v>198.68</v>
      </c>
      <c r="P12" s="106">
        <v>836.49</v>
      </c>
      <c r="Q12" s="106">
        <v>616.71</v>
      </c>
      <c r="R12" s="106">
        <v>190.15</v>
      </c>
      <c r="S12" s="106">
        <v>144.58000000000001</v>
      </c>
      <c r="T12" s="106">
        <v>527.69000000000005</v>
      </c>
      <c r="V12" s="100">
        <v>39</v>
      </c>
      <c r="W12" s="100">
        <v>99</v>
      </c>
      <c r="X12" s="100">
        <v>268</v>
      </c>
      <c r="Y12" s="17"/>
    </row>
    <row r="13" spans="1:25" ht="21" customHeight="1" x14ac:dyDescent="0.25">
      <c r="A13" s="8">
        <v>44602</v>
      </c>
      <c r="B13" s="105">
        <v>1.2524</v>
      </c>
      <c r="C13" s="106">
        <v>286.07</v>
      </c>
      <c r="D13" s="106">
        <v>7960872.7699999996</v>
      </c>
      <c r="E13" s="106">
        <v>8809927.1600000001</v>
      </c>
      <c r="F13" s="106">
        <v>2.9502999999999999</v>
      </c>
      <c r="G13" s="106">
        <v>940.26</v>
      </c>
      <c r="H13" s="106">
        <v>801.87</v>
      </c>
      <c r="I13" s="106">
        <v>300.01</v>
      </c>
      <c r="J13" s="106">
        <v>403.74</v>
      </c>
      <c r="K13" s="106">
        <v>416.43</v>
      </c>
      <c r="L13" s="106">
        <v>284.47000000000003</v>
      </c>
      <c r="M13" s="106">
        <v>686.32</v>
      </c>
      <c r="N13" s="106">
        <v>641.75</v>
      </c>
      <c r="O13" s="106">
        <v>198.87</v>
      </c>
      <c r="P13" s="106">
        <v>837.5</v>
      </c>
      <c r="Q13" s="106">
        <v>617.52</v>
      </c>
      <c r="R13" s="106">
        <v>190.15</v>
      </c>
      <c r="S13" s="106">
        <v>144.72999999999999</v>
      </c>
      <c r="T13" s="106">
        <v>528.23</v>
      </c>
      <c r="V13" s="100">
        <v>48</v>
      </c>
      <c r="W13" s="100">
        <v>122</v>
      </c>
      <c r="X13" s="100">
        <v>336</v>
      </c>
      <c r="Y13" s="17"/>
    </row>
    <row r="14" spans="1:25" ht="21" customHeight="1" x14ac:dyDescent="0.25">
      <c r="A14" s="8">
        <v>44603</v>
      </c>
      <c r="B14" s="105">
        <v>1.2535000000000001</v>
      </c>
      <c r="C14" s="106">
        <v>286.32</v>
      </c>
      <c r="D14" s="106">
        <v>7962561.75</v>
      </c>
      <c r="E14" s="106">
        <v>8812242.2400000002</v>
      </c>
      <c r="F14" s="106">
        <v>2.9529000000000001</v>
      </c>
      <c r="G14" s="106">
        <v>941.21</v>
      </c>
      <c r="H14" s="106">
        <v>802.88</v>
      </c>
      <c r="I14" s="106">
        <v>300.31</v>
      </c>
      <c r="J14" s="106">
        <v>404.16</v>
      </c>
      <c r="K14" s="106">
        <v>416.79</v>
      </c>
      <c r="L14" s="106">
        <v>284.70999999999998</v>
      </c>
      <c r="M14" s="106">
        <v>686.99</v>
      </c>
      <c r="N14" s="106">
        <v>642.49</v>
      </c>
      <c r="O14" s="106">
        <v>199.05</v>
      </c>
      <c r="P14" s="106">
        <v>838.42</v>
      </c>
      <c r="Q14" s="106">
        <v>618.28</v>
      </c>
      <c r="R14" s="106">
        <v>190.15</v>
      </c>
      <c r="S14" s="106">
        <v>144.87</v>
      </c>
      <c r="T14" s="106">
        <v>528.75</v>
      </c>
      <c r="V14" s="100">
        <v>50</v>
      </c>
      <c r="W14" s="100">
        <v>127</v>
      </c>
      <c r="X14" s="100">
        <v>365</v>
      </c>
      <c r="Y14" s="17"/>
    </row>
    <row r="15" spans="1:25" ht="21" customHeight="1" x14ac:dyDescent="0.25">
      <c r="A15" s="8">
        <v>44604</v>
      </c>
      <c r="B15" s="105">
        <v>1.2545999999999999</v>
      </c>
      <c r="C15" s="106">
        <v>286.55</v>
      </c>
      <c r="D15" s="106">
        <v>7964277.25</v>
      </c>
      <c r="E15" s="106">
        <v>8814457.6199999992</v>
      </c>
      <c r="F15" s="106">
        <v>2.9554999999999998</v>
      </c>
      <c r="G15" s="106">
        <v>942.16</v>
      </c>
      <c r="H15" s="106">
        <v>804.03</v>
      </c>
      <c r="I15" s="106">
        <v>300.64999999999998</v>
      </c>
      <c r="J15" s="106">
        <v>404.59</v>
      </c>
      <c r="K15" s="106">
        <v>417.07</v>
      </c>
      <c r="L15" s="106">
        <v>284.94</v>
      </c>
      <c r="M15" s="106">
        <v>687.61</v>
      </c>
      <c r="N15" s="106">
        <v>643.27</v>
      </c>
      <c r="O15" s="106">
        <v>199.26</v>
      </c>
      <c r="P15" s="106">
        <v>839.39</v>
      </c>
      <c r="Q15" s="106">
        <v>619.04999999999995</v>
      </c>
      <c r="R15" s="106">
        <v>190.15</v>
      </c>
      <c r="S15" s="106">
        <v>145.02000000000001</v>
      </c>
      <c r="T15" s="106">
        <v>529.04999999999995</v>
      </c>
      <c r="V15" s="100">
        <v>63</v>
      </c>
      <c r="W15" s="100">
        <v>169</v>
      </c>
      <c r="X15" s="100">
        <v>482</v>
      </c>
      <c r="Y15" s="17"/>
    </row>
    <row r="16" spans="1:25" ht="21" customHeight="1" x14ac:dyDescent="0.25">
      <c r="A16" s="8">
        <v>44605</v>
      </c>
      <c r="B16" s="105">
        <v>1.2557</v>
      </c>
      <c r="C16" s="106">
        <v>286.8</v>
      </c>
      <c r="D16" s="106">
        <v>7965975.5700000003</v>
      </c>
      <c r="E16" s="106">
        <v>8817019.5600000005</v>
      </c>
      <c r="F16" s="106">
        <v>2.9581</v>
      </c>
      <c r="G16" s="106">
        <v>943.15</v>
      </c>
      <c r="H16" s="106">
        <v>805.08</v>
      </c>
      <c r="I16" s="106">
        <v>300.98</v>
      </c>
      <c r="J16" s="106">
        <v>405</v>
      </c>
      <c r="K16" s="106">
        <v>417.41</v>
      </c>
      <c r="L16" s="106">
        <v>285.16000000000003</v>
      </c>
      <c r="M16" s="106">
        <v>688.22</v>
      </c>
      <c r="N16" s="106">
        <v>644.11</v>
      </c>
      <c r="O16" s="106">
        <v>199.44</v>
      </c>
      <c r="P16" s="106">
        <v>840.38</v>
      </c>
      <c r="Q16" s="106">
        <v>619.79</v>
      </c>
      <c r="R16" s="106">
        <v>190.15</v>
      </c>
      <c r="S16" s="106">
        <v>145.16999999999999</v>
      </c>
      <c r="T16" s="106">
        <v>529.59</v>
      </c>
      <c r="V16" s="100">
        <v>64</v>
      </c>
      <c r="W16" s="100">
        <v>169</v>
      </c>
      <c r="X16" s="100">
        <v>496</v>
      </c>
      <c r="Y16" s="17"/>
    </row>
    <row r="17" spans="1:25" ht="21" customHeight="1" x14ac:dyDescent="0.25">
      <c r="A17" s="8">
        <v>44606</v>
      </c>
      <c r="B17" s="105">
        <v>1.2567999999999999</v>
      </c>
      <c r="C17" s="106">
        <v>287.04000000000002</v>
      </c>
      <c r="D17" s="106">
        <v>7967887.5</v>
      </c>
      <c r="E17" s="106">
        <v>8819833.6099999994</v>
      </c>
      <c r="F17" s="106">
        <v>2.9607000000000001</v>
      </c>
      <c r="G17" s="106">
        <v>944.15</v>
      </c>
      <c r="H17" s="106">
        <v>806.16</v>
      </c>
      <c r="I17" s="106">
        <v>301.32</v>
      </c>
      <c r="J17" s="106">
        <v>405.38</v>
      </c>
      <c r="K17" s="106">
        <v>417.74</v>
      </c>
      <c r="L17" s="106">
        <v>285.35000000000002</v>
      </c>
      <c r="M17" s="106">
        <v>688.92</v>
      </c>
      <c r="N17" s="106">
        <v>644.95000000000005</v>
      </c>
      <c r="O17" s="106">
        <v>199.66</v>
      </c>
      <c r="P17" s="106">
        <v>841.37</v>
      </c>
      <c r="Q17" s="106">
        <v>620.5</v>
      </c>
      <c r="R17" s="106">
        <v>190.15</v>
      </c>
      <c r="S17" s="106">
        <v>145.32</v>
      </c>
      <c r="T17" s="106">
        <v>530.15</v>
      </c>
      <c r="V17" s="100">
        <v>64</v>
      </c>
      <c r="W17" s="100">
        <v>174</v>
      </c>
      <c r="X17" s="100">
        <v>488</v>
      </c>
      <c r="Y17" s="17"/>
    </row>
    <row r="18" spans="1:25" ht="21" customHeight="1" x14ac:dyDescent="0.25">
      <c r="A18" s="8">
        <v>44607</v>
      </c>
      <c r="B18" s="105">
        <v>1.2579</v>
      </c>
      <c r="C18" s="106">
        <v>287.27999999999997</v>
      </c>
      <c r="D18" s="106">
        <v>7969918.5700000003</v>
      </c>
      <c r="E18" s="106">
        <v>8822834.4199999999</v>
      </c>
      <c r="F18" s="106">
        <v>2.9632999999999998</v>
      </c>
      <c r="G18" s="106">
        <v>945.18</v>
      </c>
      <c r="H18" s="106">
        <v>807.28</v>
      </c>
      <c r="I18" s="106">
        <v>301.7</v>
      </c>
      <c r="J18" s="106">
        <v>405.8</v>
      </c>
      <c r="K18" s="106">
        <v>418.09</v>
      </c>
      <c r="L18" s="106">
        <v>285.57</v>
      </c>
      <c r="M18" s="106">
        <v>689.74</v>
      </c>
      <c r="N18" s="106">
        <v>645.76</v>
      </c>
      <c r="O18" s="106">
        <v>198.88</v>
      </c>
      <c r="P18" s="106">
        <v>842.46</v>
      </c>
      <c r="Q18" s="106">
        <v>621.19000000000005</v>
      </c>
      <c r="R18" s="106">
        <v>190.15</v>
      </c>
      <c r="S18" s="106">
        <v>145.46</v>
      </c>
      <c r="T18" s="106">
        <v>530.75</v>
      </c>
      <c r="V18" s="100">
        <v>62</v>
      </c>
      <c r="W18" s="100">
        <v>172</v>
      </c>
      <c r="X18" s="100">
        <v>497</v>
      </c>
      <c r="Y18" s="17"/>
    </row>
    <row r="19" spans="1:25" ht="21" customHeight="1" x14ac:dyDescent="0.25">
      <c r="A19" s="8">
        <v>44608</v>
      </c>
      <c r="B19" s="105">
        <v>1.2589999999999999</v>
      </c>
      <c r="C19" s="106">
        <v>287.52999999999997</v>
      </c>
      <c r="D19" s="106">
        <v>7971821.6900000004</v>
      </c>
      <c r="E19" s="106">
        <v>8825564.4600000009</v>
      </c>
      <c r="F19" s="106">
        <v>2.9659</v>
      </c>
      <c r="G19" s="106">
        <v>946.19</v>
      </c>
      <c r="H19" s="106">
        <v>808.43</v>
      </c>
      <c r="I19" s="106">
        <v>302.06</v>
      </c>
      <c r="J19" s="106">
        <v>406.25</v>
      </c>
      <c r="K19" s="106">
        <v>418.47</v>
      </c>
      <c r="L19" s="106">
        <v>285.81</v>
      </c>
      <c r="M19" s="106">
        <v>690.53</v>
      </c>
      <c r="N19" s="106">
        <v>646.6</v>
      </c>
      <c r="O19" s="106">
        <v>200.13</v>
      </c>
      <c r="P19" s="106">
        <v>843.63</v>
      </c>
      <c r="Q19" s="106">
        <v>621.98</v>
      </c>
      <c r="R19" s="106">
        <v>190.15</v>
      </c>
      <c r="S19" s="106">
        <v>145.61000000000001</v>
      </c>
      <c r="T19" s="106">
        <v>531.29</v>
      </c>
      <c r="V19" s="100">
        <v>61</v>
      </c>
      <c r="W19" s="100">
        <v>170</v>
      </c>
      <c r="X19" s="100">
        <v>491</v>
      </c>
      <c r="Y19" s="17"/>
    </row>
    <row r="20" spans="1:25" ht="21" customHeight="1" x14ac:dyDescent="0.25">
      <c r="A20" s="8">
        <v>44609</v>
      </c>
      <c r="B20" s="105">
        <v>1.2602</v>
      </c>
      <c r="C20" s="106">
        <v>287.8</v>
      </c>
      <c r="D20" s="106">
        <v>7973713.1100000003</v>
      </c>
      <c r="E20" s="106">
        <v>8828271.0700000003</v>
      </c>
      <c r="F20" s="106">
        <v>2.9685999999999999</v>
      </c>
      <c r="G20" s="106">
        <v>947.16</v>
      </c>
      <c r="H20" s="106">
        <v>809.61</v>
      </c>
      <c r="I20" s="106">
        <v>302.43</v>
      </c>
      <c r="J20" s="106">
        <v>406.85</v>
      </c>
      <c r="K20" s="106">
        <v>418.92</v>
      </c>
      <c r="L20" s="106">
        <v>286.07</v>
      </c>
      <c r="M20" s="106">
        <v>691.28</v>
      </c>
      <c r="N20" s="106">
        <v>647.41999999999996</v>
      </c>
      <c r="O20" s="106">
        <v>200.38</v>
      </c>
      <c r="P20" s="106">
        <v>844.73</v>
      </c>
      <c r="Q20" s="106">
        <v>622.79</v>
      </c>
      <c r="R20" s="106">
        <v>190.15</v>
      </c>
      <c r="S20" s="106">
        <v>145.77000000000001</v>
      </c>
      <c r="T20" s="106">
        <v>531.83000000000004</v>
      </c>
      <c r="V20" s="100">
        <v>63</v>
      </c>
      <c r="W20" s="100">
        <v>177</v>
      </c>
      <c r="X20" s="100">
        <v>506</v>
      </c>
      <c r="Y20" s="17"/>
    </row>
    <row r="21" spans="1:25" ht="21" customHeight="1" x14ac:dyDescent="0.25">
      <c r="A21" s="8">
        <v>44610</v>
      </c>
      <c r="B21" s="105">
        <v>1.2613000000000001</v>
      </c>
      <c r="C21" s="106">
        <v>288.08</v>
      </c>
      <c r="D21" s="106">
        <v>7975755.0099999998</v>
      </c>
      <c r="E21" s="106">
        <v>8830853.5999999996</v>
      </c>
      <c r="F21" s="106">
        <v>2.9710999999999999</v>
      </c>
      <c r="G21" s="106">
        <v>948.15</v>
      </c>
      <c r="H21" s="106">
        <v>810.66</v>
      </c>
      <c r="I21" s="106">
        <v>302.77999999999997</v>
      </c>
      <c r="J21" s="106">
        <v>407.5</v>
      </c>
      <c r="K21" s="106">
        <v>419.39</v>
      </c>
      <c r="L21" s="106">
        <v>286.33999999999997</v>
      </c>
      <c r="M21" s="106">
        <v>691.96</v>
      </c>
      <c r="N21" s="106">
        <v>648.22</v>
      </c>
      <c r="O21" s="106">
        <v>200.6</v>
      </c>
      <c r="P21" s="106">
        <v>845.84</v>
      </c>
      <c r="Q21" s="106">
        <v>623.5</v>
      </c>
      <c r="R21" s="106">
        <v>190.15</v>
      </c>
      <c r="S21" s="106">
        <v>145.93</v>
      </c>
      <c r="T21" s="106">
        <v>532.37</v>
      </c>
      <c r="V21" s="100"/>
      <c r="W21" s="100"/>
      <c r="X21" s="100"/>
      <c r="Y21" s="17"/>
    </row>
    <row r="22" spans="1:25" ht="21" customHeight="1" x14ac:dyDescent="0.25">
      <c r="A22" s="8">
        <v>44611</v>
      </c>
      <c r="B22" s="105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10"/>
      <c r="S22" s="106"/>
      <c r="T22" s="106"/>
      <c r="V22" s="100"/>
      <c r="W22" s="100"/>
      <c r="X22" s="100"/>
      <c r="Y22" s="17"/>
    </row>
    <row r="23" spans="1:25" ht="21" customHeight="1" x14ac:dyDescent="0.25">
      <c r="A23" s="8">
        <v>44612</v>
      </c>
      <c r="B23" s="105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V23" s="100"/>
      <c r="W23" s="100"/>
      <c r="X23" s="100"/>
      <c r="Y23" s="17"/>
    </row>
    <row r="24" spans="1:25" ht="21" customHeight="1" x14ac:dyDescent="0.25">
      <c r="A24" s="8">
        <v>44613</v>
      </c>
      <c r="B24" s="105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V24" s="100"/>
      <c r="W24" s="100"/>
      <c r="X24" s="100"/>
      <c r="Y24" s="17"/>
    </row>
    <row r="25" spans="1:25" ht="21" customHeight="1" x14ac:dyDescent="0.25">
      <c r="A25" s="8">
        <v>44614</v>
      </c>
      <c r="B25" s="105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V25" s="100"/>
      <c r="W25" s="100"/>
      <c r="X25" s="100"/>
      <c r="Y25" s="17"/>
    </row>
    <row r="26" spans="1:25" ht="21" customHeight="1" x14ac:dyDescent="0.25">
      <c r="A26" s="8">
        <v>44615</v>
      </c>
      <c r="B26" s="105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V26" s="100"/>
      <c r="W26" s="100"/>
      <c r="X26" s="100"/>
      <c r="Y26" s="17"/>
    </row>
    <row r="27" spans="1:25" ht="21" customHeight="1" x14ac:dyDescent="0.25">
      <c r="A27" s="8">
        <v>44616</v>
      </c>
      <c r="B27" s="105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V27" s="100"/>
      <c r="W27" s="100"/>
      <c r="X27" s="100"/>
      <c r="Y27" s="17"/>
    </row>
    <row r="28" spans="1:25" ht="21" customHeight="1" x14ac:dyDescent="0.25">
      <c r="A28" s="8">
        <v>44617</v>
      </c>
      <c r="B28" s="105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V28" s="100"/>
      <c r="W28" s="100"/>
      <c r="X28" s="100"/>
      <c r="Y28" s="17"/>
    </row>
    <row r="29" spans="1:25" ht="21" customHeight="1" x14ac:dyDescent="0.25">
      <c r="A29" s="8">
        <v>44618</v>
      </c>
      <c r="B29" s="105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V29" s="100"/>
      <c r="W29" s="100"/>
      <c r="X29" s="100"/>
      <c r="Y29" s="17"/>
    </row>
    <row r="30" spans="1:25" ht="21" customHeight="1" x14ac:dyDescent="0.25">
      <c r="A30" s="8">
        <v>44619</v>
      </c>
      <c r="B30" s="105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V30" s="100"/>
      <c r="W30" s="100"/>
      <c r="X30" s="100"/>
      <c r="Y30" s="17"/>
    </row>
    <row r="31" spans="1:25" ht="21" customHeight="1" x14ac:dyDescent="0.25">
      <c r="A31" s="8">
        <v>44620</v>
      </c>
      <c r="B31" s="105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V31" s="100"/>
      <c r="W31" s="100"/>
      <c r="X31" s="100"/>
      <c r="Y31" s="17"/>
    </row>
    <row r="32" spans="1:25" ht="21" customHeight="1" x14ac:dyDescent="0.25">
      <c r="A32" s="8">
        <v>44621</v>
      </c>
      <c r="B32" s="103"/>
      <c r="C32" s="103"/>
      <c r="D32" s="103"/>
      <c r="E32" s="111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20"/>
      <c r="T32" s="103"/>
      <c r="V32" s="100"/>
      <c r="W32" s="100"/>
      <c r="X32" s="100"/>
      <c r="Y32" s="17"/>
    </row>
    <row r="33" spans="19:20" x14ac:dyDescent="0.25">
      <c r="S33" s="121"/>
    </row>
    <row r="39" spans="19:20" x14ac:dyDescent="0.25">
      <c r="T39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2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7" sqref="B17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1" t="s">
        <v>31</v>
      </c>
      <c r="B2" s="123" t="s">
        <v>32</v>
      </c>
      <c r="C2" s="123" t="s">
        <v>33</v>
      </c>
      <c r="D2" s="123" t="s">
        <v>119</v>
      </c>
      <c r="E2" s="131" t="s">
        <v>34</v>
      </c>
      <c r="F2" s="138" t="s">
        <v>35</v>
      </c>
      <c r="G2" s="139"/>
      <c r="H2" s="140"/>
      <c r="I2" s="141" t="s">
        <v>36</v>
      </c>
      <c r="J2" s="141" t="s">
        <v>37</v>
      </c>
      <c r="K2" s="141" t="s">
        <v>38</v>
      </c>
      <c r="L2" s="141" t="s">
        <v>39</v>
      </c>
      <c r="M2" s="142" t="s">
        <v>40</v>
      </c>
      <c r="N2" s="142"/>
      <c r="O2" s="142"/>
      <c r="P2" s="142"/>
      <c r="Q2" s="142"/>
      <c r="R2" s="142"/>
      <c r="S2" s="141" t="s">
        <v>41</v>
      </c>
      <c r="T2" s="141"/>
      <c r="U2" s="143" t="s">
        <v>42</v>
      </c>
      <c r="V2" s="141" t="s">
        <v>43</v>
      </c>
    </row>
    <row r="3" spans="1:22" x14ac:dyDescent="0.25">
      <c r="A3" s="132"/>
      <c r="B3" s="124"/>
      <c r="C3" s="124"/>
      <c r="D3" s="124"/>
      <c r="E3" s="132"/>
      <c r="F3" s="6" t="s">
        <v>27</v>
      </c>
      <c r="G3" s="6" t="s">
        <v>28</v>
      </c>
      <c r="H3" s="6" t="s">
        <v>29</v>
      </c>
      <c r="I3" s="141"/>
      <c r="J3" s="141"/>
      <c r="K3" s="141"/>
      <c r="L3" s="14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3"/>
      <c r="V3" s="141"/>
    </row>
    <row r="4" spans="1:22" x14ac:dyDescent="0.25">
      <c r="A4" s="3">
        <f>'Kwh Reading'!A4</f>
        <v>44593</v>
      </c>
      <c r="B4" s="26">
        <f>TOTAL!E2</f>
        <v>23690.000000001193</v>
      </c>
      <c r="C4" s="4">
        <f>('Kwh Reading'!T5-'Kwh Reading'!T4)*1000</f>
        <v>460.00000000003638</v>
      </c>
      <c r="D4" s="2">
        <f>('Kwh Reading'!F5-'Kwh Reading'!F4)*1000000</f>
        <v>2699.9999999999245</v>
      </c>
      <c r="E4" s="2">
        <f>('Kwh Reading'!C5-'Kwh Reading'!C4)*1000</f>
        <v>250</v>
      </c>
      <c r="F4" s="2">
        <f>('Kwh Reading'!J5-'Kwh Reading'!J4)*1000</f>
        <v>639.99999999998636</v>
      </c>
      <c r="G4" s="2">
        <f>('Kwh Reading'!K5-'Kwh Reading'!K4)*1000</f>
        <v>420.00000000001592</v>
      </c>
      <c r="H4" s="2">
        <f>('Kwh Reading'!L5-'Kwh Reading'!L4)*1000</f>
        <v>239.99999999995225</v>
      </c>
      <c r="I4" s="2">
        <f>('Kwh Reading'!R5-'Kwh Reading'!R4)*1000</f>
        <v>0</v>
      </c>
      <c r="J4" s="2">
        <f>('Kwh Reading'!S5-'Kwh Reading'!S4)*1000</f>
        <v>139.99999999998636</v>
      </c>
      <c r="K4" s="2">
        <f>('Kwh Reading'!I5-'Kwh Reading'!I4)*1000</f>
        <v>340.00000000003183</v>
      </c>
      <c r="L4" s="2">
        <f>('Kwh Reading'!B5-'Kwh Reading'!B4)*1000000</f>
        <v>1200.0000000000898</v>
      </c>
      <c r="M4" s="2">
        <f>('Kwh Reading'!M5-'Kwh Reading'!M4)*1000</f>
        <v>800.00000000006821</v>
      </c>
      <c r="N4" s="2">
        <f>('Kwh Reading'!H5-'Kwh Reading'!H4)*1000</f>
        <v>1319.9999999999363</v>
      </c>
      <c r="O4" s="2">
        <f>('Kwh Reading'!P5-'Kwh Reading'!P4)*1000</f>
        <v>1099.9999999999091</v>
      </c>
      <c r="P4" s="2">
        <f>('Kwh Reading'!G5-'Kwh Reading'!G4)*1000</f>
        <v>879.99999999999545</v>
      </c>
      <c r="Q4" s="2">
        <f>('Kwh Reading'!Q5-'Kwh Reading'!Q4)*1000</f>
        <v>730.00000000001819</v>
      </c>
      <c r="R4" s="2">
        <f>('Kwh Reading'!N5-'Kwh Reading'!N4)*1000</f>
        <v>809.99999999994543</v>
      </c>
      <c r="S4" s="2">
        <f>'Kwh Reading'!E5-'Kwh Reading'!E4</f>
        <v>-197246.58999999985</v>
      </c>
      <c r="T4" s="2">
        <f>'Kwh Reading'!D5-'Kwh Reading'!D4</f>
        <v>1927.9899999992922</v>
      </c>
      <c r="U4" s="27">
        <f>('Kwh Reading'!O5-'Kwh Reading'!O4)*1000</f>
        <v>230.00000000001819</v>
      </c>
      <c r="V4" s="16">
        <f>B4-(SUM(C4:U4))</f>
        <v>206748.60000000184</v>
      </c>
    </row>
    <row r="5" spans="1:22" x14ac:dyDescent="0.25">
      <c r="A5" s="3">
        <f>'Kwh Reading'!A5</f>
        <v>44594</v>
      </c>
      <c r="B5" s="26">
        <f>TOTAL!E3</f>
        <v>22029.999999999061</v>
      </c>
      <c r="C5" s="4">
        <f>('Kwh Reading'!T6-'Kwh Reading'!T5)*1000</f>
        <v>500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319.99999999999318</v>
      </c>
      <c r="G5" s="2">
        <f>('Kwh Reading'!K6-'Kwh Reading'!K5)*1000</f>
        <v>339.99999999997499</v>
      </c>
      <c r="H5" s="2">
        <f>('Kwh Reading'!L6-'Kwh Reading'!L5)*1000</f>
        <v>240.00000000000909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339.99999999997499</v>
      </c>
      <c r="L5" s="2">
        <f>('Kwh Reading'!B6-'Kwh Reading'!B5)*1000000</f>
        <v>1199.9999999998679</v>
      </c>
      <c r="M5" s="2">
        <f>('Kwh Reading'!M6-'Kwh Reading'!M5)*1000</f>
        <v>750</v>
      </c>
      <c r="N5" s="2">
        <f>('Kwh Reading'!H6-'Kwh Reading'!H5)*1000</f>
        <v>1310.0000000000591</v>
      </c>
      <c r="O5" s="2">
        <f>('Kwh Reading'!P6-'Kwh Reading'!P5)*1000</f>
        <v>1080.0000000000409</v>
      </c>
      <c r="P5" s="2">
        <f>('Kwh Reading'!G6-'Kwh Reading'!G5)*1000</f>
        <v>879.99999999999545</v>
      </c>
      <c r="Q5" s="2">
        <f>('Kwh Reading'!Q6-'Kwh Reading'!Q5)*1000</f>
        <v>700.00000000004547</v>
      </c>
      <c r="R5" s="2">
        <f>('Kwh Reading'!N6-'Kwh Reading'!N5)*1000</f>
        <v>750</v>
      </c>
      <c r="S5" s="2">
        <f>'Kwh Reading'!E6-'Kwh Reading'!E5</f>
        <v>202605.8200000003</v>
      </c>
      <c r="T5" s="2">
        <f>'Kwh Reading'!D6-'Kwh Reading'!D5</f>
        <v>1702.4599999999627</v>
      </c>
      <c r="U5" s="27">
        <f>('Kwh Reading'!O6-'Kwh Reading'!O5)*1000</f>
        <v>219.99999999999886</v>
      </c>
      <c r="V5" s="16">
        <f t="shared" ref="V5:V11" si="0">B5-(SUM(C5:U5))</f>
        <v>-193898.28000000134</v>
      </c>
    </row>
    <row r="6" spans="1:22" x14ac:dyDescent="0.25">
      <c r="A6" s="3">
        <f>'Kwh Reading'!A6</f>
        <v>44595</v>
      </c>
      <c r="B6" s="26">
        <f>TOTAL!E4</f>
        <v>21909.999999999396</v>
      </c>
      <c r="C6" s="4">
        <f>('Kwh Reading'!T7-'Kwh Reading'!T6)*1000</f>
        <v>419.99999999995907</v>
      </c>
      <c r="D6" s="2">
        <f>('Kwh Reading'!F7-'Kwh Reading'!F6)*1000000</f>
        <v>2699.9999999999245</v>
      </c>
      <c r="E6" s="2">
        <f>('Kwh Reading'!C7-'Kwh Reading'!C6)*1000</f>
        <v>210.00000000003638</v>
      </c>
      <c r="F6" s="2">
        <f>('Kwh Reading'!J7-'Kwh Reading'!J6)*1000</f>
        <v>320.00000000005002</v>
      </c>
      <c r="G6" s="2">
        <f>('Kwh Reading'!K7-'Kwh Reading'!K6)*1000</f>
        <v>350.00000000002274</v>
      </c>
      <c r="H6" s="2">
        <f>('Kwh Reading'!L7-'Kwh Reading'!L6)*1000</f>
        <v>220.00000000002728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360.00000000001364</v>
      </c>
      <c r="L6" s="2">
        <f>('Kwh Reading'!B7-'Kwh Reading'!B6)*1000000</f>
        <v>1100.000000000101</v>
      </c>
      <c r="M6" s="2">
        <f>('Kwh Reading'!M7-'Kwh Reading'!M6)*1000</f>
        <v>730.00000000001819</v>
      </c>
      <c r="N6" s="2">
        <f>('Kwh Reading'!H7-'Kwh Reading'!H6)*1000</f>
        <v>1149.9999999999773</v>
      </c>
      <c r="O6" s="2">
        <f>('Kwh Reading'!P7-'Kwh Reading'!P6)*1000</f>
        <v>879.99999999999545</v>
      </c>
      <c r="P6" s="2">
        <f>('Kwh Reading'!G7-'Kwh Reading'!G6)*1000</f>
        <v>889.99999999998636</v>
      </c>
      <c r="Q6" s="2">
        <f>('Kwh Reading'!Q7-'Kwh Reading'!Q6)*1000</f>
        <v>669.99999999995907</v>
      </c>
      <c r="R6" s="2">
        <f>('Kwh Reading'!N7-'Kwh Reading'!N6)*1000</f>
        <v>720.00000000002728</v>
      </c>
      <c r="S6" s="2">
        <f>'Kwh Reading'!E7-'Kwh Reading'!E6</f>
        <v>2307.4599999990314</v>
      </c>
      <c r="T6" s="2">
        <f>'Kwh Reading'!D7-'Kwh Reading'!D6</f>
        <v>1764.6700000008568</v>
      </c>
      <c r="U6" s="27">
        <f>('Kwh Reading'!O7-'Kwh Reading'!O6)*1000</f>
        <v>239.99999999998067</v>
      </c>
      <c r="V6" s="16">
        <f t="shared" si="0"/>
        <v>6727.8699999994242</v>
      </c>
    </row>
    <row r="7" spans="1:22" x14ac:dyDescent="0.25">
      <c r="A7" s="3">
        <f>'Kwh Reading'!A7</f>
        <v>44596</v>
      </c>
      <c r="B7" s="26">
        <f>TOTAL!E5</f>
        <v>22420.000000001892</v>
      </c>
      <c r="C7" s="4">
        <f>('Kwh Reading'!T8-'Kwh Reading'!T7)*1000</f>
        <v>280.0000000000864</v>
      </c>
      <c r="D7" s="2">
        <f>('Kwh Reading'!F8-'Kwh Reading'!F7)*1000000</f>
        <v>2499.9999999999468</v>
      </c>
      <c r="E7" s="2">
        <f>('Kwh Reading'!C8-'Kwh Reading'!C7)*1000</f>
        <v>-360.00000000001364</v>
      </c>
      <c r="F7" s="2">
        <f>('Kwh Reading'!J8-'Kwh Reading'!J7)*1000</f>
        <v>399.99999999997726</v>
      </c>
      <c r="G7" s="2">
        <f>('Kwh Reading'!K8-'Kwh Reading'!K7)*1000</f>
        <v>349.99999999996589</v>
      </c>
      <c r="H7" s="2">
        <f>('Kwh Reading'!L8-'Kwh Reading'!L7)*1000</f>
        <v>229.99999999996135</v>
      </c>
      <c r="I7" s="2">
        <f>('Kwh Reading'!R8-'Kwh Reading'!R7)*1000</f>
        <v>0</v>
      </c>
      <c r="J7" s="2">
        <f>('Kwh Reading'!S8-'Kwh Reading'!S7)*1000</f>
        <v>139.99999999998636</v>
      </c>
      <c r="K7" s="2">
        <f>('Kwh Reading'!I8-'Kwh Reading'!I7)*1000</f>
        <v>350.00000000002274</v>
      </c>
      <c r="L7" s="2">
        <f>('Kwh Reading'!B8-'Kwh Reading'!B7)*1000000</f>
        <v>1100.000000000101</v>
      </c>
      <c r="M7" s="2">
        <f>('Kwh Reading'!M8-'Kwh Reading'!M7)*1000</f>
        <v>679.99999999994998</v>
      </c>
      <c r="N7" s="2">
        <f>('Kwh Reading'!H8-'Kwh Reading'!H7)*1000</f>
        <v>1120.0000000000045</v>
      </c>
      <c r="O7" s="2">
        <f>('Kwh Reading'!P8-'Kwh Reading'!P7)*1000</f>
        <v>1080.0000000000409</v>
      </c>
      <c r="P7" s="2">
        <f>('Kwh Reading'!G8-'Kwh Reading'!G7)*1000</f>
        <v>919.99999999995907</v>
      </c>
      <c r="Q7" s="2">
        <f>('Kwh Reading'!Q8-'Kwh Reading'!Q7)*1000</f>
        <v>169.99999999995907</v>
      </c>
      <c r="R7" s="2">
        <f>('Kwh Reading'!N8-'Kwh Reading'!N7)*1000</f>
        <v>820.00000000005002</v>
      </c>
      <c r="S7" s="2">
        <f>'Kwh Reading'!E8-'Kwh Reading'!E7</f>
        <v>2103.339999999851</v>
      </c>
      <c r="T7" s="2">
        <f>'Kwh Reading'!D8-'Kwh Reading'!D7</f>
        <v>1608.519999999553</v>
      </c>
      <c r="U7" s="27">
        <f>('Kwh Reading'!O8-'Kwh Reading'!O7)*1000</f>
        <v>219.99999999999886</v>
      </c>
      <c r="V7" s="16">
        <f t="shared" si="0"/>
        <v>8708.1400000024896</v>
      </c>
    </row>
    <row r="8" spans="1:22" x14ac:dyDescent="0.25">
      <c r="A8" s="3">
        <f>'Kwh Reading'!A8</f>
        <v>44597</v>
      </c>
      <c r="B8" s="26">
        <f>TOTAL!E6</f>
        <v>21719.999999997981</v>
      </c>
      <c r="C8" s="4">
        <f>('Kwh Reading'!T9-'Kwh Reading'!T8)*1000</f>
        <v>469.9999999999136</v>
      </c>
      <c r="D8" s="2">
        <f>('Kwh Reading'!F9-'Kwh Reading'!F8)*1000000</f>
        <v>2600.0000000001578</v>
      </c>
      <c r="E8" s="2">
        <f>('Kwh Reading'!C9-'Kwh Reading'!C8)*1000</f>
        <v>899.99999999997726</v>
      </c>
      <c r="F8" s="2">
        <f>('Kwh Reading'!J9-'Kwh Reading'!J8)*1000</f>
        <v>300.00000000001137</v>
      </c>
      <c r="G8" s="2">
        <f>('Kwh Reading'!K9-'Kwh Reading'!K8)*1000</f>
        <v>300.00000000001137</v>
      </c>
      <c r="H8" s="2">
        <f>('Kwh Reading'!L9-'Kwh Reading'!L8)*1000</f>
        <v>220.00000000002728</v>
      </c>
      <c r="I8" s="2">
        <f>('Kwh Reading'!R9-'Kwh Reading'!R8)*1000</f>
        <v>0</v>
      </c>
      <c r="J8" s="2">
        <f>('Kwh Reading'!S9-'Kwh Reading'!S8)*1000</f>
        <v>140.00000000001478</v>
      </c>
      <c r="K8" s="2">
        <f>('Kwh Reading'!I9-'Kwh Reading'!I8)*1000</f>
        <v>379.99999999999545</v>
      </c>
      <c r="L8" s="2">
        <f>('Kwh Reading'!B9-'Kwh Reading'!B8)*1000000</f>
        <v>999.99999999988984</v>
      </c>
      <c r="M8" s="2">
        <f>('Kwh Reading'!M9-'Kwh Reading'!M8)*1000</f>
        <v>689.99999999994088</v>
      </c>
      <c r="N8" s="2">
        <f>('Kwh Reading'!H9-'Kwh Reading'!H8)*1000</f>
        <v>1129.9999999999955</v>
      </c>
      <c r="O8" s="2">
        <f>('Kwh Reading'!P9-'Kwh Reading'!P8)*1000</f>
        <v>980.00000000001819</v>
      </c>
      <c r="P8" s="2">
        <f>('Kwh Reading'!G9-'Kwh Reading'!G8)*1000</f>
        <v>930.00000000006366</v>
      </c>
      <c r="Q8" s="2">
        <f>('Kwh Reading'!Q9-'Kwh Reading'!Q8)*1000</f>
        <v>1280.0000000000864</v>
      </c>
      <c r="R8" s="2">
        <f>('Kwh Reading'!N9-'Kwh Reading'!N8)*1000</f>
        <v>789.99999999996362</v>
      </c>
      <c r="S8" s="2">
        <f>'Kwh Reading'!E9-'Kwh Reading'!E8</f>
        <v>2316.0500000007451</v>
      </c>
      <c r="T8" s="2">
        <f>'Kwh Reading'!D9-'Kwh Reading'!D8</f>
        <v>1618.230000000447</v>
      </c>
      <c r="U8" s="27">
        <f>('Kwh Reading'!O9-'Kwh Reading'!O8)*1000</f>
        <v>219.99999999999886</v>
      </c>
      <c r="V8" s="16">
        <f t="shared" si="0"/>
        <v>5455.7199999967252</v>
      </c>
    </row>
    <row r="9" spans="1:22" x14ac:dyDescent="0.25">
      <c r="A9" s="3">
        <f>'Kwh Reading'!A9</f>
        <v>44598</v>
      </c>
      <c r="B9" s="26">
        <f>TOTAL!E7</f>
        <v>21540.000000001328</v>
      </c>
      <c r="C9" s="4">
        <f>('Kwh Reading'!T10-'Kwh Reading'!T9)*1000</f>
        <v>430.00000000006366</v>
      </c>
      <c r="D9" s="2">
        <f>('Kwh Reading'!F10-'Kwh Reading'!F9)*1000000</f>
        <v>2699.9999999999245</v>
      </c>
      <c r="E9" s="2">
        <f>('Kwh Reading'!C10-'Kwh Reading'!C9)*1000</f>
        <v>280.00000000002956</v>
      </c>
      <c r="F9" s="2">
        <f>('Kwh Reading'!J10-'Kwh Reading'!J9)*1000</f>
        <v>409.99999999996817</v>
      </c>
      <c r="G9" s="2">
        <f>('Kwh Reading'!K10-'Kwh Reading'!K9)*1000</f>
        <v>389.99999999998636</v>
      </c>
      <c r="H9" s="2">
        <f>('Kwh Reading'!L10-'Kwh Reading'!L9)*1000</f>
        <v>279.99999999997272</v>
      </c>
      <c r="I9" s="2">
        <f>('Kwh Reading'!R10-'Kwh Reading'!R9)*1000</f>
        <v>0</v>
      </c>
      <c r="J9" s="2">
        <f>('Kwh Reading'!S10-'Kwh Reading'!S9)*1000</f>
        <v>139.99999999998636</v>
      </c>
      <c r="K9" s="2">
        <f>('Kwh Reading'!I10-'Kwh Reading'!I9)*1000</f>
        <v>370.00000000000455</v>
      </c>
      <c r="L9" s="2">
        <f>('Kwh Reading'!B10-'Kwh Reading'!B9)*1000000</f>
        <v>1200.0000000000898</v>
      </c>
      <c r="M9" s="2">
        <f>('Kwh Reading'!M10-'Kwh Reading'!M9)*1000</f>
        <v>710.00000000003638</v>
      </c>
      <c r="N9" s="2">
        <f>('Kwh Reading'!H10-'Kwh Reading'!H9)*1000</f>
        <v>1159.9999999999682</v>
      </c>
      <c r="O9" s="2">
        <f>('Kwh Reading'!P10-'Kwh Reading'!P9)*1000</f>
        <v>969.9999999999136</v>
      </c>
      <c r="P9" s="2">
        <f>('Kwh Reading'!G10-'Kwh Reading'!G9)*1000</f>
        <v>979.9999999999045</v>
      </c>
      <c r="Q9" s="2">
        <f>('Kwh Reading'!Q10-'Kwh Reading'!Q9)*1000</f>
        <v>779.99999999997272</v>
      </c>
      <c r="R9" s="2">
        <f>('Kwh Reading'!N10-'Kwh Reading'!N9)*1000</f>
        <v>850.00000000002274</v>
      </c>
      <c r="S9" s="2">
        <f>'Kwh Reading'!E10-'Kwh Reading'!E9</f>
        <v>2429.160000000149</v>
      </c>
      <c r="T9" s="2">
        <f>'Kwh Reading'!D10-'Kwh Reading'!D9</f>
        <v>1705.679999999702</v>
      </c>
      <c r="U9" s="27">
        <f>('Kwh Reading'!O10-'Kwh Reading'!O9)*1000</f>
        <v>219.99999999999886</v>
      </c>
      <c r="V9" s="16">
        <f t="shared" si="0"/>
        <v>5535.1600000016315</v>
      </c>
    </row>
    <row r="10" spans="1:22" x14ac:dyDescent="0.25">
      <c r="A10" s="3">
        <f>'Kwh Reading'!A10</f>
        <v>44599</v>
      </c>
      <c r="B10" s="26">
        <f>TOTAL!E8</f>
        <v>22099.999999999454</v>
      </c>
      <c r="C10" s="4">
        <f>('Kwh Reading'!T11-'Kwh Reading'!T10)*1000</f>
        <v>460.00000000003638</v>
      </c>
      <c r="D10" s="2">
        <f>('Kwh Reading'!F11-'Kwh Reading'!F10)*1000000</f>
        <v>2299.9999999999686</v>
      </c>
      <c r="E10" s="2">
        <f>('Kwh Reading'!C11-'Kwh Reading'!C10)*1000</f>
        <v>229.99999999996135</v>
      </c>
      <c r="F10" s="2">
        <f>('Kwh Reading'!J11-'Kwh Reading'!J10)*1000</f>
        <v>400.00000000003411</v>
      </c>
      <c r="G10" s="2">
        <f>('Kwh Reading'!K11-'Kwh Reading'!K10)*1000</f>
        <v>460.00000000003638</v>
      </c>
      <c r="H10" s="2">
        <f>('Kwh Reading'!L11-'Kwh Reading'!L10)*1000</f>
        <v>190.00000000005457</v>
      </c>
      <c r="I10" s="2">
        <f>('Kwh Reading'!R11-'Kwh Reading'!R10)*1000</f>
        <v>0</v>
      </c>
      <c r="J10" s="2">
        <f>('Kwh Reading'!S11-'Kwh Reading'!S10)*1000</f>
        <v>150.00000000000568</v>
      </c>
      <c r="K10" s="2">
        <f>('Kwh Reading'!I11-'Kwh Reading'!I10)*1000</f>
        <v>259.99999999999091</v>
      </c>
      <c r="L10" s="2">
        <f>('Kwh Reading'!B11-'Kwh Reading'!B10)*1000000</f>
        <v>999.99999999988984</v>
      </c>
      <c r="M10" s="2">
        <f>('Kwh Reading'!M11-'Kwh Reading'!M10)*1000</f>
        <v>759.99999999999091</v>
      </c>
      <c r="N10" s="2">
        <f>('Kwh Reading'!H11-'Kwh Reading'!H10)*1000</f>
        <v>1110.0000000000136</v>
      </c>
      <c r="O10" s="2">
        <f>('Kwh Reading'!P11-'Kwh Reading'!P10)*1000</f>
        <v>870.00000000000455</v>
      </c>
      <c r="P10" s="2">
        <f>('Kwh Reading'!G11-'Kwh Reading'!G10)*1000</f>
        <v>920.00000000007276</v>
      </c>
      <c r="Q10" s="2">
        <f>('Kwh Reading'!Q11-'Kwh Reading'!Q10)*1000</f>
        <v>710.00000000003638</v>
      </c>
      <c r="R10" s="2">
        <f>('Kwh Reading'!N11-'Kwh Reading'!N10)*1000</f>
        <v>799.99999999995453</v>
      </c>
      <c r="S10" s="33">
        <f>'Kwh Reading'!E11-'Kwh Reading'!E10</f>
        <v>2217.2200000006706</v>
      </c>
      <c r="T10" s="33">
        <f>'Kwh Reading'!D11-'Kwh Reading'!D10</f>
        <v>1529.5999999996275</v>
      </c>
      <c r="U10" s="27">
        <f>('Kwh Reading'!O11-'Kwh Reading'!O10)*1000</f>
        <v>219.99999999999886</v>
      </c>
      <c r="V10" s="16">
        <f t="shared" si="0"/>
        <v>7513.1799999991072</v>
      </c>
    </row>
    <row r="11" spans="1:22" x14ac:dyDescent="0.25">
      <c r="A11" s="3">
        <f>'Kwh Reading'!A11</f>
        <v>44600</v>
      </c>
      <c r="B11" s="26">
        <f>TOTAL!E9</f>
        <v>21490.000000001601</v>
      </c>
      <c r="C11" s="4">
        <f>('Kwh Reading'!T12-'Kwh Reading'!T11)*1000</f>
        <v>490.00000000000909</v>
      </c>
      <c r="D11" s="2">
        <f>('Kwh Reading'!F12-'Kwh Reading'!F11)*1000000</f>
        <v>2600.0000000001578</v>
      </c>
      <c r="E11" s="2">
        <f>('Kwh Reading'!C12-'Kwh Reading'!C11)*1000</f>
        <v>240.00000000000909</v>
      </c>
      <c r="F11" s="2">
        <f>('Kwh Reading'!J12-'Kwh Reading'!J11)*1000</f>
        <v>409.99999999996817</v>
      </c>
      <c r="G11" s="2">
        <f>('Kwh Reading'!K12-'Kwh Reading'!K11)*1000</f>
        <v>180.00000000000682</v>
      </c>
      <c r="H11" s="2">
        <f>('Kwh Reading'!L12-'Kwh Reading'!L11)*1000</f>
        <v>229.99999999996135</v>
      </c>
      <c r="I11" s="2">
        <f>('Kwh Reading'!R12-'Kwh Reading'!R11)*1000</f>
        <v>0</v>
      </c>
      <c r="J11" s="2">
        <f>('Kwh Reading'!S12-'Kwh Reading'!S11)*1000</f>
        <v>110.00000000001364</v>
      </c>
      <c r="K11" s="2">
        <f>('Kwh Reading'!I12-'Kwh Reading'!I11)*1000</f>
        <v>269.99999999998181</v>
      </c>
      <c r="L11" s="2">
        <f>('Kwh Reading'!B12-'Kwh Reading'!B11)*1000000</f>
        <v>1100.000000000101</v>
      </c>
      <c r="M11" s="2">
        <f>('Kwh Reading'!M12-'Kwh Reading'!M11)*1000</f>
        <v>779.99999999997272</v>
      </c>
      <c r="N11" s="2">
        <f>('Kwh Reading'!H12-'Kwh Reading'!H11)*1000</f>
        <v>1210.0000000000364</v>
      </c>
      <c r="O11" s="2">
        <f>('Kwh Reading'!P12-'Kwh Reading'!P11)*1000</f>
        <v>960.00000000003638</v>
      </c>
      <c r="P11" s="2">
        <f>('Kwh Reading'!G12-'Kwh Reading'!G11)*1000</f>
        <v>969.9999999999136</v>
      </c>
      <c r="Q11" s="2">
        <f>('Kwh Reading'!Q12-'Kwh Reading'!Q11)*1000</f>
        <v>769.99999999998181</v>
      </c>
      <c r="R11" s="2">
        <f>('Kwh Reading'!N12-'Kwh Reading'!N11)*1000</f>
        <v>800.00000000006821</v>
      </c>
      <c r="S11" s="33">
        <f>'Kwh Reading'!E12-'Kwh Reading'!E11</f>
        <v>2177.6899999994785</v>
      </c>
      <c r="T11" s="33">
        <f>'Kwh Reading'!D12-'Kwh Reading'!D11</f>
        <v>1710.6100000003353</v>
      </c>
      <c r="U11" s="27">
        <f>('Kwh Reading'!O12-'Kwh Reading'!O11)*1000</f>
        <v>260.00000000001933</v>
      </c>
      <c r="V11" s="16">
        <f t="shared" si="0"/>
        <v>6221.7000000015487</v>
      </c>
    </row>
    <row r="12" spans="1:22" x14ac:dyDescent="0.25">
      <c r="A12" s="3">
        <f>'Kwh Reading'!A12</f>
        <v>44601</v>
      </c>
      <c r="B12" s="26">
        <f>TOTAL!E10</f>
        <v>22419.999999999163</v>
      </c>
      <c r="C12" s="4">
        <f>('Kwh Reading'!T13-'Kwh Reading'!T12)*1000</f>
        <v>539.99999999996362</v>
      </c>
      <c r="D12" s="2">
        <f>('Kwh Reading'!F13-'Kwh Reading'!F12)*1000000</f>
        <v>2599.9999999997135</v>
      </c>
      <c r="E12" s="2">
        <f>('Kwh Reading'!C13-'Kwh Reading'!C12)*1000</f>
        <v>240.00000000000909</v>
      </c>
      <c r="F12" s="2">
        <f>('Kwh Reading'!J13-'Kwh Reading'!J12)*1000</f>
        <v>470.00000000002728</v>
      </c>
      <c r="G12" s="2">
        <f>('Kwh Reading'!K13-'Kwh Reading'!K12)*1000</f>
        <v>389.99999999998636</v>
      </c>
      <c r="H12" s="2">
        <f>('Kwh Reading'!L13-'Kwh Reading'!L12)*1000</f>
        <v>270.00000000003865</v>
      </c>
      <c r="I12" s="2">
        <f>('Kwh Reading'!R13-'Kwh Reading'!R12)*1000</f>
        <v>0</v>
      </c>
      <c r="J12" s="2">
        <f>('Kwh Reading'!S13-'Kwh Reading'!S12)*1000</f>
        <v>149.99999999997726</v>
      </c>
      <c r="K12" s="2">
        <f>('Kwh Reading'!I13-'Kwh Reading'!I12)*1000</f>
        <v>319.99999999999318</v>
      </c>
      <c r="L12" s="2">
        <f>('Kwh Reading'!B13-'Kwh Reading'!B12)*1000000</f>
        <v>1099.9999999998788</v>
      </c>
      <c r="M12" s="2">
        <f>('Kwh Reading'!M13-'Kwh Reading'!M12)*1000</f>
        <v>760.00000000010459</v>
      </c>
      <c r="N12" s="2">
        <f>('Kwh Reading'!H13-'Kwh Reading'!H12)*1000</f>
        <v>1169.9999999999591</v>
      </c>
      <c r="O12" s="2">
        <f>('Kwh Reading'!P13-'Kwh Reading'!P12)*1000</f>
        <v>1009.9999999999909</v>
      </c>
      <c r="P12" s="2">
        <f>('Kwh Reading'!G13-'Kwh Reading'!G12)*1000</f>
        <v>950.00000000004547</v>
      </c>
      <c r="Q12" s="2">
        <f>('Kwh Reading'!Q13-'Kwh Reading'!Q12)*1000</f>
        <v>809.99999999994543</v>
      </c>
      <c r="R12" s="2">
        <f>('Kwh Reading'!N13-'Kwh Reading'!N12)*1000</f>
        <v>789.99999999996362</v>
      </c>
      <c r="S12" s="33">
        <f>'Kwh Reading'!E13-'Kwh Reading'!E12</f>
        <v>2351.5</v>
      </c>
      <c r="T12" s="33">
        <f>'Kwh Reading'!D13-'Kwh Reading'!D12</f>
        <v>1789.1499999994412</v>
      </c>
      <c r="U12" s="27">
        <f>('Kwh Reading'!O13-'Kwh Reading'!O12)*1000</f>
        <v>189.99999999999773</v>
      </c>
      <c r="V12" s="16">
        <f t="shared" ref="V12:V31" si="1">B12-(SUM(C12:U12))</f>
        <v>6519.3500000001259</v>
      </c>
    </row>
    <row r="13" spans="1:22" x14ac:dyDescent="0.25">
      <c r="A13" s="3">
        <f>'Kwh Reading'!A13</f>
        <v>44602</v>
      </c>
      <c r="B13" s="26">
        <f>TOTAL!E11</f>
        <v>24009.99999999908</v>
      </c>
      <c r="C13" s="4">
        <f>('Kwh Reading'!T14-'Kwh Reading'!T13)*1000</f>
        <v>519.99999999998181</v>
      </c>
      <c r="D13" s="2">
        <f>('Kwh Reading'!F14-'Kwh Reading'!F13)*1000000</f>
        <v>2600.0000000001578</v>
      </c>
      <c r="E13" s="2">
        <f>('Kwh Reading'!C14-'Kwh Reading'!C13)*1000</f>
        <v>250</v>
      </c>
      <c r="F13" s="2">
        <f>('Kwh Reading'!J14-'Kwh Reading'!J13)*1000</f>
        <v>420.00000000001592</v>
      </c>
      <c r="G13" s="2">
        <f>('Kwh Reading'!K14-'Kwh Reading'!K13)*1000</f>
        <v>360.00000000001364</v>
      </c>
      <c r="H13" s="2">
        <f>('Kwh Reading'!L14-'Kwh Reading'!L13)*1000</f>
        <v>239.99999999995225</v>
      </c>
      <c r="I13" s="2">
        <f>('Kwh Reading'!R14-'Kwh Reading'!R13)*1000</f>
        <v>0</v>
      </c>
      <c r="J13" s="2">
        <f>('Kwh Reading'!S14-'Kwh Reading'!S13)*1000</f>
        <v>140.00000000001478</v>
      </c>
      <c r="K13" s="2">
        <f>('Kwh Reading'!I14-'Kwh Reading'!I13)*1000</f>
        <v>300.00000000001137</v>
      </c>
      <c r="L13" s="2">
        <f>('Kwh Reading'!B14-'Kwh Reading'!B13)*1000000</f>
        <v>1100.000000000101</v>
      </c>
      <c r="M13" s="2">
        <f>('Kwh Reading'!M14-'Kwh Reading'!M13)*1000</f>
        <v>669.99999999995907</v>
      </c>
      <c r="N13" s="2">
        <f>('Kwh Reading'!H14-'Kwh Reading'!H13)*1000</f>
        <v>1009.9999999999909</v>
      </c>
      <c r="O13" s="2">
        <f>('Kwh Reading'!P14-'Kwh Reading'!P13)*1000</f>
        <v>919.99999999995907</v>
      </c>
      <c r="P13" s="2">
        <f>('Kwh Reading'!G14-'Kwh Reading'!G13)*1000</f>
        <v>950.00000000004547</v>
      </c>
      <c r="Q13" s="2">
        <f>('Kwh Reading'!Q14-'Kwh Reading'!Q13)*1000</f>
        <v>759.99999999999091</v>
      </c>
      <c r="R13" s="2">
        <f>('Kwh Reading'!N14-'Kwh Reading'!N13)*1000</f>
        <v>740.00000000000909</v>
      </c>
      <c r="S13" s="33">
        <f>'Kwh Reading'!E14-'Kwh Reading'!E13</f>
        <v>2315.0800000000745</v>
      </c>
      <c r="T13" s="33">
        <f>'Kwh Reading'!D14-'Kwh Reading'!D13</f>
        <v>1688.980000000447</v>
      </c>
      <c r="U13" s="27">
        <f>('Kwh Reading'!O14-'Kwh Reading'!O13)*1000</f>
        <v>180.00000000000682</v>
      </c>
      <c r="V13" s="16">
        <f t="shared" si="1"/>
        <v>8845.9399999983489</v>
      </c>
    </row>
    <row r="14" spans="1:22" x14ac:dyDescent="0.25">
      <c r="A14" s="3">
        <f>'Kwh Reading'!A14</f>
        <v>44603</v>
      </c>
      <c r="B14" s="26">
        <f>TOTAL!E12</f>
        <v>20460.000000000036</v>
      </c>
      <c r="C14" s="4">
        <f>('Kwh Reading'!T15-'Kwh Reading'!T14)*1000</f>
        <v>299.99999999995453</v>
      </c>
      <c r="D14" s="2">
        <f>('Kwh Reading'!F15-'Kwh Reading'!F14)*1000000</f>
        <v>2599.9999999997135</v>
      </c>
      <c r="E14" s="2">
        <f>('Kwh Reading'!C15-'Kwh Reading'!C14)*1000</f>
        <v>230.00000000001819</v>
      </c>
      <c r="F14" s="2">
        <f>('Kwh Reading'!J15-'Kwh Reading'!J14)*1000</f>
        <v>429.99999999994998</v>
      </c>
      <c r="G14" s="2">
        <f>('Kwh Reading'!K15-'Kwh Reading'!K14)*1000</f>
        <v>279.99999999997272</v>
      </c>
      <c r="H14" s="2">
        <f>('Kwh Reading'!L15-'Kwh Reading'!L14)*1000</f>
        <v>230.00000000001819</v>
      </c>
      <c r="I14" s="2">
        <f>('Kwh Reading'!R15-'Kwh Reading'!R14)*1000</f>
        <v>0</v>
      </c>
      <c r="J14" s="2">
        <f>('Kwh Reading'!S15-'Kwh Reading'!S14)*1000</f>
        <v>150.00000000000568</v>
      </c>
      <c r="K14" s="2">
        <f>('Kwh Reading'!I15-'Kwh Reading'!I14)*1000</f>
        <v>339.99999999997499</v>
      </c>
      <c r="L14" s="2">
        <f>('Kwh Reading'!B15-'Kwh Reading'!B14)*1000000</f>
        <v>1099.9999999998788</v>
      </c>
      <c r="M14" s="2">
        <f>('Kwh Reading'!M15-'Kwh Reading'!M14)*1000</f>
        <v>620.00000000000455</v>
      </c>
      <c r="N14" s="2">
        <f>('Kwh Reading'!H15-'Kwh Reading'!H14)*1000</f>
        <v>1149.9999999999773</v>
      </c>
      <c r="O14" s="2">
        <f>('Kwh Reading'!P15-'Kwh Reading'!P14)*1000</f>
        <v>970.00000000002728</v>
      </c>
      <c r="P14" s="2">
        <f>('Kwh Reading'!G15-'Kwh Reading'!G14)*1000</f>
        <v>949.99999999993179</v>
      </c>
      <c r="Q14" s="2">
        <f>('Kwh Reading'!Q15-'Kwh Reading'!Q14)*1000</f>
        <v>769.99999999998181</v>
      </c>
      <c r="R14" s="2">
        <f>('Kwh Reading'!N15-'Kwh Reading'!N14)*1000</f>
        <v>779.99999999997272</v>
      </c>
      <c r="S14" s="33">
        <f>'Kwh Reading'!E15-'Kwh Reading'!E14</f>
        <v>2215.3799999989569</v>
      </c>
      <c r="T14" s="33">
        <f>'Kwh Reading'!D15-'Kwh Reading'!D14</f>
        <v>1715.5</v>
      </c>
      <c r="U14" s="27">
        <f>('Kwh Reading'!O15-'Kwh Reading'!O14)*1000</f>
        <v>209.99999999997954</v>
      </c>
      <c r="V14" s="16">
        <f t="shared" si="1"/>
        <v>5419.1200000017197</v>
      </c>
    </row>
    <row r="15" spans="1:22" x14ac:dyDescent="0.25">
      <c r="A15" s="3">
        <f>'Kwh Reading'!A15</f>
        <v>44604</v>
      </c>
      <c r="B15" s="26">
        <f>TOTAL!E13</f>
        <v>21459.999999999582</v>
      </c>
      <c r="C15" s="4">
        <f>('Kwh Reading'!T16-'Kwh Reading'!T15)*1000</f>
        <v>540.00000000007731</v>
      </c>
      <c r="D15" s="2">
        <f>('Kwh Reading'!F16-'Kwh Reading'!F15)*1000000</f>
        <v>2600.0000000001578</v>
      </c>
      <c r="E15" s="2">
        <f>('Kwh Reading'!C16-'Kwh Reading'!C15)*1000</f>
        <v>250</v>
      </c>
      <c r="F15" s="2">
        <f>('Kwh Reading'!J16-'Kwh Reading'!J15)*1000</f>
        <v>410.00000000002501</v>
      </c>
      <c r="G15" s="2">
        <f>('Kwh Reading'!K16-'Kwh Reading'!K15)*1000</f>
        <v>340.00000000003183</v>
      </c>
      <c r="H15" s="2">
        <f>('Kwh Reading'!L16-'Kwh Reading'!L15)*1000</f>
        <v>220.00000000002728</v>
      </c>
      <c r="I15" s="2">
        <f>('Kwh Reading'!R16-'Kwh Reading'!R15)*1000</f>
        <v>0</v>
      </c>
      <c r="J15" s="2">
        <f>('Kwh Reading'!S16-'Kwh Reading'!S15)*1000</f>
        <v>149.99999999997726</v>
      </c>
      <c r="K15" s="2">
        <f>('Kwh Reading'!I16-'Kwh Reading'!I15)*1000</f>
        <v>330.00000000004093</v>
      </c>
      <c r="L15" s="2">
        <f>('Kwh Reading'!B16-'Kwh Reading'!B15)*1000000</f>
        <v>1100.000000000101</v>
      </c>
      <c r="M15" s="2">
        <f>('Kwh Reading'!M16-'Kwh Reading'!M15)*1000</f>
        <v>610.00000000001364</v>
      </c>
      <c r="N15" s="2">
        <f>('Kwh Reading'!H16-'Kwh Reading'!H15)*1000</f>
        <v>1050.0000000000682</v>
      </c>
      <c r="O15" s="2">
        <f>('Kwh Reading'!P16-'Kwh Reading'!P15)*1000</f>
        <v>990.00000000000909</v>
      </c>
      <c r="P15" s="2">
        <f>('Kwh Reading'!G16-'Kwh Reading'!G15)*1000</f>
        <v>990.00000000000909</v>
      </c>
      <c r="Q15" s="2">
        <f>('Kwh Reading'!Q16-'Kwh Reading'!Q15)*1000</f>
        <v>740.00000000000909</v>
      </c>
      <c r="R15" s="2">
        <f>('Kwh Reading'!N16-'Kwh Reading'!N15)*1000</f>
        <v>840.00000000003183</v>
      </c>
      <c r="S15" s="33">
        <f>'Kwh Reading'!E16-'Kwh Reading'!E15</f>
        <v>2561.9400000013411</v>
      </c>
      <c r="T15" s="33">
        <f>'Kwh Reading'!D16-'Kwh Reading'!D15</f>
        <v>1698.320000000298</v>
      </c>
      <c r="U15" s="27">
        <f>('Kwh Reading'!O16-'Kwh Reading'!O15)*1000</f>
        <v>180.00000000000682</v>
      </c>
      <c r="V15" s="16">
        <f t="shared" si="1"/>
        <v>5859.7399999973568</v>
      </c>
    </row>
    <row r="16" spans="1:22" x14ac:dyDescent="0.25">
      <c r="A16" s="3">
        <f>'Kwh Reading'!A16</f>
        <v>44605</v>
      </c>
      <c r="B16" s="26">
        <f>TOTAL!E14</f>
        <v>22780.000000001339</v>
      </c>
      <c r="C16" s="4">
        <f>('Kwh Reading'!T17-'Kwh Reading'!T16)*1000</f>
        <v>559.99999999994543</v>
      </c>
      <c r="D16" s="2">
        <f>('Kwh Reading'!F17-'Kwh Reading'!F16)*1000000</f>
        <v>2600.0000000001578</v>
      </c>
      <c r="E16" s="2">
        <f>('Kwh Reading'!C17-'Kwh Reading'!C16)*1000</f>
        <v>240.00000000000909</v>
      </c>
      <c r="F16" s="2">
        <f>('Kwh Reading'!J17-'Kwh Reading'!J16)*1000</f>
        <v>379.99999999999545</v>
      </c>
      <c r="G16" s="2">
        <f>('Kwh Reading'!K17-'Kwh Reading'!K16)*1000</f>
        <v>329.99999999998408</v>
      </c>
      <c r="H16" s="2">
        <f>('Kwh Reading'!L17-'Kwh Reading'!L16)*1000</f>
        <v>189.99999999999773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339.99999999997499</v>
      </c>
      <c r="L16" s="2">
        <f>('Kwh Reading'!B17-'Kwh Reading'!B16)*1000000</f>
        <v>1099.9999999998788</v>
      </c>
      <c r="M16" s="2">
        <f>('Kwh Reading'!M17-'Kwh Reading'!M16)*1000</f>
        <v>699.99999999993179</v>
      </c>
      <c r="N16" s="2">
        <f>('Kwh Reading'!H17-'Kwh Reading'!H16)*1000</f>
        <v>1079.9999999999272</v>
      </c>
      <c r="O16" s="2">
        <f>('Kwh Reading'!P17-'Kwh Reading'!P16)*1000</f>
        <v>990.00000000000909</v>
      </c>
      <c r="P16" s="2">
        <f>('Kwh Reading'!G17-'Kwh Reading'!G16)*1000</f>
        <v>1000</v>
      </c>
      <c r="Q16" s="2">
        <f>('Kwh Reading'!Q17-'Kwh Reading'!Q16)*1000</f>
        <v>710.00000000003638</v>
      </c>
      <c r="R16" s="2">
        <f>('Kwh Reading'!N17-'Kwh Reading'!N16)*1000</f>
        <v>840.00000000003183</v>
      </c>
      <c r="S16" s="33">
        <f>'Kwh Reading'!E17-'Kwh Reading'!E16</f>
        <v>2814.0499999988824</v>
      </c>
      <c r="T16" s="33">
        <f>'Kwh Reading'!D17-'Kwh Reading'!D16</f>
        <v>1911.929999999702</v>
      </c>
      <c r="U16" s="27">
        <f>('Kwh Reading'!O17-'Kwh Reading'!O16)*1000</f>
        <v>219.99999999999886</v>
      </c>
      <c r="V16" s="16">
        <f t="shared" si="1"/>
        <v>6624.0200000028726</v>
      </c>
    </row>
    <row r="17" spans="1:22" x14ac:dyDescent="0.25">
      <c r="A17" s="3">
        <f>'Kwh Reading'!A17</f>
        <v>44606</v>
      </c>
      <c r="B17" s="26">
        <f>TOTAL!E15</f>
        <v>0</v>
      </c>
      <c r="C17" s="4">
        <f>('Kwh Reading'!T18-'Kwh Reading'!T17)*1000</f>
        <v>600.00000000002274</v>
      </c>
      <c r="D17" s="2">
        <f>('Kwh Reading'!F18-'Kwh Reading'!F17)*1000000</f>
        <v>2599.9999999997135</v>
      </c>
      <c r="E17" s="2">
        <f>('Kwh Reading'!C18-'Kwh Reading'!C17)*1000</f>
        <v>239.99999999995225</v>
      </c>
      <c r="F17" s="2">
        <f>('Kwh Reading'!J18-'Kwh Reading'!J17)*1000</f>
        <v>420.00000000001592</v>
      </c>
      <c r="G17" s="2">
        <f>('Kwh Reading'!K18-'Kwh Reading'!K17)*1000</f>
        <v>349.99999999996589</v>
      </c>
      <c r="H17" s="2">
        <f>('Kwh Reading'!L18-'Kwh Reading'!L17)*1000</f>
        <v>219.99999999997044</v>
      </c>
      <c r="I17" s="2">
        <f>('Kwh Reading'!R18-'Kwh Reading'!R17)*1000</f>
        <v>0</v>
      </c>
      <c r="J17" s="2">
        <f>('Kwh Reading'!S18-'Kwh Reading'!S17)*1000</f>
        <v>140.00000000001478</v>
      </c>
      <c r="K17" s="2">
        <f>('Kwh Reading'!I18-'Kwh Reading'!I17)*1000</f>
        <v>379.99999999999545</v>
      </c>
      <c r="L17" s="2">
        <f>('Kwh Reading'!B18-'Kwh Reading'!B17)*1000000</f>
        <v>1100.000000000101</v>
      </c>
      <c r="M17" s="2">
        <f>('Kwh Reading'!M18-'Kwh Reading'!M17)*1000</f>
        <v>820.00000000005002</v>
      </c>
      <c r="N17" s="2">
        <f>('Kwh Reading'!H18-'Kwh Reading'!H17)*1000</f>
        <v>1120.0000000000045</v>
      </c>
      <c r="O17" s="2">
        <f>('Kwh Reading'!P18-'Kwh Reading'!P17)*1000</f>
        <v>1090.0000000000318</v>
      </c>
      <c r="P17" s="2">
        <f>('Kwh Reading'!G18-'Kwh Reading'!G17)*1000</f>
        <v>1029.9999999999727</v>
      </c>
      <c r="Q17" s="2">
        <f>('Kwh Reading'!Q18-'Kwh Reading'!Q17)*1000</f>
        <v>690.00000000005457</v>
      </c>
      <c r="R17" s="2">
        <f>('Kwh Reading'!N18-'Kwh Reading'!N17)*1000</f>
        <v>809.99999999994543</v>
      </c>
      <c r="S17" s="33">
        <f>'Kwh Reading'!E18-'Kwh Reading'!E17</f>
        <v>3000.8100000005215</v>
      </c>
      <c r="T17" s="33">
        <f>'Kwh Reading'!D18-'Kwh Reading'!D17</f>
        <v>2031.070000000298</v>
      </c>
      <c r="U17" s="27">
        <f>('Kwh Reading'!O18-'Kwh Reading'!O17)*1000</f>
        <v>-780.00000000000114</v>
      </c>
      <c r="V17" s="16">
        <f t="shared" si="1"/>
        <v>-15861.880000000629</v>
      </c>
    </row>
    <row r="18" spans="1:22" x14ac:dyDescent="0.25">
      <c r="A18" s="3">
        <f>'Kwh Reading'!A18</f>
        <v>44607</v>
      </c>
      <c r="B18" s="26">
        <f>TOTAL!E16</f>
        <v>0</v>
      </c>
      <c r="C18" s="4">
        <f>('Kwh Reading'!T19-'Kwh Reading'!T18)*1000</f>
        <v>539.99999999996362</v>
      </c>
      <c r="D18" s="2">
        <f>('Kwh Reading'!F19-'Kwh Reading'!F18)*1000000</f>
        <v>2600.0000000001578</v>
      </c>
      <c r="E18" s="2">
        <f>('Kwh Reading'!C19-'Kwh Reading'!C18)*1000</f>
        <v>250</v>
      </c>
      <c r="F18" s="2">
        <f>('Kwh Reading'!J19-'Kwh Reading'!J18)*1000</f>
        <v>449.99999999998863</v>
      </c>
      <c r="G18" s="2">
        <f>('Kwh Reading'!K19-'Kwh Reading'!K18)*1000</f>
        <v>380.0000000000523</v>
      </c>
      <c r="H18" s="2">
        <f>('Kwh Reading'!L19-'Kwh Reading'!L18)*1000</f>
        <v>240.00000000000909</v>
      </c>
      <c r="I18" s="2">
        <f>('Kwh Reading'!R19-'Kwh Reading'!R18)*1000</f>
        <v>0</v>
      </c>
      <c r="J18" s="2">
        <f>('Kwh Reading'!S19-'Kwh Reading'!S18)*1000</f>
        <v>150.00000000000568</v>
      </c>
      <c r="K18" s="2">
        <f>('Kwh Reading'!I19-'Kwh Reading'!I18)*1000</f>
        <v>360.00000000001364</v>
      </c>
      <c r="L18" s="2">
        <f>('Kwh Reading'!B19-'Kwh Reading'!B18)*1000000</f>
        <v>1099.9999999998788</v>
      </c>
      <c r="M18" s="2">
        <f>('Kwh Reading'!M19-'Kwh Reading'!M18)*1000</f>
        <v>789.99999999996362</v>
      </c>
      <c r="N18" s="2">
        <f>('Kwh Reading'!H19-'Kwh Reading'!H18)*1000</f>
        <v>1149.9999999999773</v>
      </c>
      <c r="O18" s="2">
        <f>('Kwh Reading'!P19-'Kwh Reading'!P18)*1000</f>
        <v>1169.9999999999591</v>
      </c>
      <c r="P18" s="2">
        <f>('Kwh Reading'!G19-'Kwh Reading'!G18)*1000</f>
        <v>1010.0000000001046</v>
      </c>
      <c r="Q18" s="2">
        <f>('Kwh Reading'!Q19-'Kwh Reading'!Q18)*1000</f>
        <v>789.99999999996362</v>
      </c>
      <c r="R18" s="2">
        <f>('Kwh Reading'!N19-'Kwh Reading'!N18)*1000</f>
        <v>840.00000000003183</v>
      </c>
      <c r="S18" s="33">
        <f>'Kwh Reading'!E19-'Kwh Reading'!E18</f>
        <v>2730.0400000009686</v>
      </c>
      <c r="T18" s="33">
        <f>'Kwh Reading'!D19-'Kwh Reading'!D18</f>
        <v>1903.1200000001118</v>
      </c>
      <c r="U18" s="27">
        <f>('Kwh Reading'!O19-'Kwh Reading'!O18)*1000</f>
        <v>1250</v>
      </c>
      <c r="V18" s="16">
        <f t="shared" si="1"/>
        <v>-17703.160000001149</v>
      </c>
    </row>
    <row r="19" spans="1:22" x14ac:dyDescent="0.25">
      <c r="A19" s="3">
        <f>'Kwh Reading'!A19</f>
        <v>44608</v>
      </c>
      <c r="B19" s="26">
        <f>TOTAL!E17</f>
        <v>0</v>
      </c>
      <c r="C19" s="4">
        <f>('Kwh Reading'!T20-'Kwh Reading'!T19)*1000</f>
        <v>540.00000000007731</v>
      </c>
      <c r="D19" s="2">
        <f>('Kwh Reading'!F20-'Kwh Reading'!F19)*1000000</f>
        <v>2699.9999999999245</v>
      </c>
      <c r="E19" s="2">
        <f>('Kwh Reading'!C20-'Kwh Reading'!C19)*1000</f>
        <v>270.00000000003865</v>
      </c>
      <c r="F19" s="2">
        <f>('Kwh Reading'!J20-'Kwh Reading'!J19)*1000</f>
        <v>600.00000000002274</v>
      </c>
      <c r="G19" s="2">
        <f>('Kwh Reading'!K20-'Kwh Reading'!K19)*1000</f>
        <v>449.99999999998863</v>
      </c>
      <c r="H19" s="2">
        <f>('Kwh Reading'!L20-'Kwh Reading'!L19)*1000</f>
        <v>259.99999999999091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370.00000000000455</v>
      </c>
      <c r="L19" s="2">
        <f>('Kwh Reading'!B20-'Kwh Reading'!B19)*1000000</f>
        <v>1200.0000000000898</v>
      </c>
      <c r="M19" s="2">
        <f>('Kwh Reading'!M20-'Kwh Reading'!M19)*1000</f>
        <v>750</v>
      </c>
      <c r="N19" s="2">
        <f>('Kwh Reading'!H20-'Kwh Reading'!H19)*1000</f>
        <v>1180.0000000000637</v>
      </c>
      <c r="O19" s="2">
        <f>('Kwh Reading'!P20-'Kwh Reading'!P19)*1000</f>
        <v>1100.0000000000227</v>
      </c>
      <c r="P19" s="2">
        <f>('Kwh Reading'!G20-'Kwh Reading'!G19)*1000</f>
        <v>969.9999999999136</v>
      </c>
      <c r="Q19" s="2">
        <f>('Kwh Reading'!Q20-'Kwh Reading'!Q19)*1000</f>
        <v>809.99999999994543</v>
      </c>
      <c r="R19" s="2">
        <f>('Kwh Reading'!N20-'Kwh Reading'!N19)*1000</f>
        <v>819.99999999993634</v>
      </c>
      <c r="S19" s="33">
        <f>'Kwh Reading'!E20-'Kwh Reading'!E19</f>
        <v>2706.609999999404</v>
      </c>
      <c r="T19" s="33">
        <f>'Kwh Reading'!D20-'Kwh Reading'!D19</f>
        <v>1891.4199999999255</v>
      </c>
      <c r="U19" s="27">
        <f>('Kwh Reading'!O20-'Kwh Reading'!O19)*1000</f>
        <v>250</v>
      </c>
      <c r="V19" s="16">
        <f t="shared" si="1"/>
        <v>-17028.029999999344</v>
      </c>
    </row>
    <row r="20" spans="1:22" x14ac:dyDescent="0.25">
      <c r="A20" s="3">
        <f>'Kwh Reading'!A20</f>
        <v>44609</v>
      </c>
      <c r="B20" s="26">
        <f>TOTAL!E18</f>
        <v>0</v>
      </c>
      <c r="C20" s="4">
        <f>('Kwh Reading'!T21-'Kwh Reading'!T20)*1000</f>
        <v>539.99999999996362</v>
      </c>
      <c r="D20" s="2">
        <f>('Kwh Reading'!F21-'Kwh Reading'!F20)*1000000</f>
        <v>2499.9999999999468</v>
      </c>
      <c r="E20" s="2">
        <f>('Kwh Reading'!C21-'Kwh Reading'!C20)*1000</f>
        <v>279.99999999997272</v>
      </c>
      <c r="F20" s="2">
        <f>('Kwh Reading'!J21-'Kwh Reading'!J20)*1000</f>
        <v>649.99999999997726</v>
      </c>
      <c r="G20" s="2">
        <f>('Kwh Reading'!K21-'Kwh Reading'!K20)*1000</f>
        <v>469.99999999997044</v>
      </c>
      <c r="H20" s="2">
        <f>('Kwh Reading'!L21-'Kwh Reading'!L20)*1000</f>
        <v>269.99999999998181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349.99999999996589</v>
      </c>
      <c r="L20" s="2">
        <f>('Kwh Reading'!B21-'Kwh Reading'!B20)*1000000</f>
        <v>1100.000000000101</v>
      </c>
      <c r="M20" s="2">
        <f>('Kwh Reading'!M21-'Kwh Reading'!M20)*1000</f>
        <v>680.00000000006366</v>
      </c>
      <c r="N20" s="2">
        <f>('Kwh Reading'!H21-'Kwh Reading'!H20)*1000</f>
        <v>1049.9999999999545</v>
      </c>
      <c r="O20" s="2">
        <f>('Kwh Reading'!P21-'Kwh Reading'!P20)*1000</f>
        <v>1110.0000000000136</v>
      </c>
      <c r="P20" s="2">
        <f>('Kwh Reading'!G21-'Kwh Reading'!G20)*1000</f>
        <v>990.00000000000909</v>
      </c>
      <c r="Q20" s="2">
        <f>('Kwh Reading'!Q21-'Kwh Reading'!Q20)*1000</f>
        <v>710.00000000003638</v>
      </c>
      <c r="R20" s="2">
        <f>('Kwh Reading'!N21-'Kwh Reading'!N20)*1000</f>
        <v>800.00000000006821</v>
      </c>
      <c r="S20" s="33">
        <f>'Kwh Reading'!E21-'Kwh Reading'!E20</f>
        <v>2582.5299999993294</v>
      </c>
      <c r="T20" s="33">
        <f>'Kwh Reading'!D21-'Kwh Reading'!D20</f>
        <v>2041.8999999994412</v>
      </c>
      <c r="U20" s="27">
        <f>('Kwh Reading'!O21-'Kwh Reading'!O20)*1000</f>
        <v>219.99999999999886</v>
      </c>
      <c r="V20" s="16">
        <f t="shared" si="1"/>
        <v>-16504.429999998792</v>
      </c>
    </row>
    <row r="21" spans="1:22" ht="16.5" customHeight="1" x14ac:dyDescent="0.25">
      <c r="A21" s="3">
        <f>'Kwh Reading'!A21</f>
        <v>44610</v>
      </c>
      <c r="B21" s="26">
        <f>TOTAL!E19</f>
        <v>0</v>
      </c>
      <c r="C21" s="4">
        <f>('Kwh Reading'!T22-'Kwh Reading'!T21)*1000</f>
        <v>-532370</v>
      </c>
      <c r="D21" s="2">
        <f>('Kwh Reading'!F22-'Kwh Reading'!F21)*1000000</f>
        <v>-2971100</v>
      </c>
      <c r="E21" s="2">
        <f>('Kwh Reading'!C22-'Kwh Reading'!C21)*1000</f>
        <v>-288080</v>
      </c>
      <c r="F21" s="2">
        <f>('Kwh Reading'!J22-'Kwh Reading'!J21)*1000</f>
        <v>-407500</v>
      </c>
      <c r="G21" s="2">
        <f>('Kwh Reading'!K22-'Kwh Reading'!K21)*1000</f>
        <v>-419390</v>
      </c>
      <c r="H21" s="2">
        <f>('Kwh Reading'!L22-'Kwh Reading'!L21)*1000</f>
        <v>-286340</v>
      </c>
      <c r="I21" s="2">
        <f>('Kwh Reading'!R22-'Kwh Reading'!R21)*1000</f>
        <v>-190150</v>
      </c>
      <c r="J21" s="2">
        <f>('Kwh Reading'!S22-'Kwh Reading'!S21)*1000</f>
        <v>-145930</v>
      </c>
      <c r="K21" s="2">
        <f>('Kwh Reading'!I22-'Kwh Reading'!I21)*1000</f>
        <v>-302780</v>
      </c>
      <c r="L21" s="2">
        <f>('Kwh Reading'!B22-'Kwh Reading'!B21)*1000000</f>
        <v>-1261300</v>
      </c>
      <c r="M21" s="2">
        <f>('Kwh Reading'!M22-'Kwh Reading'!M21)*1000</f>
        <v>-691960</v>
      </c>
      <c r="N21" s="2">
        <f>('Kwh Reading'!H22-'Kwh Reading'!H21)*1000</f>
        <v>-810660</v>
      </c>
      <c r="O21" s="2">
        <f>('Kwh Reading'!P22-'Kwh Reading'!P21)*1000</f>
        <v>-845840</v>
      </c>
      <c r="P21" s="2">
        <f>('Kwh Reading'!G22-'Kwh Reading'!G21)*1000</f>
        <v>-948150</v>
      </c>
      <c r="Q21" s="2">
        <f>('Kwh Reading'!Q22-'Kwh Reading'!Q21)*1000</f>
        <v>-623500</v>
      </c>
      <c r="R21" s="2">
        <f>('Kwh Reading'!N22-'Kwh Reading'!N21)*1000</f>
        <v>-648220</v>
      </c>
      <c r="S21" s="33">
        <f>'Kwh Reading'!E22-'Kwh Reading'!E21</f>
        <v>-8830853.5999999996</v>
      </c>
      <c r="T21" s="33">
        <f>'Kwh Reading'!D22-'Kwh Reading'!D21</f>
        <v>-7975755.0099999998</v>
      </c>
      <c r="U21" s="27">
        <f>('Kwh Reading'!O22-'Kwh Reading'!O21)*1000</f>
        <v>-200600</v>
      </c>
      <c r="V21" s="16">
        <f t="shared" si="1"/>
        <v>28380478.609999999</v>
      </c>
    </row>
    <row r="22" spans="1:22" x14ac:dyDescent="0.25">
      <c r="A22" s="3">
        <f>'Kwh Reading'!A22</f>
        <v>44611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44612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44613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44614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44615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44616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44617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44618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44619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44620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75" t="s">
        <v>52</v>
      </c>
      <c r="B32" s="74">
        <f t="shared" ref="B32:V32" si="2">SUM(B4:B31)</f>
        <v>288030.00000000105</v>
      </c>
      <c r="C32" s="71">
        <f t="shared" si="2"/>
        <v>-524179.99999999994</v>
      </c>
      <c r="D32" s="71">
        <f t="shared" si="2"/>
        <v>-2927000</v>
      </c>
      <c r="E32" s="71">
        <f t="shared" si="2"/>
        <v>-283840</v>
      </c>
      <c r="F32" s="71">
        <f t="shared" si="2"/>
        <v>-400070</v>
      </c>
      <c r="G32" s="71">
        <f t="shared" si="2"/>
        <v>-413250</v>
      </c>
      <c r="H32" s="71">
        <f t="shared" si="2"/>
        <v>-282350.00000000006</v>
      </c>
      <c r="I32" s="71">
        <f t="shared" si="2"/>
        <v>-190150</v>
      </c>
      <c r="J32" s="71">
        <f t="shared" si="2"/>
        <v>-143460</v>
      </c>
      <c r="K32" s="71">
        <f t="shared" si="2"/>
        <v>-297020</v>
      </c>
      <c r="L32" s="71">
        <f t="shared" si="2"/>
        <v>-1242399.9999999998</v>
      </c>
      <c r="M32" s="71">
        <f t="shared" si="2"/>
        <v>-679659.99999999988</v>
      </c>
      <c r="N32" s="71">
        <f t="shared" si="2"/>
        <v>-791190.00000000012</v>
      </c>
      <c r="O32" s="71">
        <f t="shared" si="2"/>
        <v>-828570</v>
      </c>
      <c r="P32" s="71">
        <f t="shared" si="2"/>
        <v>-931940.00000000012</v>
      </c>
      <c r="Q32" s="71">
        <f t="shared" si="2"/>
        <v>-610900</v>
      </c>
      <c r="R32" s="71">
        <f t="shared" si="2"/>
        <v>-634620</v>
      </c>
      <c r="S32" s="71">
        <f t="shared" si="2"/>
        <v>-8788665.5099999998</v>
      </c>
      <c r="T32" s="71">
        <f t="shared" si="2"/>
        <v>-7945515.8600000003</v>
      </c>
      <c r="U32" s="71">
        <f t="shared" si="2"/>
        <v>-196850</v>
      </c>
      <c r="V32" s="71">
        <f t="shared" si="2"/>
        <v>28399661.370000001</v>
      </c>
    </row>
    <row r="37" spans="19:20" x14ac:dyDescent="0.25">
      <c r="S37" s="76"/>
    </row>
    <row r="42" spans="19:20" x14ac:dyDescent="0.25">
      <c r="T42" t="s">
        <v>128</v>
      </c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6" sqref="B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69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44593</v>
      </c>
      <c r="B3" s="78">
        <f>TOTAL!E2</f>
        <v>23690.000000001193</v>
      </c>
      <c r="C3" s="1">
        <f>'Kwh Consumption'!C4</f>
        <v>460.00000000003638</v>
      </c>
      <c r="D3" s="1">
        <f>'Kwh Consumption'!D4</f>
        <v>2699.9999999999245</v>
      </c>
      <c r="E3" s="1">
        <f>'Kwh Consumption'!E4</f>
        <v>250</v>
      </c>
      <c r="F3" s="1">
        <f>('Kwh Consumption'!F4+'Kwh Consumption'!G4+'Kwh Consumption'!H4)</f>
        <v>1299.9999999999545</v>
      </c>
      <c r="G3" s="16">
        <f>('Kwh Consumption'!I4+'Kwh Consumption'!J4)</f>
        <v>139.99999999998636</v>
      </c>
      <c r="H3" s="1">
        <f>('Kwh Consumption'!K4+'Kwh Consumption'!L4)</f>
        <v>1540.0000000001216</v>
      </c>
      <c r="I3" s="1">
        <f>('Kwh Consumption'!M4+'Kwh Consumption'!N4+'Kwh Consumption'!O4+'Kwh Consumption'!P4+'Kwh Consumption'!Q4+'Kwh Consumption'!R4)</f>
        <v>5639.9999999998727</v>
      </c>
      <c r="J3" s="1">
        <f>('Kwh Consumption'!S4+'Kwh Consumption'!T4)</f>
        <v>-195318.60000000056</v>
      </c>
      <c r="K3" s="1">
        <f>'Kwh Consumption'!U4</f>
        <v>230.00000000001819</v>
      </c>
      <c r="L3" s="31">
        <f t="shared" ref="L3:L30" si="0">B3-C3-D3-E3-F3-G3-H3-I3-J3-K3</f>
        <v>206748.60000000184</v>
      </c>
    </row>
    <row r="4" spans="1:12" x14ac:dyDescent="0.25">
      <c r="A4" s="14">
        <f>'Kwh Reading'!A5</f>
        <v>44594</v>
      </c>
      <c r="B4" s="78">
        <f>TOTAL!E3</f>
        <v>22029.999999999061</v>
      </c>
      <c r="C4" s="1">
        <f>'Kwh Consumption'!C5</f>
        <v>500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899.99999999997726</v>
      </c>
      <c r="G4" s="16">
        <f>('Kwh Consumption'!I5+'Kwh Consumption'!J5)</f>
        <v>150.00000000000568</v>
      </c>
      <c r="H4" s="1">
        <f>('Kwh Consumption'!K5+'Kwh Consumption'!L5)</f>
        <v>1539.9999999998429</v>
      </c>
      <c r="I4" s="1">
        <f>('Kwh Consumption'!M5+'Kwh Consumption'!N5+'Kwh Consumption'!O5+'Kwh Consumption'!P5+'Kwh Consumption'!Q5+'Kwh Consumption'!R5)</f>
        <v>5470.000000000141</v>
      </c>
      <c r="J4" s="1">
        <f>('Kwh Consumption'!S5+'Kwh Consumption'!T5)</f>
        <v>204308.28000000026</v>
      </c>
      <c r="K4" s="1">
        <f>'Kwh Consumption'!U5</f>
        <v>219.99999999999886</v>
      </c>
      <c r="L4" s="31">
        <f t="shared" si="0"/>
        <v>-193898.28000000134</v>
      </c>
    </row>
    <row r="5" spans="1:12" x14ac:dyDescent="0.25">
      <c r="A5" s="14">
        <f>'Kwh Reading'!A6</f>
        <v>44595</v>
      </c>
      <c r="B5" s="78">
        <f>TOTAL!E4</f>
        <v>21909.999999999396</v>
      </c>
      <c r="C5" s="1">
        <f>'Kwh Consumption'!C6</f>
        <v>419.99999999995907</v>
      </c>
      <c r="D5" s="1">
        <f>'Kwh Consumption'!D6</f>
        <v>2699.9999999999245</v>
      </c>
      <c r="E5" s="1">
        <f>'Kwh Consumption'!E6</f>
        <v>210.00000000003638</v>
      </c>
      <c r="F5" s="1">
        <f>('Kwh Consumption'!F6+'Kwh Consumption'!G6+'Kwh Consumption'!H6)</f>
        <v>890.00000000010004</v>
      </c>
      <c r="G5" s="16">
        <f>('Kwh Consumption'!I6+'Kwh Consumption'!J6)</f>
        <v>150.00000000000568</v>
      </c>
      <c r="H5" s="1">
        <f>('Kwh Consumption'!K6+'Kwh Consumption'!L6)</f>
        <v>1460.0000000001146</v>
      </c>
      <c r="I5" s="1">
        <f>('Kwh Consumption'!M6+'Kwh Consumption'!N6+'Kwh Consumption'!O6+'Kwh Consumption'!P6+'Kwh Consumption'!Q6+'Kwh Consumption'!R6)</f>
        <v>5039.9999999999636</v>
      </c>
      <c r="J5" s="1">
        <f>('Kwh Consumption'!S6+'Kwh Consumption'!T6)</f>
        <v>4072.1299999998882</v>
      </c>
      <c r="K5" s="1">
        <f>'Kwh Consumption'!U6</f>
        <v>239.99999999998067</v>
      </c>
      <c r="L5" s="31">
        <f t="shared" si="0"/>
        <v>6727.8699999994196</v>
      </c>
    </row>
    <row r="6" spans="1:12" x14ac:dyDescent="0.25">
      <c r="A6" s="14">
        <f>'Kwh Reading'!A7</f>
        <v>44596</v>
      </c>
      <c r="B6" s="78">
        <f>TOTAL!E5</f>
        <v>22420.000000001892</v>
      </c>
      <c r="C6" s="1">
        <f>'Kwh Consumption'!C7</f>
        <v>280.0000000000864</v>
      </c>
      <c r="D6" s="1">
        <f>'Kwh Consumption'!D7</f>
        <v>2499.9999999999468</v>
      </c>
      <c r="E6" s="1">
        <f>'Kwh Consumption'!E7</f>
        <v>-360.00000000001364</v>
      </c>
      <c r="F6" s="1">
        <f>('Kwh Consumption'!F7+'Kwh Consumption'!G7+'Kwh Consumption'!H7)</f>
        <v>979.9999999999045</v>
      </c>
      <c r="G6" s="16">
        <f>('Kwh Consumption'!I7+'Kwh Consumption'!J7)</f>
        <v>139.99999999998636</v>
      </c>
      <c r="H6" s="1">
        <f>('Kwh Consumption'!K7+'Kwh Consumption'!L7)</f>
        <v>1450.0000000001237</v>
      </c>
      <c r="I6" s="1">
        <f>('Kwh Consumption'!M7+'Kwh Consumption'!N7+'Kwh Consumption'!O7+'Kwh Consumption'!P7+'Kwh Consumption'!Q7+'Kwh Consumption'!R7)</f>
        <v>4789.9999999999636</v>
      </c>
      <c r="J6" s="1">
        <f>('Kwh Consumption'!S7+'Kwh Consumption'!T7)</f>
        <v>3711.859999999404</v>
      </c>
      <c r="K6" s="1">
        <f>'Kwh Consumption'!U7</f>
        <v>219.99999999999886</v>
      </c>
      <c r="L6" s="31">
        <f t="shared" si="0"/>
        <v>8708.1400000024933</v>
      </c>
    </row>
    <row r="7" spans="1:12" x14ac:dyDescent="0.25">
      <c r="A7" s="14">
        <f>'Kwh Reading'!A8</f>
        <v>44597</v>
      </c>
      <c r="B7" s="78">
        <f>TOTAL!E6</f>
        <v>21719.999999997981</v>
      </c>
      <c r="C7" s="1">
        <f>'Kwh Consumption'!C8</f>
        <v>469.9999999999136</v>
      </c>
      <c r="D7" s="1">
        <f>'Kwh Consumption'!D8</f>
        <v>2600.0000000001578</v>
      </c>
      <c r="E7" s="1">
        <f>'Kwh Consumption'!E8</f>
        <v>899.99999999997726</v>
      </c>
      <c r="F7" s="1">
        <f>('Kwh Consumption'!F8+'Kwh Consumption'!G8+'Kwh Consumption'!H8)</f>
        <v>820.00000000005002</v>
      </c>
      <c r="G7" s="16">
        <f>('Kwh Consumption'!I8+'Kwh Consumption'!J8)</f>
        <v>140.00000000001478</v>
      </c>
      <c r="H7" s="1">
        <f>('Kwh Consumption'!K8+'Kwh Consumption'!L8)</f>
        <v>1379.9999999998854</v>
      </c>
      <c r="I7" s="1">
        <f>('Kwh Consumption'!M8+'Kwh Consumption'!N8+'Kwh Consumption'!O8+'Kwh Consumption'!P8+'Kwh Consumption'!Q8+'Kwh Consumption'!R8)</f>
        <v>5800.0000000000682</v>
      </c>
      <c r="J7" s="1">
        <f>('Kwh Consumption'!S8+'Kwh Consumption'!T8)</f>
        <v>3934.2800000011921</v>
      </c>
      <c r="K7" s="1">
        <f>'Kwh Consumption'!U8</f>
        <v>219.99999999999886</v>
      </c>
      <c r="L7" s="31">
        <f t="shared" si="0"/>
        <v>5455.7199999967243</v>
      </c>
    </row>
    <row r="8" spans="1:12" x14ac:dyDescent="0.25">
      <c r="A8" s="14">
        <f>'Kwh Reading'!A9</f>
        <v>44598</v>
      </c>
      <c r="B8" s="78">
        <f>TOTAL!E7</f>
        <v>21540.000000001328</v>
      </c>
      <c r="C8" s="1">
        <f>'Kwh Consumption'!C9</f>
        <v>430.00000000006366</v>
      </c>
      <c r="D8" s="1">
        <f>'Kwh Consumption'!D9</f>
        <v>2699.9999999999245</v>
      </c>
      <c r="E8" s="1">
        <f>'Kwh Consumption'!E9</f>
        <v>280.00000000002956</v>
      </c>
      <c r="F8" s="1">
        <f>('Kwh Consumption'!F9+'Kwh Consumption'!G9+'Kwh Consumption'!H9)</f>
        <v>1079.9999999999272</v>
      </c>
      <c r="G8" s="16">
        <f>('Kwh Consumption'!I9+'Kwh Consumption'!J9)</f>
        <v>139.99999999998636</v>
      </c>
      <c r="H8" s="1">
        <f>('Kwh Consumption'!K9+'Kwh Consumption'!L9)</f>
        <v>1570.0000000000944</v>
      </c>
      <c r="I8" s="1">
        <f>('Kwh Consumption'!M9+'Kwh Consumption'!N9+'Kwh Consumption'!O9+'Kwh Consumption'!P9+'Kwh Consumption'!Q9+'Kwh Consumption'!R9)</f>
        <v>5449.9999999998181</v>
      </c>
      <c r="J8" s="1">
        <f>('Kwh Consumption'!S9+'Kwh Consumption'!T9)</f>
        <v>4134.839999999851</v>
      </c>
      <c r="K8" s="1">
        <f>'Kwh Consumption'!U9</f>
        <v>219.99999999999886</v>
      </c>
      <c r="L8" s="31">
        <f t="shared" si="0"/>
        <v>5535.1600000016379</v>
      </c>
    </row>
    <row r="9" spans="1:12" x14ac:dyDescent="0.25">
      <c r="A9" s="14">
        <f>'Kwh Reading'!A10</f>
        <v>44599</v>
      </c>
      <c r="B9" s="78">
        <f>TOTAL!E8</f>
        <v>22099.999999999454</v>
      </c>
      <c r="C9" s="1">
        <f>'Kwh Consumption'!C10</f>
        <v>460.00000000003638</v>
      </c>
      <c r="D9" s="1">
        <f>'Kwh Consumption'!D10</f>
        <v>2299.9999999999686</v>
      </c>
      <c r="E9" s="1">
        <f>'Kwh Consumption'!E10</f>
        <v>229.99999999996135</v>
      </c>
      <c r="F9" s="1">
        <f>('Kwh Consumption'!F10+'Kwh Consumption'!G10+'Kwh Consumption'!H10)</f>
        <v>1050.0000000001251</v>
      </c>
      <c r="G9" s="16">
        <f>('Kwh Consumption'!I10+'Kwh Consumption'!J10)</f>
        <v>150.00000000000568</v>
      </c>
      <c r="H9" s="1">
        <f>('Kwh Consumption'!K10+'Kwh Consumption'!L10)</f>
        <v>1259.9999999998809</v>
      </c>
      <c r="I9" s="1">
        <f>('Kwh Consumption'!M10+'Kwh Consumption'!N10+'Kwh Consumption'!O10+'Kwh Consumption'!P10+'Kwh Consumption'!Q10+'Kwh Consumption'!R10)</f>
        <v>5170.0000000000728</v>
      </c>
      <c r="J9" s="1">
        <f>('Kwh Consumption'!S10+'Kwh Consumption'!T10)</f>
        <v>3746.820000000298</v>
      </c>
      <c r="K9" s="1">
        <f>'Kwh Consumption'!U10</f>
        <v>219.99999999999886</v>
      </c>
      <c r="L9" s="31">
        <f t="shared" si="0"/>
        <v>7513.1799999991099</v>
      </c>
    </row>
    <row r="10" spans="1:12" x14ac:dyDescent="0.25">
      <c r="A10" s="14">
        <f>'Kwh Reading'!A11</f>
        <v>44600</v>
      </c>
      <c r="B10" s="78">
        <f>TOTAL!E9</f>
        <v>21490.000000001601</v>
      </c>
      <c r="C10" s="1">
        <f>'Kwh Consumption'!C11</f>
        <v>490.00000000000909</v>
      </c>
      <c r="D10" s="1">
        <f>'Kwh Consumption'!D11</f>
        <v>2600.0000000001578</v>
      </c>
      <c r="E10" s="1">
        <f>'Kwh Consumption'!E11</f>
        <v>240.00000000000909</v>
      </c>
      <c r="F10" s="1">
        <f>('Kwh Consumption'!F11+'Kwh Consumption'!G11+'Kwh Consumption'!H11)</f>
        <v>819.99999999993634</v>
      </c>
      <c r="G10" s="16">
        <f>('Kwh Consumption'!I11+'Kwh Consumption'!J11)</f>
        <v>110.00000000001364</v>
      </c>
      <c r="H10" s="1">
        <f>('Kwh Consumption'!K11+'Kwh Consumption'!L11)</f>
        <v>1370.0000000000828</v>
      </c>
      <c r="I10" s="1">
        <f>('Kwh Consumption'!M11+'Kwh Consumption'!N11+'Kwh Consumption'!O11+'Kwh Consumption'!P11+'Kwh Consumption'!Q11+'Kwh Consumption'!R11)</f>
        <v>5490.0000000000091</v>
      </c>
      <c r="J10" s="1">
        <f>('Kwh Consumption'!S11+'Kwh Consumption'!T11)</f>
        <v>3888.2999999998137</v>
      </c>
      <c r="K10" s="1">
        <f>'Kwh Consumption'!U11</f>
        <v>260.00000000001933</v>
      </c>
      <c r="L10" s="31">
        <f t="shared" si="0"/>
        <v>6221.7000000015514</v>
      </c>
    </row>
    <row r="11" spans="1:12" x14ac:dyDescent="0.25">
      <c r="A11" s="14">
        <f>'Kwh Reading'!A12</f>
        <v>44601</v>
      </c>
      <c r="B11" s="78">
        <f>TOTAL!E10</f>
        <v>22419.999999999163</v>
      </c>
      <c r="C11" s="1">
        <f>'Kwh Consumption'!C12</f>
        <v>539.99999999996362</v>
      </c>
      <c r="D11" s="1">
        <f>'Kwh Consumption'!D12</f>
        <v>2599.9999999997135</v>
      </c>
      <c r="E11" s="1">
        <f>'Kwh Consumption'!E12</f>
        <v>240.00000000000909</v>
      </c>
      <c r="F11" s="1">
        <f>('Kwh Consumption'!F12+'Kwh Consumption'!G12+'Kwh Consumption'!H12)</f>
        <v>1130.0000000000523</v>
      </c>
      <c r="G11" s="16">
        <f>('Kwh Consumption'!I12+'Kwh Consumption'!J12)</f>
        <v>149.99999999997726</v>
      </c>
      <c r="H11" s="1">
        <f>('Kwh Consumption'!K12+'Kwh Consumption'!L12)</f>
        <v>1419.999999999872</v>
      </c>
      <c r="I11" s="1">
        <f>('Kwh Consumption'!M12+'Kwh Consumption'!N12+'Kwh Consumption'!O12+'Kwh Consumption'!P12+'Kwh Consumption'!Q12+'Kwh Consumption'!R12)</f>
        <v>5490.0000000000091</v>
      </c>
      <c r="J11" s="1">
        <f>('Kwh Consumption'!S12+'Kwh Consumption'!T12)</f>
        <v>4140.6499999994412</v>
      </c>
      <c r="K11" s="1">
        <f>'Kwh Consumption'!U12</f>
        <v>189.99999999999773</v>
      </c>
      <c r="L11" s="31">
        <f t="shared" si="0"/>
        <v>6519.3500000001259</v>
      </c>
    </row>
    <row r="12" spans="1:12" x14ac:dyDescent="0.25">
      <c r="A12" s="14">
        <f>'Kwh Reading'!A13</f>
        <v>44602</v>
      </c>
      <c r="B12" s="78">
        <f>TOTAL!E11</f>
        <v>24009.99999999908</v>
      </c>
      <c r="C12" s="1">
        <f>'Kwh Consumption'!C13</f>
        <v>519.99999999998181</v>
      </c>
      <c r="D12" s="1">
        <f>'Kwh Consumption'!D13</f>
        <v>2600.0000000001578</v>
      </c>
      <c r="E12" s="1">
        <f>'Kwh Consumption'!E13</f>
        <v>250</v>
      </c>
      <c r="F12" s="1">
        <f>('Kwh Consumption'!F13+'Kwh Consumption'!G13+'Kwh Consumption'!H13)</f>
        <v>1019.9999999999818</v>
      </c>
      <c r="G12" s="16">
        <f>('Kwh Consumption'!I13+'Kwh Consumption'!J13)</f>
        <v>140.00000000001478</v>
      </c>
      <c r="H12" s="1">
        <f>('Kwh Consumption'!K13+'Kwh Consumption'!L13)</f>
        <v>1400.0000000001123</v>
      </c>
      <c r="I12" s="1">
        <f>('Kwh Consumption'!M13+'Kwh Consumption'!N13+'Kwh Consumption'!O13+'Kwh Consumption'!P13+'Kwh Consumption'!Q13+'Kwh Consumption'!R13)</f>
        <v>5049.9999999999545</v>
      </c>
      <c r="J12" s="1">
        <f>('Kwh Consumption'!S13+'Kwh Consumption'!T13)</f>
        <v>4004.0600000005215</v>
      </c>
      <c r="K12" s="1">
        <f>'Kwh Consumption'!U13</f>
        <v>180.00000000000682</v>
      </c>
      <c r="L12" s="31">
        <f t="shared" si="0"/>
        <v>8845.9399999983489</v>
      </c>
    </row>
    <row r="13" spans="1:12" x14ac:dyDescent="0.25">
      <c r="A13" s="14">
        <f>'Kwh Reading'!A14</f>
        <v>44603</v>
      </c>
      <c r="B13" s="78">
        <f>TOTAL!E12</f>
        <v>20460.000000000036</v>
      </c>
      <c r="C13" s="1">
        <f>'Kwh Consumption'!C14</f>
        <v>299.99999999995453</v>
      </c>
      <c r="D13" s="1">
        <f>'Kwh Consumption'!D14</f>
        <v>2599.9999999997135</v>
      </c>
      <c r="E13" s="1">
        <f>'Kwh Consumption'!E14</f>
        <v>230.00000000001819</v>
      </c>
      <c r="F13" s="1">
        <f>('Kwh Consumption'!F14+'Kwh Consumption'!G14+'Kwh Consumption'!H14)</f>
        <v>939.99999999994088</v>
      </c>
      <c r="G13" s="16">
        <f>('Kwh Consumption'!I14+'Kwh Consumption'!J14)</f>
        <v>150.00000000000568</v>
      </c>
      <c r="H13" s="1">
        <f>('Kwh Consumption'!K14+'Kwh Consumption'!L14)</f>
        <v>1439.9999999998538</v>
      </c>
      <c r="I13" s="1">
        <f>('Kwh Consumption'!M14+'Kwh Consumption'!N14+'Kwh Consumption'!O14+'Kwh Consumption'!P14+'Kwh Consumption'!Q14+'Kwh Consumption'!R14)</f>
        <v>5239.9999999998954</v>
      </c>
      <c r="J13" s="1">
        <f>('Kwh Consumption'!S14+'Kwh Consumption'!T14)</f>
        <v>3930.8799999989569</v>
      </c>
      <c r="K13" s="1">
        <f>'Kwh Consumption'!U14</f>
        <v>209.99999999997954</v>
      </c>
      <c r="L13" s="31">
        <f t="shared" si="0"/>
        <v>5419.1200000017143</v>
      </c>
    </row>
    <row r="14" spans="1:12" x14ac:dyDescent="0.25">
      <c r="A14" s="14">
        <f>'Kwh Reading'!A15</f>
        <v>44604</v>
      </c>
      <c r="B14" s="78">
        <f>TOTAL!E13</f>
        <v>21459.999999999582</v>
      </c>
      <c r="C14" s="1">
        <f>'Kwh Consumption'!C15</f>
        <v>540.00000000007731</v>
      </c>
      <c r="D14" s="1">
        <f>'Kwh Consumption'!D15</f>
        <v>2600.0000000001578</v>
      </c>
      <c r="E14" s="1">
        <f>'Kwh Consumption'!E15</f>
        <v>250</v>
      </c>
      <c r="F14" s="1">
        <f>('Kwh Consumption'!F15+'Kwh Consumption'!G15+'Kwh Consumption'!H15)</f>
        <v>970.00000000008413</v>
      </c>
      <c r="G14" s="16">
        <f>('Kwh Consumption'!I15+'Kwh Consumption'!J15)</f>
        <v>149.99999999997726</v>
      </c>
      <c r="H14" s="1">
        <f>('Kwh Consumption'!K15+'Kwh Consumption'!L15)</f>
        <v>1430.0000000001419</v>
      </c>
      <c r="I14" s="1">
        <f>('Kwh Consumption'!M15+'Kwh Consumption'!N15+'Kwh Consumption'!O15+'Kwh Consumption'!P15+'Kwh Consumption'!Q15+'Kwh Consumption'!R15)</f>
        <v>5220.000000000141</v>
      </c>
      <c r="J14" s="1">
        <f>('Kwh Consumption'!S15+'Kwh Consumption'!T15)</f>
        <v>4260.2600000016391</v>
      </c>
      <c r="K14" s="1">
        <f>'Kwh Consumption'!U15</f>
        <v>180.00000000000682</v>
      </c>
      <c r="L14" s="31">
        <f t="shared" si="0"/>
        <v>5859.7399999973568</v>
      </c>
    </row>
    <row r="15" spans="1:12" x14ac:dyDescent="0.25">
      <c r="A15" s="14">
        <f>'Kwh Reading'!A16</f>
        <v>44605</v>
      </c>
      <c r="B15" s="78">
        <f>TOTAL!E14</f>
        <v>22780.000000001339</v>
      </c>
      <c r="C15" s="1">
        <f>'Kwh Consumption'!C16</f>
        <v>559.99999999994543</v>
      </c>
      <c r="D15" s="1">
        <f>'Kwh Consumption'!D16</f>
        <v>2600.0000000001578</v>
      </c>
      <c r="E15" s="1">
        <f>'Kwh Consumption'!E16</f>
        <v>240.00000000000909</v>
      </c>
      <c r="F15" s="1">
        <f>('Kwh Consumption'!F16+'Kwh Consumption'!G16+'Kwh Consumption'!H16)</f>
        <v>899.99999999997726</v>
      </c>
      <c r="G15" s="16">
        <f>('Kwh Consumption'!I16+'Kwh Consumption'!J16)</f>
        <v>150.00000000000568</v>
      </c>
      <c r="H15" s="1">
        <f>('Kwh Consumption'!K16+'Kwh Consumption'!L16)</f>
        <v>1439.9999999998538</v>
      </c>
      <c r="I15" s="1">
        <f>('Kwh Consumption'!M16+'Kwh Consumption'!N16+'Kwh Consumption'!O16+'Kwh Consumption'!P16+'Kwh Consumption'!Q16+'Kwh Consumption'!R16)</f>
        <v>5319.9999999999363</v>
      </c>
      <c r="J15" s="1">
        <f>('Kwh Consumption'!S16+'Kwh Consumption'!T16)</f>
        <v>4725.9799999985844</v>
      </c>
      <c r="K15" s="1">
        <f>'Kwh Consumption'!U16</f>
        <v>219.99999999999886</v>
      </c>
      <c r="L15" s="31">
        <f t="shared" si="0"/>
        <v>6624.0200000028699</v>
      </c>
    </row>
    <row r="16" spans="1:12" x14ac:dyDescent="0.25">
      <c r="A16" s="14">
        <f>'Kwh Reading'!A17</f>
        <v>44606</v>
      </c>
      <c r="B16" s="78">
        <f>TOTAL!E15</f>
        <v>0</v>
      </c>
      <c r="C16" s="1">
        <f>'Kwh Consumption'!C17</f>
        <v>600.00000000002274</v>
      </c>
      <c r="D16" s="1">
        <f>'Kwh Consumption'!D17</f>
        <v>2599.9999999997135</v>
      </c>
      <c r="E16" s="1">
        <f>'Kwh Consumption'!E17</f>
        <v>239.99999999995225</v>
      </c>
      <c r="F16" s="1">
        <f>('Kwh Consumption'!F17+'Kwh Consumption'!G17+'Kwh Consumption'!H17)</f>
        <v>989.99999999995225</v>
      </c>
      <c r="G16" s="16">
        <f>('Kwh Consumption'!I17+'Kwh Consumption'!J17)</f>
        <v>140.00000000001478</v>
      </c>
      <c r="H16" s="1">
        <f>('Kwh Consumption'!K17+'Kwh Consumption'!L17)</f>
        <v>1480.0000000000964</v>
      </c>
      <c r="I16" s="1">
        <f>('Kwh Consumption'!M17+'Kwh Consumption'!N17+'Kwh Consumption'!O17+'Kwh Consumption'!P17+'Kwh Consumption'!Q17+'Kwh Consumption'!R17)</f>
        <v>5560.0000000000591</v>
      </c>
      <c r="J16" s="1">
        <f>('Kwh Consumption'!S17+'Kwh Consumption'!T17)</f>
        <v>5031.8800000008196</v>
      </c>
      <c r="K16" s="1">
        <f>'Kwh Consumption'!U17</f>
        <v>-780.00000000000114</v>
      </c>
      <c r="L16" s="31">
        <f t="shared" si="0"/>
        <v>-15861.880000000629</v>
      </c>
    </row>
    <row r="17" spans="1:13" x14ac:dyDescent="0.25">
      <c r="A17" s="14">
        <f>'Kwh Reading'!A18</f>
        <v>44607</v>
      </c>
      <c r="B17" s="78">
        <f>TOTAL!E16</f>
        <v>0</v>
      </c>
      <c r="C17" s="1">
        <f>'Kwh Consumption'!C18</f>
        <v>539.99999999996362</v>
      </c>
      <c r="D17" s="1">
        <f>'Kwh Consumption'!D18</f>
        <v>2600.0000000001578</v>
      </c>
      <c r="E17" s="1">
        <f>'Kwh Consumption'!E18</f>
        <v>250</v>
      </c>
      <c r="F17" s="1">
        <f>('Kwh Consumption'!F18+'Kwh Consumption'!G18+'Kwh Consumption'!H18)</f>
        <v>1070.00000000005</v>
      </c>
      <c r="G17" s="16">
        <f>('Kwh Consumption'!I18+'Kwh Consumption'!J18)</f>
        <v>150.00000000000568</v>
      </c>
      <c r="H17" s="1">
        <f>('Kwh Consumption'!K18+'Kwh Consumption'!L18)</f>
        <v>1459.9999999998925</v>
      </c>
      <c r="I17" s="1">
        <f>('Kwh Consumption'!M18+'Kwh Consumption'!N18+'Kwh Consumption'!O18+'Kwh Consumption'!P18+'Kwh Consumption'!Q18+'Kwh Consumption'!R18)</f>
        <v>5750</v>
      </c>
      <c r="J17" s="1">
        <f>('Kwh Consumption'!S18+'Kwh Consumption'!T18)</f>
        <v>4633.1600000010803</v>
      </c>
      <c r="K17" s="30">
        <f>'Kwh Consumption'!U18</f>
        <v>1250</v>
      </c>
      <c r="L17" s="31">
        <f t="shared" si="0"/>
        <v>-17703.160000001149</v>
      </c>
    </row>
    <row r="18" spans="1:13" x14ac:dyDescent="0.25">
      <c r="A18" s="14">
        <f>'Kwh Reading'!A19</f>
        <v>44608</v>
      </c>
      <c r="B18" s="78">
        <f>TOTAL!E17</f>
        <v>0</v>
      </c>
      <c r="C18" s="1">
        <f>'Kwh Consumption'!C19</f>
        <v>540.00000000007731</v>
      </c>
      <c r="D18" s="1">
        <f>'Kwh Consumption'!D19</f>
        <v>2699.9999999999245</v>
      </c>
      <c r="E18" s="1">
        <f>'Kwh Consumption'!E19</f>
        <v>270.00000000003865</v>
      </c>
      <c r="F18" s="1">
        <f>('Kwh Consumption'!F19+'Kwh Consumption'!G19+'Kwh Consumption'!H19)</f>
        <v>1310.0000000000023</v>
      </c>
      <c r="G18" s="16">
        <f>('Kwh Consumption'!I19+'Kwh Consumption'!J19)</f>
        <v>159.99999999999659</v>
      </c>
      <c r="H18" s="1">
        <f>('Kwh Consumption'!K19+'Kwh Consumption'!L19)</f>
        <v>1570.0000000000944</v>
      </c>
      <c r="I18" s="1">
        <f>('Kwh Consumption'!M19+'Kwh Consumption'!N19+'Kwh Consumption'!O19+'Kwh Consumption'!P19+'Kwh Consumption'!Q19+'Kwh Consumption'!R19)</f>
        <v>5629.9999999998818</v>
      </c>
      <c r="J18" s="1">
        <f>('Kwh Consumption'!S19+'Kwh Consumption'!T19)</f>
        <v>4598.0299999993294</v>
      </c>
      <c r="K18" s="30">
        <f>'Kwh Consumption'!U19</f>
        <v>250</v>
      </c>
      <c r="L18" s="31">
        <f t="shared" si="0"/>
        <v>-17028.029999999344</v>
      </c>
    </row>
    <row r="19" spans="1:13" x14ac:dyDescent="0.25">
      <c r="A19" s="14">
        <f>'Kwh Reading'!A20</f>
        <v>44609</v>
      </c>
      <c r="B19" s="78">
        <f>TOTAL!E18</f>
        <v>0</v>
      </c>
      <c r="C19" s="1">
        <f>'Kwh Consumption'!C20</f>
        <v>539.99999999996362</v>
      </c>
      <c r="D19" s="1">
        <f>'Kwh Consumption'!D20</f>
        <v>2499.9999999999468</v>
      </c>
      <c r="E19" s="1">
        <f>'Kwh Consumption'!E20</f>
        <v>279.99999999997272</v>
      </c>
      <c r="F19" s="1">
        <f>('Kwh Consumption'!F20+'Kwh Consumption'!G20+'Kwh Consumption'!H20)</f>
        <v>1389.9999999999295</v>
      </c>
      <c r="G19" s="16">
        <f>('Kwh Consumption'!I20+'Kwh Consumption'!J20)</f>
        <v>159.99999999999659</v>
      </c>
      <c r="H19" s="1">
        <f>('Kwh Consumption'!K20+'Kwh Consumption'!L20)</f>
        <v>1450.0000000000668</v>
      </c>
      <c r="I19" s="1">
        <f>('Kwh Consumption'!M20+'Kwh Consumption'!N20+'Kwh Consumption'!O20+'Kwh Consumption'!P20+'Kwh Consumption'!Q20+'Kwh Consumption'!R20)</f>
        <v>5340.0000000001455</v>
      </c>
      <c r="J19" s="1">
        <f>('Kwh Consumption'!S20+'Kwh Consumption'!T20)</f>
        <v>4624.4299999987707</v>
      </c>
      <c r="K19" s="1">
        <f>'Kwh Consumption'!U20</f>
        <v>219.99999999999886</v>
      </c>
      <c r="L19" s="31">
        <f t="shared" si="0"/>
        <v>-16504.429999998792</v>
      </c>
    </row>
    <row r="20" spans="1:13" x14ac:dyDescent="0.25">
      <c r="A20" s="14">
        <f>'Kwh Reading'!A21</f>
        <v>44610</v>
      </c>
      <c r="B20" s="78">
        <f>TOTAL!E19</f>
        <v>0</v>
      </c>
      <c r="C20" s="1">
        <f>'Kwh Consumption'!C21</f>
        <v>-532370</v>
      </c>
      <c r="D20" s="1">
        <f>'Kwh Consumption'!D21</f>
        <v>-2971100</v>
      </c>
      <c r="E20" s="1">
        <f>'Kwh Consumption'!E21</f>
        <v>-288080</v>
      </c>
      <c r="F20" s="1">
        <f>('Kwh Consumption'!F21+'Kwh Consumption'!G21+'Kwh Consumption'!H21)</f>
        <v>-1113230</v>
      </c>
      <c r="G20" s="16">
        <f>('Kwh Consumption'!I21+'Kwh Consumption'!J21)</f>
        <v>-336080</v>
      </c>
      <c r="H20" s="1">
        <f>('Kwh Consumption'!K21+'Kwh Consumption'!L21)</f>
        <v>-1564080</v>
      </c>
      <c r="I20" s="1">
        <f>('Kwh Consumption'!M21+'Kwh Consumption'!N21+'Kwh Consumption'!O21+'Kwh Consumption'!P21+'Kwh Consumption'!Q21+'Kwh Consumption'!R21)</f>
        <v>-4568330</v>
      </c>
      <c r="J20" s="1">
        <f>('Kwh Consumption'!S21+'Kwh Consumption'!T21)</f>
        <v>-16806608.609999999</v>
      </c>
      <c r="K20" s="1">
        <f>'Kwh Consumption'!U21</f>
        <v>-200600</v>
      </c>
      <c r="L20" s="31">
        <f t="shared" si="0"/>
        <v>28380478.609999999</v>
      </c>
    </row>
    <row r="21" spans="1:13" x14ac:dyDescent="0.25">
      <c r="A21" s="14">
        <f>'Kwh Reading'!A22</f>
        <v>44611</v>
      </c>
      <c r="B21" s="78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3" x14ac:dyDescent="0.25">
      <c r="A22" s="14">
        <f>'Kwh Reading'!A23</f>
        <v>44612</v>
      </c>
      <c r="B22" s="78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3" x14ac:dyDescent="0.25">
      <c r="A23" s="14">
        <f>'Kwh Reading'!A24</f>
        <v>44613</v>
      </c>
      <c r="B23" s="78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3" x14ac:dyDescent="0.25">
      <c r="A24" s="14">
        <f>'Kwh Reading'!A25</f>
        <v>44614</v>
      </c>
      <c r="B24" s="78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3" x14ac:dyDescent="0.25">
      <c r="A25" s="14">
        <f>'Kwh Reading'!A26</f>
        <v>44615</v>
      </c>
      <c r="B25" s="78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3" x14ac:dyDescent="0.25">
      <c r="A26" s="14">
        <f>'Kwh Reading'!A27</f>
        <v>44616</v>
      </c>
      <c r="B26" s="78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3" x14ac:dyDescent="0.25">
      <c r="A27" s="14">
        <f>'Kwh Reading'!A28</f>
        <v>44617</v>
      </c>
      <c r="B27" s="78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3" x14ac:dyDescent="0.25">
      <c r="A28" s="14">
        <f>'Kwh Reading'!A29</f>
        <v>44618</v>
      </c>
      <c r="B28" s="78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3" x14ac:dyDescent="0.25">
      <c r="A29" s="14">
        <f>'Kwh Reading'!A30</f>
        <v>44619</v>
      </c>
      <c r="B29" s="78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3" x14ac:dyDescent="0.25">
      <c r="A30" s="14">
        <f>'Kwh Reading'!A31</f>
        <v>44620</v>
      </c>
      <c r="B30" s="78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3" ht="15.75" x14ac:dyDescent="0.25">
      <c r="A31" s="80" t="s">
        <v>120</v>
      </c>
      <c r="B31" s="71">
        <f t="shared" ref="B31:L31" si="1">SUM(B3:B30)</f>
        <v>288030.00000000105</v>
      </c>
      <c r="C31" s="71">
        <f t="shared" si="1"/>
        <v>-524179.99999999994</v>
      </c>
      <c r="D31" s="71">
        <f t="shared" si="1"/>
        <v>-2927000</v>
      </c>
      <c r="E31" s="71">
        <f t="shared" si="1"/>
        <v>-283840</v>
      </c>
      <c r="F31" s="71">
        <f t="shared" si="1"/>
        <v>-1095670</v>
      </c>
      <c r="G31" s="71">
        <f t="shared" si="1"/>
        <v>-333610</v>
      </c>
      <c r="H31" s="71">
        <f t="shared" si="1"/>
        <v>-1539419.9999999998</v>
      </c>
      <c r="I31" s="71">
        <f t="shared" si="1"/>
        <v>-4476880</v>
      </c>
      <c r="J31" s="71">
        <f t="shared" si="1"/>
        <v>-16734181.370000001</v>
      </c>
      <c r="K31" s="71">
        <f t="shared" si="1"/>
        <v>-196850</v>
      </c>
      <c r="L31" s="71">
        <f t="shared" si="1"/>
        <v>28399661.370000001</v>
      </c>
      <c r="M31" s="79">
        <f>C31+D31+E31+F31+G31+H31+I31+J31+K31+L31</f>
        <v>288030</v>
      </c>
    </row>
    <row r="33" spans="1:13" ht="15.75" x14ac:dyDescent="0.25">
      <c r="A33" s="80" t="s">
        <v>63</v>
      </c>
      <c r="B33" s="81">
        <f>TOTAL!F2</f>
        <v>0.18</v>
      </c>
      <c r="C33" s="71">
        <f>C31*B33</f>
        <v>-94352.39999999998</v>
      </c>
      <c r="D33" s="71">
        <f>D31*B33</f>
        <v>-526860</v>
      </c>
      <c r="E33" s="71">
        <f>E31*B33</f>
        <v>-51091.199999999997</v>
      </c>
      <c r="F33" s="71">
        <f>F31*B33</f>
        <v>-197220.6</v>
      </c>
      <c r="G33" s="71">
        <f>G31*B33</f>
        <v>-60049.799999999996</v>
      </c>
      <c r="H33" s="71">
        <f>H31*B33</f>
        <v>-277095.59999999998</v>
      </c>
      <c r="I33" s="71">
        <f>I31*B33</f>
        <v>-805838.4</v>
      </c>
      <c r="J33" s="71">
        <f>J31*B33</f>
        <v>-3012152.6466000001</v>
      </c>
      <c r="K33" s="71">
        <f>K31*B33</f>
        <v>-35433</v>
      </c>
      <c r="L33" s="71">
        <f>L31*B33</f>
        <v>5111939.0466</v>
      </c>
      <c r="M33" s="79">
        <f>C33+D33+E33+F33+G33+H33+I33+J33+K33+L33</f>
        <v>51845.399999999441</v>
      </c>
    </row>
    <row r="34" spans="1:13" x14ac:dyDescent="0.25">
      <c r="J34" s="77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4" sqref="G34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44593</v>
      </c>
      <c r="B3" s="11">
        <f>TOTAL!F2</f>
        <v>0.18</v>
      </c>
      <c r="C3" s="11">
        <f>'Kwh Consumption'!B4*' Kwh area wise $ '!B3</f>
        <v>4264.2000000002145</v>
      </c>
      <c r="D3" s="1">
        <f>'Kwh Consumption'!C4*' Kwh area wise $ '!B3</f>
        <v>82.800000000006548</v>
      </c>
      <c r="E3" s="1">
        <f>'Kwh Consumption'!D4*' Kwh area wise $ '!B3</f>
        <v>485.99999999998641</v>
      </c>
      <c r="F3" s="1">
        <f>'Kwh Consumption'!E4*' Kwh area wise $ '!B3</f>
        <v>45</v>
      </c>
      <c r="G3" s="1">
        <f>('Kwh Consumption'!F4+'Kwh Consumption'!G4+'Kwh Consumption'!H4)*' Kwh area wise $ '!B3</f>
        <v>233.99999999999181</v>
      </c>
      <c r="H3" s="16">
        <f>('Kwh Consumption'!I4+'Kwh Consumption'!J4)*' Kwh area wise $ '!B3</f>
        <v>25.199999999997544</v>
      </c>
      <c r="I3" s="1">
        <f>('Kwh Consumption'!K4+'Kwh Consumption'!L4)*' Kwh area wise $ '!B3</f>
        <v>277.20000000002187</v>
      </c>
      <c r="J3" s="1">
        <f>('Kwh Consumption'!M4+'Kwh Consumption'!N4+'Kwh Consumption'!O4+'Kwh Consumption'!P4+'Kwh Consumption'!Q4+'Kwh Consumption'!R4)*' Kwh area wise $ '!B3</f>
        <v>1015.1999999999771</v>
      </c>
      <c r="K3" s="1">
        <f>('Kwh Consumption'!S4+'Kwh Consumption'!T4)*' Kwh area wise $ '!B3</f>
        <v>-35157.3480000001</v>
      </c>
      <c r="L3" s="1">
        <f>'Kwh Consumption'!U4*' Kwh area wise $ '!B3</f>
        <v>41.400000000003274</v>
      </c>
      <c r="M3" s="1">
        <f>'Kwh Consumption'!V4*' Kwh area wise $ '!B3</f>
        <v>37214.748000000327</v>
      </c>
    </row>
    <row r="4" spans="1:13" x14ac:dyDescent="0.25">
      <c r="A4" s="14">
        <f>'Kwh Reading'!A5</f>
        <v>44594</v>
      </c>
      <c r="B4" s="11">
        <f>TOTAL!F3</f>
        <v>0.18</v>
      </c>
      <c r="C4" s="11">
        <f>'Kwh Consumption'!B5*' Kwh area wise $ '!B4</f>
        <v>3965.3999999998309</v>
      </c>
      <c r="D4" s="1">
        <f>'Kwh Consumption'!C5*' Kwh area wise $ '!B4</f>
        <v>90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27.000000000001023</v>
      </c>
      <c r="I4" s="1">
        <f>('Kwh Consumption'!K5+'Kwh Consumption'!L5)*' Kwh area wise $ '!B4</f>
        <v>277.19999999997168</v>
      </c>
      <c r="J4" s="1">
        <f>('Kwh Consumption'!M5+'Kwh Consumption'!N5+'Kwh Consumption'!O5+'Kwh Consumption'!P5+'Kwh Consumption'!Q5+'Kwh Consumption'!R5)*' Kwh area wise $ '!B4</f>
        <v>984.60000000002537</v>
      </c>
      <c r="K4" s="1">
        <f>('Kwh Consumption'!S5+'Kwh Consumption'!T5)*' Kwh area wise $ '!B4</f>
        <v>36775.490400000046</v>
      </c>
      <c r="L4" s="1">
        <f>'Kwh Consumption'!U5*' Kwh area wise $ '!B4</f>
        <v>39.599999999999795</v>
      </c>
      <c r="M4" s="1">
        <f>'Kwh Consumption'!V5*' Kwh area wise $ '!B4</f>
        <v>-34901.69040000024</v>
      </c>
    </row>
    <row r="5" spans="1:13" x14ac:dyDescent="0.25">
      <c r="A5" s="14">
        <f>'Kwh Reading'!A6</f>
        <v>44595</v>
      </c>
      <c r="B5" s="11">
        <f>TOTAL!F4</f>
        <v>0.18</v>
      </c>
      <c r="C5" s="11">
        <f>'Kwh Consumption'!B6*' Kwh area wise $ '!B5</f>
        <v>3943.799999999891</v>
      </c>
      <c r="D5" s="1">
        <f>'Kwh Consumption'!C6*' Kwh area wise $ '!B5</f>
        <v>75.599999999992633</v>
      </c>
      <c r="E5" s="1">
        <f>'Kwh Consumption'!D6*' Kwh area wise $ '!B5</f>
        <v>485.99999999998641</v>
      </c>
      <c r="F5" s="1">
        <f>'Kwh Consumption'!E6*' Kwh area wise $ '!B5</f>
        <v>37.800000000006548</v>
      </c>
      <c r="G5" s="1">
        <f>('Kwh Consumption'!F6+'Kwh Consumption'!G6+'Kwh Consumption'!H6)*' Kwh area wise $ '!B5</f>
        <v>160.20000000001801</v>
      </c>
      <c r="H5" s="16">
        <f>('Kwh Consumption'!I6+'Kwh Consumption'!J6)*' Kwh area wise $ '!B5</f>
        <v>27.000000000001023</v>
      </c>
      <c r="I5" s="1">
        <f>('Kwh Consumption'!K6+'Kwh Consumption'!L6)*' Kwh area wise $ '!B5</f>
        <v>262.80000000002065</v>
      </c>
      <c r="J5" s="1">
        <f>('Kwh Consumption'!M6+'Kwh Consumption'!N6+'Kwh Consumption'!O6+'Kwh Consumption'!P6+'Kwh Consumption'!Q6+'Kwh Consumption'!R6)*' Kwh area wise $ '!B5</f>
        <v>907.19999999999345</v>
      </c>
      <c r="K5" s="1">
        <f>('Kwh Consumption'!S6+'Kwh Consumption'!T6)*' Kwh area wise $ '!B5</f>
        <v>732.98339999997984</v>
      </c>
      <c r="L5" s="1">
        <f>'Kwh Consumption'!U6*' Kwh area wise $ '!B5</f>
        <v>43.199999999996521</v>
      </c>
      <c r="M5" s="1">
        <f>'Kwh Consumption'!V6*' Kwh area wise $ '!B5</f>
        <v>1211.0165999998962</v>
      </c>
    </row>
    <row r="6" spans="1:13" x14ac:dyDescent="0.25">
      <c r="A6" s="14">
        <f>'Kwh Reading'!A7</f>
        <v>44596</v>
      </c>
      <c r="B6" s="11">
        <f>TOTAL!F5</f>
        <v>0.18</v>
      </c>
      <c r="C6" s="11">
        <f>'Kwh Consumption'!B7*' Kwh area wise $ '!B6</f>
        <v>4035.6000000003405</v>
      </c>
      <c r="D6" s="1">
        <f>'Kwh Consumption'!C7*' Kwh area wise $ '!B6</f>
        <v>50.400000000015552</v>
      </c>
      <c r="E6" s="1">
        <f>'Kwh Consumption'!D7*' Kwh area wise $ '!B6</f>
        <v>449.99999999999039</v>
      </c>
      <c r="F6" s="1">
        <f>'Kwh Consumption'!E7*' Kwh area wise $ '!B6</f>
        <v>-64.800000000002456</v>
      </c>
      <c r="G6" s="1">
        <f>('Kwh Consumption'!F7+'Kwh Consumption'!G7+'Kwh Consumption'!H7)*' Kwh area wise $ '!B6</f>
        <v>176.39999999998281</v>
      </c>
      <c r="H6" s="16">
        <f>('Kwh Consumption'!I7+'Kwh Consumption'!J7)*' Kwh area wise $ '!B6</f>
        <v>25.199999999997544</v>
      </c>
      <c r="I6" s="1">
        <f>('Kwh Consumption'!K7+'Kwh Consumption'!L7)*' Kwh area wise $ '!B6</f>
        <v>261.00000000002228</v>
      </c>
      <c r="J6" s="1">
        <f>('Kwh Consumption'!M7+'Kwh Consumption'!N7+'Kwh Consumption'!O7+'Kwh Consumption'!P7+'Kwh Consumption'!Q7+'Kwh Consumption'!R7)*' Kwh area wise $ '!B6</f>
        <v>862.19999999999345</v>
      </c>
      <c r="K6" s="1">
        <f>('Kwh Consumption'!S7+'Kwh Consumption'!T7)*' Kwh area wise $ '!B6</f>
        <v>668.13479999989272</v>
      </c>
      <c r="L6" s="1">
        <f>'Kwh Consumption'!U7*' Kwh area wise $ '!B6</f>
        <v>39.599999999999795</v>
      </c>
      <c r="M6" s="1">
        <f>'Kwh Consumption'!V7*' Kwh area wise $ '!B6</f>
        <v>1567.465200000448</v>
      </c>
    </row>
    <row r="7" spans="1:13" x14ac:dyDescent="0.25">
      <c r="A7" s="14">
        <f>'Kwh Reading'!A8</f>
        <v>44597</v>
      </c>
      <c r="B7" s="11">
        <f>TOTAL!F6</f>
        <v>0.18</v>
      </c>
      <c r="C7" s="11">
        <f>'Kwh Consumption'!B8*' Kwh area wise $ '!B7</f>
        <v>3909.5999999996366</v>
      </c>
      <c r="D7" s="1">
        <f>'Kwh Consumption'!C8*' Kwh area wise $ '!B7</f>
        <v>84.599999999984448</v>
      </c>
      <c r="E7" s="1">
        <f>'Kwh Consumption'!D8*' Kwh area wise $ '!B7</f>
        <v>468.00000000002836</v>
      </c>
      <c r="F7" s="1">
        <f>'Kwh Consumption'!E8*' Kwh area wise $ '!B7</f>
        <v>161.99999999999591</v>
      </c>
      <c r="G7" s="1">
        <f>('Kwh Consumption'!F8+'Kwh Consumption'!G8+'Kwh Consumption'!H8)*' Kwh area wise $ '!B7</f>
        <v>147.600000000009</v>
      </c>
      <c r="H7" s="16">
        <f>('Kwh Consumption'!I8+'Kwh Consumption'!J8)*' Kwh area wise $ '!B7</f>
        <v>25.20000000000266</v>
      </c>
      <c r="I7" s="1">
        <f>('Kwh Consumption'!K8+'Kwh Consumption'!L8)*' Kwh area wise $ '!B7</f>
        <v>248.39999999997937</v>
      </c>
      <c r="J7" s="1">
        <f>('Kwh Consumption'!M8+'Kwh Consumption'!N8+'Kwh Consumption'!O8+'Kwh Consumption'!P8+'Kwh Consumption'!Q8+'Kwh Consumption'!R8)*' Kwh area wise $ '!B7</f>
        <v>1044.0000000000123</v>
      </c>
      <c r="K7" s="1">
        <f>('Kwh Consumption'!S8+'Kwh Consumption'!T8)*' Kwh area wise $ '!B7</f>
        <v>708.1704000002145</v>
      </c>
      <c r="L7" s="1">
        <f>'Kwh Consumption'!U8*' Kwh area wise $ '!B7</f>
        <v>39.599999999999795</v>
      </c>
      <c r="M7" s="1">
        <f>'Kwh Consumption'!V8*' Kwh area wise $ '!B7</f>
        <v>982.02959999941049</v>
      </c>
    </row>
    <row r="8" spans="1:13" x14ac:dyDescent="0.25">
      <c r="A8" s="14">
        <f>'Kwh Reading'!A9</f>
        <v>44598</v>
      </c>
      <c r="B8" s="11">
        <f>TOTAL!F7</f>
        <v>0.18</v>
      </c>
      <c r="C8" s="11">
        <f>'Kwh Consumption'!B9*' Kwh area wise $ '!B8</f>
        <v>3877.200000000239</v>
      </c>
      <c r="D8" s="1">
        <f>'Kwh Consumption'!C9*' Kwh area wise $ '!B8</f>
        <v>77.40000000001146</v>
      </c>
      <c r="E8" s="1">
        <f>'Kwh Consumption'!D9*' Kwh area wise $ '!B8</f>
        <v>485.99999999998641</v>
      </c>
      <c r="F8" s="1">
        <f>'Kwh Consumption'!E9*' Kwh area wise $ '!B8</f>
        <v>50.400000000005321</v>
      </c>
      <c r="G8" s="1">
        <f>('Kwh Consumption'!F9+'Kwh Consumption'!G9+'Kwh Consumption'!H9)*' Kwh area wise $ '!B8</f>
        <v>194.3999999999869</v>
      </c>
      <c r="H8" s="16">
        <f>('Kwh Consumption'!I9+'Kwh Consumption'!J9)*' Kwh area wise $ '!B8</f>
        <v>25.199999999997544</v>
      </c>
      <c r="I8" s="1">
        <f>('Kwh Consumption'!K9+'Kwh Consumption'!L9)*' Kwh area wise $ '!B8</f>
        <v>282.60000000001696</v>
      </c>
      <c r="J8" s="1">
        <f>('Kwh Consumption'!M9+'Kwh Consumption'!N9+'Kwh Consumption'!O9+'Kwh Consumption'!P9+'Kwh Consumption'!Q9+'Kwh Consumption'!R9)*' Kwh area wise $ '!B8</f>
        <v>980.99999999996726</v>
      </c>
      <c r="K8" s="1">
        <f>('Kwh Consumption'!S9+'Kwh Consumption'!T9)*' Kwh area wise $ '!B8</f>
        <v>744.27119999997319</v>
      </c>
      <c r="L8" s="1">
        <f>'Kwh Consumption'!U9*' Kwh area wise $ '!B8</f>
        <v>39.599999999999795</v>
      </c>
      <c r="M8" s="1">
        <f>'Kwh Consumption'!V9*' Kwh area wise $ '!B8</f>
        <v>996.32880000029365</v>
      </c>
    </row>
    <row r="9" spans="1:13" x14ac:dyDescent="0.25">
      <c r="A9" s="14">
        <f>'Kwh Reading'!A10</f>
        <v>44599</v>
      </c>
      <c r="B9" s="11">
        <f>TOTAL!F8</f>
        <v>0.18</v>
      </c>
      <c r="C9" s="11">
        <f>'Kwh Consumption'!B10*' Kwh area wise $ '!B9</f>
        <v>3977.9999999999018</v>
      </c>
      <c r="D9" s="1">
        <f>'Kwh Consumption'!C10*' Kwh area wise $ '!B9</f>
        <v>82.800000000006548</v>
      </c>
      <c r="E9" s="1">
        <f>'Kwh Consumption'!D10*' Kwh area wise $ '!B9</f>
        <v>413.99999999999432</v>
      </c>
      <c r="F9" s="1">
        <f>'Kwh Consumption'!E10*' Kwh area wise $ '!B9</f>
        <v>41.399999999993042</v>
      </c>
      <c r="G9" s="1">
        <f>('Kwh Consumption'!F10+'Kwh Consumption'!G10+'Kwh Consumption'!H10)*' Kwh area wise $ '!B9</f>
        <v>189.00000000002251</v>
      </c>
      <c r="H9" s="16">
        <f>('Kwh Consumption'!I10+'Kwh Consumption'!J10)*' Kwh area wise $ '!B9</f>
        <v>27.000000000001023</v>
      </c>
      <c r="I9" s="1">
        <f>('Kwh Consumption'!K10+'Kwh Consumption'!L10)*' Kwh area wise $ '!B9</f>
        <v>226.79999999997855</v>
      </c>
      <c r="J9" s="1">
        <f>('Kwh Consumption'!M10+'Kwh Consumption'!N10+'Kwh Consumption'!O10+'Kwh Consumption'!P10+'Kwh Consumption'!Q10+'Kwh Consumption'!R10)*' Kwh area wise $ '!B9</f>
        <v>930.6000000000131</v>
      </c>
      <c r="K9" s="1">
        <f>('Kwh Consumption'!S10+'Kwh Consumption'!T10)*' Kwh area wise $ '!B9</f>
        <v>674.42760000005364</v>
      </c>
      <c r="L9" s="1">
        <f>'Kwh Consumption'!U10*' Kwh area wise $ '!B9</f>
        <v>39.599999999999795</v>
      </c>
      <c r="M9" s="1">
        <f>'Kwh Consumption'!V10*' Kwh area wise $ '!B9</f>
        <v>1352.3723999998392</v>
      </c>
    </row>
    <row r="10" spans="1:13" x14ac:dyDescent="0.25">
      <c r="A10" s="14">
        <f>'Kwh Reading'!A11</f>
        <v>44600</v>
      </c>
      <c r="B10" s="11">
        <f>TOTAL!F9</f>
        <v>0.18</v>
      </c>
      <c r="C10" s="11">
        <f>'Kwh Consumption'!B11*' Kwh area wise $ '!B10</f>
        <v>3868.2000000002881</v>
      </c>
      <c r="D10" s="1">
        <f>'Kwh Consumption'!C11*' Kwh area wise $ '!B10</f>
        <v>88.200000000001637</v>
      </c>
      <c r="E10" s="1">
        <f>'Kwh Consumption'!D11*' Kwh area wise $ '!B10</f>
        <v>468.00000000002836</v>
      </c>
      <c r="F10" s="1">
        <f>'Kwh Consumption'!E11*' Kwh area wise $ '!B10</f>
        <v>43.200000000001637</v>
      </c>
      <c r="G10" s="1">
        <f>('Kwh Consumption'!F11+'Kwh Consumption'!G11+'Kwh Consumption'!H11)*' Kwh area wise $ '!B10</f>
        <v>147.59999999998854</v>
      </c>
      <c r="H10" s="16">
        <f>('Kwh Consumption'!I11+'Kwh Consumption'!J11)*' Kwh area wise $ '!B10</f>
        <v>19.800000000002456</v>
      </c>
      <c r="I10" s="1">
        <f>('Kwh Consumption'!K11+'Kwh Consumption'!L11)*' Kwh area wise $ '!B10</f>
        <v>246.60000000001489</v>
      </c>
      <c r="J10" s="1">
        <f>('Kwh Consumption'!M11+'Kwh Consumption'!N11+'Kwh Consumption'!O11+'Kwh Consumption'!P11+'Kwh Consumption'!Q11+'Kwh Consumption'!R11)*' Kwh area wise $ '!B10</f>
        <v>988.20000000000164</v>
      </c>
      <c r="K10" s="1">
        <f>('Kwh Consumption'!S11+'Kwh Consumption'!T11)*' Kwh area wise $ '!B10</f>
        <v>699.89399999996647</v>
      </c>
      <c r="L10" s="1">
        <f>'Kwh Consumption'!U11*' Kwh area wise $ '!B10</f>
        <v>46.800000000003479</v>
      </c>
      <c r="M10" s="1">
        <f>'Kwh Consumption'!V11*' Kwh area wise $ '!B10</f>
        <v>1119.9060000002787</v>
      </c>
    </row>
    <row r="11" spans="1:13" x14ac:dyDescent="0.25">
      <c r="A11" s="14">
        <f>'Kwh Reading'!A12</f>
        <v>44601</v>
      </c>
      <c r="B11" s="11">
        <f>TOTAL!F10</f>
        <v>0.18</v>
      </c>
      <c r="C11" s="11">
        <f>'Kwh Consumption'!B12*' Kwh area wise $ '!B11</f>
        <v>4035.5999999998494</v>
      </c>
      <c r="D11" s="1">
        <f>'Kwh Consumption'!C12*' Kwh area wise $ '!B11</f>
        <v>97.199999999993452</v>
      </c>
      <c r="E11" s="1">
        <f>'Kwh Consumption'!D12*' Kwh area wise $ '!B11</f>
        <v>467.99999999994839</v>
      </c>
      <c r="F11" s="1">
        <f>'Kwh Consumption'!E12*' Kwh area wise $ '!B11</f>
        <v>43.200000000001637</v>
      </c>
      <c r="G11" s="1">
        <f>('Kwh Consumption'!F12+'Kwh Consumption'!G12+'Kwh Consumption'!H12)*' Kwh area wise $ '!B11</f>
        <v>203.40000000000941</v>
      </c>
      <c r="H11" s="16">
        <f>('Kwh Consumption'!I12+'Kwh Consumption'!J12)*' Kwh area wise $ '!B11</f>
        <v>26.999999999995907</v>
      </c>
      <c r="I11" s="1">
        <f>('Kwh Consumption'!K12+'Kwh Consumption'!L12)*' Kwh area wise $ '!B11</f>
        <v>255.59999999997694</v>
      </c>
      <c r="J11" s="1">
        <f>('Kwh Consumption'!M12+'Kwh Consumption'!N12+'Kwh Consumption'!O12+'Kwh Consumption'!P12+'Kwh Consumption'!Q12+'Kwh Consumption'!R12)*' Kwh area wise $ '!B11</f>
        <v>988.20000000000164</v>
      </c>
      <c r="K11" s="1">
        <f>('Kwh Consumption'!S12+'Kwh Consumption'!T12)*' Kwh area wise $ '!B11</f>
        <v>745.31699999989939</v>
      </c>
      <c r="L11" s="1">
        <f>'Kwh Consumption'!U12*' Kwh area wise $ '!B11</f>
        <v>34.199999999999591</v>
      </c>
      <c r="M11" s="1">
        <f>'Kwh Consumption'!V12*' Kwh area wise $ '!B11</f>
        <v>1173.4830000000227</v>
      </c>
    </row>
    <row r="12" spans="1:13" x14ac:dyDescent="0.25">
      <c r="A12" s="14">
        <f>'Kwh Reading'!A13</f>
        <v>44602</v>
      </c>
      <c r="B12" s="11">
        <f>TOTAL!F11</f>
        <v>0.18</v>
      </c>
      <c r="C12" s="11">
        <f>'Kwh Consumption'!B13*' Kwh area wise $ '!B12</f>
        <v>4321.7999999998337</v>
      </c>
      <c r="D12" s="1">
        <f>'Kwh Consumption'!C13*' Kwh area wise $ '!B12</f>
        <v>93.599999999996726</v>
      </c>
      <c r="E12" s="1">
        <f>'Kwh Consumption'!D13*' Kwh area wise $ '!B12</f>
        <v>468.00000000002836</v>
      </c>
      <c r="F12" s="1">
        <f>'Kwh Consumption'!E13*' Kwh area wise $ '!B12</f>
        <v>45</v>
      </c>
      <c r="G12" s="1">
        <f>('Kwh Consumption'!F13+'Kwh Consumption'!G13+'Kwh Consumption'!H13)*' Kwh area wise $ '!B12</f>
        <v>183.59999999999673</v>
      </c>
      <c r="H12" s="16">
        <f>('Kwh Consumption'!I13+'Kwh Consumption'!J13)*' Kwh area wise $ '!B12</f>
        <v>25.20000000000266</v>
      </c>
      <c r="I12" s="1">
        <f>('Kwh Consumption'!K13+'Kwh Consumption'!L13)*' Kwh area wise $ '!B12</f>
        <v>252.00000000002021</v>
      </c>
      <c r="J12" s="1">
        <f>('Kwh Consumption'!M13+'Kwh Consumption'!N13+'Kwh Consumption'!O13+'Kwh Consumption'!P13+'Kwh Consumption'!Q13+'Kwh Consumption'!R13)*' Kwh area wise $ '!B12</f>
        <v>908.99999999999181</v>
      </c>
      <c r="K12" s="1">
        <f>('Kwh Consumption'!S13+'Kwh Consumption'!T13)*' Kwh area wise $ '!B12</f>
        <v>720.73080000009384</v>
      </c>
      <c r="L12" s="1">
        <f>'Kwh Consumption'!U13*' Kwh area wise $ '!B12</f>
        <v>32.400000000001228</v>
      </c>
      <c r="M12" s="1">
        <f>'Kwh Consumption'!V13*' Kwh area wise $ '!B12</f>
        <v>1592.2691999997028</v>
      </c>
    </row>
    <row r="13" spans="1:13" x14ac:dyDescent="0.25">
      <c r="A13" s="14">
        <f>'Kwh Reading'!A14</f>
        <v>44603</v>
      </c>
      <c r="B13" s="11">
        <f>TOTAL!F12</f>
        <v>0.18</v>
      </c>
      <c r="C13" s="11">
        <f>'Kwh Consumption'!B14*' Kwh area wise $ '!B13</f>
        <v>3682.8000000000065</v>
      </c>
      <c r="D13" s="1">
        <f>'Kwh Consumption'!C14*' Kwh area wise $ '!B13</f>
        <v>53.999999999991815</v>
      </c>
      <c r="E13" s="1">
        <f>'Kwh Consumption'!D14*' Kwh area wise $ '!B13</f>
        <v>467.99999999994839</v>
      </c>
      <c r="F13" s="1">
        <f>'Kwh Consumption'!E14*' Kwh area wise $ '!B13</f>
        <v>41.400000000003274</v>
      </c>
      <c r="G13" s="1">
        <f>('Kwh Consumption'!F14+'Kwh Consumption'!G14+'Kwh Consumption'!H14)*' Kwh area wise $ '!B13</f>
        <v>169.19999999998936</v>
      </c>
      <c r="H13" s="16">
        <f>('Kwh Consumption'!I14+'Kwh Consumption'!J14)*' Kwh area wise $ '!B13</f>
        <v>27.000000000001023</v>
      </c>
      <c r="I13" s="1">
        <f>('Kwh Consumption'!K14+'Kwh Consumption'!L14)*' Kwh area wise $ '!B13</f>
        <v>259.19999999997367</v>
      </c>
      <c r="J13" s="1">
        <f>('Kwh Consumption'!M14+'Kwh Consumption'!N14+'Kwh Consumption'!O14+'Kwh Consumption'!P14+'Kwh Consumption'!Q14+'Kwh Consumption'!R14)*' Kwh area wise $ '!B13</f>
        <v>943.19999999998117</v>
      </c>
      <c r="K13" s="1">
        <f>('Kwh Consumption'!S14+'Kwh Consumption'!T14)*' Kwh area wise $ '!B13</f>
        <v>707.5583999998122</v>
      </c>
      <c r="L13" s="1">
        <f>'Kwh Consumption'!U14*' Kwh area wise $ '!B13</f>
        <v>37.799999999996317</v>
      </c>
      <c r="M13" s="1">
        <f>'Kwh Consumption'!V14*' Kwh area wise $ '!B13</f>
        <v>975.44160000030956</v>
      </c>
    </row>
    <row r="14" spans="1:13" x14ac:dyDescent="0.25">
      <c r="A14" s="14">
        <f>'Kwh Reading'!A15</f>
        <v>44604</v>
      </c>
      <c r="B14" s="11">
        <f>TOTAL!F13</f>
        <v>0.18</v>
      </c>
      <c r="C14" s="11">
        <f>'Kwh Consumption'!B15*' Kwh area wise $ '!B14</f>
        <v>3862.7999999999247</v>
      </c>
      <c r="D14" s="1">
        <f>'Kwh Consumption'!C15*' Kwh area wise $ '!B14</f>
        <v>97.200000000013915</v>
      </c>
      <c r="E14" s="1">
        <f>'Kwh Consumption'!D15*' Kwh area wise $ '!B14</f>
        <v>468.00000000002836</v>
      </c>
      <c r="F14" s="1">
        <f>'Kwh Consumption'!E15*' Kwh area wise $ '!B14</f>
        <v>45</v>
      </c>
      <c r="G14" s="1">
        <f>('Kwh Consumption'!F15+'Kwh Consumption'!G15+'Kwh Consumption'!H15)*' Kwh area wise $ '!B14</f>
        <v>174.60000000001514</v>
      </c>
      <c r="H14" s="16">
        <f>('Kwh Consumption'!I15+'Kwh Consumption'!J15)*' Kwh area wise $ '!B14</f>
        <v>26.999999999995907</v>
      </c>
      <c r="I14" s="1">
        <f>('Kwh Consumption'!K15+'Kwh Consumption'!L15)*' Kwh area wise $ '!B14</f>
        <v>257.40000000002556</v>
      </c>
      <c r="J14" s="1">
        <f>('Kwh Consumption'!M15+'Kwh Consumption'!N15+'Kwh Consumption'!O15+'Kwh Consumption'!P15+'Kwh Consumption'!Q15+'Kwh Consumption'!R15)*' Kwh area wise $ '!B14</f>
        <v>939.60000000002537</v>
      </c>
      <c r="K14" s="1">
        <f>('Kwh Consumption'!S15+'Kwh Consumption'!T15)*' Kwh area wise $ '!B14</f>
        <v>766.84680000029505</v>
      </c>
      <c r="L14" s="1">
        <f>'Kwh Consumption'!U15*' Kwh area wise $ '!B14</f>
        <v>32.400000000001228</v>
      </c>
      <c r="M14" s="1">
        <f>'Kwh Consumption'!V15*' Kwh area wise $ '!B14</f>
        <v>1054.7531999995242</v>
      </c>
    </row>
    <row r="15" spans="1:13" x14ac:dyDescent="0.25">
      <c r="A15" s="14">
        <f>'Kwh Reading'!A16</f>
        <v>44605</v>
      </c>
      <c r="B15" s="11">
        <f>TOTAL!F14</f>
        <v>0.18</v>
      </c>
      <c r="C15" s="11">
        <f>'Kwh Consumption'!B16*' Kwh area wise $ '!B15</f>
        <v>4100.4000000002407</v>
      </c>
      <c r="D15" s="1">
        <f>'Kwh Consumption'!C16*' Kwh area wise $ '!B15</f>
        <v>100.79999999999018</v>
      </c>
      <c r="E15" s="1">
        <f>'Kwh Consumption'!D16*' Kwh area wise $ '!B15</f>
        <v>468.00000000002836</v>
      </c>
      <c r="F15" s="1">
        <f>'Kwh Consumption'!E16*' Kwh area wise $ '!B15</f>
        <v>43.200000000001637</v>
      </c>
      <c r="G15" s="1">
        <f>('Kwh Consumption'!F16+'Kwh Consumption'!G16+'Kwh Consumption'!H16)*' Kwh area wise $ '!B15</f>
        <v>161.99999999999591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259.19999999997367</v>
      </c>
      <c r="J15" s="1">
        <f>('Kwh Consumption'!M16+'Kwh Consumption'!N16+'Kwh Consumption'!O16+'Kwh Consumption'!P16+'Kwh Consumption'!Q16+'Kwh Consumption'!R16)*' Kwh area wise $ '!B15</f>
        <v>957.59999999998854</v>
      </c>
      <c r="K15" s="1">
        <f>('Kwh Consumption'!S16+'Kwh Consumption'!T16)*' Kwh area wise $ '!B15</f>
        <v>850.67639999974517</v>
      </c>
      <c r="L15" s="1">
        <f>'Kwh Consumption'!U16*' Kwh area wise $ '!B15</f>
        <v>39.599999999999795</v>
      </c>
      <c r="M15" s="1">
        <f>'Kwh Consumption'!V16*' Kwh area wise $ '!B15</f>
        <v>1192.323600000517</v>
      </c>
    </row>
    <row r="16" spans="1:13" x14ac:dyDescent="0.25">
      <c r="A16" s="14">
        <f>'Kwh Reading'!A17</f>
        <v>44606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108.00000000000409</v>
      </c>
      <c r="E16" s="1">
        <f>'Kwh Consumption'!D17*' Kwh area wise $ '!B16</f>
        <v>467.99999999994839</v>
      </c>
      <c r="F16" s="1">
        <f>'Kwh Consumption'!E17*' Kwh area wise $ '!B16</f>
        <v>43.199999999991405</v>
      </c>
      <c r="G16" s="1">
        <f>('Kwh Consumption'!F17+'Kwh Consumption'!G17+'Kwh Consumption'!H17)*' Kwh area wise $ '!B16</f>
        <v>178.19999999999141</v>
      </c>
      <c r="H16" s="16">
        <f>('Kwh Consumption'!I17+'Kwh Consumption'!J17)*' Kwh area wise $ '!B16</f>
        <v>25.20000000000266</v>
      </c>
      <c r="I16" s="1">
        <f>('Kwh Consumption'!K17+'Kwh Consumption'!L17)*' Kwh area wise $ '!B16</f>
        <v>266.40000000001737</v>
      </c>
      <c r="J16" s="1">
        <f>('Kwh Consumption'!M17+'Kwh Consumption'!N17+'Kwh Consumption'!O17+'Kwh Consumption'!P17+'Kwh Consumption'!Q17+'Kwh Consumption'!R17)*' Kwh area wise $ '!B16</f>
        <v>1000.8000000000106</v>
      </c>
      <c r="K16" s="1">
        <f>('Kwh Consumption'!S17+'Kwh Consumption'!T17)*' Kwh area wise $ '!B16</f>
        <v>905.73840000014752</v>
      </c>
      <c r="L16" s="1">
        <f>'Kwh Consumption'!U17*' Kwh area wise $ '!B16</f>
        <v>-140.4000000000002</v>
      </c>
      <c r="M16" s="1">
        <f>'Kwh Consumption'!V17*' Kwh area wise $ '!B16</f>
        <v>-2855.1384000001131</v>
      </c>
    </row>
    <row r="17" spans="1:14" x14ac:dyDescent="0.25">
      <c r="A17" s="14">
        <f>'Kwh Reading'!A18</f>
        <v>44607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97.199999999993452</v>
      </c>
      <c r="E17" s="1">
        <f>'Kwh Consumption'!D18*' Kwh area wise $ '!B17</f>
        <v>468.00000000002836</v>
      </c>
      <c r="F17" s="1">
        <f>'Kwh Consumption'!E18*' Kwh area wise $ '!B17</f>
        <v>45</v>
      </c>
      <c r="G17" s="1">
        <f>('Kwh Consumption'!F18+'Kwh Consumption'!G18+'Kwh Consumption'!H18)*' Kwh area wise $ '!B17</f>
        <v>192.600000000009</v>
      </c>
      <c r="H17" s="16">
        <f>('Kwh Consumption'!I18+'Kwh Consumption'!J18)*' Kwh area wise $ '!B17</f>
        <v>27.000000000001023</v>
      </c>
      <c r="I17" s="1">
        <f>('Kwh Consumption'!K18+'Kwh Consumption'!L18)*' Kwh area wise $ '!B17</f>
        <v>262.79999999998063</v>
      </c>
      <c r="J17" s="1">
        <f>('Kwh Consumption'!M18+'Kwh Consumption'!N18+'Kwh Consumption'!O18+'Kwh Consumption'!P18+'Kwh Consumption'!Q18+'Kwh Consumption'!R18)*' Kwh area wise $ '!B17</f>
        <v>1035</v>
      </c>
      <c r="K17" s="1">
        <f>('Kwh Consumption'!S18+'Kwh Consumption'!T18)*' Kwh area wise $ '!B17</f>
        <v>833.96880000019439</v>
      </c>
      <c r="L17" s="1">
        <f>'Kwh Consumption'!U18*' Kwh area wise $ '!B17</f>
        <v>225</v>
      </c>
      <c r="M17" s="1">
        <f>'Kwh Consumption'!V18*' Kwh area wise $ '!B17</f>
        <v>-3186.5688000002069</v>
      </c>
    </row>
    <row r="18" spans="1:14" x14ac:dyDescent="0.25">
      <c r="A18" s="14">
        <f>'Kwh Reading'!A19</f>
        <v>44608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97.200000000013915</v>
      </c>
      <c r="E18" s="1">
        <f>'Kwh Consumption'!D19*' Kwh area wise $ '!B18</f>
        <v>485.99999999998641</v>
      </c>
      <c r="F18" s="1">
        <f>'Kwh Consumption'!E19*' Kwh area wise $ '!B18</f>
        <v>48.600000000006958</v>
      </c>
      <c r="G18" s="1">
        <f>('Kwh Consumption'!F19+'Kwh Consumption'!G19+'Kwh Consumption'!H19)*' Kwh area wise $ '!B18</f>
        <v>235.80000000000041</v>
      </c>
      <c r="H18" s="16">
        <f>('Kwh Consumption'!I19+'Kwh Consumption'!J19)*' Kwh area wise $ '!B18</f>
        <v>28.799999999999386</v>
      </c>
      <c r="I18" s="1">
        <f>('Kwh Consumption'!K19+'Kwh Consumption'!L19)*' Kwh area wise $ '!B18</f>
        <v>282.60000000001696</v>
      </c>
      <c r="J18" s="1">
        <f>('Kwh Consumption'!M19+'Kwh Consumption'!N19+'Kwh Consumption'!O19+'Kwh Consumption'!P19+'Kwh Consumption'!Q19+'Kwh Consumption'!R19)*' Kwh area wise $ '!B18</f>
        <v>1013.3999999999787</v>
      </c>
      <c r="K18" s="1">
        <f>('Kwh Consumption'!S19+'Kwh Consumption'!T19)*' Kwh area wise $ '!B18</f>
        <v>827.64539999987926</v>
      </c>
      <c r="L18" s="1">
        <f>'Kwh Consumption'!U19*' Kwh area wise $ '!B18</f>
        <v>45</v>
      </c>
      <c r="M18" s="1">
        <f>'Kwh Consumption'!V19*' Kwh area wise $ '!B18</f>
        <v>-3065.0453999998817</v>
      </c>
    </row>
    <row r="19" spans="1:14" x14ac:dyDescent="0.25">
      <c r="A19" s="14">
        <f>'Kwh Reading'!A20</f>
        <v>44609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97.199999999993452</v>
      </c>
      <c r="E19" s="1">
        <f>'Kwh Consumption'!D20*' Kwh area wise $ '!B19</f>
        <v>449.99999999999039</v>
      </c>
      <c r="F19" s="1">
        <f>'Kwh Consumption'!E20*' Kwh area wise $ '!B19</f>
        <v>50.399999999995089</v>
      </c>
      <c r="G19" s="1">
        <f>('Kwh Consumption'!F20+'Kwh Consumption'!G20+'Kwh Consumption'!H20)*' Kwh area wise $ '!B19</f>
        <v>250.19999999998731</v>
      </c>
      <c r="H19" s="16">
        <f>('Kwh Consumption'!I20+'Kwh Consumption'!J20)*' Kwh area wise $ '!B19</f>
        <v>28.799999999999386</v>
      </c>
      <c r="I19" s="1">
        <f>('Kwh Consumption'!K20+'Kwh Consumption'!L20)*' Kwh area wise $ '!B19</f>
        <v>261.00000000001205</v>
      </c>
      <c r="J19" s="1">
        <f>('Kwh Consumption'!M20+'Kwh Consumption'!N20+'Kwh Consumption'!O20+'Kwh Consumption'!P20+'Kwh Consumption'!Q20+'Kwh Consumption'!R20)*' Kwh area wise $ '!B19</f>
        <v>961.20000000002619</v>
      </c>
      <c r="K19" s="1">
        <f>('Kwh Consumption'!S20+'Kwh Consumption'!T20)*' Kwh area wise $ '!B19</f>
        <v>832.39739999977871</v>
      </c>
      <c r="L19" s="1">
        <f>'Kwh Consumption'!U20*' Kwh area wise $ '!B19</f>
        <v>39.599999999999795</v>
      </c>
      <c r="M19" s="1">
        <f>'Kwh Consumption'!V20*' Kwh area wise $ '!B19</f>
        <v>-2970.7973999997826</v>
      </c>
    </row>
    <row r="20" spans="1:14" x14ac:dyDescent="0.25">
      <c r="A20" s="14">
        <f>'Kwh Reading'!A21</f>
        <v>44610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-95826.599999999991</v>
      </c>
      <c r="E20" s="1">
        <f>'Kwh Consumption'!D21*' Kwh area wise $ '!B20</f>
        <v>-534798</v>
      </c>
      <c r="F20" s="1">
        <f>'Kwh Consumption'!E21*' Kwh area wise $ '!B20</f>
        <v>-51854.400000000001</v>
      </c>
      <c r="G20" s="1">
        <f>('Kwh Consumption'!F21+'Kwh Consumption'!G21+'Kwh Consumption'!H21)*' Kwh area wise $ '!B20</f>
        <v>-200381.4</v>
      </c>
      <c r="H20" s="16">
        <f>('Kwh Consumption'!I21+'Kwh Consumption'!J21)*' Kwh area wise $ '!B20</f>
        <v>-60494.399999999994</v>
      </c>
      <c r="I20" s="1">
        <f>('Kwh Consumption'!K21+'Kwh Consumption'!L21)*' Kwh area wise $ '!B20</f>
        <v>-281534.39999999997</v>
      </c>
      <c r="J20" s="1">
        <f>('Kwh Consumption'!M21+'Kwh Consumption'!N21+'Kwh Consumption'!O21+'Kwh Consumption'!P21+'Kwh Consumption'!Q21+'Kwh Consumption'!R21)*' Kwh area wise $ '!B20</f>
        <v>-822299.4</v>
      </c>
      <c r="K20" s="1">
        <f>('Kwh Consumption'!S21+'Kwh Consumption'!T21)*' Kwh area wise $ '!B20</f>
        <v>-3025189.5497999997</v>
      </c>
      <c r="L20" s="1">
        <f>'Kwh Consumption'!U21*' Kwh area wise $ '!B20</f>
        <v>-36108</v>
      </c>
      <c r="M20" s="1">
        <f>'Kwh Consumption'!V21*' Kwh area wise $ '!B20</f>
        <v>5108486.1497999998</v>
      </c>
    </row>
    <row r="21" spans="1:14" x14ac:dyDescent="0.25">
      <c r="A21" s="14">
        <f>'Kwh Reading'!A22</f>
        <v>44611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4" x14ac:dyDescent="0.25">
      <c r="A22" s="14">
        <f>'Kwh Reading'!A23</f>
        <v>44612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4" x14ac:dyDescent="0.25">
      <c r="A23" s="14">
        <f>'Kwh Reading'!A24</f>
        <v>44613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4" x14ac:dyDescent="0.25">
      <c r="A24" s="14">
        <f>'Kwh Reading'!A25</f>
        <v>44614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4" x14ac:dyDescent="0.25">
      <c r="A25" s="14">
        <f>'Kwh Reading'!A26</f>
        <v>44615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4" x14ac:dyDescent="0.25">
      <c r="A26" s="14">
        <f>'Kwh Reading'!A27</f>
        <v>44616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4" x14ac:dyDescent="0.25">
      <c r="A27" s="14">
        <f>'Kwh Reading'!A28</f>
        <v>44617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4" x14ac:dyDescent="0.25">
      <c r="A28" s="14">
        <f>'Kwh Reading'!A29</f>
        <v>44618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4" x14ac:dyDescent="0.25">
      <c r="A29" s="14">
        <f>'Kwh Reading'!A30</f>
        <v>44619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4" x14ac:dyDescent="0.25">
      <c r="A30" s="14">
        <f>'Kwh Reading'!A31</f>
        <v>44620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4" ht="15.75" x14ac:dyDescent="0.25">
      <c r="A31" s="144" t="s">
        <v>52</v>
      </c>
      <c r="B31" s="144"/>
      <c r="C31" s="71">
        <f t="shared" ref="C31:M31" si="0">SUM(C3:C30)</f>
        <v>51845.400000000191</v>
      </c>
      <c r="D31" s="71">
        <f t="shared" si="0"/>
        <v>-94352.39999999998</v>
      </c>
      <c r="E31" s="71">
        <f t="shared" si="0"/>
        <v>-526860</v>
      </c>
      <c r="F31" s="71">
        <f t="shared" si="0"/>
        <v>-51091.199999999997</v>
      </c>
      <c r="G31" s="71">
        <f t="shared" si="0"/>
        <v>-197220.6</v>
      </c>
      <c r="H31" s="71">
        <f t="shared" si="0"/>
        <v>-60049.799999999996</v>
      </c>
      <c r="I31" s="71">
        <f t="shared" si="0"/>
        <v>-277095.59999999992</v>
      </c>
      <c r="J31" s="71">
        <f t="shared" si="0"/>
        <v>-805838.4</v>
      </c>
      <c r="K31" s="71">
        <f t="shared" si="0"/>
        <v>-3012152.6465999996</v>
      </c>
      <c r="L31" s="71">
        <f t="shared" si="0"/>
        <v>-35433</v>
      </c>
      <c r="M31" s="71">
        <f t="shared" si="0"/>
        <v>5111939.0466</v>
      </c>
      <c r="N31" s="79">
        <f>D31+E31+F31+G31+H31+I31+J31+K31+L31+M31</f>
        <v>51845.400000000373</v>
      </c>
    </row>
  </sheetData>
  <mergeCells count="1">
    <mergeCell ref="A31:B31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abSelected="1" zoomScaleNormal="100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B21" sqref="B2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9" t="s">
        <v>93</v>
      </c>
      <c r="E2" s="119" t="s">
        <v>94</v>
      </c>
      <c r="F2" s="119" t="s">
        <v>95</v>
      </c>
      <c r="G2" s="119" t="s">
        <v>96</v>
      </c>
      <c r="H2" s="119" t="s">
        <v>97</v>
      </c>
      <c r="I2" s="119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44593</v>
      </c>
      <c r="B3" s="32">
        <v>205921</v>
      </c>
      <c r="C3" s="54"/>
      <c r="D3" s="32">
        <v>246031</v>
      </c>
      <c r="E3" s="32">
        <v>261986</v>
      </c>
      <c r="F3" s="32">
        <v>67082</v>
      </c>
      <c r="G3" s="32">
        <v>116436</v>
      </c>
      <c r="H3" s="32">
        <v>59861</v>
      </c>
      <c r="I3" s="32">
        <v>71005</v>
      </c>
      <c r="J3" s="32">
        <v>22133</v>
      </c>
      <c r="K3" s="32">
        <v>1024</v>
      </c>
      <c r="L3" s="32">
        <v>18490</v>
      </c>
      <c r="M3" s="32">
        <v>26741</v>
      </c>
      <c r="N3" s="32">
        <v>8303</v>
      </c>
      <c r="O3" s="32">
        <v>1953</v>
      </c>
      <c r="P3" s="32">
        <v>29565</v>
      </c>
      <c r="Q3" s="32">
        <v>1295</v>
      </c>
      <c r="R3" s="32">
        <v>7557</v>
      </c>
    </row>
    <row r="4" spans="1:21" x14ac:dyDescent="0.25">
      <c r="A4" s="52">
        <v>44594</v>
      </c>
      <c r="B4" s="32">
        <v>206094</v>
      </c>
      <c r="C4" s="32"/>
      <c r="D4" s="32">
        <v>246269</v>
      </c>
      <c r="E4" s="32">
        <v>262064</v>
      </c>
      <c r="F4" s="32">
        <v>67082</v>
      </c>
      <c r="G4" s="32">
        <v>116467</v>
      </c>
      <c r="H4" s="32">
        <v>59861</v>
      </c>
      <c r="I4" s="32">
        <v>71035</v>
      </c>
      <c r="J4" s="54">
        <v>22138</v>
      </c>
      <c r="K4" s="54">
        <v>1024</v>
      </c>
      <c r="L4" s="101">
        <v>18492</v>
      </c>
      <c r="M4" s="101">
        <v>26748</v>
      </c>
      <c r="N4" s="101">
        <v>8305</v>
      </c>
      <c r="O4" s="101">
        <v>1955</v>
      </c>
      <c r="P4" s="101">
        <v>29570</v>
      </c>
      <c r="Q4" s="101">
        <v>1295</v>
      </c>
      <c r="R4" s="101">
        <v>7563</v>
      </c>
    </row>
    <row r="5" spans="1:21" x14ac:dyDescent="0.25">
      <c r="A5" s="52">
        <v>44595</v>
      </c>
      <c r="B5" s="32">
        <v>206253</v>
      </c>
      <c r="C5" s="32"/>
      <c r="D5" s="32">
        <v>246494</v>
      </c>
      <c r="E5" s="32">
        <v>262133</v>
      </c>
      <c r="F5" s="32">
        <v>67082</v>
      </c>
      <c r="G5" s="32">
        <v>116487</v>
      </c>
      <c r="H5" s="32">
        <v>59861</v>
      </c>
      <c r="I5" s="32">
        <v>71067</v>
      </c>
      <c r="J5" s="53">
        <v>22143</v>
      </c>
      <c r="K5" s="32">
        <v>1024</v>
      </c>
      <c r="L5" s="101">
        <v>18495</v>
      </c>
      <c r="M5" s="101">
        <v>26755</v>
      </c>
      <c r="N5" s="101">
        <v>8306</v>
      </c>
      <c r="O5" s="101">
        <v>1956</v>
      </c>
      <c r="P5" s="101">
        <v>29580</v>
      </c>
      <c r="Q5" s="101">
        <v>1295</v>
      </c>
      <c r="R5" s="101">
        <v>7568</v>
      </c>
    </row>
    <row r="6" spans="1:21" x14ac:dyDescent="0.25">
      <c r="A6" s="52">
        <v>44596</v>
      </c>
      <c r="B6" s="32">
        <v>206429</v>
      </c>
      <c r="C6" s="32"/>
      <c r="D6" s="32">
        <v>246729</v>
      </c>
      <c r="E6" s="32">
        <v>262209</v>
      </c>
      <c r="F6" s="32">
        <v>67083</v>
      </c>
      <c r="G6" s="32">
        <v>116508</v>
      </c>
      <c r="H6" s="32">
        <v>59861</v>
      </c>
      <c r="I6" s="32">
        <v>71092</v>
      </c>
      <c r="J6" s="54">
        <v>22149</v>
      </c>
      <c r="K6" s="54">
        <v>1024</v>
      </c>
      <c r="L6" s="101">
        <v>18498</v>
      </c>
      <c r="M6" s="101">
        <v>26765</v>
      </c>
      <c r="N6" s="101">
        <v>8310</v>
      </c>
      <c r="O6" s="101">
        <v>1957</v>
      </c>
      <c r="P6" s="101">
        <v>29589</v>
      </c>
      <c r="Q6" s="101">
        <v>1295</v>
      </c>
      <c r="R6" s="101">
        <v>7573</v>
      </c>
    </row>
    <row r="7" spans="1:21" x14ac:dyDescent="0.25">
      <c r="A7" s="52">
        <v>44597</v>
      </c>
      <c r="B7" s="54">
        <v>206607</v>
      </c>
      <c r="C7" s="32"/>
      <c r="D7" s="101">
        <v>246984</v>
      </c>
      <c r="E7" s="101">
        <v>262283</v>
      </c>
      <c r="F7" s="101">
        <v>67083</v>
      </c>
      <c r="G7" s="101">
        <v>116530</v>
      </c>
      <c r="H7" s="101">
        <v>59861</v>
      </c>
      <c r="I7" s="101">
        <v>71114</v>
      </c>
      <c r="J7" s="101">
        <v>22154</v>
      </c>
      <c r="K7" s="54">
        <v>1024</v>
      </c>
      <c r="L7" s="101">
        <v>18502</v>
      </c>
      <c r="M7" s="101">
        <v>26772</v>
      </c>
      <c r="N7" s="101">
        <v>8314</v>
      </c>
      <c r="O7" s="101">
        <v>1958</v>
      </c>
      <c r="P7" s="101">
        <v>29595</v>
      </c>
      <c r="Q7" s="101">
        <v>1295</v>
      </c>
      <c r="R7" s="101">
        <v>7573</v>
      </c>
    </row>
    <row r="8" spans="1:21" x14ac:dyDescent="0.25">
      <c r="A8" s="52">
        <v>44598</v>
      </c>
      <c r="B8" s="32">
        <v>206776</v>
      </c>
      <c r="C8" s="54"/>
      <c r="D8" s="101">
        <v>247199</v>
      </c>
      <c r="E8" s="101">
        <v>262367</v>
      </c>
      <c r="F8" s="101">
        <v>67084</v>
      </c>
      <c r="G8" s="101">
        <v>116550</v>
      </c>
      <c r="H8" s="101">
        <v>59861</v>
      </c>
      <c r="I8" s="101">
        <v>71149</v>
      </c>
      <c r="J8" s="101">
        <v>22159</v>
      </c>
      <c r="K8" s="54">
        <v>1024</v>
      </c>
      <c r="L8" s="101">
        <v>18504</v>
      </c>
      <c r="M8" s="101">
        <v>26778</v>
      </c>
      <c r="N8" s="101">
        <v>8318</v>
      </c>
      <c r="O8" s="101">
        <v>1959</v>
      </c>
      <c r="P8" s="101">
        <v>29610</v>
      </c>
      <c r="Q8" s="101">
        <v>1295</v>
      </c>
      <c r="R8" s="101">
        <v>7579</v>
      </c>
    </row>
    <row r="9" spans="1:21" x14ac:dyDescent="0.25">
      <c r="A9" s="52">
        <v>44599</v>
      </c>
      <c r="B9" s="54">
        <v>206954</v>
      </c>
      <c r="C9" s="32"/>
      <c r="D9" s="101">
        <v>247425</v>
      </c>
      <c r="E9" s="101">
        <v>262463</v>
      </c>
      <c r="F9" s="101">
        <v>67084</v>
      </c>
      <c r="G9" s="101">
        <v>116577</v>
      </c>
      <c r="H9" s="101">
        <v>59861</v>
      </c>
      <c r="I9" s="101">
        <v>71173</v>
      </c>
      <c r="J9" s="101">
        <v>22165</v>
      </c>
      <c r="K9" s="54">
        <v>1024</v>
      </c>
      <c r="L9" s="101">
        <v>18508</v>
      </c>
      <c r="M9" s="101">
        <v>26786</v>
      </c>
      <c r="N9" s="101">
        <v>8321</v>
      </c>
      <c r="O9" s="101">
        <v>1960</v>
      </c>
      <c r="P9" s="101">
        <v>29615</v>
      </c>
      <c r="Q9" s="101">
        <v>1295</v>
      </c>
      <c r="R9" s="101">
        <v>7584</v>
      </c>
    </row>
    <row r="10" spans="1:21" x14ac:dyDescent="0.25">
      <c r="A10" s="52">
        <v>44600</v>
      </c>
      <c r="B10" s="32">
        <v>207119</v>
      </c>
      <c r="C10" s="54"/>
      <c r="D10" s="101">
        <v>247628</v>
      </c>
      <c r="E10" s="101">
        <v>262534</v>
      </c>
      <c r="F10" s="101">
        <v>67084</v>
      </c>
      <c r="G10" s="101">
        <v>116598</v>
      </c>
      <c r="H10" s="101">
        <v>59861</v>
      </c>
      <c r="I10" s="101">
        <v>71196</v>
      </c>
      <c r="J10" s="101">
        <v>22170</v>
      </c>
      <c r="K10" s="101">
        <v>1024</v>
      </c>
      <c r="L10" s="101">
        <v>18511</v>
      </c>
      <c r="M10" s="101">
        <v>26764</v>
      </c>
      <c r="N10" s="101">
        <v>8324</v>
      </c>
      <c r="O10" s="101">
        <v>1961</v>
      </c>
      <c r="P10" s="101">
        <v>29623</v>
      </c>
      <c r="Q10" s="101">
        <v>1295</v>
      </c>
      <c r="R10" s="101">
        <v>7591</v>
      </c>
    </row>
    <row r="11" spans="1:21" x14ac:dyDescent="0.25">
      <c r="A11" s="52">
        <v>44601</v>
      </c>
      <c r="B11" s="54">
        <v>207339</v>
      </c>
      <c r="C11" s="32"/>
      <c r="D11" s="101">
        <v>247848</v>
      </c>
      <c r="E11" s="101">
        <v>262608</v>
      </c>
      <c r="F11" s="101">
        <v>67085</v>
      </c>
      <c r="G11" s="101">
        <v>116623</v>
      </c>
      <c r="H11" s="101">
        <v>59861</v>
      </c>
      <c r="I11" s="101">
        <v>71223</v>
      </c>
      <c r="J11" s="101">
        <v>22176</v>
      </c>
      <c r="K11" s="101">
        <v>1024</v>
      </c>
      <c r="L11" s="101">
        <v>18515</v>
      </c>
      <c r="M11" s="101">
        <v>26802</v>
      </c>
      <c r="N11" s="101">
        <v>8327</v>
      </c>
      <c r="O11" s="101">
        <v>1962</v>
      </c>
      <c r="P11" s="101">
        <v>29629</v>
      </c>
      <c r="Q11" s="101">
        <v>1297</v>
      </c>
      <c r="R11" s="101">
        <v>7597</v>
      </c>
    </row>
    <row r="12" spans="1:21" x14ac:dyDescent="0.25">
      <c r="A12" s="52">
        <v>44602</v>
      </c>
      <c r="B12" s="32">
        <v>207558</v>
      </c>
      <c r="C12" s="54"/>
      <c r="D12" s="101">
        <v>248061</v>
      </c>
      <c r="E12" s="101">
        <v>262686</v>
      </c>
      <c r="F12" s="101">
        <v>67085</v>
      </c>
      <c r="G12" s="101">
        <v>116652</v>
      </c>
      <c r="H12" s="101">
        <v>59861</v>
      </c>
      <c r="I12" s="101">
        <v>71258</v>
      </c>
      <c r="J12" s="101">
        <v>22181</v>
      </c>
      <c r="K12" s="101">
        <v>1024</v>
      </c>
      <c r="L12" s="101">
        <v>18518</v>
      </c>
      <c r="M12" s="101">
        <v>26810</v>
      </c>
      <c r="N12" s="101">
        <v>8330</v>
      </c>
      <c r="O12" s="101">
        <v>1963</v>
      </c>
      <c r="P12" s="101">
        <v>29644</v>
      </c>
      <c r="Q12" s="101">
        <v>1299</v>
      </c>
      <c r="R12" s="101">
        <v>7604</v>
      </c>
    </row>
    <row r="13" spans="1:21" x14ac:dyDescent="0.25">
      <c r="A13" s="52">
        <v>44603</v>
      </c>
      <c r="B13" s="54">
        <v>207724</v>
      </c>
      <c r="C13" s="32"/>
      <c r="D13" s="101">
        <v>248297</v>
      </c>
      <c r="E13" s="101">
        <v>262757</v>
      </c>
      <c r="F13" s="101">
        <v>67085</v>
      </c>
      <c r="G13" s="101">
        <v>116678</v>
      </c>
      <c r="H13" s="101">
        <v>59861</v>
      </c>
      <c r="I13" s="101">
        <v>71285</v>
      </c>
      <c r="J13" s="101">
        <v>22186</v>
      </c>
      <c r="K13" s="101">
        <v>1024</v>
      </c>
      <c r="L13" s="101">
        <v>18522</v>
      </c>
      <c r="M13" s="101">
        <v>26817</v>
      </c>
      <c r="N13" s="101">
        <v>8332</v>
      </c>
      <c r="O13" s="101">
        <v>1963</v>
      </c>
      <c r="P13" s="101">
        <v>29651</v>
      </c>
      <c r="Q13" s="101">
        <v>1302</v>
      </c>
      <c r="R13" s="101">
        <v>7609</v>
      </c>
    </row>
    <row r="14" spans="1:21" x14ac:dyDescent="0.25">
      <c r="A14" s="52">
        <v>44604</v>
      </c>
      <c r="B14" s="32">
        <v>207908</v>
      </c>
      <c r="C14" s="32"/>
      <c r="D14" s="101">
        <v>248550</v>
      </c>
      <c r="E14" s="101">
        <v>262831</v>
      </c>
      <c r="F14" s="101">
        <v>67086</v>
      </c>
      <c r="G14" s="101">
        <v>116698</v>
      </c>
      <c r="H14" s="101">
        <v>59861</v>
      </c>
      <c r="I14" s="101">
        <v>71302</v>
      </c>
      <c r="J14" s="101">
        <v>22192</v>
      </c>
      <c r="K14" s="101">
        <v>1024</v>
      </c>
      <c r="L14" s="101">
        <v>18525</v>
      </c>
      <c r="M14" s="101">
        <v>26824</v>
      </c>
      <c r="N14" s="101">
        <v>8334</v>
      </c>
      <c r="O14" s="101">
        <v>1964</v>
      </c>
      <c r="P14" s="101">
        <v>29655</v>
      </c>
      <c r="Q14" s="101">
        <v>1306</v>
      </c>
      <c r="R14" s="101">
        <v>7612</v>
      </c>
    </row>
    <row r="15" spans="1:21" x14ac:dyDescent="0.25">
      <c r="A15" s="52">
        <v>44605</v>
      </c>
      <c r="B15" s="32">
        <v>208181</v>
      </c>
      <c r="C15" s="32"/>
      <c r="D15" s="101">
        <v>248821</v>
      </c>
      <c r="E15" s="101">
        <v>262908</v>
      </c>
      <c r="F15" s="101">
        <v>67086</v>
      </c>
      <c r="G15" s="101">
        <v>116723</v>
      </c>
      <c r="H15" s="101">
        <v>59861</v>
      </c>
      <c r="I15" s="101">
        <v>71333</v>
      </c>
      <c r="J15" s="101">
        <v>22197</v>
      </c>
      <c r="K15" s="101">
        <v>1024</v>
      </c>
      <c r="L15" s="101">
        <v>18529</v>
      </c>
      <c r="M15" s="101">
        <v>26831</v>
      </c>
      <c r="N15" s="101">
        <v>8340</v>
      </c>
      <c r="O15" s="101">
        <v>1965</v>
      </c>
      <c r="P15" s="101">
        <v>29664</v>
      </c>
      <c r="Q15" s="101">
        <v>1307</v>
      </c>
      <c r="R15" s="101">
        <v>7619</v>
      </c>
      <c r="T15" s="99"/>
      <c r="U15" s="99"/>
    </row>
    <row r="16" spans="1:21" x14ac:dyDescent="0.25">
      <c r="A16" s="52">
        <v>44606</v>
      </c>
      <c r="B16" s="32">
        <v>208458</v>
      </c>
      <c r="C16" s="54"/>
      <c r="D16" s="101">
        <v>249112</v>
      </c>
      <c r="E16" s="101">
        <v>262987</v>
      </c>
      <c r="F16" s="101">
        <v>67086</v>
      </c>
      <c r="G16" s="101">
        <v>116741</v>
      </c>
      <c r="H16" s="101">
        <v>59861</v>
      </c>
      <c r="I16" s="101">
        <v>71370</v>
      </c>
      <c r="J16" s="101">
        <v>22203</v>
      </c>
      <c r="K16" s="101">
        <v>1024</v>
      </c>
      <c r="L16" s="101">
        <v>18532</v>
      </c>
      <c r="M16" s="101">
        <v>26840</v>
      </c>
      <c r="N16" s="101">
        <v>8343</v>
      </c>
      <c r="O16" s="101">
        <v>1967</v>
      </c>
      <c r="P16" s="101">
        <v>29679</v>
      </c>
      <c r="Q16" s="101">
        <v>1313</v>
      </c>
      <c r="R16" s="101">
        <v>7627</v>
      </c>
    </row>
    <row r="17" spans="1:22" x14ac:dyDescent="0.25">
      <c r="A17" s="52">
        <v>44607</v>
      </c>
      <c r="B17" s="32">
        <v>208657</v>
      </c>
      <c r="C17" s="32"/>
      <c r="D17" s="101">
        <v>249273</v>
      </c>
      <c r="E17" s="101">
        <v>223059</v>
      </c>
      <c r="F17" s="101">
        <v>67087</v>
      </c>
      <c r="G17" s="101">
        <v>116767</v>
      </c>
      <c r="H17" s="101">
        <v>59861</v>
      </c>
      <c r="I17" s="101">
        <v>71402</v>
      </c>
      <c r="J17" s="101">
        <v>22208</v>
      </c>
      <c r="K17" s="101">
        <v>1024</v>
      </c>
      <c r="L17" s="101">
        <v>18536</v>
      </c>
      <c r="M17" s="101">
        <v>26846</v>
      </c>
      <c r="N17" s="101">
        <v>8346</v>
      </c>
      <c r="O17" s="101">
        <v>1968</v>
      </c>
      <c r="P17" s="101">
        <v>29689</v>
      </c>
      <c r="Q17" s="101">
        <v>1315</v>
      </c>
      <c r="R17" s="101">
        <v>7635</v>
      </c>
    </row>
    <row r="18" spans="1:22" x14ac:dyDescent="0.25">
      <c r="A18" s="52">
        <v>44608</v>
      </c>
      <c r="B18" s="32">
        <v>208895</v>
      </c>
      <c r="C18" s="54"/>
      <c r="D18" s="101">
        <v>249483</v>
      </c>
      <c r="E18" s="101">
        <v>263145</v>
      </c>
      <c r="F18" s="101">
        <v>67087</v>
      </c>
      <c r="G18" s="101">
        <v>116790</v>
      </c>
      <c r="H18" s="101">
        <v>59861</v>
      </c>
      <c r="I18" s="101">
        <v>71434</v>
      </c>
      <c r="J18" s="101">
        <v>22214</v>
      </c>
      <c r="K18" s="101">
        <v>1024</v>
      </c>
      <c r="L18" s="101">
        <v>18540</v>
      </c>
      <c r="M18" s="101">
        <v>16854</v>
      </c>
      <c r="N18" s="101">
        <v>8349</v>
      </c>
      <c r="O18" s="101">
        <v>1969</v>
      </c>
      <c r="P18" s="101">
        <v>29698</v>
      </c>
      <c r="Q18" s="101">
        <v>1323</v>
      </c>
      <c r="R18" s="101">
        <v>7642</v>
      </c>
      <c r="U18" s="99"/>
    </row>
    <row r="19" spans="1:22" x14ac:dyDescent="0.25">
      <c r="A19" s="52">
        <v>44609</v>
      </c>
      <c r="B19" s="32">
        <v>209155</v>
      </c>
      <c r="C19" s="32"/>
      <c r="D19" s="101">
        <v>249718</v>
      </c>
      <c r="E19" s="101">
        <v>263326</v>
      </c>
      <c r="F19" s="101">
        <v>67088</v>
      </c>
      <c r="G19" s="101">
        <v>116819</v>
      </c>
      <c r="H19" s="101">
        <v>59951</v>
      </c>
      <c r="I19" s="101">
        <v>71468</v>
      </c>
      <c r="J19" s="101">
        <v>22219</v>
      </c>
      <c r="K19" s="101">
        <v>1024</v>
      </c>
      <c r="L19" s="101">
        <v>18544</v>
      </c>
      <c r="M19" s="101">
        <v>16862</v>
      </c>
      <c r="N19" s="101">
        <v>8352</v>
      </c>
      <c r="O19" s="101">
        <v>1970</v>
      </c>
      <c r="P19" s="101">
        <v>29707</v>
      </c>
      <c r="Q19" s="101">
        <v>1325</v>
      </c>
      <c r="R19" s="101">
        <v>7650</v>
      </c>
    </row>
    <row r="20" spans="1:22" x14ac:dyDescent="0.25">
      <c r="A20" s="52">
        <v>44610</v>
      </c>
      <c r="B20" s="32">
        <v>209410</v>
      </c>
      <c r="C20" s="54"/>
      <c r="D20" s="102">
        <v>249930</v>
      </c>
      <c r="E20" s="101">
        <v>263305</v>
      </c>
      <c r="F20" s="101">
        <v>67088</v>
      </c>
      <c r="G20" s="101">
        <v>116848</v>
      </c>
      <c r="H20" s="101">
        <v>60041</v>
      </c>
      <c r="I20" s="101">
        <v>71511</v>
      </c>
      <c r="J20" s="101">
        <v>22225</v>
      </c>
      <c r="K20" s="101">
        <v>1024</v>
      </c>
      <c r="L20" s="101">
        <v>18547</v>
      </c>
      <c r="M20" s="101">
        <v>16872</v>
      </c>
      <c r="N20" s="101">
        <v>8355</v>
      </c>
      <c r="O20" s="101">
        <v>1971</v>
      </c>
      <c r="P20" s="101">
        <v>29727</v>
      </c>
      <c r="Q20" s="101">
        <v>1326</v>
      </c>
      <c r="R20" s="101">
        <v>7658</v>
      </c>
    </row>
    <row r="21" spans="1:22" x14ac:dyDescent="0.25">
      <c r="A21" s="52">
        <v>44611</v>
      </c>
      <c r="B21" s="32"/>
      <c r="C21" s="32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</row>
    <row r="22" spans="1:22" x14ac:dyDescent="0.25">
      <c r="A22" s="52">
        <v>44612</v>
      </c>
      <c r="B22" s="32"/>
      <c r="C22" s="54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</row>
    <row r="23" spans="1:22" x14ac:dyDescent="0.25">
      <c r="A23" s="52">
        <v>44613</v>
      </c>
      <c r="B23" s="32"/>
      <c r="C23" s="32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" t="s">
        <v>127</v>
      </c>
    </row>
    <row r="24" spans="1:22" x14ac:dyDescent="0.25">
      <c r="A24" s="52">
        <v>44614</v>
      </c>
      <c r="B24" s="32"/>
      <c r="C24" s="54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</row>
    <row r="25" spans="1:22" x14ac:dyDescent="0.25">
      <c r="A25" s="52">
        <v>44615</v>
      </c>
      <c r="B25" s="32"/>
      <c r="C25" s="32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</row>
    <row r="26" spans="1:22" x14ac:dyDescent="0.25">
      <c r="A26" s="52">
        <v>44616</v>
      </c>
      <c r="B26" s="32"/>
      <c r="C26" s="54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</row>
    <row r="27" spans="1:22" x14ac:dyDescent="0.25">
      <c r="A27" s="52">
        <v>44617</v>
      </c>
      <c r="B27" s="32"/>
      <c r="C27" s="32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</row>
    <row r="28" spans="1:22" x14ac:dyDescent="0.25">
      <c r="A28" s="52">
        <v>44618</v>
      </c>
      <c r="B28" s="32"/>
      <c r="C28" s="54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</row>
    <row r="29" spans="1:22" x14ac:dyDescent="0.25">
      <c r="A29" s="52">
        <v>44619</v>
      </c>
      <c r="B29" s="32"/>
      <c r="C29" s="32"/>
      <c r="D29" s="101"/>
      <c r="E29" s="101"/>
      <c r="F29" s="101"/>
      <c r="G29" s="101"/>
      <c r="H29" s="101"/>
      <c r="I29" s="102"/>
      <c r="J29" s="101"/>
      <c r="K29" s="101"/>
      <c r="L29" s="101"/>
      <c r="M29" s="101"/>
      <c r="N29" s="101"/>
      <c r="O29" s="101"/>
      <c r="P29" s="101"/>
      <c r="Q29" s="101"/>
      <c r="R29" s="101"/>
    </row>
    <row r="30" spans="1:22" x14ac:dyDescent="0.25">
      <c r="A30" s="52">
        <v>44620</v>
      </c>
      <c r="B30" s="32"/>
      <c r="C30" s="54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</row>
    <row r="31" spans="1:22" x14ac:dyDescent="0.25">
      <c r="A31" s="52">
        <v>44621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4" spans="2:3" x14ac:dyDescent="0.25">
      <c r="B34" s="99"/>
      <c r="C34" s="99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"/>
  <sheetViews>
    <sheetView zoomScale="70" zoomScaleNormal="70" workbookViewId="0">
      <pane ySplit="3" topLeftCell="A4" activePane="bottomLeft" state="frozen"/>
      <selection activeCell="C25" sqref="C25"/>
      <selection pane="bottomLeft" activeCell="B24" sqref="B2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6" customFormat="1" ht="45" customHeight="1" thickTop="1" x14ac:dyDescent="0.25">
      <c r="A2" s="149" t="s">
        <v>31</v>
      </c>
      <c r="B2" s="150" t="s">
        <v>108</v>
      </c>
      <c r="C2" s="150" t="s">
        <v>109</v>
      </c>
      <c r="D2" s="150"/>
      <c r="E2" s="151" t="s">
        <v>97</v>
      </c>
      <c r="F2" s="148"/>
      <c r="G2" s="145" t="s">
        <v>112</v>
      </c>
      <c r="H2" s="148"/>
      <c r="I2" s="145" t="s">
        <v>110</v>
      </c>
      <c r="J2" s="148"/>
      <c r="K2" s="145" t="s">
        <v>111</v>
      </c>
      <c r="L2" s="148"/>
      <c r="M2" s="145" t="s">
        <v>107</v>
      </c>
      <c r="N2" s="148"/>
      <c r="O2" s="145" t="s">
        <v>106</v>
      </c>
      <c r="P2" s="148"/>
      <c r="Q2" s="145" t="s">
        <v>113</v>
      </c>
      <c r="R2" s="148"/>
      <c r="S2" s="145" t="s">
        <v>114</v>
      </c>
      <c r="T2" s="148"/>
      <c r="U2" s="145" t="s">
        <v>115</v>
      </c>
      <c r="V2" s="148"/>
      <c r="W2" s="145" t="s">
        <v>99</v>
      </c>
      <c r="X2" s="146"/>
      <c r="Y2" s="147" t="s">
        <v>52</v>
      </c>
      <c r="Z2" s="147"/>
    </row>
    <row r="3" spans="1:26" ht="30" x14ac:dyDescent="0.35">
      <c r="A3" s="149"/>
      <c r="B3" s="150"/>
      <c r="C3" s="57" t="s">
        <v>116</v>
      </c>
      <c r="D3" s="57" t="s">
        <v>117</v>
      </c>
      <c r="E3" s="70" t="s">
        <v>116</v>
      </c>
      <c r="F3" s="59" t="s">
        <v>118</v>
      </c>
      <c r="G3" s="58" t="s">
        <v>116</v>
      </c>
      <c r="H3" s="59" t="s">
        <v>118</v>
      </c>
      <c r="I3" s="58" t="s">
        <v>116</v>
      </c>
      <c r="J3" s="59" t="s">
        <v>118</v>
      </c>
      <c r="K3" s="58" t="s">
        <v>116</v>
      </c>
      <c r="L3" s="59" t="s">
        <v>118</v>
      </c>
      <c r="M3" s="58" t="s">
        <v>116</v>
      </c>
      <c r="N3" s="59" t="s">
        <v>118</v>
      </c>
      <c r="O3" s="58" t="s">
        <v>116</v>
      </c>
      <c r="P3" s="59" t="s">
        <v>118</v>
      </c>
      <c r="Q3" s="58" t="s">
        <v>116</v>
      </c>
      <c r="R3" s="59" t="s">
        <v>118</v>
      </c>
      <c r="S3" s="58" t="s">
        <v>116</v>
      </c>
      <c r="T3" s="59" t="s">
        <v>118</v>
      </c>
      <c r="U3" s="58" t="s">
        <v>116</v>
      </c>
      <c r="V3" s="59" t="s">
        <v>118</v>
      </c>
      <c r="W3" s="58" t="s">
        <v>116</v>
      </c>
      <c r="X3" s="60" t="s">
        <v>118</v>
      </c>
      <c r="Y3" s="61" t="s">
        <v>116</v>
      </c>
      <c r="Z3" s="61" t="s">
        <v>118</v>
      </c>
    </row>
    <row r="4" spans="1:26" x14ac:dyDescent="0.25">
      <c r="A4" s="8">
        <f>'Water Reading'!A3</f>
        <v>44593</v>
      </c>
      <c r="B4" s="62">
        <f>TOTAL!I2</f>
        <v>341</v>
      </c>
      <c r="C4" s="63">
        <f>('Water Reading'!B4-'Water Reading'!B3)+('Water Reading'!C4-'Water Reading'!C3)</f>
        <v>173</v>
      </c>
      <c r="D4" s="64">
        <f>C4/B4</f>
        <v>0.50733137829912023</v>
      </c>
      <c r="E4" s="82">
        <f>'Water Reading'!H4-'Water Reading'!H3</f>
        <v>0</v>
      </c>
      <c r="F4" s="83">
        <f>E4/C4</f>
        <v>0</v>
      </c>
      <c r="G4" s="87">
        <f>('Water Reading'!D4-'Water Reading'!D3)-('Water Reading'!R4-'Water Reading'!R3)-('Water Reading'!Q4-'Water Reading'!Q3)</f>
        <v>232</v>
      </c>
      <c r="H4" s="83">
        <f>G4/C4</f>
        <v>1.3410404624277457</v>
      </c>
      <c r="I4" s="84">
        <f>'Water Reading'!P4-'Water Reading'!P3</f>
        <v>5</v>
      </c>
      <c r="J4" s="65">
        <f>I4/C4</f>
        <v>2.8901734104046242E-2</v>
      </c>
      <c r="K4" s="85">
        <f>('Water Reading'!I4-'Water Reading'!I3)-('Water Reading'!P4-'Water Reading'!P3)</f>
        <v>25</v>
      </c>
      <c r="L4" s="65">
        <f>K4/C4</f>
        <v>0.14450867052023122</v>
      </c>
      <c r="M4" s="84">
        <f>'Water Reading'!R4-'Water Reading'!R3</f>
        <v>6</v>
      </c>
      <c r="N4" s="86">
        <f>M4/C4</f>
        <v>3.4682080924855488E-2</v>
      </c>
      <c r="O4" s="84">
        <f>'Water Reading'!Q4-'Water Reading'!Q3</f>
        <v>0</v>
      </c>
      <c r="P4" s="91">
        <f>O4/C4</f>
        <v>0</v>
      </c>
      <c r="Q4" s="85">
        <f>'Water Reading'!N4-'Water Reading'!N3</f>
        <v>2</v>
      </c>
      <c r="R4" s="92">
        <f>Q4/C4</f>
        <v>1.1560693641618497E-2</v>
      </c>
      <c r="S4" s="84">
        <v>87</v>
      </c>
      <c r="T4" s="92">
        <f>S4/C4</f>
        <v>0.50289017341040465</v>
      </c>
      <c r="U4" s="84">
        <f>'Water Reading'!O4-'Water Reading'!O3</f>
        <v>2</v>
      </c>
      <c r="V4" s="92">
        <f>U4/C4</f>
        <v>1.1560693641618497E-2</v>
      </c>
      <c r="W4" s="84">
        <f>'Water Reading'!R4-'Water Reading'!R3</f>
        <v>6</v>
      </c>
      <c r="X4" s="92">
        <f>W4/C4</f>
        <v>3.4682080924855488E-2</v>
      </c>
      <c r="Y4" s="63">
        <f t="shared" ref="Y4:Y31" si="0">E4+I4+K4+M4+O4+G4+Q4+S4+U4+W4</f>
        <v>365</v>
      </c>
      <c r="Z4" s="64">
        <f t="shared" ref="Z4:Z32" si="1">Y4/B4</f>
        <v>1.0703812316715542</v>
      </c>
    </row>
    <row r="5" spans="1:26" x14ac:dyDescent="0.25">
      <c r="A5" s="8">
        <f>'Water Reading'!A4</f>
        <v>44594</v>
      </c>
      <c r="B5" s="62">
        <f>TOTAL!I3</f>
        <v>323</v>
      </c>
      <c r="C5" s="63">
        <f>('Water Reading'!B5-'Water Reading'!B4)+('Water Reading'!C5-'Water Reading'!C4)</f>
        <v>159</v>
      </c>
      <c r="D5" s="64">
        <f t="shared" ref="D5:D31" si="2">C5/B5</f>
        <v>0.49226006191950467</v>
      </c>
      <c r="E5" s="82">
        <f>'Water Reading'!H5-'Water Reading'!H4</f>
        <v>0</v>
      </c>
      <c r="F5" s="83">
        <f t="shared" ref="F5:F31" si="3">E5/C5</f>
        <v>0</v>
      </c>
      <c r="G5" s="87">
        <f>('Water Reading'!D5-'Water Reading'!D4)-('Water Reading'!R5-'Water Reading'!R4)-('Water Reading'!Q5-'Water Reading'!Q4)</f>
        <v>220</v>
      </c>
      <c r="H5" s="83">
        <f t="shared" ref="H5:H31" si="4">G5/C5</f>
        <v>1.3836477987421383</v>
      </c>
      <c r="I5" s="84">
        <f>'Water Reading'!P5-'Water Reading'!P4</f>
        <v>10</v>
      </c>
      <c r="J5" s="65">
        <f t="shared" ref="J5:J31" si="5">I5/C5</f>
        <v>6.2893081761006289E-2</v>
      </c>
      <c r="K5" s="85">
        <f>('Water Reading'!I5-'Water Reading'!I4)-('Water Reading'!P5-'Water Reading'!P4)</f>
        <v>22</v>
      </c>
      <c r="L5" s="65">
        <f t="shared" ref="L5:L31" si="6">K5/C5</f>
        <v>0.13836477987421383</v>
      </c>
      <c r="M5" s="84">
        <f>'Water Reading'!R5-'Water Reading'!R4</f>
        <v>5</v>
      </c>
      <c r="N5" s="86">
        <f t="shared" ref="N5:N31" si="7">M5/C5</f>
        <v>3.1446540880503145E-2</v>
      </c>
      <c r="O5" s="84">
        <f>'Water Reading'!Q5-'Water Reading'!Q4</f>
        <v>0</v>
      </c>
      <c r="P5" s="91">
        <f t="shared" ref="P5:P31" si="8">O5/C5</f>
        <v>0</v>
      </c>
      <c r="Q5" s="85">
        <f>'Water Reading'!N5-'Water Reading'!N4</f>
        <v>1</v>
      </c>
      <c r="R5" s="92">
        <f t="shared" ref="R5:R31" si="9">Q5/C5</f>
        <v>6.2893081761006293E-3</v>
      </c>
      <c r="S5" s="84">
        <f>'Water Reading'!E5-'Water Reading'!E4</f>
        <v>69</v>
      </c>
      <c r="T5" s="92">
        <f t="shared" ref="T5:T31" si="10">S5/C5</f>
        <v>0.43396226415094341</v>
      </c>
      <c r="U5" s="84">
        <f>'Water Reading'!O5-'Water Reading'!O4</f>
        <v>1</v>
      </c>
      <c r="V5" s="92">
        <f t="shared" ref="V5:V31" si="11">U5/C5</f>
        <v>6.2893081761006293E-3</v>
      </c>
      <c r="W5" s="84">
        <f>'Water Reading'!R5-'Water Reading'!R4</f>
        <v>5</v>
      </c>
      <c r="X5" s="92">
        <f t="shared" ref="X5:X31" si="12">W5/C5</f>
        <v>3.1446540880503145E-2</v>
      </c>
      <c r="Y5" s="63">
        <f t="shared" si="0"/>
        <v>333</v>
      </c>
      <c r="Z5" s="64">
        <f t="shared" si="1"/>
        <v>1.0309597523219813</v>
      </c>
    </row>
    <row r="6" spans="1:26" x14ac:dyDescent="0.25">
      <c r="A6" s="8">
        <f>'Water Reading'!A5</f>
        <v>44595</v>
      </c>
      <c r="B6" s="62">
        <f>TOTAL!I4</f>
        <v>371</v>
      </c>
      <c r="C6" s="63">
        <f>('Water Reading'!B6-'Water Reading'!B5)+('Water Reading'!C6-'Water Reading'!C5)</f>
        <v>176</v>
      </c>
      <c r="D6" s="64">
        <f t="shared" si="2"/>
        <v>0.47439353099730458</v>
      </c>
      <c r="E6" s="82">
        <f>'Water Reading'!H6-'Water Reading'!H5</f>
        <v>0</v>
      </c>
      <c r="F6" s="83">
        <f t="shared" si="3"/>
        <v>0</v>
      </c>
      <c r="G6" s="87">
        <f>('Water Reading'!D6-'Water Reading'!D5)-('Water Reading'!R6-'Water Reading'!R5)-('Water Reading'!Q6-'Water Reading'!Q5)</f>
        <v>230</v>
      </c>
      <c r="H6" s="83">
        <f t="shared" si="4"/>
        <v>1.3068181818181819</v>
      </c>
      <c r="I6" s="84">
        <f>'Water Reading'!P6-'Water Reading'!P5</f>
        <v>9</v>
      </c>
      <c r="J6" s="65">
        <f t="shared" si="5"/>
        <v>5.113636363636364E-2</v>
      </c>
      <c r="K6" s="85">
        <f>('Water Reading'!I6-'Water Reading'!I5)-('Water Reading'!P6-'Water Reading'!P5)</f>
        <v>16</v>
      </c>
      <c r="L6" s="65">
        <f t="shared" si="6"/>
        <v>9.0909090909090912E-2</v>
      </c>
      <c r="M6" s="84">
        <f>'Water Reading'!R6-'Water Reading'!R5</f>
        <v>5</v>
      </c>
      <c r="N6" s="86">
        <f t="shared" si="7"/>
        <v>2.8409090909090908E-2</v>
      </c>
      <c r="O6" s="84">
        <f>'Water Reading'!Q6-'Water Reading'!Q5</f>
        <v>0</v>
      </c>
      <c r="P6" s="91">
        <f t="shared" si="8"/>
        <v>0</v>
      </c>
      <c r="Q6" s="85">
        <f>'Water Reading'!N6-'Water Reading'!N5</f>
        <v>4</v>
      </c>
      <c r="R6" s="92">
        <f t="shared" si="9"/>
        <v>2.2727272727272728E-2</v>
      </c>
      <c r="S6" s="84">
        <f>'Water Reading'!E6-'Water Reading'!E5</f>
        <v>76</v>
      </c>
      <c r="T6" s="92">
        <f t="shared" si="10"/>
        <v>0.43181818181818182</v>
      </c>
      <c r="U6" s="84">
        <f>'Water Reading'!O6-'Water Reading'!O5</f>
        <v>1</v>
      </c>
      <c r="V6" s="92">
        <f t="shared" si="11"/>
        <v>5.681818181818182E-3</v>
      </c>
      <c r="W6" s="84">
        <f>'Water Reading'!R6-'Water Reading'!R5</f>
        <v>5</v>
      </c>
      <c r="X6" s="92">
        <f t="shared" si="12"/>
        <v>2.8409090909090908E-2</v>
      </c>
      <c r="Y6" s="63">
        <f t="shared" si="0"/>
        <v>346</v>
      </c>
      <c r="Z6" s="64">
        <f t="shared" si="1"/>
        <v>0.93261455525606474</v>
      </c>
    </row>
    <row r="7" spans="1:26" x14ac:dyDescent="0.25">
      <c r="A7" s="8">
        <f>'Water Reading'!A6</f>
        <v>44596</v>
      </c>
      <c r="B7" s="62">
        <f>TOTAL!I5</f>
        <v>401</v>
      </c>
      <c r="C7" s="63">
        <f>('Water Reading'!B7-'Water Reading'!B6)+('Water Reading'!C7-'Water Reading'!C6)</f>
        <v>178</v>
      </c>
      <c r="D7" s="64">
        <f t="shared" si="2"/>
        <v>0.44389027431421446</v>
      </c>
      <c r="E7" s="82">
        <f>'Water Reading'!H7-'Water Reading'!H6</f>
        <v>0</v>
      </c>
      <c r="F7" s="83">
        <f t="shared" si="3"/>
        <v>0</v>
      </c>
      <c r="G7" s="87">
        <f>('Water Reading'!D7-'Water Reading'!D6)-('Water Reading'!R7-'Water Reading'!R6)-('Water Reading'!Q7-'Water Reading'!Q6)</f>
        <v>255</v>
      </c>
      <c r="H7" s="83">
        <f t="shared" si="4"/>
        <v>1.4325842696629214</v>
      </c>
      <c r="I7" s="84">
        <f>'Water Reading'!P7-'Water Reading'!P6</f>
        <v>6</v>
      </c>
      <c r="J7" s="65">
        <f t="shared" si="5"/>
        <v>3.3707865168539325E-2</v>
      </c>
      <c r="K7" s="85">
        <f>('Water Reading'!I7-'Water Reading'!I6)-('Water Reading'!P7-'Water Reading'!P6)</f>
        <v>16</v>
      </c>
      <c r="L7" s="65">
        <f t="shared" si="6"/>
        <v>8.98876404494382E-2</v>
      </c>
      <c r="M7" s="84">
        <f>'Water Reading'!R7-'Water Reading'!R6</f>
        <v>0</v>
      </c>
      <c r="N7" s="86">
        <f t="shared" si="7"/>
        <v>0</v>
      </c>
      <c r="O7" s="84">
        <f>'Water Reading'!Q7-'Water Reading'!Q6</f>
        <v>0</v>
      </c>
      <c r="P7" s="91">
        <f t="shared" si="8"/>
        <v>0</v>
      </c>
      <c r="Q7" s="85">
        <f>'Water Reading'!N7-'Water Reading'!N6</f>
        <v>4</v>
      </c>
      <c r="R7" s="92">
        <f t="shared" si="9"/>
        <v>2.247191011235955E-2</v>
      </c>
      <c r="S7" s="84">
        <f>'Water Reading'!E7-'Water Reading'!E6</f>
        <v>74</v>
      </c>
      <c r="T7" s="92">
        <f t="shared" si="10"/>
        <v>0.4157303370786517</v>
      </c>
      <c r="U7" s="84">
        <f>'Water Reading'!O7-'Water Reading'!O6</f>
        <v>1</v>
      </c>
      <c r="V7" s="92">
        <f t="shared" si="11"/>
        <v>5.6179775280898875E-3</v>
      </c>
      <c r="W7" s="84">
        <f>'Water Reading'!R7-'Water Reading'!R6</f>
        <v>0</v>
      </c>
      <c r="X7" s="92">
        <f t="shared" si="12"/>
        <v>0</v>
      </c>
      <c r="Y7" s="63">
        <f t="shared" si="0"/>
        <v>356</v>
      </c>
      <c r="Z7" s="64">
        <f t="shared" si="1"/>
        <v>0.88778054862842892</v>
      </c>
    </row>
    <row r="8" spans="1:26" x14ac:dyDescent="0.25">
      <c r="A8" s="8">
        <f>'Water Reading'!A7</f>
        <v>44597</v>
      </c>
      <c r="B8" s="62">
        <f>TOTAL!I6</f>
        <v>353</v>
      </c>
      <c r="C8" s="63">
        <f>('Water Reading'!B8-'Water Reading'!B7)+('Water Reading'!C8-'Water Reading'!C7)</f>
        <v>169</v>
      </c>
      <c r="D8" s="64">
        <f t="shared" si="2"/>
        <v>0.47875354107648727</v>
      </c>
      <c r="E8" s="82">
        <f>'Water Reading'!H8-'Water Reading'!H7</f>
        <v>0</v>
      </c>
      <c r="F8" s="83">
        <f t="shared" si="3"/>
        <v>0</v>
      </c>
      <c r="G8" s="87">
        <f>('Water Reading'!D8-'Water Reading'!D7)-('Water Reading'!R8-'Water Reading'!R7)-('Water Reading'!Q8-'Water Reading'!Q7)</f>
        <v>209</v>
      </c>
      <c r="H8" s="83">
        <f t="shared" si="4"/>
        <v>1.2366863905325445</v>
      </c>
      <c r="I8" s="84">
        <f>'Water Reading'!P8-'Water Reading'!P7</f>
        <v>15</v>
      </c>
      <c r="J8" s="65">
        <f t="shared" si="5"/>
        <v>8.8757396449704137E-2</v>
      </c>
      <c r="K8" s="85">
        <f>('Water Reading'!I8-'Water Reading'!I7)-('Water Reading'!P8-'Water Reading'!P7)</f>
        <v>20</v>
      </c>
      <c r="L8" s="65">
        <f t="shared" si="6"/>
        <v>0.11834319526627218</v>
      </c>
      <c r="M8" s="84">
        <f>'Water Reading'!R8-'Water Reading'!R7</f>
        <v>6</v>
      </c>
      <c r="N8" s="86">
        <f t="shared" si="7"/>
        <v>3.5502958579881658E-2</v>
      </c>
      <c r="O8" s="84">
        <f>'Water Reading'!Q8-'Water Reading'!Q7</f>
        <v>0</v>
      </c>
      <c r="P8" s="91">
        <f t="shared" si="8"/>
        <v>0</v>
      </c>
      <c r="Q8" s="85">
        <f>'Water Reading'!N8-'Water Reading'!N7</f>
        <v>4</v>
      </c>
      <c r="R8" s="92">
        <f t="shared" si="9"/>
        <v>2.3668639053254437E-2</v>
      </c>
      <c r="S8" s="84">
        <f>'Water Reading'!E8-'Water Reading'!E7</f>
        <v>84</v>
      </c>
      <c r="T8" s="92">
        <f t="shared" si="10"/>
        <v>0.49704142011834318</v>
      </c>
      <c r="U8" s="84">
        <f>'Water Reading'!O8-'Water Reading'!O7</f>
        <v>1</v>
      </c>
      <c r="V8" s="92">
        <f t="shared" si="11"/>
        <v>5.9171597633136093E-3</v>
      </c>
      <c r="W8" s="84">
        <f>'Water Reading'!R8-'Water Reading'!R7</f>
        <v>6</v>
      </c>
      <c r="X8" s="92">
        <f t="shared" si="12"/>
        <v>3.5502958579881658E-2</v>
      </c>
      <c r="Y8" s="63">
        <f t="shared" si="0"/>
        <v>345</v>
      </c>
      <c r="Z8" s="64">
        <f t="shared" si="1"/>
        <v>0.97733711048158645</v>
      </c>
    </row>
    <row r="9" spans="1:26" x14ac:dyDescent="0.25">
      <c r="A9" s="8">
        <f>'Water Reading'!A8</f>
        <v>44598</v>
      </c>
      <c r="B9" s="62">
        <f>TOTAL!I7</f>
        <v>337</v>
      </c>
      <c r="C9" s="63">
        <f>('Water Reading'!B9-'Water Reading'!B8)+('Water Reading'!C9-'Water Reading'!C8)</f>
        <v>178</v>
      </c>
      <c r="D9" s="64">
        <f t="shared" si="2"/>
        <v>0.52818991097922852</v>
      </c>
      <c r="E9" s="82">
        <f>'Water Reading'!H9-'Water Reading'!H8</f>
        <v>0</v>
      </c>
      <c r="F9" s="83">
        <f t="shared" si="3"/>
        <v>0</v>
      </c>
      <c r="G9" s="87">
        <f>('Water Reading'!D9-'Water Reading'!D8)-('Water Reading'!R9-'Water Reading'!R8)-('Water Reading'!Q9-'Water Reading'!Q8)</f>
        <v>221</v>
      </c>
      <c r="H9" s="83">
        <f t="shared" si="4"/>
        <v>1.2415730337078652</v>
      </c>
      <c r="I9" s="84">
        <f>'Water Reading'!P9-'Water Reading'!P8</f>
        <v>5</v>
      </c>
      <c r="J9" s="65">
        <f t="shared" si="5"/>
        <v>2.8089887640449437E-2</v>
      </c>
      <c r="K9" s="85">
        <f>('Water Reading'!I9-'Water Reading'!I8)-('Water Reading'!P9-'Water Reading'!P8)</f>
        <v>19</v>
      </c>
      <c r="L9" s="65">
        <f t="shared" si="6"/>
        <v>0.10674157303370786</v>
      </c>
      <c r="M9" s="84">
        <f>'Water Reading'!R9-'Water Reading'!R8</f>
        <v>5</v>
      </c>
      <c r="N9" s="86">
        <f t="shared" si="7"/>
        <v>2.8089887640449437E-2</v>
      </c>
      <c r="O9" s="84">
        <f>'Water Reading'!Q9-'Water Reading'!Q8</f>
        <v>0</v>
      </c>
      <c r="P9" s="91">
        <f t="shared" si="8"/>
        <v>0</v>
      </c>
      <c r="Q9" s="85">
        <f>'Water Reading'!N9-'Water Reading'!N8</f>
        <v>3</v>
      </c>
      <c r="R9" s="92">
        <f t="shared" si="9"/>
        <v>1.6853932584269662E-2</v>
      </c>
      <c r="S9" s="84">
        <f>'Water Reading'!E9-'Water Reading'!E8</f>
        <v>96</v>
      </c>
      <c r="T9" s="92">
        <f t="shared" si="10"/>
        <v>0.5393258426966292</v>
      </c>
      <c r="U9" s="84">
        <f>'Water Reading'!O9-'Water Reading'!O8</f>
        <v>1</v>
      </c>
      <c r="V9" s="92">
        <f t="shared" si="11"/>
        <v>5.6179775280898875E-3</v>
      </c>
      <c r="W9" s="84">
        <f>'Water Reading'!R9-'Water Reading'!R8</f>
        <v>5</v>
      </c>
      <c r="X9" s="92">
        <f t="shared" si="12"/>
        <v>2.8089887640449437E-2</v>
      </c>
      <c r="Y9" s="63">
        <f t="shared" si="0"/>
        <v>355</v>
      </c>
      <c r="Z9" s="64">
        <f t="shared" si="1"/>
        <v>1.0534124629080119</v>
      </c>
    </row>
    <row r="10" spans="1:26" x14ac:dyDescent="0.25">
      <c r="A10" s="8">
        <f>'Water Reading'!A9</f>
        <v>44599</v>
      </c>
      <c r="B10" s="62">
        <f>TOTAL!I8</f>
        <v>348</v>
      </c>
      <c r="C10" s="63">
        <f>('Water Reading'!B10-'Water Reading'!B9)+('Water Reading'!C10-'Water Reading'!C9)</f>
        <v>165</v>
      </c>
      <c r="D10" s="64">
        <f t="shared" si="2"/>
        <v>0.47413793103448276</v>
      </c>
      <c r="E10" s="82">
        <f>'Water Reading'!H10-'Water Reading'!H9</f>
        <v>0</v>
      </c>
      <c r="F10" s="83">
        <f t="shared" si="3"/>
        <v>0</v>
      </c>
      <c r="G10" s="87">
        <f>('Water Reading'!D10-'Water Reading'!D9)-('Water Reading'!R10-'Water Reading'!R9)-('Water Reading'!Q10-'Water Reading'!Q9)</f>
        <v>196</v>
      </c>
      <c r="H10" s="83">
        <f t="shared" si="4"/>
        <v>1.187878787878788</v>
      </c>
      <c r="I10" s="84">
        <f>'Water Reading'!P10-'Water Reading'!P9</f>
        <v>8</v>
      </c>
      <c r="J10" s="65">
        <f t="shared" si="5"/>
        <v>4.8484848484848485E-2</v>
      </c>
      <c r="K10" s="85">
        <f>('Water Reading'!I10-'Water Reading'!I9)-('Water Reading'!P10-'Water Reading'!P9)</f>
        <v>15</v>
      </c>
      <c r="L10" s="65">
        <f t="shared" si="6"/>
        <v>9.0909090909090912E-2</v>
      </c>
      <c r="M10" s="84">
        <f>'Water Reading'!R10-'Water Reading'!R9</f>
        <v>7</v>
      </c>
      <c r="N10" s="86">
        <f t="shared" si="7"/>
        <v>4.2424242424242427E-2</v>
      </c>
      <c r="O10" s="84">
        <f>'Water Reading'!Q10-'Water Reading'!Q9</f>
        <v>0</v>
      </c>
      <c r="P10" s="91">
        <f t="shared" si="8"/>
        <v>0</v>
      </c>
      <c r="Q10" s="85">
        <f>'Water Reading'!N10-'Water Reading'!N9</f>
        <v>3</v>
      </c>
      <c r="R10" s="92">
        <f t="shared" si="9"/>
        <v>1.8181818181818181E-2</v>
      </c>
      <c r="S10" s="84">
        <f>'Water Reading'!E10-'Water Reading'!E9</f>
        <v>71</v>
      </c>
      <c r="T10" s="92">
        <f t="shared" si="10"/>
        <v>0.4303030303030303</v>
      </c>
      <c r="U10" s="84">
        <f>'Water Reading'!O10-'Water Reading'!O9</f>
        <v>1</v>
      </c>
      <c r="V10" s="92">
        <f t="shared" si="11"/>
        <v>6.0606060606060606E-3</v>
      </c>
      <c r="W10" s="84">
        <f>'Water Reading'!R10-'Water Reading'!R9</f>
        <v>7</v>
      </c>
      <c r="X10" s="92">
        <f t="shared" si="12"/>
        <v>4.2424242424242427E-2</v>
      </c>
      <c r="Y10" s="63">
        <f t="shared" si="0"/>
        <v>308</v>
      </c>
      <c r="Z10" s="64">
        <f t="shared" si="1"/>
        <v>0.88505747126436785</v>
      </c>
    </row>
    <row r="11" spans="1:26" x14ac:dyDescent="0.25">
      <c r="A11" s="8">
        <f>'Water Reading'!A10</f>
        <v>44600</v>
      </c>
      <c r="B11" s="62">
        <f>TOTAL!I9</f>
        <v>361</v>
      </c>
      <c r="C11" s="63">
        <f>('Water Reading'!B11-'Water Reading'!B10)+('Water Reading'!C11-'Water Reading'!C10)</f>
        <v>220</v>
      </c>
      <c r="D11" s="64">
        <f t="shared" si="2"/>
        <v>0.60941828254847641</v>
      </c>
      <c r="E11" s="82">
        <f>'Water Reading'!H11-'Water Reading'!H10</f>
        <v>0</v>
      </c>
      <c r="F11" s="83">
        <f t="shared" si="3"/>
        <v>0</v>
      </c>
      <c r="G11" s="87">
        <f>('Water Reading'!D11-'Water Reading'!D10)-('Water Reading'!R11-'Water Reading'!R10)-('Water Reading'!Q11-'Water Reading'!Q10)</f>
        <v>212</v>
      </c>
      <c r="H11" s="83">
        <f t="shared" si="4"/>
        <v>0.96363636363636362</v>
      </c>
      <c r="I11" s="84">
        <f>'Water Reading'!P11-'Water Reading'!P10</f>
        <v>6</v>
      </c>
      <c r="J11" s="65">
        <f t="shared" si="5"/>
        <v>2.7272727272727271E-2</v>
      </c>
      <c r="K11" s="85">
        <f>('Water Reading'!I11-'Water Reading'!I10)-('Water Reading'!P11-'Water Reading'!P10)</f>
        <v>21</v>
      </c>
      <c r="L11" s="65">
        <f t="shared" si="6"/>
        <v>9.5454545454545459E-2</v>
      </c>
      <c r="M11" s="84">
        <f>'Water Reading'!R11-'Water Reading'!R10</f>
        <v>6</v>
      </c>
      <c r="N11" s="86">
        <f t="shared" si="7"/>
        <v>2.7272727272727271E-2</v>
      </c>
      <c r="O11" s="84">
        <f>'Water Reading'!Q11-'Water Reading'!Q10</f>
        <v>2</v>
      </c>
      <c r="P11" s="91">
        <f t="shared" si="8"/>
        <v>9.0909090909090905E-3</v>
      </c>
      <c r="Q11" s="85">
        <f>'Water Reading'!N11-'Water Reading'!N10</f>
        <v>3</v>
      </c>
      <c r="R11" s="92">
        <f t="shared" si="9"/>
        <v>1.3636363636363636E-2</v>
      </c>
      <c r="S11" s="84">
        <f>'Water Reading'!E11-'Water Reading'!E10</f>
        <v>74</v>
      </c>
      <c r="T11" s="92">
        <f t="shared" si="10"/>
        <v>0.33636363636363636</v>
      </c>
      <c r="U11" s="84">
        <f>'Water Reading'!O11-'Water Reading'!O10</f>
        <v>1</v>
      </c>
      <c r="V11" s="92">
        <f t="shared" si="11"/>
        <v>4.5454545454545452E-3</v>
      </c>
      <c r="W11" s="84">
        <f>'Water Reading'!R11-'Water Reading'!R10</f>
        <v>6</v>
      </c>
      <c r="X11" s="92">
        <f t="shared" si="12"/>
        <v>2.7272727272727271E-2</v>
      </c>
      <c r="Y11" s="63">
        <f t="shared" si="0"/>
        <v>331</v>
      </c>
      <c r="Z11" s="64">
        <f t="shared" si="1"/>
        <v>0.91689750692520777</v>
      </c>
    </row>
    <row r="12" spans="1:26" x14ac:dyDescent="0.25">
      <c r="A12" s="8">
        <f>'Water Reading'!A11</f>
        <v>44601</v>
      </c>
      <c r="B12" s="62">
        <f>TOTAL!I10</f>
        <v>359</v>
      </c>
      <c r="C12" s="63">
        <f>('Water Reading'!B12-'Water Reading'!B11)+('Water Reading'!C12-'Water Reading'!C11)</f>
        <v>219</v>
      </c>
      <c r="D12" s="64">
        <f t="shared" si="2"/>
        <v>0.61002785515320335</v>
      </c>
      <c r="E12" s="82">
        <f>'Water Reading'!H12-'Water Reading'!H11</f>
        <v>0</v>
      </c>
      <c r="F12" s="83">
        <f t="shared" si="3"/>
        <v>0</v>
      </c>
      <c r="G12" s="87">
        <f>('Water Reading'!D12-'Water Reading'!D11)-('Water Reading'!R12-'Water Reading'!R11)-('Water Reading'!Q12-'Water Reading'!Q11)</f>
        <v>204</v>
      </c>
      <c r="H12" s="83">
        <f t="shared" si="4"/>
        <v>0.93150684931506844</v>
      </c>
      <c r="I12" s="84">
        <f>'Water Reading'!P12-'Water Reading'!P11</f>
        <v>15</v>
      </c>
      <c r="J12" s="65">
        <f t="shared" si="5"/>
        <v>6.8493150684931503E-2</v>
      </c>
      <c r="K12" s="85">
        <f>('Water Reading'!I12-'Water Reading'!I11)-('Water Reading'!P12-'Water Reading'!P11)</f>
        <v>20</v>
      </c>
      <c r="L12" s="65">
        <f t="shared" si="6"/>
        <v>9.1324200913242004E-2</v>
      </c>
      <c r="M12" s="84">
        <f>'Water Reading'!R12-'Water Reading'!R11</f>
        <v>7</v>
      </c>
      <c r="N12" s="86">
        <f t="shared" si="7"/>
        <v>3.1963470319634701E-2</v>
      </c>
      <c r="O12" s="84">
        <f>'Water Reading'!Q12-'Water Reading'!Q11</f>
        <v>2</v>
      </c>
      <c r="P12" s="91">
        <f t="shared" si="8"/>
        <v>9.1324200913242004E-3</v>
      </c>
      <c r="Q12" s="85">
        <f>'Water Reading'!N12-'Water Reading'!N11</f>
        <v>3</v>
      </c>
      <c r="R12" s="92">
        <f t="shared" si="9"/>
        <v>1.3698630136986301E-2</v>
      </c>
      <c r="S12" s="84">
        <f>'Water Reading'!E12-'Water Reading'!E11</f>
        <v>78</v>
      </c>
      <c r="T12" s="92">
        <f t="shared" si="10"/>
        <v>0.35616438356164382</v>
      </c>
      <c r="U12" s="84">
        <f>'Water Reading'!O12-'Water Reading'!O11</f>
        <v>1</v>
      </c>
      <c r="V12" s="92">
        <f t="shared" si="11"/>
        <v>4.5662100456621002E-3</v>
      </c>
      <c r="W12" s="84">
        <f>'Water Reading'!R12-'Water Reading'!R11</f>
        <v>7</v>
      </c>
      <c r="X12" s="92">
        <f t="shared" si="12"/>
        <v>3.1963470319634701E-2</v>
      </c>
      <c r="Y12" s="63">
        <f t="shared" si="0"/>
        <v>337</v>
      </c>
      <c r="Z12" s="64">
        <f t="shared" si="1"/>
        <v>0.93871866295264628</v>
      </c>
    </row>
    <row r="13" spans="1:26" x14ac:dyDescent="0.25">
      <c r="A13" s="8">
        <f>'Water Reading'!A12</f>
        <v>44602</v>
      </c>
      <c r="B13" s="62">
        <f>TOTAL!I11</f>
        <v>353</v>
      </c>
      <c r="C13" s="63">
        <f>('Water Reading'!B13-'Water Reading'!B12)+('Water Reading'!C13-'Water Reading'!C12)</f>
        <v>166</v>
      </c>
      <c r="D13" s="64">
        <f t="shared" si="2"/>
        <v>0.47025495750708213</v>
      </c>
      <c r="E13" s="82">
        <f>'Water Reading'!H13-'Water Reading'!H12</f>
        <v>0</v>
      </c>
      <c r="F13" s="83">
        <f t="shared" si="3"/>
        <v>0</v>
      </c>
      <c r="G13" s="87">
        <f>('Water Reading'!D13-'Water Reading'!D12)-('Water Reading'!R13-'Water Reading'!R12)-('Water Reading'!Q13-'Water Reading'!Q12)</f>
        <v>228</v>
      </c>
      <c r="H13" s="83">
        <f t="shared" si="4"/>
        <v>1.3734939759036144</v>
      </c>
      <c r="I13" s="84">
        <f>'Water Reading'!P13-'Water Reading'!P12</f>
        <v>7</v>
      </c>
      <c r="J13" s="65">
        <f t="shared" si="5"/>
        <v>4.2168674698795178E-2</v>
      </c>
      <c r="K13" s="85">
        <f>('Water Reading'!I13-'Water Reading'!I12)-('Water Reading'!P13-'Water Reading'!P12)</f>
        <v>20</v>
      </c>
      <c r="L13" s="65">
        <f t="shared" si="6"/>
        <v>0.12048192771084337</v>
      </c>
      <c r="M13" s="84">
        <f>'Water Reading'!R13-'Water Reading'!R12</f>
        <v>5</v>
      </c>
      <c r="N13" s="86">
        <f t="shared" si="7"/>
        <v>3.0120481927710843E-2</v>
      </c>
      <c r="O13" s="84">
        <f>'Water Reading'!Q13-'Water Reading'!Q12</f>
        <v>3</v>
      </c>
      <c r="P13" s="91">
        <f t="shared" si="8"/>
        <v>1.8072289156626505E-2</v>
      </c>
      <c r="Q13" s="85">
        <f>'Water Reading'!N13-'Water Reading'!N12</f>
        <v>2</v>
      </c>
      <c r="R13" s="92">
        <f t="shared" si="9"/>
        <v>1.2048192771084338E-2</v>
      </c>
      <c r="S13" s="84">
        <f>'Water Reading'!E13-'Water Reading'!E12</f>
        <v>71</v>
      </c>
      <c r="T13" s="92">
        <f t="shared" si="10"/>
        <v>0.42771084337349397</v>
      </c>
      <c r="U13" s="84">
        <f>'Water Reading'!O13-'Water Reading'!O12</f>
        <v>0</v>
      </c>
      <c r="V13" s="92">
        <f t="shared" si="11"/>
        <v>0</v>
      </c>
      <c r="W13" s="84">
        <f>'Water Reading'!R13-'Water Reading'!R12</f>
        <v>5</v>
      </c>
      <c r="X13" s="92">
        <f t="shared" si="12"/>
        <v>3.0120481927710843E-2</v>
      </c>
      <c r="Y13" s="63">
        <f t="shared" si="0"/>
        <v>341</v>
      </c>
      <c r="Z13" s="64">
        <f t="shared" si="1"/>
        <v>0.96600566572237956</v>
      </c>
    </row>
    <row r="14" spans="1:26" x14ac:dyDescent="0.25">
      <c r="A14" s="8">
        <f>'Water Reading'!A13</f>
        <v>44603</v>
      </c>
      <c r="B14" s="62">
        <f>TOTAL!I12</f>
        <v>402</v>
      </c>
      <c r="C14" s="63">
        <f>('Water Reading'!B14-'Water Reading'!B13)+('Water Reading'!C14-'Water Reading'!C13)</f>
        <v>184</v>
      </c>
      <c r="D14" s="64">
        <f t="shared" si="2"/>
        <v>0.45771144278606968</v>
      </c>
      <c r="E14" s="82">
        <f>'Water Reading'!H14-'Water Reading'!H13</f>
        <v>0</v>
      </c>
      <c r="F14" s="83">
        <f t="shared" si="3"/>
        <v>0</v>
      </c>
      <c r="G14" s="87">
        <f>('Water Reading'!D14-'Water Reading'!D13)-('Water Reading'!R14-'Water Reading'!R13)-('Water Reading'!Q14-'Water Reading'!Q13)</f>
        <v>246</v>
      </c>
      <c r="H14" s="83">
        <f t="shared" si="4"/>
        <v>1.3369565217391304</v>
      </c>
      <c r="I14" s="84">
        <f>'Water Reading'!P14-'Water Reading'!P13</f>
        <v>4</v>
      </c>
      <c r="J14" s="65">
        <f t="shared" si="5"/>
        <v>2.1739130434782608E-2</v>
      </c>
      <c r="K14" s="85">
        <f>('Water Reading'!I14-'Water Reading'!I13)-('Water Reading'!P14-'Water Reading'!P13)</f>
        <v>13</v>
      </c>
      <c r="L14" s="65">
        <f t="shared" si="6"/>
        <v>7.0652173913043473E-2</v>
      </c>
      <c r="M14" s="84">
        <f>'Water Reading'!R14-'Water Reading'!R13</f>
        <v>3</v>
      </c>
      <c r="N14" s="86">
        <f t="shared" si="7"/>
        <v>1.6304347826086956E-2</v>
      </c>
      <c r="O14" s="84">
        <f>'Water Reading'!Q14-'Water Reading'!Q13</f>
        <v>4</v>
      </c>
      <c r="P14" s="91">
        <f t="shared" si="8"/>
        <v>2.1739130434782608E-2</v>
      </c>
      <c r="Q14" s="85">
        <f>'Water Reading'!N14-'Water Reading'!N13</f>
        <v>2</v>
      </c>
      <c r="R14" s="92">
        <f t="shared" si="9"/>
        <v>1.0869565217391304E-2</v>
      </c>
      <c r="S14" s="84">
        <f>'Water Reading'!E14-'Water Reading'!E13</f>
        <v>74</v>
      </c>
      <c r="T14" s="92">
        <f t="shared" si="10"/>
        <v>0.40217391304347827</v>
      </c>
      <c r="U14" s="84">
        <f>'Water Reading'!O14-'Water Reading'!O13</f>
        <v>1</v>
      </c>
      <c r="V14" s="92">
        <f t="shared" si="11"/>
        <v>5.434782608695652E-3</v>
      </c>
      <c r="W14" s="84">
        <f>'Water Reading'!R14-'Water Reading'!R13</f>
        <v>3</v>
      </c>
      <c r="X14" s="92">
        <f t="shared" si="12"/>
        <v>1.6304347826086956E-2</v>
      </c>
      <c r="Y14" s="63">
        <f t="shared" si="0"/>
        <v>350</v>
      </c>
      <c r="Z14" s="64">
        <f t="shared" si="1"/>
        <v>0.87064676616915426</v>
      </c>
    </row>
    <row r="15" spans="1:26" x14ac:dyDescent="0.25">
      <c r="A15" s="8">
        <f>'Water Reading'!A14</f>
        <v>44604</v>
      </c>
      <c r="B15" s="62">
        <f>TOTAL!I13</f>
        <v>369</v>
      </c>
      <c r="C15" s="63">
        <f>('Water Reading'!B15-'Water Reading'!B14)+('Water Reading'!C15-'Water Reading'!C14)</f>
        <v>273</v>
      </c>
      <c r="D15" s="64">
        <f t="shared" si="2"/>
        <v>0.73983739837398377</v>
      </c>
      <c r="E15" s="82">
        <f>'Water Reading'!H15-'Water Reading'!H14</f>
        <v>0</v>
      </c>
      <c r="F15" s="83">
        <f t="shared" si="3"/>
        <v>0</v>
      </c>
      <c r="G15" s="87">
        <f>('Water Reading'!D15-'Water Reading'!D14)-('Water Reading'!R15-'Water Reading'!R14)-('Water Reading'!Q15-'Water Reading'!Q14)</f>
        <v>263</v>
      </c>
      <c r="H15" s="83">
        <f t="shared" si="4"/>
        <v>0.96336996336996339</v>
      </c>
      <c r="I15" s="84">
        <f>'Water Reading'!P15-'Water Reading'!P14</f>
        <v>9</v>
      </c>
      <c r="J15" s="65">
        <f t="shared" si="5"/>
        <v>3.2967032967032968E-2</v>
      </c>
      <c r="K15" s="85">
        <f>('Water Reading'!I15-'Water Reading'!I14)-('Water Reading'!P15-'Water Reading'!P14)</f>
        <v>22</v>
      </c>
      <c r="L15" s="65">
        <f t="shared" si="6"/>
        <v>8.0586080586080591E-2</v>
      </c>
      <c r="M15" s="84">
        <f>'Water Reading'!R15-'Water Reading'!R14</f>
        <v>7</v>
      </c>
      <c r="N15" s="86">
        <f t="shared" si="7"/>
        <v>2.564102564102564E-2</v>
      </c>
      <c r="O15" s="84">
        <f>'Water Reading'!Q15-'Water Reading'!Q14</f>
        <v>1</v>
      </c>
      <c r="P15" s="91">
        <f t="shared" si="8"/>
        <v>3.663003663003663E-3</v>
      </c>
      <c r="Q15" s="85">
        <f>'Water Reading'!N15-'Water Reading'!N14</f>
        <v>6</v>
      </c>
      <c r="R15" s="92">
        <f t="shared" si="9"/>
        <v>2.197802197802198E-2</v>
      </c>
      <c r="S15" s="84">
        <f>'Water Reading'!E15-'Water Reading'!E14</f>
        <v>77</v>
      </c>
      <c r="T15" s="92">
        <f t="shared" si="10"/>
        <v>0.28205128205128205</v>
      </c>
      <c r="U15" s="84">
        <f>'Water Reading'!O15-'Water Reading'!O14</f>
        <v>1</v>
      </c>
      <c r="V15" s="92">
        <f t="shared" si="11"/>
        <v>3.663003663003663E-3</v>
      </c>
      <c r="W15" s="84">
        <f>'Water Reading'!R15-'Water Reading'!R14</f>
        <v>7</v>
      </c>
      <c r="X15" s="92">
        <f t="shared" si="12"/>
        <v>2.564102564102564E-2</v>
      </c>
      <c r="Y15" s="63">
        <f t="shared" si="0"/>
        <v>393</v>
      </c>
      <c r="Z15" s="64">
        <f t="shared" si="1"/>
        <v>1.065040650406504</v>
      </c>
    </row>
    <row r="16" spans="1:26" x14ac:dyDescent="0.25">
      <c r="A16" s="8">
        <f>'Water Reading'!A15</f>
        <v>44605</v>
      </c>
      <c r="B16" s="62">
        <f>TOTAL!I14</f>
        <v>386</v>
      </c>
      <c r="C16" s="63">
        <f>('Water Reading'!B16-'Water Reading'!B15)+('Water Reading'!C16-'Water Reading'!C15)</f>
        <v>277</v>
      </c>
      <c r="D16" s="64">
        <f t="shared" si="2"/>
        <v>0.71761658031088082</v>
      </c>
      <c r="E16" s="82">
        <f>'Water Reading'!H16-'Water Reading'!H15</f>
        <v>0</v>
      </c>
      <c r="F16" s="83">
        <f t="shared" si="3"/>
        <v>0</v>
      </c>
      <c r="G16" s="87">
        <f>('Water Reading'!D16-'Water Reading'!D15)-('Water Reading'!R16-'Water Reading'!R15)-('Water Reading'!Q16-'Water Reading'!Q15)</f>
        <v>277</v>
      </c>
      <c r="H16" s="83">
        <f t="shared" si="4"/>
        <v>1</v>
      </c>
      <c r="I16" s="84">
        <f>'Water Reading'!P16-'Water Reading'!P15</f>
        <v>15</v>
      </c>
      <c r="J16" s="65">
        <f t="shared" si="5"/>
        <v>5.4151624548736461E-2</v>
      </c>
      <c r="K16" s="85">
        <f>('Water Reading'!I16-'Water Reading'!I15)-('Water Reading'!P16-'Water Reading'!P15)</f>
        <v>22</v>
      </c>
      <c r="L16" s="65">
        <f t="shared" si="6"/>
        <v>7.9422382671480149E-2</v>
      </c>
      <c r="M16" s="84">
        <f>'Water Reading'!R16-'Water Reading'!R15</f>
        <v>8</v>
      </c>
      <c r="N16" s="86">
        <f t="shared" si="7"/>
        <v>2.8880866425992781E-2</v>
      </c>
      <c r="O16" s="84">
        <f>'Water Reading'!Q16-'Water Reading'!Q15</f>
        <v>6</v>
      </c>
      <c r="P16" s="91">
        <f t="shared" si="8"/>
        <v>2.1660649819494584E-2</v>
      </c>
      <c r="Q16" s="85">
        <f>'Water Reading'!N16-'Water Reading'!N15</f>
        <v>3</v>
      </c>
      <c r="R16" s="92">
        <f t="shared" si="9"/>
        <v>1.0830324909747292E-2</v>
      </c>
      <c r="S16" s="84">
        <f>'Water Reading'!E16-'Water Reading'!E15</f>
        <v>79</v>
      </c>
      <c r="T16" s="92">
        <f t="shared" si="10"/>
        <v>0.2851985559566787</v>
      </c>
      <c r="U16" s="84">
        <f>'Water Reading'!O16-'Water Reading'!O15</f>
        <v>2</v>
      </c>
      <c r="V16" s="92">
        <f t="shared" si="11"/>
        <v>7.2202166064981952E-3</v>
      </c>
      <c r="W16" s="84">
        <f>'Water Reading'!R16-'Water Reading'!R15</f>
        <v>8</v>
      </c>
      <c r="X16" s="92">
        <f t="shared" si="12"/>
        <v>2.8880866425992781E-2</v>
      </c>
      <c r="Y16" s="63">
        <f t="shared" si="0"/>
        <v>420</v>
      </c>
      <c r="Z16" s="64">
        <f t="shared" si="1"/>
        <v>1.0880829015544042</v>
      </c>
    </row>
    <row r="17" spans="1:26" x14ac:dyDescent="0.25">
      <c r="A17" s="8">
        <f>'Water Reading'!A16</f>
        <v>44606</v>
      </c>
      <c r="B17" s="62">
        <f>TOTAL!I15</f>
        <v>0</v>
      </c>
      <c r="C17" s="63">
        <f>('Water Reading'!B17-'Water Reading'!B16)+('Water Reading'!C17-'Water Reading'!C16)</f>
        <v>199</v>
      </c>
      <c r="D17" s="64" t="e">
        <f t="shared" si="2"/>
        <v>#DIV/0!</v>
      </c>
      <c r="E17" s="82">
        <f>'Water Reading'!H17-'Water Reading'!H16</f>
        <v>0</v>
      </c>
      <c r="F17" s="83">
        <f t="shared" si="3"/>
        <v>0</v>
      </c>
      <c r="G17" s="87">
        <f>('Water Reading'!D17-'Water Reading'!D16)-('Water Reading'!R17-'Water Reading'!R16)-('Water Reading'!Q17-'Water Reading'!Q16)</f>
        <v>151</v>
      </c>
      <c r="H17" s="83">
        <f t="shared" si="4"/>
        <v>0.75879396984924619</v>
      </c>
      <c r="I17" s="84">
        <f>'Water Reading'!P17-'Water Reading'!P16</f>
        <v>10</v>
      </c>
      <c r="J17" s="65">
        <f t="shared" si="5"/>
        <v>5.0251256281407038E-2</v>
      </c>
      <c r="K17" s="85">
        <f>('Water Reading'!I17-'Water Reading'!I16)-('Water Reading'!P17-'Water Reading'!P16)</f>
        <v>22</v>
      </c>
      <c r="L17" s="65">
        <f t="shared" si="6"/>
        <v>0.11055276381909548</v>
      </c>
      <c r="M17" s="84">
        <f>'Water Reading'!R17-'Water Reading'!R16</f>
        <v>8</v>
      </c>
      <c r="N17" s="86">
        <f t="shared" si="7"/>
        <v>4.0201005025125629E-2</v>
      </c>
      <c r="O17" s="84">
        <f>'Water Reading'!Q17-'Water Reading'!Q16</f>
        <v>2</v>
      </c>
      <c r="P17" s="91">
        <f t="shared" si="8"/>
        <v>1.0050251256281407E-2</v>
      </c>
      <c r="Q17" s="85">
        <f>'Water Reading'!N17-'Water Reading'!N16</f>
        <v>3</v>
      </c>
      <c r="R17" s="92">
        <f t="shared" si="9"/>
        <v>1.507537688442211E-2</v>
      </c>
      <c r="S17" s="84">
        <f>'Water Reading'!E17-'Water Reading'!E16</f>
        <v>-39928</v>
      </c>
      <c r="T17" s="92">
        <f t="shared" si="10"/>
        <v>-200.643216080402</v>
      </c>
      <c r="U17" s="84">
        <f>'Water Reading'!O17-'Water Reading'!O16</f>
        <v>1</v>
      </c>
      <c r="V17" s="92">
        <f t="shared" si="11"/>
        <v>5.0251256281407036E-3</v>
      </c>
      <c r="W17" s="84">
        <f>'Water Reading'!R17-'Water Reading'!R16</f>
        <v>8</v>
      </c>
      <c r="X17" s="92">
        <f t="shared" si="12"/>
        <v>4.0201005025125629E-2</v>
      </c>
      <c r="Y17" s="63">
        <f t="shared" si="0"/>
        <v>-39723</v>
      </c>
      <c r="Z17" s="64" t="e">
        <f t="shared" si="1"/>
        <v>#DIV/0!</v>
      </c>
    </row>
    <row r="18" spans="1:26" x14ac:dyDescent="0.25">
      <c r="A18" s="8">
        <f>'Water Reading'!A17</f>
        <v>44607</v>
      </c>
      <c r="B18" s="62">
        <f>TOTAL!I16</f>
        <v>0</v>
      </c>
      <c r="C18" s="63">
        <f>('Water Reading'!B18-'Water Reading'!B17)+('Water Reading'!C18-'Water Reading'!C17)</f>
        <v>238</v>
      </c>
      <c r="D18" s="64" t="e">
        <f t="shared" si="2"/>
        <v>#DIV/0!</v>
      </c>
      <c r="E18" s="82">
        <f>'Water Reading'!H18-'Water Reading'!H17</f>
        <v>0</v>
      </c>
      <c r="F18" s="83">
        <f t="shared" si="3"/>
        <v>0</v>
      </c>
      <c r="G18" s="87">
        <f>('Water Reading'!D18-'Water Reading'!D17)-('Water Reading'!R18-'Water Reading'!R17)-('Water Reading'!Q18-'Water Reading'!Q17)</f>
        <v>195</v>
      </c>
      <c r="H18" s="83">
        <f t="shared" si="4"/>
        <v>0.81932773109243695</v>
      </c>
      <c r="I18" s="84">
        <f>'Water Reading'!P18-'Water Reading'!P17</f>
        <v>9</v>
      </c>
      <c r="J18" s="65">
        <f t="shared" si="5"/>
        <v>3.7815126050420166E-2</v>
      </c>
      <c r="K18" s="85">
        <f>('Water Reading'!I18-'Water Reading'!I17)-('Water Reading'!P18-'Water Reading'!P17)</f>
        <v>23</v>
      </c>
      <c r="L18" s="65">
        <f t="shared" si="6"/>
        <v>9.6638655462184878E-2</v>
      </c>
      <c r="M18" s="84">
        <f>'Water Reading'!R18-'Water Reading'!R17</f>
        <v>7</v>
      </c>
      <c r="N18" s="86">
        <f t="shared" si="7"/>
        <v>2.9411764705882353E-2</v>
      </c>
      <c r="O18" s="84">
        <f>'Water Reading'!Q18-'Water Reading'!Q17</f>
        <v>8</v>
      </c>
      <c r="P18" s="91">
        <f t="shared" si="8"/>
        <v>3.3613445378151259E-2</v>
      </c>
      <c r="Q18" s="85">
        <f>'Water Reading'!N18-'Water Reading'!N17</f>
        <v>3</v>
      </c>
      <c r="R18" s="92">
        <f t="shared" si="9"/>
        <v>1.2605042016806723E-2</v>
      </c>
      <c r="S18" s="84">
        <f>'Water Reading'!E18-'Water Reading'!E17</f>
        <v>40086</v>
      </c>
      <c r="T18" s="92">
        <f t="shared" si="10"/>
        <v>168.42857142857142</v>
      </c>
      <c r="U18" s="84">
        <f>'Water Reading'!O18-'Water Reading'!O17</f>
        <v>1</v>
      </c>
      <c r="V18" s="92">
        <f t="shared" si="11"/>
        <v>4.2016806722689074E-3</v>
      </c>
      <c r="W18" s="84">
        <f>'Water Reading'!R18-'Water Reading'!R17</f>
        <v>7</v>
      </c>
      <c r="X18" s="92">
        <f t="shared" si="12"/>
        <v>2.9411764705882353E-2</v>
      </c>
      <c r="Y18" s="63">
        <f t="shared" si="0"/>
        <v>40339</v>
      </c>
      <c r="Z18" s="64" t="e">
        <f t="shared" si="1"/>
        <v>#DIV/0!</v>
      </c>
    </row>
    <row r="19" spans="1:26" x14ac:dyDescent="0.25">
      <c r="A19" s="8">
        <f>'Water Reading'!A18</f>
        <v>44608</v>
      </c>
      <c r="B19" s="62">
        <f>TOTAL!I17</f>
        <v>0</v>
      </c>
      <c r="C19" s="63">
        <f>('Water Reading'!B19-'Water Reading'!B18)+('Water Reading'!C19-'Water Reading'!C18)</f>
        <v>260</v>
      </c>
      <c r="D19" s="64" t="e">
        <f t="shared" si="2"/>
        <v>#DIV/0!</v>
      </c>
      <c r="E19" s="82">
        <f>'Water Reading'!H19-'Water Reading'!H18</f>
        <v>90</v>
      </c>
      <c r="F19" s="83">
        <f t="shared" si="3"/>
        <v>0.34615384615384615</v>
      </c>
      <c r="G19" s="87">
        <f>('Water Reading'!D19-'Water Reading'!D18)-('Water Reading'!R19-'Water Reading'!R18)-('Water Reading'!Q19-'Water Reading'!Q18)</f>
        <v>225</v>
      </c>
      <c r="H19" s="83">
        <f t="shared" si="4"/>
        <v>0.86538461538461542</v>
      </c>
      <c r="I19" s="84">
        <f>'Water Reading'!P19-'Water Reading'!P18</f>
        <v>9</v>
      </c>
      <c r="J19" s="65">
        <f t="shared" si="5"/>
        <v>3.4615384615384617E-2</v>
      </c>
      <c r="K19" s="85">
        <f>('Water Reading'!I19-'Water Reading'!I18)-('Water Reading'!P19-'Water Reading'!P18)</f>
        <v>25</v>
      </c>
      <c r="L19" s="65">
        <f t="shared" si="6"/>
        <v>9.6153846153846159E-2</v>
      </c>
      <c r="M19" s="84">
        <f>'Water Reading'!R19-'Water Reading'!R18</f>
        <v>8</v>
      </c>
      <c r="N19" s="86">
        <f t="shared" si="7"/>
        <v>3.0769230769230771E-2</v>
      </c>
      <c r="O19" s="84">
        <f>'Water Reading'!Q19-'Water Reading'!Q18</f>
        <v>2</v>
      </c>
      <c r="P19" s="91">
        <f t="shared" si="8"/>
        <v>7.6923076923076927E-3</v>
      </c>
      <c r="Q19" s="85">
        <f>'Water Reading'!N19-'Water Reading'!N18</f>
        <v>3</v>
      </c>
      <c r="R19" s="92">
        <f t="shared" si="9"/>
        <v>1.1538461538461539E-2</v>
      </c>
      <c r="S19" s="84">
        <f>'Water Reading'!E19-'Water Reading'!E18</f>
        <v>181</v>
      </c>
      <c r="T19" s="92">
        <f t="shared" si="10"/>
        <v>0.69615384615384612</v>
      </c>
      <c r="U19" s="84">
        <f>'Water Reading'!O19-'Water Reading'!O18</f>
        <v>1</v>
      </c>
      <c r="V19" s="92">
        <f t="shared" si="11"/>
        <v>3.8461538461538464E-3</v>
      </c>
      <c r="W19" s="84">
        <f>'Water Reading'!R19-'Water Reading'!R18</f>
        <v>8</v>
      </c>
      <c r="X19" s="92">
        <f t="shared" si="12"/>
        <v>3.0769230769230771E-2</v>
      </c>
      <c r="Y19" s="63">
        <f t="shared" si="0"/>
        <v>552</v>
      </c>
      <c r="Z19" s="64" t="e">
        <f t="shared" si="1"/>
        <v>#DIV/0!</v>
      </c>
    </row>
    <row r="20" spans="1:26" x14ac:dyDescent="0.25">
      <c r="A20" s="8">
        <f>'Water Reading'!A19</f>
        <v>44609</v>
      </c>
      <c r="B20" s="62">
        <f>TOTAL!I18</f>
        <v>0</v>
      </c>
      <c r="C20" s="63">
        <f>('Water Reading'!B20-'Water Reading'!B19)+('Water Reading'!C20-'Water Reading'!C19)</f>
        <v>255</v>
      </c>
      <c r="D20" s="64" t="e">
        <f t="shared" si="2"/>
        <v>#DIV/0!</v>
      </c>
      <c r="E20" s="82">
        <f>'Water Reading'!H20-'Water Reading'!H19</f>
        <v>90</v>
      </c>
      <c r="F20" s="83">
        <f t="shared" si="3"/>
        <v>0.35294117647058826</v>
      </c>
      <c r="G20" s="87">
        <f>('Water Reading'!D20-'Water Reading'!D19)-('Water Reading'!R20-'Water Reading'!R19)-('Water Reading'!Q20-'Water Reading'!Q19)</f>
        <v>203</v>
      </c>
      <c r="H20" s="83">
        <f t="shared" si="4"/>
        <v>0.79607843137254897</v>
      </c>
      <c r="I20" s="84">
        <f>'Water Reading'!P20-'Water Reading'!P19</f>
        <v>20</v>
      </c>
      <c r="J20" s="65">
        <f t="shared" si="5"/>
        <v>7.8431372549019607E-2</v>
      </c>
      <c r="K20" s="85">
        <f>('Water Reading'!I20-'Water Reading'!I19)-('Water Reading'!P20-'Water Reading'!P19)</f>
        <v>23</v>
      </c>
      <c r="L20" s="65">
        <f t="shared" si="6"/>
        <v>9.0196078431372548E-2</v>
      </c>
      <c r="M20" s="84">
        <f>'Water Reading'!R20-'Water Reading'!R19</f>
        <v>8</v>
      </c>
      <c r="N20" s="86">
        <f t="shared" si="7"/>
        <v>3.1372549019607843E-2</v>
      </c>
      <c r="O20" s="84">
        <f>'Water Reading'!Q20-'Water Reading'!Q19</f>
        <v>1</v>
      </c>
      <c r="P20" s="91">
        <f t="shared" si="8"/>
        <v>3.9215686274509803E-3</v>
      </c>
      <c r="Q20" s="85">
        <f>'Water Reading'!N20-'Water Reading'!N19</f>
        <v>3</v>
      </c>
      <c r="R20" s="92">
        <f t="shared" si="9"/>
        <v>1.1764705882352941E-2</v>
      </c>
      <c r="S20" s="84">
        <f>'Water Reading'!E20-'Water Reading'!E19</f>
        <v>-21</v>
      </c>
      <c r="T20" s="92">
        <f t="shared" si="10"/>
        <v>-8.2352941176470587E-2</v>
      </c>
      <c r="U20" s="84">
        <f>'Water Reading'!O20-'Water Reading'!O19</f>
        <v>1</v>
      </c>
      <c r="V20" s="92">
        <f t="shared" si="11"/>
        <v>3.9215686274509803E-3</v>
      </c>
      <c r="W20" s="84">
        <f>'Water Reading'!R20-'Water Reading'!R19</f>
        <v>8</v>
      </c>
      <c r="X20" s="92">
        <f t="shared" si="12"/>
        <v>3.1372549019607843E-2</v>
      </c>
      <c r="Y20" s="63">
        <f t="shared" si="0"/>
        <v>336</v>
      </c>
      <c r="Z20" s="64" t="e">
        <f t="shared" si="1"/>
        <v>#DIV/0!</v>
      </c>
    </row>
    <row r="21" spans="1:26" x14ac:dyDescent="0.25">
      <c r="A21" s="8">
        <f>'Water Reading'!A20</f>
        <v>44610</v>
      </c>
      <c r="B21" s="62">
        <f>TOTAL!I19</f>
        <v>0</v>
      </c>
      <c r="C21" s="63">
        <f>('Water Reading'!B21-'Water Reading'!B20)+('Water Reading'!C21-'Water Reading'!C20)</f>
        <v>-209410</v>
      </c>
      <c r="D21" s="64" t="e">
        <f t="shared" si="2"/>
        <v>#DIV/0!</v>
      </c>
      <c r="E21" s="82">
        <f>'Water Reading'!H21-'Water Reading'!H20</f>
        <v>-60041</v>
      </c>
      <c r="F21" s="83">
        <f t="shared" si="3"/>
        <v>0.28671505658755553</v>
      </c>
      <c r="G21" s="87">
        <f>('Water Reading'!D21-'Water Reading'!D20)-('Water Reading'!R21-'Water Reading'!R20)-('Water Reading'!Q21-'Water Reading'!Q20)</f>
        <v>-240946</v>
      </c>
      <c r="H21" s="83">
        <f t="shared" si="4"/>
        <v>1.1505945274819731</v>
      </c>
      <c r="I21" s="84">
        <f>'Water Reading'!P21-'Water Reading'!P20</f>
        <v>-29727</v>
      </c>
      <c r="J21" s="65">
        <f t="shared" si="5"/>
        <v>0.14195597153908601</v>
      </c>
      <c r="K21" s="85">
        <f>('Water Reading'!I21-'Water Reading'!I20)-('Water Reading'!P21-'Water Reading'!P20)</f>
        <v>-41784</v>
      </c>
      <c r="L21" s="65">
        <f t="shared" si="6"/>
        <v>0.19953201852824604</v>
      </c>
      <c r="M21" s="84">
        <f>'Water Reading'!R21-'Water Reading'!R20</f>
        <v>-7658</v>
      </c>
      <c r="N21" s="86">
        <f t="shared" si="7"/>
        <v>3.656940929277494E-2</v>
      </c>
      <c r="O21" s="84">
        <f>'Water Reading'!Q21-'Water Reading'!Q20</f>
        <v>-1326</v>
      </c>
      <c r="P21" s="91">
        <f t="shared" si="8"/>
        <v>6.332075832099709E-3</v>
      </c>
      <c r="Q21" s="85">
        <f>'Water Reading'!N21-'Water Reading'!N20</f>
        <v>-8355</v>
      </c>
      <c r="R21" s="92">
        <f t="shared" si="9"/>
        <v>3.9897808127596579E-2</v>
      </c>
      <c r="S21" s="84">
        <f>'Water Reading'!E21-'Water Reading'!E20</f>
        <v>-263305</v>
      </c>
      <c r="T21" s="92">
        <f t="shared" si="10"/>
        <v>1.2573659328589848</v>
      </c>
      <c r="U21" s="84">
        <f>'Water Reading'!O21-'Water Reading'!O20</f>
        <v>-1971</v>
      </c>
      <c r="V21" s="92">
        <f t="shared" si="11"/>
        <v>9.4121579676233226E-3</v>
      </c>
      <c r="W21" s="84">
        <f>'Water Reading'!R21-'Water Reading'!R20</f>
        <v>-7658</v>
      </c>
      <c r="X21" s="92">
        <f t="shared" si="12"/>
        <v>3.656940929277494E-2</v>
      </c>
      <c r="Y21" s="63">
        <f t="shared" si="0"/>
        <v>-662771</v>
      </c>
      <c r="Z21" s="64" t="e">
        <f t="shared" si="1"/>
        <v>#DIV/0!</v>
      </c>
    </row>
    <row r="22" spans="1:26" x14ac:dyDescent="0.25">
      <c r="A22" s="8">
        <f>'Water Reading'!A21</f>
        <v>44611</v>
      </c>
      <c r="B22" s="62">
        <f>TOTAL!I20</f>
        <v>0</v>
      </c>
      <c r="C22" s="63">
        <f>('Water Reading'!B22-'Water Reading'!B21)+('Water Reading'!C22-'Water Reading'!C21)</f>
        <v>0</v>
      </c>
      <c r="D22" s="64" t="e">
        <f t="shared" si="2"/>
        <v>#DIV/0!</v>
      </c>
      <c r="E22" s="82">
        <f>'Water Reading'!H22-'Water Reading'!H21</f>
        <v>0</v>
      </c>
      <c r="F22" s="83" t="e">
        <f t="shared" si="3"/>
        <v>#DIV/0!</v>
      </c>
      <c r="G22" s="87">
        <f>('Water Reading'!D22-'Water Reading'!D21)-('Water Reading'!R22-'Water Reading'!R21)-('Water Reading'!Q22-'Water Reading'!Q21)</f>
        <v>0</v>
      </c>
      <c r="H22" s="83" t="e">
        <f t="shared" si="4"/>
        <v>#DIV/0!</v>
      </c>
      <c r="I22" s="84">
        <f>'Water Reading'!P22-'Water Reading'!P21</f>
        <v>0</v>
      </c>
      <c r="J22" s="65" t="e">
        <f t="shared" si="5"/>
        <v>#DIV/0!</v>
      </c>
      <c r="K22" s="85">
        <f>('Water Reading'!I22-'Water Reading'!I21)-('Water Reading'!P22-'Water Reading'!P21)</f>
        <v>0</v>
      </c>
      <c r="L22" s="65" t="e">
        <f t="shared" si="6"/>
        <v>#DIV/0!</v>
      </c>
      <c r="M22" s="84">
        <f>'Water Reading'!R22-'Water Reading'!R21</f>
        <v>0</v>
      </c>
      <c r="N22" s="86" t="e">
        <f t="shared" si="7"/>
        <v>#DIV/0!</v>
      </c>
      <c r="O22" s="84">
        <f>'Water Reading'!Q22-'Water Reading'!Q21</f>
        <v>0</v>
      </c>
      <c r="P22" s="91" t="e">
        <f t="shared" si="8"/>
        <v>#DIV/0!</v>
      </c>
      <c r="Q22" s="85">
        <f>'Water Reading'!N22-'Water Reading'!N21</f>
        <v>0</v>
      </c>
      <c r="R22" s="92" t="e">
        <f t="shared" si="9"/>
        <v>#DIV/0!</v>
      </c>
      <c r="S22" s="84">
        <f>'Water Reading'!E22-'Water Reading'!E21</f>
        <v>0</v>
      </c>
      <c r="T22" s="92" t="e">
        <f t="shared" si="10"/>
        <v>#DIV/0!</v>
      </c>
      <c r="U22" s="84">
        <f>'Water Reading'!O22-'Water Reading'!O21</f>
        <v>0</v>
      </c>
      <c r="V22" s="92" t="e">
        <f t="shared" si="11"/>
        <v>#DIV/0!</v>
      </c>
      <c r="W22" s="84">
        <f>'Water Reading'!R22-'Water Reading'!R21</f>
        <v>0</v>
      </c>
      <c r="X22" s="92" t="e">
        <f t="shared" si="12"/>
        <v>#DIV/0!</v>
      </c>
      <c r="Y22" s="63">
        <f t="shared" si="0"/>
        <v>0</v>
      </c>
      <c r="Z22" s="64" t="e">
        <f t="shared" si="1"/>
        <v>#DIV/0!</v>
      </c>
    </row>
    <row r="23" spans="1:26" x14ac:dyDescent="0.25">
      <c r="A23" s="8">
        <f>'Water Reading'!A22</f>
        <v>44612</v>
      </c>
      <c r="B23" s="62">
        <f>TOTAL!I21</f>
        <v>0</v>
      </c>
      <c r="C23" s="63">
        <f>('Water Reading'!B23-'Water Reading'!B22)+('Water Reading'!C23-'Water Reading'!C22)</f>
        <v>0</v>
      </c>
      <c r="D23" s="64" t="e">
        <f t="shared" si="2"/>
        <v>#DIV/0!</v>
      </c>
      <c r="E23" s="82">
        <f>'Water Reading'!H23-'Water Reading'!H22</f>
        <v>0</v>
      </c>
      <c r="F23" s="83" t="e">
        <f t="shared" si="3"/>
        <v>#DIV/0!</v>
      </c>
      <c r="G23" s="87">
        <f>('Water Reading'!D23-'Water Reading'!D22)-('Water Reading'!R23-'Water Reading'!R22)-('Water Reading'!Q23-'Water Reading'!Q22)</f>
        <v>0</v>
      </c>
      <c r="H23" s="83" t="e">
        <f t="shared" si="4"/>
        <v>#DIV/0!</v>
      </c>
      <c r="I23" s="84">
        <f>'Water Reading'!P23-'Water Reading'!P22</f>
        <v>0</v>
      </c>
      <c r="J23" s="65" t="e">
        <f t="shared" si="5"/>
        <v>#DIV/0!</v>
      </c>
      <c r="K23" s="85">
        <f>('Water Reading'!I23-'Water Reading'!I22)-('Water Reading'!P23-'Water Reading'!P22)</f>
        <v>0</v>
      </c>
      <c r="L23" s="65" t="e">
        <f t="shared" si="6"/>
        <v>#DIV/0!</v>
      </c>
      <c r="M23" s="84">
        <f>'Water Reading'!R23-'Water Reading'!R22</f>
        <v>0</v>
      </c>
      <c r="N23" s="86" t="e">
        <f t="shared" si="7"/>
        <v>#DIV/0!</v>
      </c>
      <c r="O23" s="84">
        <f>'Water Reading'!Q23-'Water Reading'!Q22</f>
        <v>0</v>
      </c>
      <c r="P23" s="91" t="e">
        <f t="shared" si="8"/>
        <v>#DIV/0!</v>
      </c>
      <c r="Q23" s="85">
        <f>'Water Reading'!N23-'Water Reading'!N22</f>
        <v>0</v>
      </c>
      <c r="R23" s="92" t="e">
        <f t="shared" si="9"/>
        <v>#DIV/0!</v>
      </c>
      <c r="S23" s="84">
        <f>'Water Reading'!E23-'Water Reading'!E22</f>
        <v>0</v>
      </c>
      <c r="T23" s="92" t="e">
        <f t="shared" si="10"/>
        <v>#DIV/0!</v>
      </c>
      <c r="U23" s="84">
        <f>'Water Reading'!O23-'Water Reading'!O22</f>
        <v>0</v>
      </c>
      <c r="V23" s="92" t="e">
        <f t="shared" si="11"/>
        <v>#DIV/0!</v>
      </c>
      <c r="W23" s="84">
        <f>'Water Reading'!R23-'Water Reading'!R22</f>
        <v>0</v>
      </c>
      <c r="X23" s="92" t="e">
        <f t="shared" si="12"/>
        <v>#DIV/0!</v>
      </c>
      <c r="Y23" s="63">
        <f t="shared" si="0"/>
        <v>0</v>
      </c>
      <c r="Z23" s="64" t="e">
        <f t="shared" si="1"/>
        <v>#DIV/0!</v>
      </c>
    </row>
    <row r="24" spans="1:26" x14ac:dyDescent="0.25">
      <c r="A24" s="8">
        <f>'Water Reading'!A23</f>
        <v>44613</v>
      </c>
      <c r="B24" s="62">
        <f>TOTAL!I22</f>
        <v>0</v>
      </c>
      <c r="C24" s="63">
        <f>('Water Reading'!B24-'Water Reading'!B23)+('Water Reading'!C24-'Water Reading'!C23)</f>
        <v>0</v>
      </c>
      <c r="D24" s="64" t="e">
        <f t="shared" si="2"/>
        <v>#DIV/0!</v>
      </c>
      <c r="E24" s="82">
        <f>'Water Reading'!H24-'Water Reading'!H23</f>
        <v>0</v>
      </c>
      <c r="F24" s="83" t="e">
        <f t="shared" si="3"/>
        <v>#DIV/0!</v>
      </c>
      <c r="G24" s="87">
        <f>('Water Reading'!D24-'Water Reading'!D23)-('Water Reading'!R24-'Water Reading'!R23)-('Water Reading'!Q24-'Water Reading'!Q23)</f>
        <v>0</v>
      </c>
      <c r="H24" s="83" t="e">
        <f t="shared" si="4"/>
        <v>#DIV/0!</v>
      </c>
      <c r="I24" s="84">
        <f>'Water Reading'!P24-'Water Reading'!P23</f>
        <v>0</v>
      </c>
      <c r="J24" s="65" t="e">
        <f t="shared" si="5"/>
        <v>#DIV/0!</v>
      </c>
      <c r="K24" s="85">
        <f>('Water Reading'!I24-'Water Reading'!I23)-('Water Reading'!P24-'Water Reading'!P23)</f>
        <v>0</v>
      </c>
      <c r="L24" s="65" t="e">
        <f t="shared" si="6"/>
        <v>#DIV/0!</v>
      </c>
      <c r="M24" s="84">
        <f>'Water Reading'!R24-'Water Reading'!R23</f>
        <v>0</v>
      </c>
      <c r="N24" s="86" t="e">
        <f t="shared" si="7"/>
        <v>#DIV/0!</v>
      </c>
      <c r="O24" s="84">
        <f>'Water Reading'!Q24-'Water Reading'!Q23</f>
        <v>0</v>
      </c>
      <c r="P24" s="91" t="e">
        <f t="shared" si="8"/>
        <v>#DIV/0!</v>
      </c>
      <c r="Q24" s="85">
        <f>'Water Reading'!N24-'Water Reading'!N23</f>
        <v>0</v>
      </c>
      <c r="R24" s="92" t="e">
        <f t="shared" si="9"/>
        <v>#DIV/0!</v>
      </c>
      <c r="S24" s="84">
        <f>'Water Reading'!E24-'Water Reading'!E23</f>
        <v>0</v>
      </c>
      <c r="T24" s="92" t="e">
        <f t="shared" si="10"/>
        <v>#DIV/0!</v>
      </c>
      <c r="U24" s="84">
        <f>'Water Reading'!O24-'Water Reading'!O23</f>
        <v>0</v>
      </c>
      <c r="V24" s="92" t="e">
        <f t="shared" si="11"/>
        <v>#DIV/0!</v>
      </c>
      <c r="W24" s="84">
        <f>'Water Reading'!R24-'Water Reading'!R23</f>
        <v>0</v>
      </c>
      <c r="X24" s="92" t="e">
        <f t="shared" si="12"/>
        <v>#DIV/0!</v>
      </c>
      <c r="Y24" s="63">
        <f t="shared" si="0"/>
        <v>0</v>
      </c>
      <c r="Z24" s="64" t="e">
        <f t="shared" si="1"/>
        <v>#DIV/0!</v>
      </c>
    </row>
    <row r="25" spans="1:26" x14ac:dyDescent="0.25">
      <c r="A25" s="8">
        <f>'Water Reading'!A24</f>
        <v>44614</v>
      </c>
      <c r="B25" s="62">
        <f>TOTAL!I23</f>
        <v>0</v>
      </c>
      <c r="C25" s="63">
        <f>('Water Reading'!B25-'Water Reading'!B24)+('Water Reading'!C25-'Water Reading'!C24)</f>
        <v>0</v>
      </c>
      <c r="D25" s="64" t="e">
        <f t="shared" si="2"/>
        <v>#DIV/0!</v>
      </c>
      <c r="E25" s="82">
        <f>'Water Reading'!H25-'Water Reading'!H24</f>
        <v>0</v>
      </c>
      <c r="F25" s="83" t="e">
        <f t="shared" si="3"/>
        <v>#DIV/0!</v>
      </c>
      <c r="G25" s="87">
        <f>('Water Reading'!D25-'Water Reading'!D24)-('Water Reading'!R25-'Water Reading'!R24)-('Water Reading'!Q25-'Water Reading'!Q24)</f>
        <v>0</v>
      </c>
      <c r="H25" s="83" t="e">
        <f t="shared" si="4"/>
        <v>#DIV/0!</v>
      </c>
      <c r="I25" s="84">
        <f>'Water Reading'!P25-'Water Reading'!P24</f>
        <v>0</v>
      </c>
      <c r="J25" s="65" t="e">
        <f t="shared" si="5"/>
        <v>#DIV/0!</v>
      </c>
      <c r="K25" s="85">
        <f>('Water Reading'!I25-'Water Reading'!I24)-('Water Reading'!P25-'Water Reading'!P24)</f>
        <v>0</v>
      </c>
      <c r="L25" s="65" t="e">
        <f t="shared" si="6"/>
        <v>#DIV/0!</v>
      </c>
      <c r="M25" s="84">
        <f>'Water Reading'!R25-'Water Reading'!R24</f>
        <v>0</v>
      </c>
      <c r="N25" s="86" t="e">
        <f t="shared" si="7"/>
        <v>#DIV/0!</v>
      </c>
      <c r="O25" s="84">
        <f>'Water Reading'!Q25-'Water Reading'!Q24</f>
        <v>0</v>
      </c>
      <c r="P25" s="91" t="e">
        <f t="shared" si="8"/>
        <v>#DIV/0!</v>
      </c>
      <c r="Q25" s="85">
        <f>'Water Reading'!N25-'Water Reading'!N24</f>
        <v>0</v>
      </c>
      <c r="R25" s="92" t="e">
        <f t="shared" si="9"/>
        <v>#DIV/0!</v>
      </c>
      <c r="S25" s="84">
        <f>'Water Reading'!E25-'Water Reading'!E24</f>
        <v>0</v>
      </c>
      <c r="T25" s="92" t="e">
        <f t="shared" si="10"/>
        <v>#DIV/0!</v>
      </c>
      <c r="U25" s="84">
        <f>'Water Reading'!O25-'Water Reading'!O24</f>
        <v>0</v>
      </c>
      <c r="V25" s="92" t="e">
        <f t="shared" si="11"/>
        <v>#DIV/0!</v>
      </c>
      <c r="W25" s="84">
        <f>'Water Reading'!R25-'Water Reading'!R24</f>
        <v>0</v>
      </c>
      <c r="X25" s="92" t="e">
        <f t="shared" si="12"/>
        <v>#DIV/0!</v>
      </c>
      <c r="Y25" s="63">
        <f t="shared" si="0"/>
        <v>0</v>
      </c>
      <c r="Z25" s="64" t="e">
        <f t="shared" si="1"/>
        <v>#DIV/0!</v>
      </c>
    </row>
    <row r="26" spans="1:26" x14ac:dyDescent="0.25">
      <c r="A26" s="8">
        <f>'Water Reading'!A25</f>
        <v>44615</v>
      </c>
      <c r="B26" s="62">
        <f>TOTAL!I24</f>
        <v>0</v>
      </c>
      <c r="C26" s="63">
        <f>('Water Reading'!B26-'Water Reading'!B25)+('Water Reading'!C26-'Water Reading'!C25)</f>
        <v>0</v>
      </c>
      <c r="D26" s="64" t="e">
        <f t="shared" si="2"/>
        <v>#DIV/0!</v>
      </c>
      <c r="E26" s="82">
        <f>'Water Reading'!H26-'Water Reading'!H25</f>
        <v>0</v>
      </c>
      <c r="F26" s="83" t="e">
        <f t="shared" si="3"/>
        <v>#DIV/0!</v>
      </c>
      <c r="G26" s="87">
        <f>('Water Reading'!D26-'Water Reading'!D25)-('Water Reading'!R26-'Water Reading'!R25)-('Water Reading'!Q26-'Water Reading'!Q25)</f>
        <v>0</v>
      </c>
      <c r="H26" s="83" t="e">
        <f t="shared" si="4"/>
        <v>#DIV/0!</v>
      </c>
      <c r="I26" s="84">
        <f>'Water Reading'!P26-'Water Reading'!P25</f>
        <v>0</v>
      </c>
      <c r="J26" s="65" t="e">
        <f t="shared" si="5"/>
        <v>#DIV/0!</v>
      </c>
      <c r="K26" s="85">
        <f>('Water Reading'!I26-'Water Reading'!I25)-('Water Reading'!P26-'Water Reading'!P25)</f>
        <v>0</v>
      </c>
      <c r="L26" s="65" t="e">
        <f t="shared" si="6"/>
        <v>#DIV/0!</v>
      </c>
      <c r="M26" s="84">
        <f>'Water Reading'!R26-'Water Reading'!R25</f>
        <v>0</v>
      </c>
      <c r="N26" s="86" t="e">
        <f t="shared" si="7"/>
        <v>#DIV/0!</v>
      </c>
      <c r="O26" s="84">
        <f>'Water Reading'!Q26-'Water Reading'!Q25</f>
        <v>0</v>
      </c>
      <c r="P26" s="91" t="e">
        <f t="shared" si="8"/>
        <v>#DIV/0!</v>
      </c>
      <c r="Q26" s="85">
        <f>'Water Reading'!N26-'Water Reading'!N25</f>
        <v>0</v>
      </c>
      <c r="R26" s="92" t="e">
        <f t="shared" si="9"/>
        <v>#DIV/0!</v>
      </c>
      <c r="S26" s="84">
        <f>'Water Reading'!E26-'Water Reading'!E25</f>
        <v>0</v>
      </c>
      <c r="T26" s="92" t="e">
        <f t="shared" si="10"/>
        <v>#DIV/0!</v>
      </c>
      <c r="U26" s="84">
        <f>'Water Reading'!O26-'Water Reading'!O25</f>
        <v>0</v>
      </c>
      <c r="V26" s="92" t="e">
        <f t="shared" si="11"/>
        <v>#DIV/0!</v>
      </c>
      <c r="W26" s="84">
        <f>'Water Reading'!R26-'Water Reading'!R25</f>
        <v>0</v>
      </c>
      <c r="X26" s="92" t="e">
        <f t="shared" si="12"/>
        <v>#DIV/0!</v>
      </c>
      <c r="Y26" s="63">
        <f t="shared" si="0"/>
        <v>0</v>
      </c>
      <c r="Z26" s="64" t="e">
        <f t="shared" si="1"/>
        <v>#DIV/0!</v>
      </c>
    </row>
    <row r="27" spans="1:26" x14ac:dyDescent="0.25">
      <c r="A27" s="8">
        <f>'Water Reading'!A26</f>
        <v>44616</v>
      </c>
      <c r="B27" s="62">
        <f>TOTAL!I25</f>
        <v>0</v>
      </c>
      <c r="C27" s="63">
        <f>('Water Reading'!B27-'Water Reading'!B26)+('Water Reading'!C27-'Water Reading'!C26)</f>
        <v>0</v>
      </c>
      <c r="D27" s="64" t="e">
        <f t="shared" si="2"/>
        <v>#DIV/0!</v>
      </c>
      <c r="E27" s="82">
        <f>'Water Reading'!H27-'Water Reading'!H26</f>
        <v>0</v>
      </c>
      <c r="F27" s="83" t="e">
        <f t="shared" si="3"/>
        <v>#DIV/0!</v>
      </c>
      <c r="G27" s="87">
        <f>('Water Reading'!D27-'Water Reading'!D26)-('Water Reading'!R27-'Water Reading'!R26)-('Water Reading'!Q27-'Water Reading'!Q26)</f>
        <v>0</v>
      </c>
      <c r="H27" s="83" t="e">
        <f t="shared" si="4"/>
        <v>#DIV/0!</v>
      </c>
      <c r="I27" s="84">
        <f>'Water Reading'!P27-'Water Reading'!P26</f>
        <v>0</v>
      </c>
      <c r="J27" s="65" t="e">
        <f t="shared" si="5"/>
        <v>#DIV/0!</v>
      </c>
      <c r="K27" s="85">
        <f>('Water Reading'!I27-'Water Reading'!I26)-('Water Reading'!P27-'Water Reading'!P26)</f>
        <v>0</v>
      </c>
      <c r="L27" s="65" t="e">
        <f t="shared" si="6"/>
        <v>#DIV/0!</v>
      </c>
      <c r="M27" s="84">
        <f>'Water Reading'!R27-'Water Reading'!R26</f>
        <v>0</v>
      </c>
      <c r="N27" s="86" t="e">
        <f t="shared" si="7"/>
        <v>#DIV/0!</v>
      </c>
      <c r="O27" s="84">
        <f>'Water Reading'!Q27-'Water Reading'!Q26</f>
        <v>0</v>
      </c>
      <c r="P27" s="91" t="e">
        <f t="shared" si="8"/>
        <v>#DIV/0!</v>
      </c>
      <c r="Q27" s="85">
        <f>'Water Reading'!N27-'Water Reading'!N26</f>
        <v>0</v>
      </c>
      <c r="R27" s="92" t="e">
        <f t="shared" si="9"/>
        <v>#DIV/0!</v>
      </c>
      <c r="S27" s="84">
        <f>'Water Reading'!E27-'Water Reading'!E26</f>
        <v>0</v>
      </c>
      <c r="T27" s="92" t="e">
        <f t="shared" si="10"/>
        <v>#DIV/0!</v>
      </c>
      <c r="U27" s="84">
        <f>'Water Reading'!O27-'Water Reading'!O26</f>
        <v>0</v>
      </c>
      <c r="V27" s="92" t="e">
        <f t="shared" si="11"/>
        <v>#DIV/0!</v>
      </c>
      <c r="W27" s="84">
        <f>'Water Reading'!R27-'Water Reading'!R26</f>
        <v>0</v>
      </c>
      <c r="X27" s="92" t="e">
        <f t="shared" si="12"/>
        <v>#DIV/0!</v>
      </c>
      <c r="Y27" s="63">
        <f t="shared" si="0"/>
        <v>0</v>
      </c>
      <c r="Z27" s="64" t="e">
        <f t="shared" si="1"/>
        <v>#DIV/0!</v>
      </c>
    </row>
    <row r="28" spans="1:26" x14ac:dyDescent="0.25">
      <c r="A28" s="8">
        <f>'Water Reading'!A27</f>
        <v>44617</v>
      </c>
      <c r="B28" s="62">
        <f>TOTAL!I26</f>
        <v>0</v>
      </c>
      <c r="C28" s="63">
        <f>('Water Reading'!B28-'Water Reading'!B27)+('Water Reading'!C28-'Water Reading'!C27)</f>
        <v>0</v>
      </c>
      <c r="D28" s="64" t="e">
        <f t="shared" si="2"/>
        <v>#DIV/0!</v>
      </c>
      <c r="E28" s="82">
        <f>'Water Reading'!H28-'Water Reading'!H27</f>
        <v>0</v>
      </c>
      <c r="F28" s="83" t="e">
        <f t="shared" si="3"/>
        <v>#DIV/0!</v>
      </c>
      <c r="G28" s="87">
        <f>('Water Reading'!D28-'Water Reading'!D27)-('Water Reading'!R28-'Water Reading'!R27)-('Water Reading'!Q28-'Water Reading'!Q27)</f>
        <v>0</v>
      </c>
      <c r="H28" s="83" t="e">
        <f t="shared" si="4"/>
        <v>#DIV/0!</v>
      </c>
      <c r="I28" s="84">
        <f>'Water Reading'!P28-'Water Reading'!P27</f>
        <v>0</v>
      </c>
      <c r="J28" s="65" t="e">
        <f t="shared" si="5"/>
        <v>#DIV/0!</v>
      </c>
      <c r="K28" s="85">
        <f>('Water Reading'!I28-'Water Reading'!I27)-('Water Reading'!P28-'Water Reading'!P27)</f>
        <v>0</v>
      </c>
      <c r="L28" s="65" t="e">
        <f t="shared" si="6"/>
        <v>#DIV/0!</v>
      </c>
      <c r="M28" s="84">
        <f>'Water Reading'!R28-'Water Reading'!R27</f>
        <v>0</v>
      </c>
      <c r="N28" s="86" t="e">
        <f t="shared" si="7"/>
        <v>#DIV/0!</v>
      </c>
      <c r="O28" s="84">
        <f>'Water Reading'!Q28-'Water Reading'!Q27</f>
        <v>0</v>
      </c>
      <c r="P28" s="91" t="e">
        <f t="shared" si="8"/>
        <v>#DIV/0!</v>
      </c>
      <c r="Q28" s="85">
        <f>'Water Reading'!N28-'Water Reading'!N27</f>
        <v>0</v>
      </c>
      <c r="R28" s="92" t="e">
        <f t="shared" si="9"/>
        <v>#DIV/0!</v>
      </c>
      <c r="S28" s="84">
        <f>'Water Reading'!E28-'Water Reading'!E27</f>
        <v>0</v>
      </c>
      <c r="T28" s="92" t="e">
        <f t="shared" si="10"/>
        <v>#DIV/0!</v>
      </c>
      <c r="U28" s="84">
        <f>'Water Reading'!O28-'Water Reading'!O27</f>
        <v>0</v>
      </c>
      <c r="V28" s="92" t="e">
        <f t="shared" si="11"/>
        <v>#DIV/0!</v>
      </c>
      <c r="W28" s="84">
        <f>'Water Reading'!R28-'Water Reading'!R27</f>
        <v>0</v>
      </c>
      <c r="X28" s="92" t="e">
        <f t="shared" si="12"/>
        <v>#DIV/0!</v>
      </c>
      <c r="Y28" s="63">
        <f t="shared" si="0"/>
        <v>0</v>
      </c>
      <c r="Z28" s="64" t="e">
        <f t="shared" si="1"/>
        <v>#DIV/0!</v>
      </c>
    </row>
    <row r="29" spans="1:26" x14ac:dyDescent="0.25">
      <c r="A29" s="8">
        <f>'Water Reading'!A28</f>
        <v>44618</v>
      </c>
      <c r="B29" s="62">
        <f>TOTAL!I27</f>
        <v>0</v>
      </c>
      <c r="C29" s="63">
        <f>('Water Reading'!B29-'Water Reading'!B28)+('Water Reading'!C29-'Water Reading'!C28)</f>
        <v>0</v>
      </c>
      <c r="D29" s="64" t="e">
        <f t="shared" si="2"/>
        <v>#DIV/0!</v>
      </c>
      <c r="E29" s="82">
        <f>'Water Reading'!H29-'Water Reading'!H28</f>
        <v>0</v>
      </c>
      <c r="F29" s="83" t="e">
        <f t="shared" si="3"/>
        <v>#DIV/0!</v>
      </c>
      <c r="G29" s="87">
        <f>('Water Reading'!D29-'Water Reading'!D28)-('Water Reading'!R29-'Water Reading'!R28)-('Water Reading'!Q29-'Water Reading'!Q28)</f>
        <v>0</v>
      </c>
      <c r="H29" s="83" t="e">
        <f t="shared" si="4"/>
        <v>#DIV/0!</v>
      </c>
      <c r="I29" s="84">
        <f>'Water Reading'!P29-'Water Reading'!P28</f>
        <v>0</v>
      </c>
      <c r="J29" s="65" t="e">
        <f t="shared" si="5"/>
        <v>#DIV/0!</v>
      </c>
      <c r="K29" s="85">
        <f>('Water Reading'!I29-'Water Reading'!I28)-('Water Reading'!P29-'Water Reading'!P28)</f>
        <v>0</v>
      </c>
      <c r="L29" s="65" t="e">
        <f t="shared" si="6"/>
        <v>#DIV/0!</v>
      </c>
      <c r="M29" s="84">
        <f>'Water Reading'!R29-'Water Reading'!R28</f>
        <v>0</v>
      </c>
      <c r="N29" s="86" t="e">
        <f t="shared" si="7"/>
        <v>#DIV/0!</v>
      </c>
      <c r="O29" s="84">
        <f>'Water Reading'!Q29-'Water Reading'!Q28</f>
        <v>0</v>
      </c>
      <c r="P29" s="91" t="e">
        <f t="shared" si="8"/>
        <v>#DIV/0!</v>
      </c>
      <c r="Q29" s="85">
        <f>'Water Reading'!N29-'Water Reading'!N28</f>
        <v>0</v>
      </c>
      <c r="R29" s="92" t="e">
        <f t="shared" si="9"/>
        <v>#DIV/0!</v>
      </c>
      <c r="S29" s="84">
        <f>'Water Reading'!E29-'Water Reading'!E28</f>
        <v>0</v>
      </c>
      <c r="T29" s="92" t="e">
        <f t="shared" si="10"/>
        <v>#DIV/0!</v>
      </c>
      <c r="U29" s="84">
        <f>'Water Reading'!O29-'Water Reading'!O28</f>
        <v>0</v>
      </c>
      <c r="V29" s="92" t="e">
        <f t="shared" si="11"/>
        <v>#DIV/0!</v>
      </c>
      <c r="W29" s="84">
        <f>'Water Reading'!R29-'Water Reading'!R28</f>
        <v>0</v>
      </c>
      <c r="X29" s="92" t="e">
        <f t="shared" si="12"/>
        <v>#DIV/0!</v>
      </c>
      <c r="Y29" s="63">
        <f t="shared" si="0"/>
        <v>0</v>
      </c>
      <c r="Z29" s="64" t="e">
        <f t="shared" si="1"/>
        <v>#DIV/0!</v>
      </c>
    </row>
    <row r="30" spans="1:26" x14ac:dyDescent="0.25">
      <c r="A30" s="8">
        <f>'Water Reading'!A29</f>
        <v>44619</v>
      </c>
      <c r="B30" s="62">
        <f>TOTAL!I28</f>
        <v>0</v>
      </c>
      <c r="C30" s="63">
        <f>('Water Reading'!B30-'Water Reading'!B29)+('Water Reading'!C30-'Water Reading'!C29)</f>
        <v>0</v>
      </c>
      <c r="D30" s="64" t="e">
        <f t="shared" si="2"/>
        <v>#DIV/0!</v>
      </c>
      <c r="E30" s="82">
        <f>'Water Reading'!H30-'Water Reading'!H29</f>
        <v>0</v>
      </c>
      <c r="F30" s="83" t="e">
        <f t="shared" si="3"/>
        <v>#DIV/0!</v>
      </c>
      <c r="G30" s="87">
        <f>('Water Reading'!D30-'Water Reading'!D29)-('Water Reading'!R30-'Water Reading'!R29)-('Water Reading'!Q30-'Water Reading'!Q29)</f>
        <v>0</v>
      </c>
      <c r="H30" s="83" t="e">
        <f t="shared" si="4"/>
        <v>#DIV/0!</v>
      </c>
      <c r="I30" s="84">
        <f>'Water Reading'!P30-'Water Reading'!P29</f>
        <v>0</v>
      </c>
      <c r="J30" s="65" t="e">
        <f t="shared" si="5"/>
        <v>#DIV/0!</v>
      </c>
      <c r="K30" s="85">
        <f>('Water Reading'!I30-'Water Reading'!I29)-('Water Reading'!P30-'Water Reading'!P29)</f>
        <v>0</v>
      </c>
      <c r="L30" s="65" t="e">
        <f t="shared" si="6"/>
        <v>#DIV/0!</v>
      </c>
      <c r="M30" s="84">
        <f>'Water Reading'!R30-'Water Reading'!R29</f>
        <v>0</v>
      </c>
      <c r="N30" s="86" t="e">
        <f t="shared" si="7"/>
        <v>#DIV/0!</v>
      </c>
      <c r="O30" s="84">
        <f>'Water Reading'!Q30-'Water Reading'!Q29</f>
        <v>0</v>
      </c>
      <c r="P30" s="91" t="e">
        <f t="shared" si="8"/>
        <v>#DIV/0!</v>
      </c>
      <c r="Q30" s="85">
        <f>'Water Reading'!N30-'Water Reading'!N29</f>
        <v>0</v>
      </c>
      <c r="R30" s="92" t="e">
        <f t="shared" si="9"/>
        <v>#DIV/0!</v>
      </c>
      <c r="S30" s="84">
        <f>'Water Reading'!E30-'Water Reading'!E29</f>
        <v>0</v>
      </c>
      <c r="T30" s="92" t="e">
        <f t="shared" si="10"/>
        <v>#DIV/0!</v>
      </c>
      <c r="U30" s="84">
        <f>'Water Reading'!O30-'Water Reading'!O29</f>
        <v>0</v>
      </c>
      <c r="V30" s="92" t="e">
        <f t="shared" si="11"/>
        <v>#DIV/0!</v>
      </c>
      <c r="W30" s="84">
        <f>'Water Reading'!R30-'Water Reading'!R29</f>
        <v>0</v>
      </c>
      <c r="X30" s="92" t="e">
        <f t="shared" si="12"/>
        <v>#DIV/0!</v>
      </c>
      <c r="Y30" s="63">
        <f t="shared" si="0"/>
        <v>0</v>
      </c>
      <c r="Z30" s="64" t="e">
        <f t="shared" si="1"/>
        <v>#DIV/0!</v>
      </c>
    </row>
    <row r="31" spans="1:26" x14ac:dyDescent="0.25">
      <c r="A31" s="8">
        <f>'Water Reading'!A30</f>
        <v>44620</v>
      </c>
      <c r="B31" s="62">
        <f>TOTAL!I29</f>
        <v>0</v>
      </c>
      <c r="C31" s="63">
        <f>('Water Reading'!B31-'Water Reading'!B30)+('Water Reading'!C31-'Water Reading'!C30)</f>
        <v>0</v>
      </c>
      <c r="D31" s="64" t="e">
        <f t="shared" si="2"/>
        <v>#DIV/0!</v>
      </c>
      <c r="E31" s="82">
        <f>'Water Reading'!H31-'Water Reading'!H30</f>
        <v>0</v>
      </c>
      <c r="F31" s="83" t="e">
        <f t="shared" si="3"/>
        <v>#DIV/0!</v>
      </c>
      <c r="G31" s="87">
        <f>('Water Reading'!D31-'Water Reading'!D30)-('Water Reading'!R31-'Water Reading'!R30)-('Water Reading'!Q31-'Water Reading'!Q30)</f>
        <v>0</v>
      </c>
      <c r="H31" s="83" t="e">
        <f t="shared" si="4"/>
        <v>#DIV/0!</v>
      </c>
      <c r="I31" s="84">
        <f>'Water Reading'!P31-'Water Reading'!P30</f>
        <v>0</v>
      </c>
      <c r="J31" s="65" t="e">
        <f t="shared" si="5"/>
        <v>#DIV/0!</v>
      </c>
      <c r="K31" s="85">
        <f>('Water Reading'!I31-'Water Reading'!I30)-('Water Reading'!P31-'Water Reading'!P30)</f>
        <v>0</v>
      </c>
      <c r="L31" s="65" t="e">
        <f t="shared" si="6"/>
        <v>#DIV/0!</v>
      </c>
      <c r="M31" s="84">
        <f>'Water Reading'!R31-'Water Reading'!R30</f>
        <v>0</v>
      </c>
      <c r="N31" s="86" t="e">
        <f t="shared" si="7"/>
        <v>#DIV/0!</v>
      </c>
      <c r="O31" s="84">
        <f>'Water Reading'!Q31-'Water Reading'!Q30</f>
        <v>0</v>
      </c>
      <c r="P31" s="91" t="e">
        <f t="shared" si="8"/>
        <v>#DIV/0!</v>
      </c>
      <c r="Q31" s="85">
        <f>'Water Reading'!N31-'Water Reading'!N30</f>
        <v>0</v>
      </c>
      <c r="R31" s="92" t="e">
        <f t="shared" si="9"/>
        <v>#DIV/0!</v>
      </c>
      <c r="S31" s="84">
        <f>'Water Reading'!E31-'Water Reading'!E30</f>
        <v>0</v>
      </c>
      <c r="T31" s="92" t="e">
        <f t="shared" si="10"/>
        <v>#DIV/0!</v>
      </c>
      <c r="U31" s="84">
        <f>'Water Reading'!O31-'Water Reading'!O30</f>
        <v>0</v>
      </c>
      <c r="V31" s="92" t="e">
        <f t="shared" si="11"/>
        <v>#DIV/0!</v>
      </c>
      <c r="W31" s="84">
        <f>'Water Reading'!R31-'Water Reading'!R30</f>
        <v>0</v>
      </c>
      <c r="X31" s="92" t="e">
        <f t="shared" si="12"/>
        <v>#DIV/0!</v>
      </c>
      <c r="Y31" s="63">
        <f t="shared" si="0"/>
        <v>0</v>
      </c>
      <c r="Z31" s="64" t="e">
        <f t="shared" si="1"/>
        <v>#DIV/0!</v>
      </c>
    </row>
    <row r="32" spans="1:26" ht="24" customHeight="1" x14ac:dyDescent="0.25">
      <c r="A32" s="66" t="s">
        <v>52</v>
      </c>
      <c r="B32" s="90">
        <f>SUM(B4:B31)</f>
        <v>4704</v>
      </c>
      <c r="C32" s="71">
        <f>SUM(C4:C31)</f>
        <v>-205921</v>
      </c>
      <c r="D32" s="89">
        <f>C32/B32</f>
        <v>-43.775722789115648</v>
      </c>
      <c r="E32" s="7">
        <f>SUM(E4:E31)</f>
        <v>-59861</v>
      </c>
      <c r="F32" s="88">
        <f>E32/C32</f>
        <v>0.29069886024252017</v>
      </c>
      <c r="G32" s="71">
        <f>SUM(G4:G31)</f>
        <v>-237179</v>
      </c>
      <c r="H32" s="88">
        <f>G32/C32</f>
        <v>1.1517960771363775</v>
      </c>
      <c r="I32" s="7">
        <f>SUM(I4:I31)</f>
        <v>-29565</v>
      </c>
      <c r="J32" s="88">
        <f>I32/C32</f>
        <v>0.14357447759092079</v>
      </c>
      <c r="K32" s="7">
        <f>SUM(K4:K31)</f>
        <v>-41440</v>
      </c>
      <c r="L32" s="88">
        <f>K32/C32</f>
        <v>0.20124222395967387</v>
      </c>
      <c r="M32" s="7">
        <f>SUM(M4:M31)</f>
        <v>-7557</v>
      </c>
      <c r="N32" s="88">
        <f>M32/C32</f>
        <v>3.6698539731256162E-2</v>
      </c>
      <c r="O32" s="7">
        <f>SUM(O4:O31)</f>
        <v>-1295</v>
      </c>
      <c r="P32" s="88">
        <f>O32/C32</f>
        <v>6.2888194987398083E-3</v>
      </c>
      <c r="Q32" s="7">
        <f>SUM(Q4:Q31)</f>
        <v>-8303</v>
      </c>
      <c r="R32" s="88">
        <f>Q32/C32</f>
        <v>4.0321288261032144E-2</v>
      </c>
      <c r="S32" s="71">
        <f>SUM(S4:S31)</f>
        <v>-261977</v>
      </c>
      <c r="T32" s="88">
        <f>S32/C32</f>
        <v>1.2722209002481535</v>
      </c>
      <c r="U32" s="7">
        <f>SUM(U4:U31)</f>
        <v>-1953</v>
      </c>
      <c r="V32" s="88">
        <f>U32/C32</f>
        <v>9.4842196764778723E-3</v>
      </c>
      <c r="W32" s="7">
        <f>SUM(W4:W31)</f>
        <v>-7557</v>
      </c>
      <c r="X32" s="88">
        <f>W32/C32</f>
        <v>3.6698539731256162E-2</v>
      </c>
      <c r="Y32" s="71">
        <f>SUM(Y4:Y31)</f>
        <v>-656687</v>
      </c>
      <c r="Z32" s="88">
        <f t="shared" si="1"/>
        <v>-139.60182823129253</v>
      </c>
    </row>
    <row r="61" spans="4:4" x14ac:dyDescent="0.25">
      <c r="D61" s="67"/>
    </row>
    <row r="62" spans="4:4" x14ac:dyDescent="0.25">
      <c r="D62" s="67"/>
    </row>
    <row r="63" spans="4:4" x14ac:dyDescent="0.25">
      <c r="D63" s="67"/>
    </row>
    <row r="64" spans="4:4" x14ac:dyDescent="0.25">
      <c r="D64" s="67"/>
    </row>
    <row r="65" spans="4:4" x14ac:dyDescent="0.25">
      <c r="D65" s="67"/>
    </row>
    <row r="66" spans="4:4" x14ac:dyDescent="0.25">
      <c r="D66" s="67"/>
    </row>
    <row r="67" spans="4:4" x14ac:dyDescent="0.25">
      <c r="D67" s="67"/>
    </row>
    <row r="68" spans="4:4" x14ac:dyDescent="0.25">
      <c r="D68" s="67"/>
    </row>
    <row r="69" spans="4:4" x14ac:dyDescent="0.25">
      <c r="D69" s="6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2022-02-18T06:48:26Z</dcterms:modified>
  <cp:category/>
  <cp:contentStatus/>
</cp:coreProperties>
</file>