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4E57E9F3-0C3F-4EA3-954F-BBC9C59D78CF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ugust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8" i="3"/>
  <c r="K2" i="3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U29" i="2" s="1"/>
  <c r="G29" i="3" s="1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H23" i="2" s="1"/>
  <c r="I23" i="2" s="1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H10" i="2" s="1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32" i="2" l="1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H19" i="2"/>
  <c r="I19" i="2" s="1"/>
  <c r="H15" i="2"/>
  <c r="H11" i="2"/>
  <c r="I11" i="2" s="1"/>
  <c r="H9" i="2"/>
  <c r="H7" i="2"/>
  <c r="H6" i="2"/>
  <c r="H5" i="2"/>
  <c r="H3" i="2"/>
  <c r="I3" i="2" s="1"/>
  <c r="AB34" i="2"/>
  <c r="Y34" i="2"/>
  <c r="W34" i="2"/>
  <c r="H2" i="2"/>
  <c r="H32" i="2"/>
  <c r="I32" i="2" s="1"/>
  <c r="J32" i="2" s="1"/>
  <c r="H30" i="2"/>
  <c r="I30" i="2" s="1"/>
  <c r="J30" i="2" s="1"/>
  <c r="H20" i="2"/>
  <c r="H24" i="2"/>
  <c r="I24" i="2" s="1"/>
  <c r="J23" i="2" s="1"/>
  <c r="H28" i="2"/>
  <c r="I28" i="2" s="1"/>
  <c r="H22" i="2"/>
  <c r="I22" i="2" s="1"/>
  <c r="J22" i="2" s="1"/>
  <c r="H26" i="2"/>
  <c r="H16" i="2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J11" i="2" s="1"/>
  <c r="I29" i="2"/>
  <c r="I26" i="2"/>
  <c r="I21" i="2"/>
  <c r="I20" i="2"/>
  <c r="I16" i="2"/>
  <c r="I15" i="2"/>
  <c r="I13" i="2"/>
  <c r="I10" i="2"/>
  <c r="J10" i="2" s="1"/>
  <c r="I9" i="2"/>
  <c r="I7" i="2"/>
  <c r="I6" i="2"/>
  <c r="I5" i="2"/>
  <c r="I2" i="2"/>
  <c r="C34" i="2"/>
  <c r="J27" i="2" l="1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<sst xmlns="http://schemas.openxmlformats.org/spreadsheetml/2006/main" count="77" uniqueCount="40">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</sst>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S34" sqref="S34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8</v>
      </c>
      <c r="D2" s="4">
        <v>2024</v>
      </c>
      <c r="E2" s="104">
        <f>IF('August '!C2&lt;0,"0",'August '!C2)+(IF('August '!E2&lt;0,"0",'August '!E2)-(IF('August '!G2&lt;0,"0",'August '!G2)))</f>
        <v>11605</v>
      </c>
      <c r="F2" s="118">
        <f>('August '!C2*0.27)/('August '!C2+'August '!E2)</f>
        <v>0.23593881947436451</v>
      </c>
      <c r="G2" s="105">
        <f>'August '!U2</f>
        <v>85</v>
      </c>
      <c r="H2" s="121">
        <v>0.62</v>
      </c>
      <c r="I2" s="106">
        <f>'August '!W2</f>
        <v>131</v>
      </c>
      <c r="J2" s="107">
        <v>2.42</v>
      </c>
      <c r="K2" s="114">
        <f>'August '!AB2*5.04</f>
        <v>1058.4000000000001</v>
      </c>
      <c r="L2" s="124">
        <v>0.11509999999999999</v>
      </c>
      <c r="M2" s="115">
        <f>'August '!M2</f>
        <v>0</v>
      </c>
      <c r="N2" s="127">
        <v>0.88</v>
      </c>
      <c r="O2" s="108">
        <f>'August '!AC2</f>
        <v>179</v>
      </c>
      <c r="P2" s="108">
        <f>'August '!AD2</f>
        <v>375</v>
      </c>
    </row>
    <row r="3" spans="1:16" ht="14.3" x14ac:dyDescent="0.25">
      <c r="A3" s="103" t="s">
        <v>37</v>
      </c>
      <c r="B3" s="5">
        <f>B2+1</f>
        <v>2</v>
      </c>
      <c r="C3" s="130">
        <v>8</v>
      </c>
      <c r="D3" s="4">
        <v>2024</v>
      </c>
      <c r="E3" s="104">
        <f>IF('August '!C3&lt;0,"0",'August '!C3)+(IF('August '!E3&lt;0,"0",'August '!E3)-(IF('August '!G3&lt;0,"0",'August '!G3)))</f>
        <v>11011</v>
      </c>
      <c r="F3" s="118">
        <f>('August '!C3*0.27)/('August '!C3+'August '!E3)</f>
        <v>0.23346380891835439</v>
      </c>
      <c r="G3" s="105">
        <f>'August '!U3</f>
        <v>125</v>
      </c>
      <c r="H3" s="121">
        <v>0.62</v>
      </c>
      <c r="I3" s="106">
        <f>'August '!W3</f>
        <v>111</v>
      </c>
      <c r="J3" s="107">
        <v>2.42</v>
      </c>
      <c r="K3" s="114">
        <f>'August '!AB3*5.04</f>
        <v>932.4</v>
      </c>
      <c r="L3" s="124">
        <v>0.11509999999999999</v>
      </c>
      <c r="M3" s="115">
        <f>'August '!M3</f>
        <v>0</v>
      </c>
      <c r="N3" s="127">
        <v>0.88</v>
      </c>
      <c r="O3" s="108">
        <f>'August '!AC3</f>
        <v>212</v>
      </c>
      <c r="P3" s="108">
        <f>'August '!AD3</f>
        <v>442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8</v>
      </c>
      <c r="D4" s="4">
        <v>2024</v>
      </c>
      <c r="E4" s="104">
        <f>IF('August '!C4&lt;0,"0",'August '!C4)+(IF('August '!E4&lt;0,"0",'August '!E4)-(IF('August '!G4&lt;0,"0",'August '!G4)))</f>
        <v>10750</v>
      </c>
      <c r="F4" s="118">
        <f>('August '!C4*0.27)/('August '!C4+'August '!E4)</f>
        <v>0.2352139534883721</v>
      </c>
      <c r="G4" s="105">
        <f>'August '!U4</f>
        <v>90</v>
      </c>
      <c r="H4" s="121">
        <v>0.62</v>
      </c>
      <c r="I4" s="106">
        <f>'August '!W4</f>
        <v>138</v>
      </c>
      <c r="J4" s="107">
        <v>2.42</v>
      </c>
      <c r="K4" s="114">
        <f>'August '!AB4*5.04</f>
        <v>957.6</v>
      </c>
      <c r="L4" s="124">
        <v>0.11509999999999999</v>
      </c>
      <c r="M4" s="115">
        <f>'August '!M4</f>
        <v>0</v>
      </c>
      <c r="N4" s="127">
        <v>0.88</v>
      </c>
      <c r="O4" s="108">
        <f>'August '!AC4</f>
        <v>222</v>
      </c>
      <c r="P4" s="108">
        <f>'August '!AD4</f>
        <v>467</v>
      </c>
    </row>
    <row r="5" spans="1:16" ht="14.3" x14ac:dyDescent="0.25">
      <c r="A5" s="103" t="s">
        <v>37</v>
      </c>
      <c r="B5" s="5">
        <f t="shared" si="0"/>
        <v>4</v>
      </c>
      <c r="C5" s="130">
        <v>8</v>
      </c>
      <c r="D5" s="4">
        <v>2024</v>
      </c>
      <c r="E5" s="104">
        <f>IF('August '!C5&lt;0,"0",'August '!C5)+(IF('August '!E5&lt;0,"0",'August '!E5)-(IF('August '!G5&lt;0,"0",'August '!G5)))</f>
        <v>11208</v>
      </c>
      <c r="F5" s="118">
        <f>('August '!C5*0.27)/('August '!C5+'August '!E5)</f>
        <v>0.23521413276231265</v>
      </c>
      <c r="G5" s="105">
        <f>'August '!U5</f>
        <v>150</v>
      </c>
      <c r="H5" s="121">
        <v>0.62</v>
      </c>
      <c r="I5" s="106">
        <f>'August '!W5</f>
        <v>126</v>
      </c>
      <c r="J5" s="107">
        <v>2.42</v>
      </c>
      <c r="K5" s="114">
        <f>'August '!AB5*5.04</f>
        <v>1108.8</v>
      </c>
      <c r="L5" s="124">
        <v>0.11509999999999999</v>
      </c>
      <c r="M5" s="115">
        <f>'August '!M5</f>
        <v>0</v>
      </c>
      <c r="N5" s="127">
        <v>0.88</v>
      </c>
      <c r="O5" s="108">
        <f>'August '!AC5</f>
        <v>202</v>
      </c>
      <c r="P5" s="108">
        <f>'August '!AD5</f>
        <v>431</v>
      </c>
    </row>
    <row r="6" spans="1:16" ht="14.3" x14ac:dyDescent="0.25">
      <c r="A6" s="103" t="s">
        <v>37</v>
      </c>
      <c r="B6" s="5">
        <f t="shared" si="0"/>
        <v>5</v>
      </c>
      <c r="C6" s="130">
        <v>8</v>
      </c>
      <c r="D6" s="4">
        <v>2024</v>
      </c>
      <c r="E6" s="104">
        <f>IF('August '!C6&lt;0,"0",'August '!C6)+(IF('August '!E6&lt;0,"0",'August '!E6)-(IF('August '!G6&lt;0,"0",'August '!G6)))</f>
        <v>11213</v>
      </c>
      <c r="F6" s="118">
        <f>('August '!C6*0.27)/('August '!C6+'August '!E6)</f>
        <v>0.23402568447337913</v>
      </c>
      <c r="G6" s="105">
        <f>'August '!U6</f>
        <v>74</v>
      </c>
      <c r="H6" s="121">
        <v>0.62</v>
      </c>
      <c r="I6" s="106">
        <f>'August '!W6</f>
        <v>134</v>
      </c>
      <c r="J6" s="107">
        <v>2.42</v>
      </c>
      <c r="K6" s="114">
        <f>'August '!AB6*5.04</f>
        <v>1108.8</v>
      </c>
      <c r="L6" s="124">
        <v>0.11509999999999999</v>
      </c>
      <c r="M6" s="115">
        <f>'August '!M6</f>
        <v>0</v>
      </c>
      <c r="N6" s="127">
        <v>0.88</v>
      </c>
      <c r="O6" s="108">
        <f>'August '!AC6</f>
        <v>223</v>
      </c>
      <c r="P6" s="108">
        <f>'August '!AD6</f>
        <v>483</v>
      </c>
    </row>
    <row r="7" spans="1:16" ht="14.3" x14ac:dyDescent="0.25">
      <c r="A7" s="103" t="s">
        <v>37</v>
      </c>
      <c r="B7" s="5">
        <f t="shared" si="0"/>
        <v>6</v>
      </c>
      <c r="C7" s="130">
        <v>8</v>
      </c>
      <c r="D7" s="4">
        <v>2024</v>
      </c>
      <c r="E7" s="104">
        <f>IF('August '!C7&lt;0,"0",'August '!C7)+(IF('August '!E7&lt;0,"0",'August '!E7)-(IF('August '!G7&lt;0,"0",'August '!G7)))</f>
        <v>10781</v>
      </c>
      <c r="F7" s="118">
        <f>('August '!C7*0.27)/('August '!C7+'August '!E7)</f>
        <v>0.23303496892681572</v>
      </c>
      <c r="G7" s="105" t="str">
        <f>'August '!U7</f>
        <v>0</v>
      </c>
      <c r="H7" s="121">
        <v>0.62</v>
      </c>
      <c r="I7" s="106">
        <f>'August '!W7</f>
        <v>135</v>
      </c>
      <c r="J7" s="107">
        <v>2.42</v>
      </c>
      <c r="K7" s="114">
        <f>'August '!AB7*5.04</f>
        <v>1209.5999999999999</v>
      </c>
      <c r="L7" s="124">
        <v>0.11509999999999999</v>
      </c>
      <c r="M7" s="115">
        <f>'August '!M7</f>
        <v>0</v>
      </c>
      <c r="N7" s="127">
        <v>0.88</v>
      </c>
      <c r="O7" s="108">
        <f>'August '!AC7</f>
        <v>212</v>
      </c>
      <c r="P7" s="108">
        <f>'August '!AD7</f>
        <v>464</v>
      </c>
    </row>
    <row r="8" spans="1:16" ht="14.3" x14ac:dyDescent="0.25">
      <c r="A8" s="103" t="s">
        <v>37</v>
      </c>
      <c r="B8" s="5">
        <f t="shared" si="0"/>
        <v>7</v>
      </c>
      <c r="C8" s="130">
        <v>8</v>
      </c>
      <c r="D8" s="4">
        <v>2024</v>
      </c>
      <c r="E8" s="104">
        <f>IF('August '!C8&lt;0,"0",'August '!C8)+(IF('August '!E8&lt;0,"0",'August '!E8)-(IF('August '!G8&lt;0,"0",'August '!G8)))</f>
        <v>11430</v>
      </c>
      <c r="F8" s="118">
        <f>('August '!C8*0.27)/('August '!C8+'August '!E8)</f>
        <v>0.23558267716535433</v>
      </c>
      <c r="G8" s="105">
        <f>'August '!U8</f>
        <v>85</v>
      </c>
      <c r="H8" s="121">
        <v>0.62</v>
      </c>
      <c r="I8" s="106">
        <f>'August '!W8</f>
        <v>126</v>
      </c>
      <c r="J8" s="107">
        <v>2.42</v>
      </c>
      <c r="K8" s="114">
        <f>'August '!AB8*5.04</f>
        <v>1134</v>
      </c>
      <c r="L8" s="124">
        <v>0.11509999999999999</v>
      </c>
      <c r="M8" s="115">
        <f>'August '!M8</f>
        <v>0</v>
      </c>
      <c r="N8" s="127">
        <v>0.88</v>
      </c>
      <c r="O8" s="108">
        <f>'August '!AC8</f>
        <v>205</v>
      </c>
      <c r="P8" s="108">
        <f>'August '!AD8</f>
        <v>467</v>
      </c>
    </row>
    <row r="9" spans="1:16" ht="14.3" x14ac:dyDescent="0.25">
      <c r="A9" s="103" t="s">
        <v>37</v>
      </c>
      <c r="B9" s="5">
        <f t="shared" si="0"/>
        <v>8</v>
      </c>
      <c r="C9" s="130">
        <v>8</v>
      </c>
      <c r="D9" s="4">
        <v>2024</v>
      </c>
      <c r="E9" s="104">
        <f>IF('August '!C9&lt;0,"0",'August '!C9)+(IF('August '!E9&lt;0,"0",'August '!E9)-(IF('August '!G9&lt;0,"0",'August '!G9)))</f>
        <v>11251</v>
      </c>
      <c r="F9" s="118">
        <f>('August '!C9*0.27)/('August '!C9+'August '!E9)</f>
        <v>0.23472313572126924</v>
      </c>
      <c r="G9" s="105">
        <f>'August '!U9</f>
        <v>45</v>
      </c>
      <c r="H9" s="121">
        <v>0.62</v>
      </c>
      <c r="I9" s="106">
        <f>'August '!W9</f>
        <v>137</v>
      </c>
      <c r="J9" s="107">
        <v>2.42</v>
      </c>
      <c r="K9" s="114">
        <f>'August '!AB9*5.04</f>
        <v>1134</v>
      </c>
      <c r="L9" s="124">
        <v>0.11509999999999999</v>
      </c>
      <c r="M9" s="115">
        <f>'August '!M9</f>
        <v>0</v>
      </c>
      <c r="N9" s="127">
        <v>0.88</v>
      </c>
      <c r="O9" s="108">
        <f>'August '!AC9</f>
        <v>215</v>
      </c>
      <c r="P9" s="108">
        <f>'August '!AD9</f>
        <v>461</v>
      </c>
    </row>
    <row r="10" spans="1:16" ht="14.3" x14ac:dyDescent="0.25">
      <c r="A10" s="103" t="s">
        <v>37</v>
      </c>
      <c r="B10" s="5">
        <f t="shared" si="0"/>
        <v>9</v>
      </c>
      <c r="C10" s="130">
        <v>8</v>
      </c>
      <c r="D10" s="4">
        <v>2024</v>
      </c>
      <c r="E10" s="104">
        <f>IF('August '!C10&lt;0,"0",'August '!C10)+(IF('August '!E10&lt;0,"0",'August '!E10)-(IF('August '!G10&lt;0,"0",'August '!G10)))</f>
        <v>11156</v>
      </c>
      <c r="F10" s="118">
        <f>('August '!C10*0.27)/('August '!C10+'August '!E10)</f>
        <v>0.23524560774471137</v>
      </c>
      <c r="G10" s="105">
        <f>'August '!U10</f>
        <v>190</v>
      </c>
      <c r="H10" s="121">
        <v>0.62</v>
      </c>
      <c r="I10" s="106">
        <f>'August '!W10</f>
        <v>130</v>
      </c>
      <c r="J10" s="107">
        <v>2.42</v>
      </c>
      <c r="K10" s="114">
        <f>'August '!AB10*5.04</f>
        <v>1209.5999999999999</v>
      </c>
      <c r="L10" s="124">
        <v>0.11509999999999999</v>
      </c>
      <c r="M10" s="115">
        <f>'August '!M10</f>
        <v>0</v>
      </c>
      <c r="N10" s="127">
        <v>0.88</v>
      </c>
      <c r="O10" s="108">
        <f>'August '!AC10</f>
        <v>215</v>
      </c>
      <c r="P10" s="108">
        <f>'August '!AD10</f>
        <v>489</v>
      </c>
    </row>
    <row r="11" spans="1:16" ht="14.3" x14ac:dyDescent="0.25">
      <c r="A11" s="103" t="s">
        <v>37</v>
      </c>
      <c r="B11" s="5">
        <f t="shared" si="0"/>
        <v>10</v>
      </c>
      <c r="C11" s="130">
        <v>8</v>
      </c>
      <c r="D11" s="4">
        <v>2024</v>
      </c>
      <c r="E11" s="104">
        <f>IF('August '!C11&lt;0,"0",'August '!C11)+(IF('August '!E11&lt;0,"0",'August '!E11)-(IF('August '!G11&lt;0,"0",'August '!G11)))</f>
        <v>10988</v>
      </c>
      <c r="F11" s="118">
        <f>('August '!C11*0.27)/('August '!C11+'August '!E11)</f>
        <v>0.23500910083727705</v>
      </c>
      <c r="G11" s="105">
        <f>'August '!U11</f>
        <v>130</v>
      </c>
      <c r="H11" s="121">
        <v>0.62</v>
      </c>
      <c r="I11" s="106">
        <f>'August '!W11</f>
        <v>143</v>
      </c>
      <c r="J11" s="107">
        <v>2.42</v>
      </c>
      <c r="K11" s="114">
        <f>'August '!AB11*5.04</f>
        <v>1159.2</v>
      </c>
      <c r="L11" s="124">
        <v>0.11509999999999999</v>
      </c>
      <c r="M11" s="115">
        <f>'August '!M11</f>
        <v>0</v>
      </c>
      <c r="N11" s="127">
        <v>0.88</v>
      </c>
      <c r="O11" s="108">
        <f>'August '!AC11</f>
        <v>221</v>
      </c>
      <c r="P11" s="108">
        <f>'August '!AD11</f>
        <v>504</v>
      </c>
    </row>
    <row r="12" spans="1:16" ht="14.3" x14ac:dyDescent="0.25">
      <c r="A12" s="103" t="s">
        <v>37</v>
      </c>
      <c r="B12" s="5">
        <f t="shared" si="0"/>
        <v>11</v>
      </c>
      <c r="C12" s="130">
        <v>8</v>
      </c>
      <c r="D12" s="4">
        <v>2024</v>
      </c>
      <c r="E12" s="104">
        <f>IF('August '!C12&lt;0,"0",'August '!C12)+(IF('August '!E12&lt;0,"0",'August '!E12)-(IF('August '!G12&lt;0,"0",'August '!G12)))</f>
        <v>11975</v>
      </c>
      <c r="F12" s="118">
        <f>('August '!C12*0.27)/('August '!C12+'August '!E12)</f>
        <v>0.2384116910229645</v>
      </c>
      <c r="G12" s="105">
        <f>'August '!U12</f>
        <v>95</v>
      </c>
      <c r="H12" s="121">
        <v>0.62</v>
      </c>
      <c r="I12" s="106">
        <f>'August '!W12</f>
        <v>134</v>
      </c>
      <c r="J12" s="107">
        <v>2.42</v>
      </c>
      <c r="K12" s="114">
        <f>'August '!AB12*5.04</f>
        <v>1260</v>
      </c>
      <c r="L12" s="124">
        <v>0.11509999999999999</v>
      </c>
      <c r="M12" s="115">
        <f>'August '!M12</f>
        <v>0</v>
      </c>
      <c r="N12" s="127">
        <v>0.88</v>
      </c>
      <c r="O12" s="108">
        <f>'August '!AC12</f>
        <v>225</v>
      </c>
      <c r="P12" s="108">
        <f>'August '!AD12</f>
        <v>517</v>
      </c>
    </row>
    <row r="13" spans="1:16" ht="14.3" x14ac:dyDescent="0.25">
      <c r="A13" s="103" t="s">
        <v>37</v>
      </c>
      <c r="B13" s="5">
        <f t="shared" si="0"/>
        <v>12</v>
      </c>
      <c r="C13" s="130">
        <v>8</v>
      </c>
      <c r="D13" s="4">
        <v>2024</v>
      </c>
      <c r="E13" s="104">
        <f>IF('August '!C13&lt;0,"0",'August '!C13)+(IF('August '!E13&lt;0,"0",'August '!E13)-(IF('August '!G13&lt;0,"0",'August '!G13)))</f>
        <v>11735</v>
      </c>
      <c r="F13" s="118">
        <f>('August '!C13*0.27)/('August '!C13+'August '!E13)</f>
        <v>0.23762760971452923</v>
      </c>
      <c r="G13" s="105">
        <f>'August '!U13</f>
        <v>136</v>
      </c>
      <c r="H13" s="121">
        <v>0.62</v>
      </c>
      <c r="I13" s="106">
        <f>'August '!W13</f>
        <v>158</v>
      </c>
      <c r="J13" s="107">
        <v>2.42</v>
      </c>
      <c r="K13" s="114">
        <f>'August '!AB13*5.04</f>
        <v>1108.8</v>
      </c>
      <c r="L13" s="124">
        <v>0.11509999999999999</v>
      </c>
      <c r="M13" s="115">
        <f>'August '!M13</f>
        <v>0</v>
      </c>
      <c r="N13" s="127">
        <v>0.88</v>
      </c>
      <c r="O13" s="108">
        <f>'August '!AC13</f>
        <v>235</v>
      </c>
      <c r="P13" s="108">
        <f>'August '!AD13</f>
        <v>557</v>
      </c>
    </row>
    <row r="14" spans="1:16" ht="14.3" x14ac:dyDescent="0.25">
      <c r="A14" s="103" t="s">
        <v>37</v>
      </c>
      <c r="B14" s="5">
        <f t="shared" si="0"/>
        <v>13</v>
      </c>
      <c r="C14" s="130">
        <v>8</v>
      </c>
      <c r="D14" s="4">
        <v>2024</v>
      </c>
      <c r="E14" s="104">
        <f>IF('August '!C14&lt;0,"0",'August '!C14)+(IF('August '!E14&lt;0,"0",'August '!E14)-(IF('August '!G14&lt;0,"0",'August '!G14)))</f>
        <v>12848</v>
      </c>
      <c r="F14" s="118">
        <f>('August '!C14*0.27)/('August '!C14+'August '!E14)</f>
        <v>0.24038994396014945</v>
      </c>
      <c r="G14" s="105" t="str">
        <f>'August '!U14</f>
        <v>0</v>
      </c>
      <c r="H14" s="121">
        <v>0.62</v>
      </c>
      <c r="I14" s="106">
        <f>'August '!W14</f>
        <v>134</v>
      </c>
      <c r="J14" s="107">
        <v>2.42</v>
      </c>
      <c r="K14" s="114">
        <f>'August '!AB14*5.04</f>
        <v>1058.4000000000001</v>
      </c>
      <c r="L14" s="124">
        <v>0.11509999999999999</v>
      </c>
      <c r="M14" s="115">
        <f>'August '!M14</f>
        <v>0</v>
      </c>
      <c r="N14" s="127">
        <v>0.88</v>
      </c>
      <c r="O14" s="108">
        <f>'August '!AC14</f>
        <v>223</v>
      </c>
      <c r="P14" s="108">
        <f>'August '!AD14</f>
        <v>516</v>
      </c>
    </row>
    <row r="15" spans="1:16" ht="14.3" x14ac:dyDescent="0.25">
      <c r="A15" s="103" t="s">
        <v>37</v>
      </c>
      <c r="B15" s="5">
        <f t="shared" si="0"/>
        <v>14</v>
      </c>
      <c r="C15" s="130">
        <v>8</v>
      </c>
      <c r="D15" s="4">
        <v>2024</v>
      </c>
      <c r="E15" s="104">
        <f>IF('August '!C15&lt;0,"0",'August '!C15)+(IF('August '!E15&lt;0,"0",'August '!E15)-(IF('August '!G15&lt;0,"0",'August '!G15)))</f>
        <v>12491</v>
      </c>
      <c r="F15" s="118">
        <f>('August '!C15*0.27)/('August '!C15+'August '!E15)</f>
        <v>0.24019213833960454</v>
      </c>
      <c r="G15" s="105">
        <f>'August '!U15</f>
        <v>105</v>
      </c>
      <c r="H15" s="121">
        <v>0.62</v>
      </c>
      <c r="I15" s="106">
        <f>'August '!W15</f>
        <v>139</v>
      </c>
      <c r="J15" s="107">
        <v>2.42</v>
      </c>
      <c r="K15" s="114">
        <f>'August '!AB15*5.04</f>
        <v>1134</v>
      </c>
      <c r="L15" s="124">
        <v>0.11509999999999999</v>
      </c>
      <c r="M15" s="115">
        <f>'August '!M15</f>
        <v>0</v>
      </c>
      <c r="N15" s="127">
        <v>0.88</v>
      </c>
      <c r="O15" s="108">
        <f>'August '!AC15</f>
        <v>225</v>
      </c>
      <c r="P15" s="108">
        <f>'August '!AD15</f>
        <v>518</v>
      </c>
    </row>
    <row r="16" spans="1:16" ht="14.3" x14ac:dyDescent="0.25">
      <c r="A16" s="103" t="s">
        <v>37</v>
      </c>
      <c r="B16" s="5">
        <f t="shared" si="0"/>
        <v>15</v>
      </c>
      <c r="C16" s="130">
        <v>8</v>
      </c>
      <c r="D16" s="4">
        <v>2024</v>
      </c>
      <c r="E16" s="104">
        <f>IF('August '!C16&lt;0,"0",'August '!C16)+(IF('August '!E16&lt;0,"0",'August '!E16)-(IF('August '!G16&lt;0,"0",'August '!G16)))</f>
        <v>13017</v>
      </c>
      <c r="F16" s="118">
        <f>('August '!C16*0.27)/('August '!C16+'August '!E16)</f>
        <v>0.24120995621110858</v>
      </c>
      <c r="G16" s="105">
        <f>'August '!U16</f>
        <v>75</v>
      </c>
      <c r="H16" s="121">
        <v>0.62</v>
      </c>
      <c r="I16" s="106">
        <f>'August '!W16</f>
        <v>170</v>
      </c>
      <c r="J16" s="107">
        <v>2.42</v>
      </c>
      <c r="K16" s="114">
        <f>'August '!AB16*5.04</f>
        <v>1108.8</v>
      </c>
      <c r="L16" s="124">
        <v>0.11509999999999999</v>
      </c>
      <c r="M16" s="115">
        <f>'August '!M16</f>
        <v>0</v>
      </c>
      <c r="N16" s="127">
        <v>0.88</v>
      </c>
      <c r="O16" s="108">
        <f>'August '!AC16</f>
        <v>234</v>
      </c>
      <c r="P16" s="108">
        <f>'August '!AD16</f>
        <v>551</v>
      </c>
    </row>
    <row r="17" spans="1:16" ht="14.3" x14ac:dyDescent="0.25">
      <c r="A17" s="103" t="s">
        <v>37</v>
      </c>
      <c r="B17" s="5">
        <f t="shared" si="0"/>
        <v>16</v>
      </c>
      <c r="C17" s="130">
        <v>8</v>
      </c>
      <c r="D17" s="4">
        <v>2024</v>
      </c>
      <c r="E17" s="104">
        <f>IF('August '!C17&lt;0,"0",'August '!C17)+(IF('August '!E17&lt;0,"0",'August '!E17)-(IF('August '!G17&lt;0,"0",'August '!G17)))</f>
        <v>13068</v>
      </c>
      <c r="F17" s="118">
        <f>('August '!C17*0.27)/('August '!C17+'August '!E17)</f>
        <v>0.24159090909090911</v>
      </c>
      <c r="G17" s="105">
        <f>'August '!U17</f>
        <v>285</v>
      </c>
      <c r="H17" s="121">
        <v>0.62</v>
      </c>
      <c r="I17" s="106">
        <f>'August '!W17</f>
        <v>137</v>
      </c>
      <c r="J17" s="107">
        <v>2.42</v>
      </c>
      <c r="K17" s="114">
        <f>'August '!AB17*5.04</f>
        <v>1184.4000000000001</v>
      </c>
      <c r="L17" s="124">
        <v>0.11509999999999999</v>
      </c>
      <c r="M17" s="115">
        <f>'August '!M17</f>
        <v>0</v>
      </c>
      <c r="N17" s="127">
        <v>0.88</v>
      </c>
      <c r="O17" s="108">
        <f>'August '!AC17</f>
        <v>242</v>
      </c>
      <c r="P17" s="108">
        <f>'August '!AD17</f>
        <v>567</v>
      </c>
    </row>
    <row r="18" spans="1:16" ht="14.3" x14ac:dyDescent="0.25">
      <c r="A18" s="103" t="s">
        <v>37</v>
      </c>
      <c r="B18" s="5">
        <f t="shared" si="0"/>
        <v>17</v>
      </c>
      <c r="C18" s="130">
        <v>8</v>
      </c>
      <c r="D18" s="4">
        <v>2024</v>
      </c>
      <c r="E18" s="104">
        <f>IF('August '!C18&lt;0,"0",'August '!C18)+(IF('August '!E18&lt;0,"0",'August '!E18)-(IF('August '!G18&lt;0,"0",'August '!G18)))</f>
        <v>13217</v>
      </c>
      <c r="F18" s="118">
        <f>('August '!C18*0.27)/('August '!C18+'August '!E18)</f>
        <v>0.24154346674737082</v>
      </c>
      <c r="G18" s="105">
        <f>'August '!U18</f>
        <v>90</v>
      </c>
      <c r="H18" s="121">
        <v>0.62</v>
      </c>
      <c r="I18" s="106">
        <f>'August '!W18</f>
        <v>157</v>
      </c>
      <c r="J18" s="107">
        <v>2.42</v>
      </c>
      <c r="K18" s="114">
        <f>'August '!AB18*5.04</f>
        <v>1184.4000000000001</v>
      </c>
      <c r="L18" s="124">
        <v>0.11509999999999999</v>
      </c>
      <c r="M18" s="115">
        <f>'August '!M18</f>
        <v>0</v>
      </c>
      <c r="N18" s="127">
        <v>0.88</v>
      </c>
      <c r="O18" s="108">
        <f>'August '!AC18</f>
        <v>229</v>
      </c>
      <c r="P18" s="108">
        <f>'August '!AD18</f>
        <v>544</v>
      </c>
    </row>
    <row r="19" spans="1:16" ht="14.3" x14ac:dyDescent="0.25">
      <c r="A19" s="103" t="s">
        <v>37</v>
      </c>
      <c r="B19" s="5">
        <f t="shared" si="0"/>
        <v>18</v>
      </c>
      <c r="C19" s="130">
        <v>8</v>
      </c>
      <c r="D19" s="4">
        <v>2024</v>
      </c>
      <c r="E19" s="104">
        <f>IF('August '!C19&lt;0,"0",'August '!C19)+(IF('August '!E19&lt;0,"0",'August '!E19)-(IF('August '!G19&lt;0,"0",'August '!G19)))</f>
        <v>12230</v>
      </c>
      <c r="F19" s="118">
        <f>('August '!C19*0.27)/('August '!C19+'August '!E19)</f>
        <v>0.23867293540474246</v>
      </c>
      <c r="G19" s="105">
        <f>'August '!U19</f>
        <v>145</v>
      </c>
      <c r="H19" s="121">
        <v>0.62</v>
      </c>
      <c r="I19" s="106">
        <f>'August '!W19</f>
        <v>137</v>
      </c>
      <c r="J19" s="107">
        <v>2.42</v>
      </c>
      <c r="K19" s="114">
        <f>'August '!AB19*5.04</f>
        <v>1108.8</v>
      </c>
      <c r="L19" s="124">
        <v>0.11509999999999999</v>
      </c>
      <c r="M19" s="115">
        <f>'August '!M19</f>
        <v>0</v>
      </c>
      <c r="N19" s="127">
        <v>0.88</v>
      </c>
      <c r="O19" s="108">
        <f>'August '!AC19</f>
        <v>218</v>
      </c>
      <c r="P19" s="108">
        <f>'August '!AD19</f>
        <v>501</v>
      </c>
    </row>
    <row r="20" spans="1:16" ht="14.3" x14ac:dyDescent="0.25">
      <c r="A20" s="103" t="s">
        <v>37</v>
      </c>
      <c r="B20" s="5">
        <f t="shared" si="0"/>
        <v>19</v>
      </c>
      <c r="C20" s="130">
        <v>8</v>
      </c>
      <c r="D20" s="4">
        <v>2024</v>
      </c>
      <c r="E20" s="104">
        <f>IF('August '!C20&lt;0,"0",'August '!C20)+(IF('August '!E20&lt;0,"0",'August '!E20)-(IF('August '!G20&lt;0,"0",'August '!G20)))</f>
        <v>11895</v>
      </c>
      <c r="F20" s="118">
        <f>('August '!C20*0.27)/('August '!C20+'August '!E20)</f>
        <v>0.23779066834804541</v>
      </c>
      <c r="G20" s="105">
        <f>'August '!U20</f>
        <v>31</v>
      </c>
      <c r="H20" s="121">
        <v>0.62</v>
      </c>
      <c r="I20" s="106">
        <f>'August '!W20</f>
        <v>142</v>
      </c>
      <c r="J20" s="107">
        <v>2.42</v>
      </c>
      <c r="K20" s="114">
        <f>'August '!AB20*5.04</f>
        <v>1234.8</v>
      </c>
      <c r="L20" s="124">
        <v>0.11509999999999999</v>
      </c>
      <c r="M20" s="115">
        <f>'August '!M20</f>
        <v>0</v>
      </c>
      <c r="N20" s="127">
        <v>0.88</v>
      </c>
      <c r="O20" s="108">
        <f>'August '!AC20</f>
        <v>221</v>
      </c>
      <c r="P20" s="108">
        <f>'August '!AD20</f>
        <v>510</v>
      </c>
    </row>
    <row r="21" spans="1:16" ht="14.3" x14ac:dyDescent="0.25">
      <c r="A21" s="103" t="s">
        <v>37</v>
      </c>
      <c r="B21" s="5">
        <f t="shared" si="0"/>
        <v>20</v>
      </c>
      <c r="C21" s="130">
        <v>8</v>
      </c>
      <c r="D21" s="4">
        <v>2024</v>
      </c>
      <c r="E21" s="104">
        <f>IF('August '!C21&lt;0,"0",'August '!C21)+(IF('August '!E21&lt;0,"0",'August '!E21)-(IF('August '!G21&lt;0,"0",'August '!G21)))</f>
        <v>12416</v>
      </c>
      <c r="F21" s="118">
        <f>('August '!C21*0.27)/('August '!C21+'August '!E21)</f>
        <v>0.23909874355670105</v>
      </c>
      <c r="G21" s="105" t="str">
        <f>'August '!U21</f>
        <v>0</v>
      </c>
      <c r="H21" s="121">
        <v>0.62</v>
      </c>
      <c r="I21" s="106">
        <f>'August '!W21</f>
        <v>130</v>
      </c>
      <c r="J21" s="107">
        <v>2.42</v>
      </c>
      <c r="K21" s="114">
        <f>'August '!AB21*5.04</f>
        <v>1159.2</v>
      </c>
      <c r="L21" s="124">
        <v>0.11509999999999999</v>
      </c>
      <c r="M21" s="115">
        <f>'August '!M21</f>
        <v>0</v>
      </c>
      <c r="N21" s="127">
        <v>0.88</v>
      </c>
      <c r="O21" s="108">
        <f>'August '!AC21</f>
        <v>225</v>
      </c>
      <c r="P21" s="108">
        <f>'August '!AD21</f>
        <v>524</v>
      </c>
    </row>
    <row r="22" spans="1:16" ht="14.3" x14ac:dyDescent="0.25">
      <c r="A22" s="103" t="s">
        <v>37</v>
      </c>
      <c r="B22" s="5">
        <f t="shared" si="0"/>
        <v>21</v>
      </c>
      <c r="C22" s="130">
        <v>8</v>
      </c>
      <c r="D22" s="4">
        <v>2024</v>
      </c>
      <c r="E22" s="104">
        <f>IF('August '!C22&lt;0,"0",'August '!C22)+(IF('August '!E22&lt;0,"0",'August '!E22)-(IF('August '!G22&lt;0,"0",'August '!G22)))</f>
        <v>12880</v>
      </c>
      <c r="F22" s="118">
        <f>('August '!C22*0.27)/('August '!C22+'August '!E22)</f>
        <v>0.24239208074534163</v>
      </c>
      <c r="G22" s="105">
        <f>'August '!U22</f>
        <v>155</v>
      </c>
      <c r="H22" s="121">
        <v>0.62</v>
      </c>
      <c r="I22" s="106">
        <f>'August '!W22</f>
        <v>121</v>
      </c>
      <c r="J22" s="107">
        <v>2.42</v>
      </c>
      <c r="K22" s="114">
        <f>'August '!AB22*5.04</f>
        <v>1108.8</v>
      </c>
      <c r="L22" s="124">
        <v>0.11509999999999999</v>
      </c>
      <c r="M22" s="115">
        <f>'August '!M22</f>
        <v>0</v>
      </c>
      <c r="N22" s="127">
        <v>0.88</v>
      </c>
      <c r="O22" s="108">
        <f>'August '!AC22</f>
        <v>225</v>
      </c>
      <c r="P22" s="108">
        <f>'August '!AD22</f>
        <v>524</v>
      </c>
    </row>
    <row r="23" spans="1:16" ht="14.3" x14ac:dyDescent="0.25">
      <c r="A23" s="103" t="s">
        <v>37</v>
      </c>
      <c r="B23" s="5">
        <f t="shared" si="0"/>
        <v>22</v>
      </c>
      <c r="C23" s="130">
        <v>8</v>
      </c>
      <c r="D23" s="4">
        <v>2024</v>
      </c>
      <c r="E23" s="104">
        <f>IF('August '!C23&lt;0,"0",'August '!C23)+(IF('August '!E23&lt;0,"0",'August '!E23)-(IF('August '!G23&lt;0,"0",'August '!G23)))</f>
        <v>12393</v>
      </c>
      <c r="F23" s="118">
        <f>('August '!C23*0.27)/('August '!C23+'August '!E23)</f>
        <v>0.24080610021786494</v>
      </c>
      <c r="G23" s="105">
        <f>'August '!U23</f>
        <v>60</v>
      </c>
      <c r="H23" s="121">
        <v>0.62</v>
      </c>
      <c r="I23" s="106">
        <f>'August '!W23</f>
        <v>165</v>
      </c>
      <c r="J23" s="107">
        <v>2.42</v>
      </c>
      <c r="K23" s="114">
        <f>'August '!AB23*5.04</f>
        <v>1108.8</v>
      </c>
      <c r="L23" s="124">
        <v>0.11509999999999999</v>
      </c>
      <c r="M23" s="115">
        <f>'August '!M23</f>
        <v>0</v>
      </c>
      <c r="N23" s="127">
        <v>0.88</v>
      </c>
      <c r="O23" s="108">
        <f>'August '!AC23</f>
        <v>221</v>
      </c>
      <c r="P23" s="108">
        <f>'August '!AD23</f>
        <v>503</v>
      </c>
    </row>
    <row r="24" spans="1:16" ht="14.3" x14ac:dyDescent="0.25">
      <c r="A24" s="103" t="s">
        <v>37</v>
      </c>
      <c r="B24" s="5">
        <f t="shared" si="0"/>
        <v>23</v>
      </c>
      <c r="C24" s="130">
        <v>8</v>
      </c>
      <c r="D24" s="4">
        <v>2024</v>
      </c>
      <c r="E24" s="104">
        <f>IF('August '!C24&lt;0,"0",'August '!C24)+(IF('August '!E24&lt;0,"0",'August '!E24)-(IF('August '!G24&lt;0,"0",'August '!G24)))</f>
        <v>12278</v>
      </c>
      <c r="F24" s="118">
        <f>('August '!C24*0.27)/('August '!C24+'August '!E24)</f>
        <v>0.24037872617690181</v>
      </c>
      <c r="G24" s="105" t="str">
        <f>'August '!U24</f>
        <v>0</v>
      </c>
      <c r="H24" s="121">
        <v>0.62</v>
      </c>
      <c r="I24" s="106">
        <f>'August '!W24</f>
        <v>138</v>
      </c>
      <c r="J24" s="107">
        <v>2.42</v>
      </c>
      <c r="K24" s="114">
        <f>'August '!AB24*5.04</f>
        <v>1008</v>
      </c>
      <c r="L24" s="124">
        <v>0.11509999999999999</v>
      </c>
      <c r="M24" s="115">
        <f>'August '!M24</f>
        <v>0</v>
      </c>
      <c r="N24" s="127">
        <v>0.88</v>
      </c>
      <c r="O24" s="108">
        <f>'August '!AC24</f>
        <v>230</v>
      </c>
      <c r="P24" s="108">
        <f>'August '!AD24</f>
        <v>523</v>
      </c>
    </row>
    <row r="25" spans="1:16" ht="14.3" x14ac:dyDescent="0.25">
      <c r="A25" s="103" t="s">
        <v>37</v>
      </c>
      <c r="B25" s="5">
        <f t="shared" si="0"/>
        <v>24</v>
      </c>
      <c r="C25" s="130">
        <v>8</v>
      </c>
      <c r="D25" s="4">
        <v>2024</v>
      </c>
      <c r="E25" s="104">
        <f>IF('August '!C25&lt;0,"0",'August '!C25)+(IF('August '!E25&lt;0,"0",'August '!E25)-(IF('August '!G25&lt;0,"0",'August '!G25)))</f>
        <v>12613</v>
      </c>
      <c r="F25" s="118">
        <f>('August '!C25*0.27)/('August '!C25+'August '!E25)</f>
        <v>0.24206453658923335</v>
      </c>
      <c r="G25" s="105">
        <f>'August '!U25</f>
        <v>400</v>
      </c>
      <c r="H25" s="121">
        <v>0.62</v>
      </c>
      <c r="I25" s="106">
        <f>'August '!W25</f>
        <v>127</v>
      </c>
      <c r="J25" s="107">
        <v>2.42</v>
      </c>
      <c r="K25" s="114">
        <f>'August '!AB25*5.04</f>
        <v>1184.4000000000001</v>
      </c>
      <c r="L25" s="124">
        <v>0.11509999999999999</v>
      </c>
      <c r="M25" s="115">
        <f>'August '!M25</f>
        <v>0</v>
      </c>
      <c r="N25" s="127">
        <v>0.88</v>
      </c>
      <c r="O25" s="108">
        <f>'August '!AC25</f>
        <v>228</v>
      </c>
      <c r="P25" s="108">
        <f>'August '!AD25</f>
        <v>508</v>
      </c>
    </row>
    <row r="26" spans="1:16" ht="14.3" x14ac:dyDescent="0.25">
      <c r="A26" s="103" t="s">
        <v>37</v>
      </c>
      <c r="B26" s="5">
        <f>B25+1</f>
        <v>25</v>
      </c>
      <c r="C26" s="130">
        <v>8</v>
      </c>
      <c r="D26" s="4">
        <v>2024</v>
      </c>
      <c r="E26" s="104">
        <f>IF('August '!C26&lt;0,"0",'August '!C26)+(IF('August '!E26&lt;0,"0",'August '!E26)-(IF('August '!G26&lt;0,"0",'August '!G26)))</f>
        <v>12451</v>
      </c>
      <c r="F26" s="118">
        <f>('August '!C26*0.27)/('August '!C26+'August '!E26)</f>
        <v>0.2423082483334672</v>
      </c>
      <c r="G26" s="105">
        <f>'August '!U26</f>
        <v>70</v>
      </c>
      <c r="H26" s="121">
        <v>0.62</v>
      </c>
      <c r="I26" s="106">
        <f>'August '!W26</f>
        <v>143</v>
      </c>
      <c r="J26" s="107">
        <v>2.42</v>
      </c>
      <c r="K26" s="114">
        <f>'August '!AB26*5.04</f>
        <v>1058.4000000000001</v>
      </c>
      <c r="L26" s="124">
        <v>0.11509999999999999</v>
      </c>
      <c r="M26" s="115">
        <f>'August '!M26</f>
        <v>0</v>
      </c>
      <c r="N26" s="127">
        <v>0.88</v>
      </c>
      <c r="O26" s="108">
        <f>'August '!AC26</f>
        <v>199</v>
      </c>
      <c r="P26" s="108">
        <f>'August '!AD26</f>
        <v>436</v>
      </c>
    </row>
    <row r="27" spans="1:16" ht="14.3" x14ac:dyDescent="0.25">
      <c r="A27" s="103" t="s">
        <v>37</v>
      </c>
      <c r="B27" s="5">
        <f t="shared" si="0"/>
        <v>26</v>
      </c>
      <c r="C27" s="130">
        <v>8</v>
      </c>
      <c r="D27" s="4">
        <v>2024</v>
      </c>
      <c r="E27" s="104">
        <f>IF('August '!C27&lt;0,"0",'August '!C27)+(IF('August '!E27&lt;0,"0",'August '!E27)-(IF('August '!G27&lt;0,"0",'August '!G27)))</f>
        <v>12159</v>
      </c>
      <c r="F27" s="118">
        <f>('August '!C27*0.27)/('August '!C27+'August '!E27)</f>
        <v>0.24082161361954108</v>
      </c>
      <c r="G27" s="105" t="str">
        <f>'August '!U27</f>
        <v>0</v>
      </c>
      <c r="H27" s="121">
        <v>0.62</v>
      </c>
      <c r="I27" s="106">
        <f>'August '!W27</f>
        <v>122</v>
      </c>
      <c r="J27" s="107">
        <v>2.42</v>
      </c>
      <c r="K27" s="114">
        <f>'August '!AB27*5.04</f>
        <v>1134</v>
      </c>
      <c r="L27" s="124">
        <v>0.11509999999999999</v>
      </c>
      <c r="M27" s="115">
        <f>'August '!M27</f>
        <v>0</v>
      </c>
      <c r="N27" s="127">
        <v>0.88</v>
      </c>
      <c r="O27" s="108">
        <f>'August '!AC27</f>
        <v>196</v>
      </c>
      <c r="P27" s="108">
        <f>'August '!AD27</f>
        <v>420</v>
      </c>
    </row>
    <row r="28" spans="1:16" ht="14.3" x14ac:dyDescent="0.25">
      <c r="A28" s="103" t="s">
        <v>37</v>
      </c>
      <c r="B28" s="5">
        <f t="shared" si="0"/>
        <v>27</v>
      </c>
      <c r="C28" s="130">
        <v>8</v>
      </c>
      <c r="D28" s="4">
        <v>2024</v>
      </c>
      <c r="E28" s="104">
        <f>IF('August '!C28&lt;0,"0",'August '!C28)+(IF('August '!E28&lt;0,"0",'August '!E28)-(IF('August '!G28&lt;0,"0",'August '!G28)))</f>
        <v>11884</v>
      </c>
      <c r="F28" s="118">
        <f>('August '!C28*0.27)/('August '!C28+'August '!E28)</f>
        <v>0.24014641534836756</v>
      </c>
      <c r="G28" s="105">
        <f>'August '!U28</f>
        <v>85</v>
      </c>
      <c r="H28" s="121">
        <v>0.62</v>
      </c>
      <c r="I28" s="106">
        <f>'August '!W28</f>
        <v>124</v>
      </c>
      <c r="J28" s="107">
        <v>2.42</v>
      </c>
      <c r="K28" s="114">
        <f>'August '!AB28*5.04</f>
        <v>1134</v>
      </c>
      <c r="L28" s="124">
        <v>0.11509999999999999</v>
      </c>
      <c r="M28" s="115">
        <f>'August '!M28</f>
        <v>0</v>
      </c>
      <c r="N28" s="127">
        <v>0.88</v>
      </c>
      <c r="O28" s="108">
        <f>'August '!AC28</f>
        <v>194</v>
      </c>
      <c r="P28" s="108">
        <f>'August '!AD28</f>
        <v>426</v>
      </c>
    </row>
    <row r="29" spans="1:16" ht="14.3" x14ac:dyDescent="0.25">
      <c r="A29" s="103" t="s">
        <v>37</v>
      </c>
      <c r="B29" s="5">
        <f t="shared" si="0"/>
        <v>28</v>
      </c>
      <c r="C29" s="130">
        <v>8</v>
      </c>
      <c r="D29" s="4">
        <v>2024</v>
      </c>
      <c r="E29" s="104">
        <f>IF('August '!C29&lt;0,"0",'August '!C29)+(IF('August '!E29&lt;0,"0",'August '!E29)-(IF('August '!G29&lt;0,"0",'August '!G29)))</f>
        <v>11612</v>
      </c>
      <c r="F29" s="118">
        <f>('August '!C29*0.27)/('August '!C29+'August '!E29)</f>
        <v>0.24021443334481574</v>
      </c>
      <c r="G29" s="105">
        <f>'August '!U29</f>
        <v>400</v>
      </c>
      <c r="H29" s="121">
        <v>0.62</v>
      </c>
      <c r="I29" s="106">
        <f>'August '!W29</f>
        <v>139</v>
      </c>
      <c r="J29" s="107">
        <v>2.42</v>
      </c>
      <c r="K29" s="114">
        <f>'August '!AB29*5.04</f>
        <v>957.6</v>
      </c>
      <c r="L29" s="124">
        <v>0.11509999999999999</v>
      </c>
      <c r="M29" s="115">
        <f>'August '!M29</f>
        <v>0</v>
      </c>
      <c r="N29" s="127">
        <v>0.88</v>
      </c>
      <c r="O29" s="108">
        <f>'August '!AC29</f>
        <v>185</v>
      </c>
      <c r="P29" s="108">
        <f>'August '!AD29</f>
        <v>405</v>
      </c>
    </row>
    <row r="30" spans="1:16" ht="14.3" x14ac:dyDescent="0.25">
      <c r="A30" s="103" t="s">
        <v>37</v>
      </c>
      <c r="B30" s="5">
        <f t="shared" si="0"/>
        <v>29</v>
      </c>
      <c r="C30" s="130">
        <v>8</v>
      </c>
      <c r="D30" s="4">
        <v>2024</v>
      </c>
      <c r="E30" s="104">
        <f>IF('August '!C30&lt;0,"0",'August '!C30)+(IF('August '!E30&lt;0,"0",'August '!E30)-(IF('August '!G30&lt;0,"0",'August '!G30)))</f>
        <v>11810</v>
      </c>
      <c r="F30" s="118">
        <f>('August '!C30*0.27)/('August '!C30+'August '!E30)</f>
        <v>0.2410567315834039</v>
      </c>
      <c r="G30" s="105">
        <f>'August '!U30</f>
        <v>20</v>
      </c>
      <c r="H30" s="121">
        <v>0.62</v>
      </c>
      <c r="I30" s="106">
        <f>'August '!W30</f>
        <v>110</v>
      </c>
      <c r="J30" s="107">
        <v>2.42</v>
      </c>
      <c r="K30" s="114">
        <f>'August '!AB30*5.04</f>
        <v>1058.4000000000001</v>
      </c>
      <c r="L30" s="124">
        <v>0.11509999999999999</v>
      </c>
      <c r="M30" s="115">
        <f>'August '!M30</f>
        <v>0</v>
      </c>
      <c r="N30" s="127">
        <v>0.88</v>
      </c>
      <c r="O30" s="108">
        <f>'August '!AC30</f>
        <v>172</v>
      </c>
      <c r="P30" s="108">
        <f>'August '!AD30</f>
        <v>366</v>
      </c>
    </row>
    <row r="31" spans="1:16" ht="14.3" x14ac:dyDescent="0.25">
      <c r="A31" s="103" t="s">
        <v>37</v>
      </c>
      <c r="B31" s="5">
        <f t="shared" si="0"/>
        <v>30</v>
      </c>
      <c r="C31" s="130">
        <v>8</v>
      </c>
      <c r="D31" s="4">
        <v>2024</v>
      </c>
      <c r="E31" s="104">
        <f>IF('August '!C31&lt;0,"0",'August '!C31)+(IF('August '!E31&lt;0,"0",'August '!E31)-(IF('August '!G31&lt;0,"0",'August '!G31)))</f>
        <v>10402</v>
      </c>
      <c r="F31" s="118">
        <f>('August '!C31*0.27)/('August '!C31+'August '!E31)</f>
        <v>0.23838492597577393</v>
      </c>
      <c r="G31" s="105">
        <f>'August '!U31</f>
        <v>30</v>
      </c>
      <c r="H31" s="121">
        <v>0.62</v>
      </c>
      <c r="I31" s="106">
        <f>'August '!W31</f>
        <v>130</v>
      </c>
      <c r="J31" s="107">
        <v>2.42</v>
      </c>
      <c r="K31" s="114">
        <f>'August '!AB31*5.04</f>
        <v>1083.5999999999999</v>
      </c>
      <c r="L31" s="124">
        <v>0.11509999999999999</v>
      </c>
      <c r="M31" s="115">
        <f>'August '!M31</f>
        <v>0</v>
      </c>
      <c r="N31" s="127">
        <v>0.88</v>
      </c>
      <c r="O31" s="108">
        <f>'August '!AC31</f>
        <v>172</v>
      </c>
      <c r="P31" s="108">
        <f>'August '!AD31</f>
        <v>358</v>
      </c>
    </row>
    <row r="32" spans="1:16" ht="14.3" x14ac:dyDescent="0.25">
      <c r="A32" s="103" t="s">
        <v>37</v>
      </c>
      <c r="B32" s="5">
        <f t="shared" si="0"/>
        <v>31</v>
      </c>
      <c r="C32" s="130">
        <v>8</v>
      </c>
      <c r="D32" s="4">
        <v>2024</v>
      </c>
      <c r="E32" s="104">
        <f>IF('August '!C32&lt;0,"0",'August '!C32)+(IF('August '!E32&lt;0,"0",'August '!E32)-(IF('August '!G32&lt;0,"0",'August '!G32)))</f>
        <v>10250</v>
      </c>
      <c r="F32" s="118">
        <f>('August '!C32*0.27)/('August '!C32+'August '!E32)</f>
        <v>0.23865365853658541</v>
      </c>
      <c r="G32" s="105">
        <f>'August '!U32</f>
        <v>40</v>
      </c>
      <c r="H32" s="121">
        <v>0.62</v>
      </c>
      <c r="I32" s="106">
        <f>'August '!W32</f>
        <v>107</v>
      </c>
      <c r="J32" s="107">
        <v>2.42</v>
      </c>
      <c r="K32" s="114">
        <f>'August '!AB32*5.04</f>
        <v>932.4</v>
      </c>
      <c r="L32" s="124"/>
      <c r="M32" s="115">
        <f>'August '!M32</f>
        <v>0</v>
      </c>
      <c r="N32" s="127">
        <v>0.88</v>
      </c>
      <c r="O32" s="108">
        <f>'August '!AC32</f>
        <v>0</v>
      </c>
      <c r="P32" s="108">
        <f>'August '!AD32</f>
        <v>347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8" zoomScale="85" zoomScaleNormal="85" workbookViewId="0">
      <selection activeCell="AD33" sqref="AD33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6.6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" customHeight="1" x14ac:dyDescent="0.2">
      <c r="A2" s="19">
        <v>45505</v>
      </c>
      <c r="B2" s="8">
        <v>12367427</v>
      </c>
      <c r="C2" s="14">
        <f>B3-B2</f>
        <v>10141</v>
      </c>
      <c r="D2" s="9">
        <v>478906</v>
      </c>
      <c r="E2" s="14">
        <f>D3-D2</f>
        <v>1464</v>
      </c>
      <c r="F2" s="28">
        <v>1704</v>
      </c>
      <c r="G2" s="75">
        <f>F3-F2</f>
        <v>0</v>
      </c>
      <c r="H2" s="77">
        <f>C2+E2-G2</f>
        <v>11605</v>
      </c>
      <c r="I2" s="81">
        <f>H2-K2-M2-O2-Q2</f>
        <v>-33901.5</v>
      </c>
      <c r="J2" s="33">
        <f t="shared" ref="J2:J32" si="0">I3-I2</f>
        <v>-594.94999999999709</v>
      </c>
      <c r="K2" s="19">
        <f t="shared" ref="K2:K33" si="1">A2</f>
        <v>45505</v>
      </c>
      <c r="L2" s="31">
        <v>5660</v>
      </c>
      <c r="M2" s="32">
        <v>0</v>
      </c>
      <c r="N2" s="33">
        <v>0</v>
      </c>
      <c r="O2" s="91">
        <v>0.76</v>
      </c>
      <c r="P2" s="92">
        <v>0.76</v>
      </c>
      <c r="Q2" s="91">
        <v>0.74</v>
      </c>
      <c r="R2" s="92">
        <v>0.68</v>
      </c>
      <c r="S2" s="40">
        <f>(2500*O2)+(2500*P2)+(500*Q2)+(500*R2)</f>
        <v>4510</v>
      </c>
      <c r="T2" s="39"/>
      <c r="U2" s="33">
        <f t="shared" ref="U2:U16" si="2">IF(OR((S2+T2-S3)&lt;0,S2&gt;S1),"0",(S2+T2-S3))</f>
        <v>85</v>
      </c>
      <c r="V2" s="44">
        <v>109792</v>
      </c>
      <c r="W2" s="33">
        <f>IF(V3-V2&lt;0,"0",V3-V2)</f>
        <v>131</v>
      </c>
      <c r="X2" s="47">
        <v>60127</v>
      </c>
      <c r="Y2" s="33">
        <f>X3-X2</f>
        <v>13</v>
      </c>
      <c r="Z2" s="50">
        <v>8060</v>
      </c>
      <c r="AA2" s="56">
        <v>0</v>
      </c>
      <c r="AB2" s="33">
        <f>IF((Z2-Z3-AA2)=Z2,"0",(Z2-Z3-AA2))</f>
        <v>210</v>
      </c>
      <c r="AC2" s="12">
        <v>179</v>
      </c>
      <c r="AD2" s="17">
        <v>375</v>
      </c>
    </row>
    <row r="3" spans="1:30" ht="20.7" customHeight="1" x14ac:dyDescent="0.2">
      <c r="A3" s="20">
        <v>45506</v>
      </c>
      <c r="B3" s="10">
        <v>12377568</v>
      </c>
      <c r="C3" s="14">
        <f t="shared" ref="C3:C32" si="3">B4-B3</f>
        <v>9521</v>
      </c>
      <c r="D3" s="11">
        <v>480370</v>
      </c>
      <c r="E3" s="14">
        <f t="shared" ref="E3:E32" si="4">D4-D3</f>
        <v>1490</v>
      </c>
      <c r="F3" s="28">
        <v>1704</v>
      </c>
      <c r="G3" s="75">
        <f t="shared" ref="G3:G32" si="5">F4-F3</f>
        <v>0</v>
      </c>
      <c r="H3" s="77">
        <f t="shared" ref="H3:H32" si="6">C3+E3-G3</f>
        <v>11011</v>
      </c>
      <c r="I3" s="81">
        <f t="shared" ref="I3:I32" si="7">H3-K3-M3-O3-Q3</f>
        <v>-34496.449999999997</v>
      </c>
      <c r="J3" s="33">
        <f t="shared" si="0"/>
        <v>-261.91000000000349</v>
      </c>
      <c r="K3" s="20">
        <f t="shared" si="1"/>
        <v>45506</v>
      </c>
      <c r="L3" s="34">
        <v>5660</v>
      </c>
      <c r="M3" s="35">
        <v>0</v>
      </c>
      <c r="N3" s="36">
        <v>0</v>
      </c>
      <c r="O3" s="93">
        <v>0.75</v>
      </c>
      <c r="P3" s="94">
        <v>0.75</v>
      </c>
      <c r="Q3" s="93">
        <v>0.7</v>
      </c>
      <c r="R3" s="94">
        <v>0.65</v>
      </c>
      <c r="S3" s="40">
        <f t="shared" ref="S3:S33" si="8">(2500*O3)+(2500*P3)+(500*Q3)+(500*R3)</f>
        <v>4425</v>
      </c>
      <c r="T3" s="39"/>
      <c r="U3" s="33">
        <f t="shared" si="2"/>
        <v>125</v>
      </c>
      <c r="V3" s="45">
        <v>109923</v>
      </c>
      <c r="W3" s="33">
        <f t="shared" ref="W3:W32" si="9">IF(V4-V3&lt;0,"0",V4-V3)</f>
        <v>111</v>
      </c>
      <c r="X3" s="48">
        <v>60140</v>
      </c>
      <c r="Y3" s="33">
        <f t="shared" ref="Y3:Y32" si="10">X4-X3</f>
        <v>16</v>
      </c>
      <c r="Z3" s="51">
        <v>7850</v>
      </c>
      <c r="AA3" s="57">
        <v>0</v>
      </c>
      <c r="AB3" s="33">
        <f t="shared" ref="AB3:AB32" si="11">IF((Z3-Z4-AA3)=Z3,"0",(Z3-Z4-AA3))</f>
        <v>185</v>
      </c>
      <c r="AC3" s="13">
        <v>212</v>
      </c>
      <c r="AD3" s="18">
        <v>442</v>
      </c>
    </row>
    <row r="4" spans="1:30" ht="20.7" customHeight="1" x14ac:dyDescent="0.2">
      <c r="A4" s="20">
        <v>45507</v>
      </c>
      <c r="B4" s="10">
        <v>12387089</v>
      </c>
      <c r="C4" s="14">
        <f t="shared" si="3"/>
        <v>9365</v>
      </c>
      <c r="D4" s="11">
        <v>481860</v>
      </c>
      <c r="E4" s="14">
        <f t="shared" si="4"/>
        <v>1385</v>
      </c>
      <c r="F4" s="28">
        <v>1704</v>
      </c>
      <c r="G4" s="75">
        <f t="shared" si="5"/>
        <v>0</v>
      </c>
      <c r="H4" s="77">
        <f t="shared" si="6"/>
        <v>10750</v>
      </c>
      <c r="I4" s="81">
        <f t="shared" si="7"/>
        <v>-34758.36</v>
      </c>
      <c r="J4" s="33">
        <f t="shared" si="0"/>
        <v>457.08000000000175</v>
      </c>
      <c r="K4" s="20">
        <f t="shared" si="1"/>
        <v>45507</v>
      </c>
      <c r="L4" s="34">
        <v>5660</v>
      </c>
      <c r="M4" s="35">
        <v>0</v>
      </c>
      <c r="N4" s="36">
        <v>0</v>
      </c>
      <c r="O4" s="93">
        <v>0.73</v>
      </c>
      <c r="P4" s="94">
        <v>0.74</v>
      </c>
      <c r="Q4" s="93">
        <v>0.63</v>
      </c>
      <c r="R4" s="94">
        <v>0.62</v>
      </c>
      <c r="S4" s="40">
        <f t="shared" si="8"/>
        <v>4300</v>
      </c>
      <c r="T4" s="39"/>
      <c r="U4" s="33">
        <f t="shared" si="2"/>
        <v>90</v>
      </c>
      <c r="V4" s="45">
        <v>110034</v>
      </c>
      <c r="W4" s="33">
        <f t="shared" si="9"/>
        <v>138</v>
      </c>
      <c r="X4" s="48">
        <v>60156</v>
      </c>
      <c r="Y4" s="33">
        <f t="shared" si="10"/>
        <v>26</v>
      </c>
      <c r="Z4" s="51">
        <v>7665</v>
      </c>
      <c r="AA4" s="57">
        <v>0</v>
      </c>
      <c r="AB4" s="33">
        <f t="shared" si="11"/>
        <v>190</v>
      </c>
      <c r="AC4" s="13">
        <v>222</v>
      </c>
      <c r="AD4" s="18">
        <v>467</v>
      </c>
    </row>
    <row r="5" spans="1:30" ht="20.7" customHeight="1" x14ac:dyDescent="0.2">
      <c r="A5" s="20">
        <v>45508</v>
      </c>
      <c r="B5" s="10">
        <v>12396454</v>
      </c>
      <c r="C5" s="14">
        <f t="shared" si="3"/>
        <v>9764</v>
      </c>
      <c r="D5" s="11">
        <v>483245</v>
      </c>
      <c r="E5" s="14">
        <f t="shared" si="4"/>
        <v>1444</v>
      </c>
      <c r="F5" s="28">
        <v>1704</v>
      </c>
      <c r="G5" s="75">
        <f t="shared" si="5"/>
        <v>0</v>
      </c>
      <c r="H5" s="77">
        <f t="shared" si="6"/>
        <v>11208</v>
      </c>
      <c r="I5" s="81">
        <f t="shared" si="7"/>
        <v>-34301.279999999999</v>
      </c>
      <c r="J5" s="33">
        <f t="shared" si="0"/>
        <v>4.0800000000017462</v>
      </c>
      <c r="K5" s="20">
        <f t="shared" si="1"/>
        <v>45508</v>
      </c>
      <c r="L5" s="34">
        <v>5660</v>
      </c>
      <c r="M5" s="35">
        <v>0</v>
      </c>
      <c r="N5" s="36">
        <v>0</v>
      </c>
      <c r="O5" s="93">
        <v>0.72</v>
      </c>
      <c r="P5" s="94">
        <v>0.74</v>
      </c>
      <c r="Q5" s="93">
        <v>0.56000000000000005</v>
      </c>
      <c r="R5" s="94">
        <v>0.56000000000000005</v>
      </c>
      <c r="S5" s="40">
        <f t="shared" si="8"/>
        <v>4210</v>
      </c>
      <c r="T5" s="39"/>
      <c r="U5" s="33">
        <f t="shared" si="2"/>
        <v>150</v>
      </c>
      <c r="V5" s="45">
        <v>110172</v>
      </c>
      <c r="W5" s="33">
        <f t="shared" si="9"/>
        <v>126</v>
      </c>
      <c r="X5" s="48">
        <v>60182</v>
      </c>
      <c r="Y5" s="33">
        <f t="shared" si="10"/>
        <v>7</v>
      </c>
      <c r="Z5" s="51">
        <v>7475</v>
      </c>
      <c r="AA5" s="57">
        <v>0</v>
      </c>
      <c r="AB5" s="33">
        <f t="shared" si="11"/>
        <v>220</v>
      </c>
      <c r="AC5" s="13">
        <v>202</v>
      </c>
      <c r="AD5" s="18">
        <v>431</v>
      </c>
    </row>
    <row r="6" spans="1:30" ht="20.7" customHeight="1" x14ac:dyDescent="0.2">
      <c r="A6" s="20">
        <v>45509</v>
      </c>
      <c r="B6" s="10">
        <v>12406218</v>
      </c>
      <c r="C6" s="14">
        <f t="shared" si="3"/>
        <v>9719</v>
      </c>
      <c r="D6" s="11">
        <v>484689</v>
      </c>
      <c r="E6" s="14">
        <f t="shared" si="4"/>
        <v>1494</v>
      </c>
      <c r="F6" s="28">
        <v>1704</v>
      </c>
      <c r="G6" s="75">
        <f t="shared" si="5"/>
        <v>0</v>
      </c>
      <c r="H6" s="77">
        <f t="shared" si="6"/>
        <v>11213</v>
      </c>
      <c r="I6" s="81">
        <f t="shared" si="7"/>
        <v>-34297.199999999997</v>
      </c>
      <c r="J6" s="33">
        <f t="shared" si="0"/>
        <v>-433.34999999999854</v>
      </c>
      <c r="K6" s="20">
        <f t="shared" si="1"/>
        <v>45509</v>
      </c>
      <c r="L6" s="34">
        <v>5660</v>
      </c>
      <c r="M6" s="35">
        <v>0</v>
      </c>
      <c r="N6" s="36">
        <v>0</v>
      </c>
      <c r="O6" s="93">
        <v>0.7</v>
      </c>
      <c r="P6" s="94">
        <v>0.72</v>
      </c>
      <c r="Q6" s="93">
        <v>0.5</v>
      </c>
      <c r="R6" s="94">
        <v>0.52</v>
      </c>
      <c r="S6" s="40">
        <f t="shared" si="8"/>
        <v>4060</v>
      </c>
      <c r="T6" s="39">
        <v>804</v>
      </c>
      <c r="U6" s="33">
        <f t="shared" si="2"/>
        <v>74</v>
      </c>
      <c r="V6" s="45">
        <v>110298</v>
      </c>
      <c r="W6" s="33">
        <f t="shared" si="9"/>
        <v>134</v>
      </c>
      <c r="X6" s="48">
        <v>60189</v>
      </c>
      <c r="Y6" s="33">
        <f t="shared" si="10"/>
        <v>-30</v>
      </c>
      <c r="Z6" s="51">
        <v>7255</v>
      </c>
      <c r="AA6" s="57">
        <v>0</v>
      </c>
      <c r="AB6" s="33">
        <f t="shared" si="11"/>
        <v>220</v>
      </c>
      <c r="AC6" s="13">
        <v>223</v>
      </c>
      <c r="AD6" s="18">
        <v>483</v>
      </c>
    </row>
    <row r="7" spans="1:30" ht="20.7" customHeight="1" x14ac:dyDescent="0.2">
      <c r="A7" s="20">
        <v>45510</v>
      </c>
      <c r="B7" s="10">
        <v>12415937</v>
      </c>
      <c r="C7" s="14">
        <f t="shared" si="3"/>
        <v>9305</v>
      </c>
      <c r="D7" s="11">
        <v>486183</v>
      </c>
      <c r="E7" s="14">
        <f t="shared" si="4"/>
        <v>1476</v>
      </c>
      <c r="F7" s="28">
        <v>1704</v>
      </c>
      <c r="G7" s="75">
        <f t="shared" si="5"/>
        <v>0</v>
      </c>
      <c r="H7" s="77">
        <f t="shared" si="6"/>
        <v>10781</v>
      </c>
      <c r="I7" s="81">
        <f t="shared" si="7"/>
        <v>-34730.549999999996</v>
      </c>
      <c r="J7" s="33">
        <f t="shared" si="0"/>
        <v>647.97999999999593</v>
      </c>
      <c r="K7" s="20">
        <f t="shared" si="1"/>
        <v>45510</v>
      </c>
      <c r="L7" s="34">
        <v>5660</v>
      </c>
      <c r="M7" s="35">
        <v>0</v>
      </c>
      <c r="N7" s="36">
        <v>0</v>
      </c>
      <c r="O7" s="93">
        <v>0.77</v>
      </c>
      <c r="P7" s="94">
        <v>0.82</v>
      </c>
      <c r="Q7" s="93">
        <v>0.78</v>
      </c>
      <c r="R7" s="94">
        <v>0.85</v>
      </c>
      <c r="S7" s="40">
        <f t="shared" si="8"/>
        <v>4790</v>
      </c>
      <c r="T7" s="39"/>
      <c r="U7" s="33" t="str">
        <f t="shared" si="2"/>
        <v>0</v>
      </c>
      <c r="V7" s="45">
        <v>110432</v>
      </c>
      <c r="W7" s="33">
        <f t="shared" si="9"/>
        <v>135</v>
      </c>
      <c r="X7" s="48">
        <v>60159</v>
      </c>
      <c r="Y7" s="33">
        <f t="shared" si="10"/>
        <v>46</v>
      </c>
      <c r="Z7" s="51">
        <v>7035</v>
      </c>
      <c r="AA7" s="57">
        <v>0</v>
      </c>
      <c r="AB7" s="33">
        <f t="shared" si="11"/>
        <v>240</v>
      </c>
      <c r="AC7" s="13">
        <v>212</v>
      </c>
      <c r="AD7" s="18">
        <v>464</v>
      </c>
    </row>
    <row r="8" spans="1:30" ht="20.7" customHeight="1" x14ac:dyDescent="0.2">
      <c r="A8" s="20">
        <v>45511</v>
      </c>
      <c r="B8" s="10">
        <v>12425242</v>
      </c>
      <c r="C8" s="14">
        <f t="shared" si="3"/>
        <v>9973</v>
      </c>
      <c r="D8" s="11">
        <v>487659</v>
      </c>
      <c r="E8" s="14">
        <f t="shared" si="4"/>
        <v>1457</v>
      </c>
      <c r="F8" s="28">
        <v>1704</v>
      </c>
      <c r="G8" s="75">
        <f t="shared" si="5"/>
        <v>0</v>
      </c>
      <c r="H8" s="77">
        <f t="shared" si="6"/>
        <v>11430</v>
      </c>
      <c r="I8" s="81">
        <f t="shared" si="7"/>
        <v>-34082.57</v>
      </c>
      <c r="J8" s="33">
        <f t="shared" si="0"/>
        <v>-179.9800000000032</v>
      </c>
      <c r="K8" s="20">
        <f t="shared" si="1"/>
        <v>45511</v>
      </c>
      <c r="L8" s="34">
        <v>5660</v>
      </c>
      <c r="M8" s="35">
        <v>0</v>
      </c>
      <c r="N8" s="36">
        <v>0</v>
      </c>
      <c r="O8" s="93">
        <v>0.77</v>
      </c>
      <c r="P8" s="94">
        <v>0.79</v>
      </c>
      <c r="Q8" s="93">
        <v>0.8</v>
      </c>
      <c r="R8" s="94">
        <v>0.67</v>
      </c>
      <c r="S8" s="40">
        <f t="shared" si="8"/>
        <v>4635</v>
      </c>
      <c r="T8" s="39"/>
      <c r="U8" s="33">
        <f t="shared" si="2"/>
        <v>85</v>
      </c>
      <c r="V8" s="45">
        <v>110567</v>
      </c>
      <c r="W8" s="33">
        <f t="shared" si="9"/>
        <v>126</v>
      </c>
      <c r="X8" s="48">
        <v>60205</v>
      </c>
      <c r="Y8" s="33">
        <f t="shared" si="10"/>
        <v>11</v>
      </c>
      <c r="Z8" s="51">
        <v>6795</v>
      </c>
      <c r="AA8" s="57">
        <v>0</v>
      </c>
      <c r="AB8" s="33">
        <f t="shared" si="11"/>
        <v>225</v>
      </c>
      <c r="AC8" s="13">
        <v>205</v>
      </c>
      <c r="AD8" s="18">
        <v>467</v>
      </c>
    </row>
    <row r="9" spans="1:30" ht="20.7" customHeight="1" x14ac:dyDescent="0.2">
      <c r="A9" s="20">
        <v>45512</v>
      </c>
      <c r="B9" s="10">
        <v>12435215</v>
      </c>
      <c r="C9" s="14">
        <f t="shared" si="3"/>
        <v>9781</v>
      </c>
      <c r="D9" s="11">
        <v>489116</v>
      </c>
      <c r="E9" s="14">
        <f t="shared" si="4"/>
        <v>1470</v>
      </c>
      <c r="F9" s="28">
        <v>1704</v>
      </c>
      <c r="G9" s="75">
        <f t="shared" si="5"/>
        <v>0</v>
      </c>
      <c r="H9" s="77">
        <f t="shared" si="6"/>
        <v>11251</v>
      </c>
      <c r="I9" s="81">
        <f t="shared" si="7"/>
        <v>-34262.550000000003</v>
      </c>
      <c r="J9" s="33">
        <f t="shared" si="0"/>
        <v>-95.959999999999127</v>
      </c>
      <c r="K9" s="20">
        <f t="shared" si="1"/>
        <v>45512</v>
      </c>
      <c r="L9" s="34">
        <v>5660</v>
      </c>
      <c r="M9" s="35">
        <v>0</v>
      </c>
      <c r="N9" s="36">
        <v>0</v>
      </c>
      <c r="O9" s="93">
        <v>0.76</v>
      </c>
      <c r="P9" s="94">
        <v>0.77</v>
      </c>
      <c r="Q9" s="93">
        <v>0.79</v>
      </c>
      <c r="R9" s="94">
        <v>0.66</v>
      </c>
      <c r="S9" s="40">
        <f t="shared" si="8"/>
        <v>4550</v>
      </c>
      <c r="T9" s="39"/>
      <c r="U9" s="33">
        <f t="shared" si="2"/>
        <v>45</v>
      </c>
      <c r="V9" s="45">
        <v>110693</v>
      </c>
      <c r="W9" s="33">
        <f t="shared" si="9"/>
        <v>137</v>
      </c>
      <c r="X9" s="48">
        <v>60216</v>
      </c>
      <c r="Y9" s="33">
        <f t="shared" si="10"/>
        <v>10</v>
      </c>
      <c r="Z9" s="51">
        <v>6570</v>
      </c>
      <c r="AA9" s="57">
        <v>0</v>
      </c>
      <c r="AB9" s="33">
        <f t="shared" si="11"/>
        <v>225</v>
      </c>
      <c r="AC9" s="13">
        <v>215</v>
      </c>
      <c r="AD9" s="18">
        <v>461</v>
      </c>
    </row>
    <row r="10" spans="1:30" ht="20.7" customHeight="1" x14ac:dyDescent="0.2">
      <c r="A10" s="20">
        <v>45513</v>
      </c>
      <c r="B10" s="10">
        <v>12444996</v>
      </c>
      <c r="C10" s="14">
        <f t="shared" si="3"/>
        <v>9720</v>
      </c>
      <c r="D10" s="11">
        <v>490586</v>
      </c>
      <c r="E10" s="14">
        <f t="shared" si="4"/>
        <v>1436</v>
      </c>
      <c r="F10" s="28">
        <v>1704</v>
      </c>
      <c r="G10" s="75">
        <f t="shared" si="5"/>
        <v>0</v>
      </c>
      <c r="H10" s="77">
        <f t="shared" si="6"/>
        <v>11156</v>
      </c>
      <c r="I10" s="81">
        <f t="shared" si="7"/>
        <v>-34358.51</v>
      </c>
      <c r="J10" s="33">
        <f t="shared" si="0"/>
        <v>-168.88000000000466</v>
      </c>
      <c r="K10" s="20">
        <f t="shared" si="1"/>
        <v>45513</v>
      </c>
      <c r="L10" s="34">
        <v>5660</v>
      </c>
      <c r="M10" s="35">
        <v>0</v>
      </c>
      <c r="N10" s="36">
        <v>0</v>
      </c>
      <c r="O10" s="93">
        <v>0.76</v>
      </c>
      <c r="P10" s="94">
        <v>0.76</v>
      </c>
      <c r="Q10" s="93">
        <v>0.75</v>
      </c>
      <c r="R10" s="94">
        <v>0.66</v>
      </c>
      <c r="S10" s="40">
        <f t="shared" si="8"/>
        <v>4505</v>
      </c>
      <c r="T10" s="39"/>
      <c r="U10" s="33">
        <f t="shared" si="2"/>
        <v>190</v>
      </c>
      <c r="V10" s="45">
        <v>110830</v>
      </c>
      <c r="W10" s="33">
        <f t="shared" si="9"/>
        <v>130</v>
      </c>
      <c r="X10" s="48">
        <v>60226</v>
      </c>
      <c r="Y10" s="33">
        <f t="shared" si="10"/>
        <v>16</v>
      </c>
      <c r="Z10" s="51">
        <v>6345</v>
      </c>
      <c r="AA10" s="57">
        <v>0</v>
      </c>
      <c r="AB10" s="33">
        <f t="shared" si="11"/>
        <v>240</v>
      </c>
      <c r="AC10" s="13">
        <v>215</v>
      </c>
      <c r="AD10" s="18">
        <v>489</v>
      </c>
    </row>
    <row r="11" spans="1:30" ht="20.7" customHeight="1" x14ac:dyDescent="0.2">
      <c r="A11" s="20">
        <v>45514</v>
      </c>
      <c r="B11" s="10">
        <v>12454716</v>
      </c>
      <c r="C11" s="14">
        <f t="shared" si="3"/>
        <v>9564</v>
      </c>
      <c r="D11" s="11">
        <v>492022</v>
      </c>
      <c r="E11" s="14">
        <f t="shared" si="4"/>
        <v>1424</v>
      </c>
      <c r="F11" s="28">
        <v>1704</v>
      </c>
      <c r="G11" s="75">
        <f t="shared" si="5"/>
        <v>0</v>
      </c>
      <c r="H11" s="77">
        <f t="shared" si="6"/>
        <v>10988</v>
      </c>
      <c r="I11" s="81">
        <f t="shared" si="7"/>
        <v>-34527.390000000007</v>
      </c>
      <c r="J11" s="33">
        <f t="shared" si="0"/>
        <v>986.10000000000582</v>
      </c>
      <c r="K11" s="20">
        <f t="shared" si="1"/>
        <v>45514</v>
      </c>
      <c r="L11" s="34">
        <v>5660</v>
      </c>
      <c r="M11" s="35">
        <v>0</v>
      </c>
      <c r="N11" s="36">
        <v>0</v>
      </c>
      <c r="O11" s="93">
        <v>0.73</v>
      </c>
      <c r="P11" s="94">
        <v>0.74</v>
      </c>
      <c r="Q11" s="93">
        <v>0.66</v>
      </c>
      <c r="R11" s="94">
        <v>0.62</v>
      </c>
      <c r="S11" s="40">
        <f t="shared" si="8"/>
        <v>4315</v>
      </c>
      <c r="T11" s="39"/>
      <c r="U11" s="33">
        <f t="shared" si="2"/>
        <v>130</v>
      </c>
      <c r="V11" s="45">
        <v>110960</v>
      </c>
      <c r="W11" s="33">
        <f t="shared" si="9"/>
        <v>143</v>
      </c>
      <c r="X11" s="48">
        <v>60242</v>
      </c>
      <c r="Y11" s="33">
        <f t="shared" si="10"/>
        <v>9</v>
      </c>
      <c r="Z11" s="51">
        <v>6105</v>
      </c>
      <c r="AA11" s="57">
        <v>0</v>
      </c>
      <c r="AB11" s="33">
        <f t="shared" si="11"/>
        <v>230</v>
      </c>
      <c r="AC11" s="13">
        <v>221</v>
      </c>
      <c r="AD11" s="18">
        <v>504</v>
      </c>
    </row>
    <row r="12" spans="1:30" ht="20.7" customHeight="1" x14ac:dyDescent="0.2">
      <c r="A12" s="20">
        <v>45515</v>
      </c>
      <c r="B12" s="10">
        <v>12464280</v>
      </c>
      <c r="C12" s="14">
        <f t="shared" si="3"/>
        <v>10574</v>
      </c>
      <c r="D12" s="11">
        <v>493446</v>
      </c>
      <c r="E12" s="14">
        <f t="shared" si="4"/>
        <v>1401</v>
      </c>
      <c r="F12" s="28">
        <v>1704</v>
      </c>
      <c r="G12" s="75">
        <f t="shared" si="5"/>
        <v>0</v>
      </c>
      <c r="H12" s="77">
        <f t="shared" si="6"/>
        <v>11975</v>
      </c>
      <c r="I12" s="81">
        <f t="shared" si="7"/>
        <v>-33541.29</v>
      </c>
      <c r="J12" s="33">
        <f t="shared" si="0"/>
        <v>-240.93000000000029</v>
      </c>
      <c r="K12" s="20">
        <f t="shared" si="1"/>
        <v>45515</v>
      </c>
      <c r="L12" s="34">
        <v>5660</v>
      </c>
      <c r="M12" s="35">
        <v>0</v>
      </c>
      <c r="N12" s="36">
        <v>0</v>
      </c>
      <c r="O12" s="93">
        <v>0.71</v>
      </c>
      <c r="P12" s="94">
        <v>0.73</v>
      </c>
      <c r="Q12" s="93">
        <v>0.57999999999999996</v>
      </c>
      <c r="R12" s="94">
        <v>0.59</v>
      </c>
      <c r="S12" s="40">
        <f t="shared" si="8"/>
        <v>4185</v>
      </c>
      <c r="T12" s="39"/>
      <c r="U12" s="33">
        <f t="shared" si="2"/>
        <v>95</v>
      </c>
      <c r="V12" s="45">
        <v>111103</v>
      </c>
      <c r="W12" s="33">
        <f t="shared" si="9"/>
        <v>134</v>
      </c>
      <c r="X12" s="48">
        <v>60251</v>
      </c>
      <c r="Y12" s="33">
        <f t="shared" si="10"/>
        <v>6</v>
      </c>
      <c r="Z12" s="51">
        <v>5875</v>
      </c>
      <c r="AA12" s="57">
        <v>0</v>
      </c>
      <c r="AB12" s="33">
        <f t="shared" si="11"/>
        <v>250</v>
      </c>
      <c r="AC12" s="13">
        <v>225</v>
      </c>
      <c r="AD12" s="18">
        <v>517</v>
      </c>
    </row>
    <row r="13" spans="1:30" ht="20.7" customHeight="1" x14ac:dyDescent="0.2">
      <c r="A13" s="20">
        <v>45516</v>
      </c>
      <c r="B13" s="10">
        <v>12474854</v>
      </c>
      <c r="C13" s="14">
        <f t="shared" si="3"/>
        <v>10328</v>
      </c>
      <c r="D13" s="11">
        <v>494847</v>
      </c>
      <c r="E13" s="14">
        <f t="shared" si="4"/>
        <v>1407</v>
      </c>
      <c r="F13" s="28">
        <v>1704</v>
      </c>
      <c r="G13" s="75">
        <f t="shared" si="5"/>
        <v>0</v>
      </c>
      <c r="H13" s="77">
        <f t="shared" si="6"/>
        <v>11735</v>
      </c>
      <c r="I13" s="81">
        <f t="shared" si="7"/>
        <v>-33782.22</v>
      </c>
      <c r="J13" s="33">
        <f t="shared" si="0"/>
        <v>1111.5400000000009</v>
      </c>
      <c r="K13" s="20">
        <f t="shared" si="1"/>
        <v>45516</v>
      </c>
      <c r="L13" s="34">
        <v>5660</v>
      </c>
      <c r="M13" s="35">
        <v>0</v>
      </c>
      <c r="N13" s="36">
        <v>0</v>
      </c>
      <c r="O13" s="93">
        <v>0.71</v>
      </c>
      <c r="P13" s="94">
        <v>0.72</v>
      </c>
      <c r="Q13" s="93">
        <v>0.51</v>
      </c>
      <c r="R13" s="94">
        <v>0.52</v>
      </c>
      <c r="S13" s="40">
        <f t="shared" si="8"/>
        <v>4090</v>
      </c>
      <c r="T13" s="39">
        <v>806</v>
      </c>
      <c r="U13" s="33">
        <f t="shared" si="2"/>
        <v>136</v>
      </c>
      <c r="V13" s="45">
        <v>111237</v>
      </c>
      <c r="W13" s="33">
        <f t="shared" si="9"/>
        <v>158</v>
      </c>
      <c r="X13" s="48">
        <v>60257</v>
      </c>
      <c r="Y13" s="33">
        <f t="shared" si="10"/>
        <v>13</v>
      </c>
      <c r="Z13" s="51">
        <v>5625</v>
      </c>
      <c r="AA13" s="57">
        <v>0</v>
      </c>
      <c r="AB13" s="33">
        <f t="shared" si="11"/>
        <v>220</v>
      </c>
      <c r="AC13" s="13">
        <v>235</v>
      </c>
      <c r="AD13" s="18">
        <v>557</v>
      </c>
    </row>
    <row r="14" spans="1:30" ht="20.7" customHeight="1" x14ac:dyDescent="0.2">
      <c r="A14" s="20">
        <v>45517</v>
      </c>
      <c r="B14" s="10">
        <v>12485182</v>
      </c>
      <c r="C14" s="14">
        <f t="shared" si="3"/>
        <v>11439</v>
      </c>
      <c r="D14" s="11">
        <v>496254</v>
      </c>
      <c r="E14" s="14">
        <f t="shared" si="4"/>
        <v>1409</v>
      </c>
      <c r="F14" s="28">
        <v>1704</v>
      </c>
      <c r="G14" s="75">
        <f t="shared" si="5"/>
        <v>0</v>
      </c>
      <c r="H14" s="77">
        <f t="shared" si="6"/>
        <v>12848</v>
      </c>
      <c r="I14" s="81">
        <f t="shared" si="7"/>
        <v>-32670.68</v>
      </c>
      <c r="J14" s="33">
        <f t="shared" si="0"/>
        <v>-357.88999999999942</v>
      </c>
      <c r="K14" s="20">
        <f t="shared" si="1"/>
        <v>45517</v>
      </c>
      <c r="L14" s="34">
        <v>5660</v>
      </c>
      <c r="M14" s="35">
        <v>0</v>
      </c>
      <c r="N14" s="36">
        <v>0</v>
      </c>
      <c r="O14" s="93">
        <v>0.8</v>
      </c>
      <c r="P14" s="94">
        <v>0.77</v>
      </c>
      <c r="Q14" s="93">
        <v>0.88</v>
      </c>
      <c r="R14" s="94">
        <v>0.79</v>
      </c>
      <c r="S14" s="40">
        <f t="shared" si="8"/>
        <v>4760</v>
      </c>
      <c r="T14" s="39"/>
      <c r="U14" s="33" t="str">
        <f t="shared" si="2"/>
        <v>0</v>
      </c>
      <c r="V14" s="45">
        <v>111395</v>
      </c>
      <c r="W14" s="33">
        <f t="shared" si="9"/>
        <v>134</v>
      </c>
      <c r="X14" s="48">
        <v>60270</v>
      </c>
      <c r="Y14" s="33">
        <f t="shared" si="10"/>
        <v>14</v>
      </c>
      <c r="Z14" s="51">
        <v>5405</v>
      </c>
      <c r="AA14" s="57">
        <v>0</v>
      </c>
      <c r="AB14" s="33">
        <f t="shared" si="11"/>
        <v>210</v>
      </c>
      <c r="AC14" s="13">
        <v>223</v>
      </c>
      <c r="AD14" s="18">
        <v>516</v>
      </c>
    </row>
    <row r="15" spans="1:30" ht="20.7" customHeight="1" x14ac:dyDescent="0.2">
      <c r="A15" s="20">
        <v>45518</v>
      </c>
      <c r="B15" s="10">
        <v>12496621</v>
      </c>
      <c r="C15" s="14">
        <f t="shared" si="3"/>
        <v>11112</v>
      </c>
      <c r="D15" s="11">
        <v>497663</v>
      </c>
      <c r="E15" s="14">
        <f t="shared" si="4"/>
        <v>1379</v>
      </c>
      <c r="F15" s="28">
        <v>1704</v>
      </c>
      <c r="G15" s="75">
        <f t="shared" si="5"/>
        <v>0</v>
      </c>
      <c r="H15" s="77">
        <f t="shared" si="6"/>
        <v>12491</v>
      </c>
      <c r="I15" s="81">
        <f t="shared" si="7"/>
        <v>-33028.57</v>
      </c>
      <c r="J15" s="33">
        <f t="shared" si="0"/>
        <v>525.02000000000044</v>
      </c>
      <c r="K15" s="20">
        <f t="shared" si="1"/>
        <v>45518</v>
      </c>
      <c r="L15" s="34">
        <v>5660</v>
      </c>
      <c r="M15" s="35">
        <v>0</v>
      </c>
      <c r="N15" s="36">
        <v>0</v>
      </c>
      <c r="O15" s="93">
        <v>0.77</v>
      </c>
      <c r="P15" s="94">
        <v>0.76</v>
      </c>
      <c r="Q15" s="93">
        <v>0.8</v>
      </c>
      <c r="R15" s="94">
        <v>0.75</v>
      </c>
      <c r="S15" s="40">
        <f t="shared" si="8"/>
        <v>4600</v>
      </c>
      <c r="T15" s="39"/>
      <c r="U15" s="33">
        <f t="shared" si="2"/>
        <v>105</v>
      </c>
      <c r="V15" s="45">
        <v>111529</v>
      </c>
      <c r="W15" s="33">
        <f t="shared" si="9"/>
        <v>139</v>
      </c>
      <c r="X15" s="48">
        <v>60284</v>
      </c>
      <c r="Y15" s="33">
        <f t="shared" si="10"/>
        <v>8</v>
      </c>
      <c r="Z15" s="51">
        <v>5195</v>
      </c>
      <c r="AA15" s="57">
        <v>0</v>
      </c>
      <c r="AB15" s="33">
        <f t="shared" si="11"/>
        <v>225</v>
      </c>
      <c r="AC15" s="13">
        <v>225</v>
      </c>
      <c r="AD15" s="18">
        <v>518</v>
      </c>
    </row>
    <row r="16" spans="1:30" ht="20.7" customHeight="1" x14ac:dyDescent="0.2">
      <c r="A16" s="20">
        <v>45519</v>
      </c>
      <c r="B16" s="10">
        <v>12507733</v>
      </c>
      <c r="C16" s="14">
        <f t="shared" si="3"/>
        <v>11629</v>
      </c>
      <c r="D16" s="11">
        <v>499042</v>
      </c>
      <c r="E16" s="14">
        <f t="shared" si="4"/>
        <v>1388</v>
      </c>
      <c r="F16" s="28">
        <v>1704</v>
      </c>
      <c r="G16" s="75">
        <f t="shared" si="5"/>
        <v>0</v>
      </c>
      <c r="H16" s="77">
        <f t="shared" si="6"/>
        <v>13017</v>
      </c>
      <c r="I16" s="81">
        <f t="shared" si="7"/>
        <v>-32503.55</v>
      </c>
      <c r="J16" s="33">
        <f t="shared" si="0"/>
        <v>50.020000000000437</v>
      </c>
      <c r="K16" s="20">
        <f t="shared" si="1"/>
        <v>45519</v>
      </c>
      <c r="L16" s="34">
        <v>5660</v>
      </c>
      <c r="M16" s="35">
        <v>0</v>
      </c>
      <c r="N16" s="36">
        <v>0</v>
      </c>
      <c r="O16" s="93">
        <v>0.75</v>
      </c>
      <c r="P16" s="94">
        <v>0.74</v>
      </c>
      <c r="Q16" s="93">
        <v>0.8</v>
      </c>
      <c r="R16" s="94">
        <v>0.74</v>
      </c>
      <c r="S16" s="40">
        <f t="shared" si="8"/>
        <v>4495</v>
      </c>
      <c r="T16" s="39"/>
      <c r="U16" s="33">
        <f t="shared" si="2"/>
        <v>75</v>
      </c>
      <c r="V16" s="45">
        <v>111668</v>
      </c>
      <c r="W16" s="33">
        <f t="shared" si="9"/>
        <v>170</v>
      </c>
      <c r="X16" s="48">
        <v>60292</v>
      </c>
      <c r="Y16" s="33">
        <f t="shared" si="10"/>
        <v>3</v>
      </c>
      <c r="Z16" s="51">
        <v>4970</v>
      </c>
      <c r="AA16" s="57">
        <v>0</v>
      </c>
      <c r="AB16" s="33">
        <f t="shared" si="11"/>
        <v>220</v>
      </c>
      <c r="AC16" s="13">
        <v>234</v>
      </c>
      <c r="AD16" s="18">
        <v>551</v>
      </c>
    </row>
    <row r="17" spans="1:30" ht="20.7" customHeight="1" x14ac:dyDescent="0.2">
      <c r="A17" s="20">
        <v>45520</v>
      </c>
      <c r="B17" s="10">
        <v>12519362</v>
      </c>
      <c r="C17" s="14">
        <f t="shared" si="3"/>
        <v>11693</v>
      </c>
      <c r="D17" s="11">
        <v>500430</v>
      </c>
      <c r="E17" s="14">
        <f t="shared" si="4"/>
        <v>1375</v>
      </c>
      <c r="F17" s="28">
        <v>1704</v>
      </c>
      <c r="G17" s="75">
        <f t="shared" si="5"/>
        <v>0</v>
      </c>
      <c r="H17" s="77">
        <f t="shared" si="6"/>
        <v>13068</v>
      </c>
      <c r="I17" s="81">
        <f t="shared" si="7"/>
        <v>-32453.53</v>
      </c>
      <c r="J17" s="33">
        <f t="shared" si="0"/>
        <v>148.15999999999985</v>
      </c>
      <c r="K17" s="20">
        <f t="shared" si="1"/>
        <v>45520</v>
      </c>
      <c r="L17" s="34">
        <v>5660</v>
      </c>
      <c r="M17" s="35">
        <v>0</v>
      </c>
      <c r="N17" s="36">
        <v>0</v>
      </c>
      <c r="O17" s="93">
        <v>0.75</v>
      </c>
      <c r="P17" s="94">
        <v>0.72</v>
      </c>
      <c r="Q17" s="93">
        <v>0.78</v>
      </c>
      <c r="R17" s="94">
        <v>0.71</v>
      </c>
      <c r="S17" s="40">
        <f t="shared" si="8"/>
        <v>4420</v>
      </c>
      <c r="T17" s="39"/>
      <c r="U17" s="33">
        <f t="shared" ref="U17:U20" si="12">IF(OR((S17+T17-S18)&lt;0,S17&gt;S16),"0",(S17+T17-S18))</f>
        <v>285</v>
      </c>
      <c r="V17" s="45">
        <v>111838</v>
      </c>
      <c r="W17" s="33">
        <f t="shared" si="9"/>
        <v>137</v>
      </c>
      <c r="X17" s="48">
        <v>60295</v>
      </c>
      <c r="Y17" s="33">
        <f t="shared" si="10"/>
        <v>11</v>
      </c>
      <c r="Z17" s="51">
        <v>4750</v>
      </c>
      <c r="AA17" s="57">
        <v>0</v>
      </c>
      <c r="AB17" s="33">
        <f t="shared" si="11"/>
        <v>235</v>
      </c>
      <c r="AC17" s="13">
        <v>242</v>
      </c>
      <c r="AD17" s="18">
        <v>567</v>
      </c>
    </row>
    <row r="18" spans="1:30" ht="20.7" customHeight="1" x14ac:dyDescent="0.2">
      <c r="A18" s="20">
        <v>45521</v>
      </c>
      <c r="B18" s="10">
        <v>12531055</v>
      </c>
      <c r="C18" s="14">
        <f t="shared" si="3"/>
        <v>11824</v>
      </c>
      <c r="D18" s="11">
        <v>501805</v>
      </c>
      <c r="E18" s="14">
        <f t="shared" si="4"/>
        <v>1393</v>
      </c>
      <c r="F18" s="28">
        <v>1704</v>
      </c>
      <c r="G18" s="75">
        <f t="shared" si="5"/>
        <v>0</v>
      </c>
      <c r="H18" s="77">
        <f t="shared" si="6"/>
        <v>13217</v>
      </c>
      <c r="I18" s="81">
        <f t="shared" si="7"/>
        <v>-32305.37</v>
      </c>
      <c r="J18" s="33">
        <f t="shared" si="0"/>
        <v>-987.95000000000073</v>
      </c>
      <c r="K18" s="20">
        <f t="shared" si="1"/>
        <v>45521</v>
      </c>
      <c r="L18" s="34">
        <v>5660</v>
      </c>
      <c r="M18" s="35">
        <v>0</v>
      </c>
      <c r="N18" s="36">
        <v>0</v>
      </c>
      <c r="O18" s="93">
        <v>0.7</v>
      </c>
      <c r="P18" s="94">
        <v>0.69</v>
      </c>
      <c r="Q18" s="93">
        <v>0.67</v>
      </c>
      <c r="R18" s="94">
        <v>0.65</v>
      </c>
      <c r="S18" s="40">
        <f t="shared" si="8"/>
        <v>4135</v>
      </c>
      <c r="T18" s="39"/>
      <c r="U18" s="33">
        <f t="shared" si="12"/>
        <v>90</v>
      </c>
      <c r="V18" s="45">
        <v>111975</v>
      </c>
      <c r="W18" s="33">
        <f t="shared" si="9"/>
        <v>157</v>
      </c>
      <c r="X18" s="48">
        <v>60306</v>
      </c>
      <c r="Y18" s="33">
        <f t="shared" si="10"/>
        <v>13</v>
      </c>
      <c r="Z18" s="51">
        <v>4515</v>
      </c>
      <c r="AA18" s="57">
        <v>0</v>
      </c>
      <c r="AB18" s="33">
        <f t="shared" si="11"/>
        <v>235</v>
      </c>
      <c r="AC18" s="13">
        <v>229</v>
      </c>
      <c r="AD18" s="18">
        <v>544</v>
      </c>
    </row>
    <row r="19" spans="1:30" ht="20.7" customHeight="1" x14ac:dyDescent="0.2">
      <c r="A19" s="20">
        <v>45522</v>
      </c>
      <c r="B19" s="10">
        <v>12542879</v>
      </c>
      <c r="C19" s="14">
        <f t="shared" si="3"/>
        <v>10811</v>
      </c>
      <c r="D19" s="11">
        <v>503198</v>
      </c>
      <c r="E19" s="14">
        <f t="shared" si="4"/>
        <v>1419</v>
      </c>
      <c r="F19" s="28">
        <v>1704</v>
      </c>
      <c r="G19" s="75">
        <f t="shared" si="5"/>
        <v>0</v>
      </c>
      <c r="H19" s="77">
        <f t="shared" si="6"/>
        <v>12230</v>
      </c>
      <c r="I19" s="81">
        <f t="shared" si="7"/>
        <v>-33293.32</v>
      </c>
      <c r="J19" s="33">
        <f t="shared" si="0"/>
        <v>-335.89000000000669</v>
      </c>
      <c r="K19" s="20">
        <f t="shared" si="1"/>
        <v>45522</v>
      </c>
      <c r="L19" s="34">
        <v>5660</v>
      </c>
      <c r="M19" s="35">
        <v>0</v>
      </c>
      <c r="N19" s="36">
        <v>0</v>
      </c>
      <c r="O19" s="93">
        <v>0.68</v>
      </c>
      <c r="P19" s="94">
        <v>0.69</v>
      </c>
      <c r="Q19" s="93">
        <v>0.64</v>
      </c>
      <c r="R19" s="94">
        <v>0.6</v>
      </c>
      <c r="S19" s="40">
        <f t="shared" si="8"/>
        <v>4045</v>
      </c>
      <c r="T19" s="39"/>
      <c r="U19" s="33">
        <f t="shared" si="12"/>
        <v>145</v>
      </c>
      <c r="V19" s="45">
        <v>112132</v>
      </c>
      <c r="W19" s="33">
        <f t="shared" si="9"/>
        <v>137</v>
      </c>
      <c r="X19" s="48">
        <v>60319</v>
      </c>
      <c r="Y19" s="33">
        <f t="shared" si="10"/>
        <v>2</v>
      </c>
      <c r="Z19" s="51">
        <v>4280</v>
      </c>
      <c r="AA19" s="57">
        <v>0</v>
      </c>
      <c r="AB19" s="33">
        <f t="shared" si="11"/>
        <v>220</v>
      </c>
      <c r="AC19" s="13">
        <v>218</v>
      </c>
      <c r="AD19" s="18">
        <v>501</v>
      </c>
    </row>
    <row r="20" spans="1:30" ht="20.7" customHeight="1" x14ac:dyDescent="0.2">
      <c r="A20" s="20">
        <v>45523</v>
      </c>
      <c r="B20" s="10">
        <v>12553690</v>
      </c>
      <c r="C20" s="14">
        <f t="shared" si="3"/>
        <v>10476</v>
      </c>
      <c r="D20" s="11">
        <v>504617</v>
      </c>
      <c r="E20" s="14">
        <f t="shared" si="4"/>
        <v>1419</v>
      </c>
      <c r="F20" s="28">
        <v>1704</v>
      </c>
      <c r="G20" s="75">
        <f t="shared" si="5"/>
        <v>0</v>
      </c>
      <c r="H20" s="77">
        <f t="shared" si="6"/>
        <v>11895</v>
      </c>
      <c r="I20" s="81">
        <f t="shared" si="7"/>
        <v>-33629.210000000006</v>
      </c>
      <c r="J20" s="33">
        <f t="shared" si="0"/>
        <v>519.79000000000815</v>
      </c>
      <c r="K20" s="20">
        <f t="shared" si="1"/>
        <v>45523</v>
      </c>
      <c r="L20" s="34">
        <v>5661</v>
      </c>
      <c r="M20" s="35">
        <v>0</v>
      </c>
      <c r="N20" s="36">
        <v>0</v>
      </c>
      <c r="O20" s="93">
        <v>0.66</v>
      </c>
      <c r="P20" s="94">
        <v>0.68</v>
      </c>
      <c r="Q20" s="93">
        <v>0.55000000000000004</v>
      </c>
      <c r="R20" s="94">
        <v>0.55000000000000004</v>
      </c>
      <c r="S20" s="40">
        <f t="shared" si="8"/>
        <v>3900</v>
      </c>
      <c r="T20" s="39">
        <v>201</v>
      </c>
      <c r="U20" s="33">
        <f t="shared" si="12"/>
        <v>31</v>
      </c>
      <c r="V20" s="45">
        <v>112269</v>
      </c>
      <c r="W20" s="33">
        <f t="shared" si="9"/>
        <v>142</v>
      </c>
      <c r="X20" s="48">
        <v>60321</v>
      </c>
      <c r="Y20" s="33">
        <f t="shared" si="10"/>
        <v>28</v>
      </c>
      <c r="Z20" s="51">
        <v>4060</v>
      </c>
      <c r="AA20" s="57">
        <v>0</v>
      </c>
      <c r="AB20" s="33">
        <f t="shared" si="11"/>
        <v>245</v>
      </c>
      <c r="AC20" s="13">
        <v>221</v>
      </c>
      <c r="AD20" s="18">
        <v>510</v>
      </c>
    </row>
    <row r="21" spans="1:30" ht="20.7" customHeight="1" x14ac:dyDescent="0.2">
      <c r="A21" s="20">
        <v>45524</v>
      </c>
      <c r="B21" s="10">
        <v>12564166</v>
      </c>
      <c r="C21" s="14">
        <f t="shared" si="3"/>
        <v>10995</v>
      </c>
      <c r="D21" s="11">
        <v>506036</v>
      </c>
      <c r="E21" s="14">
        <f t="shared" si="4"/>
        <v>1421</v>
      </c>
      <c r="F21" s="28">
        <v>1704</v>
      </c>
      <c r="G21" s="75">
        <f t="shared" si="5"/>
        <v>0</v>
      </c>
      <c r="H21" s="77">
        <f t="shared" si="6"/>
        <v>12416</v>
      </c>
      <c r="I21" s="81">
        <f t="shared" si="7"/>
        <v>-33109.42</v>
      </c>
      <c r="J21" s="33">
        <f t="shared" si="0"/>
        <v>463.10999999999694</v>
      </c>
      <c r="K21" s="20">
        <f t="shared" si="1"/>
        <v>45524</v>
      </c>
      <c r="L21" s="34">
        <v>5660</v>
      </c>
      <c r="M21" s="35">
        <v>0</v>
      </c>
      <c r="N21" s="36">
        <v>0</v>
      </c>
      <c r="O21" s="93">
        <v>0.65</v>
      </c>
      <c r="P21" s="94">
        <v>0.68</v>
      </c>
      <c r="Q21" s="93">
        <v>0.77</v>
      </c>
      <c r="R21" s="94">
        <v>0.72</v>
      </c>
      <c r="S21" s="41">
        <f t="shared" si="8"/>
        <v>4070</v>
      </c>
      <c r="T21" s="39"/>
      <c r="U21" s="33" t="str">
        <f>IF(OR((S21+T21-S22)&lt;0,S21&gt;S20),"0",(S21+T21-S22))</f>
        <v>0</v>
      </c>
      <c r="V21" s="45">
        <v>112411</v>
      </c>
      <c r="W21" s="33">
        <f t="shared" si="9"/>
        <v>130</v>
      </c>
      <c r="X21" s="48">
        <v>60349</v>
      </c>
      <c r="Y21" s="33">
        <f t="shared" si="10"/>
        <v>12</v>
      </c>
      <c r="Z21" s="51">
        <v>3815</v>
      </c>
      <c r="AA21" s="57">
        <v>0</v>
      </c>
      <c r="AB21" s="33">
        <f t="shared" si="11"/>
        <v>230</v>
      </c>
      <c r="AC21" s="13">
        <v>225</v>
      </c>
      <c r="AD21" s="18">
        <v>524</v>
      </c>
    </row>
    <row r="22" spans="1:30" ht="20.7" customHeight="1" x14ac:dyDescent="0.2">
      <c r="A22" s="20">
        <v>45525</v>
      </c>
      <c r="B22" s="10">
        <v>12575161</v>
      </c>
      <c r="C22" s="14">
        <f t="shared" si="3"/>
        <v>11563</v>
      </c>
      <c r="D22" s="11">
        <v>507457</v>
      </c>
      <c r="E22" s="14">
        <f t="shared" si="4"/>
        <v>1317</v>
      </c>
      <c r="F22" s="28">
        <v>1704</v>
      </c>
      <c r="G22" s="75">
        <f t="shared" si="5"/>
        <v>0</v>
      </c>
      <c r="H22" s="77">
        <f t="shared" si="6"/>
        <v>12880</v>
      </c>
      <c r="I22" s="81">
        <f t="shared" si="7"/>
        <v>-32646.31</v>
      </c>
      <c r="J22" s="33">
        <f t="shared" si="0"/>
        <v>-487.90999999999985</v>
      </c>
      <c r="K22" s="20">
        <f t="shared" si="1"/>
        <v>45525</v>
      </c>
      <c r="L22" s="34">
        <v>5660</v>
      </c>
      <c r="M22" s="35">
        <v>0</v>
      </c>
      <c r="N22" s="36">
        <v>0</v>
      </c>
      <c r="O22" s="93">
        <v>0.61</v>
      </c>
      <c r="P22" s="94">
        <v>0.6</v>
      </c>
      <c r="Q22" s="93">
        <v>0.7</v>
      </c>
      <c r="R22" s="94">
        <v>0.67</v>
      </c>
      <c r="S22" s="41">
        <f t="shared" si="8"/>
        <v>3710</v>
      </c>
      <c r="T22" s="39"/>
      <c r="U22" s="33">
        <f t="shared" ref="U22:U32" si="13">IF((S22+T22-S23)&lt;0,"0",(S22+T22-S23))</f>
        <v>155</v>
      </c>
      <c r="V22" s="45">
        <v>112541</v>
      </c>
      <c r="W22" s="33">
        <f t="shared" si="9"/>
        <v>121</v>
      </c>
      <c r="X22" s="48">
        <v>60361</v>
      </c>
      <c r="Y22" s="33">
        <f t="shared" si="10"/>
        <v>6</v>
      </c>
      <c r="Z22" s="51">
        <v>3585</v>
      </c>
      <c r="AA22" s="57">
        <v>0</v>
      </c>
      <c r="AB22" s="33">
        <f t="shared" si="11"/>
        <v>220</v>
      </c>
      <c r="AC22" s="13">
        <v>225</v>
      </c>
      <c r="AD22" s="18">
        <v>524</v>
      </c>
    </row>
    <row r="23" spans="1:30" ht="20.7" customHeight="1" x14ac:dyDescent="0.2">
      <c r="A23" s="20">
        <v>45526</v>
      </c>
      <c r="B23" s="10">
        <v>12586724</v>
      </c>
      <c r="C23" s="14">
        <f t="shared" si="3"/>
        <v>11053</v>
      </c>
      <c r="D23" s="11">
        <v>508774</v>
      </c>
      <c r="E23" s="14">
        <f t="shared" si="4"/>
        <v>1340</v>
      </c>
      <c r="F23" s="28">
        <v>1704</v>
      </c>
      <c r="G23" s="75">
        <f t="shared" si="5"/>
        <v>0</v>
      </c>
      <c r="H23" s="77">
        <f t="shared" si="6"/>
        <v>12393</v>
      </c>
      <c r="I23" s="81">
        <f t="shared" si="7"/>
        <v>-33134.22</v>
      </c>
      <c r="J23" s="33">
        <f t="shared" si="0"/>
        <v>-115.95000000000437</v>
      </c>
      <c r="K23" s="20">
        <f t="shared" si="1"/>
        <v>45526</v>
      </c>
      <c r="L23" s="34">
        <v>5660</v>
      </c>
      <c r="M23" s="35">
        <v>0</v>
      </c>
      <c r="N23" s="36">
        <v>0</v>
      </c>
      <c r="O23" s="93">
        <v>0.56000000000000005</v>
      </c>
      <c r="P23" s="94">
        <v>0.6</v>
      </c>
      <c r="Q23" s="93">
        <v>0.66</v>
      </c>
      <c r="R23" s="94">
        <v>0.65</v>
      </c>
      <c r="S23" s="41">
        <f t="shared" si="8"/>
        <v>3555</v>
      </c>
      <c r="T23" s="39"/>
      <c r="U23" s="33">
        <f t="shared" si="13"/>
        <v>60</v>
      </c>
      <c r="V23" s="45">
        <v>112662</v>
      </c>
      <c r="W23" s="33">
        <f t="shared" si="9"/>
        <v>165</v>
      </c>
      <c r="X23" s="48">
        <v>60367</v>
      </c>
      <c r="Y23" s="33">
        <f t="shared" si="10"/>
        <v>12</v>
      </c>
      <c r="Z23" s="51">
        <v>3365</v>
      </c>
      <c r="AA23" s="57">
        <v>0</v>
      </c>
      <c r="AB23" s="33">
        <f t="shared" si="11"/>
        <v>220</v>
      </c>
      <c r="AC23" s="13">
        <v>221</v>
      </c>
      <c r="AD23" s="18">
        <v>503</v>
      </c>
    </row>
    <row r="24" spans="1:30" ht="20.7" customHeight="1" x14ac:dyDescent="0.2">
      <c r="A24" s="20">
        <v>45527</v>
      </c>
      <c r="B24" s="10">
        <v>12597777</v>
      </c>
      <c r="C24" s="14">
        <f t="shared" si="3"/>
        <v>10931</v>
      </c>
      <c r="D24" s="11">
        <v>510114</v>
      </c>
      <c r="E24" s="14">
        <f t="shared" si="4"/>
        <v>1347</v>
      </c>
      <c r="F24" s="28">
        <v>1704</v>
      </c>
      <c r="G24" s="75">
        <f t="shared" si="5"/>
        <v>0</v>
      </c>
      <c r="H24" s="77">
        <f t="shared" si="6"/>
        <v>12278</v>
      </c>
      <c r="I24" s="81">
        <f t="shared" si="7"/>
        <v>-33250.170000000006</v>
      </c>
      <c r="J24" s="33">
        <f t="shared" si="0"/>
        <v>334.00000000000728</v>
      </c>
      <c r="K24" s="20">
        <f t="shared" si="1"/>
        <v>45527</v>
      </c>
      <c r="L24" s="34">
        <v>5660</v>
      </c>
      <c r="M24" s="35">
        <v>0</v>
      </c>
      <c r="N24" s="36">
        <v>0</v>
      </c>
      <c r="O24" s="93">
        <v>0.55000000000000004</v>
      </c>
      <c r="P24" s="94">
        <v>0.6</v>
      </c>
      <c r="Q24" s="93">
        <v>0.62</v>
      </c>
      <c r="R24" s="94">
        <v>0.62</v>
      </c>
      <c r="S24" s="41">
        <f t="shared" si="8"/>
        <v>3495</v>
      </c>
      <c r="T24" s="39"/>
      <c r="U24" s="33" t="str">
        <f t="shared" si="13"/>
        <v>0</v>
      </c>
      <c r="V24" s="45">
        <v>112827</v>
      </c>
      <c r="W24" s="33">
        <f t="shared" si="9"/>
        <v>138</v>
      </c>
      <c r="X24" s="48">
        <v>60379</v>
      </c>
      <c r="Y24" s="33">
        <f t="shared" si="10"/>
        <v>12</v>
      </c>
      <c r="Z24" s="51">
        <v>3145</v>
      </c>
      <c r="AA24" s="57">
        <v>0</v>
      </c>
      <c r="AB24" s="33">
        <f t="shared" si="11"/>
        <v>200</v>
      </c>
      <c r="AC24" s="13">
        <v>230</v>
      </c>
      <c r="AD24" s="18">
        <v>523</v>
      </c>
    </row>
    <row r="25" spans="1:30" ht="20.7" customHeight="1" x14ac:dyDescent="0.2">
      <c r="A25" s="20">
        <v>45528</v>
      </c>
      <c r="B25" s="10">
        <v>12608708</v>
      </c>
      <c r="C25" s="14">
        <f t="shared" si="3"/>
        <v>11308</v>
      </c>
      <c r="D25" s="11">
        <v>511461</v>
      </c>
      <c r="E25" s="14">
        <f t="shared" si="4"/>
        <v>1305</v>
      </c>
      <c r="F25" s="28">
        <v>1704</v>
      </c>
      <c r="G25" s="75">
        <f t="shared" si="5"/>
        <v>0</v>
      </c>
      <c r="H25" s="77">
        <f t="shared" si="6"/>
        <v>12613</v>
      </c>
      <c r="I25" s="81">
        <f t="shared" si="7"/>
        <v>-32916.17</v>
      </c>
      <c r="J25" s="33">
        <f t="shared" si="0"/>
        <v>-162.84999999999854</v>
      </c>
      <c r="K25" s="20">
        <f t="shared" si="1"/>
        <v>45528</v>
      </c>
      <c r="L25" s="34">
        <v>5660</v>
      </c>
      <c r="M25" s="35">
        <v>0</v>
      </c>
      <c r="N25" s="36">
        <v>0</v>
      </c>
      <c r="O25" s="93">
        <v>0.57999999999999996</v>
      </c>
      <c r="P25" s="94">
        <v>0.63</v>
      </c>
      <c r="Q25" s="93">
        <v>0.59</v>
      </c>
      <c r="R25" s="94">
        <v>0.59</v>
      </c>
      <c r="S25" s="41">
        <f t="shared" si="8"/>
        <v>3615</v>
      </c>
      <c r="T25" s="39"/>
      <c r="U25" s="33">
        <f t="shared" si="13"/>
        <v>400</v>
      </c>
      <c r="V25" s="45">
        <v>112965</v>
      </c>
      <c r="W25" s="33">
        <f t="shared" si="9"/>
        <v>127</v>
      </c>
      <c r="X25" s="48">
        <v>60391</v>
      </c>
      <c r="Y25" s="33">
        <f t="shared" si="10"/>
        <v>11</v>
      </c>
      <c r="Z25" s="51">
        <v>2945</v>
      </c>
      <c r="AA25" s="57">
        <v>0</v>
      </c>
      <c r="AB25" s="33">
        <f t="shared" si="11"/>
        <v>235</v>
      </c>
      <c r="AC25" s="13">
        <v>228</v>
      </c>
      <c r="AD25" s="18">
        <v>508</v>
      </c>
    </row>
    <row r="26" spans="1:30" ht="20.7" customHeight="1" x14ac:dyDescent="0.2">
      <c r="A26" s="20">
        <v>45529</v>
      </c>
      <c r="B26" s="10">
        <v>12620016</v>
      </c>
      <c r="C26" s="14">
        <f t="shared" si="3"/>
        <v>11174</v>
      </c>
      <c r="D26" s="11">
        <v>512766</v>
      </c>
      <c r="E26" s="14">
        <f t="shared" si="4"/>
        <v>1277</v>
      </c>
      <c r="F26" s="28">
        <v>1704</v>
      </c>
      <c r="G26" s="75">
        <f t="shared" si="5"/>
        <v>0</v>
      </c>
      <c r="H26" s="77">
        <f t="shared" si="6"/>
        <v>12451</v>
      </c>
      <c r="I26" s="81">
        <f t="shared" si="7"/>
        <v>-33079.019999999997</v>
      </c>
      <c r="J26" s="33">
        <f t="shared" si="0"/>
        <v>-292.93000000000757</v>
      </c>
      <c r="K26" s="20">
        <f t="shared" si="1"/>
        <v>45529</v>
      </c>
      <c r="L26" s="34">
        <v>5660</v>
      </c>
      <c r="M26" s="35">
        <v>0</v>
      </c>
      <c r="N26" s="36">
        <v>0</v>
      </c>
      <c r="O26" s="93">
        <v>0.52</v>
      </c>
      <c r="P26" s="94">
        <v>0.56000000000000005</v>
      </c>
      <c r="Q26" s="93">
        <v>0.5</v>
      </c>
      <c r="R26" s="94">
        <v>0.53</v>
      </c>
      <c r="S26" s="41">
        <f t="shared" si="8"/>
        <v>3215</v>
      </c>
      <c r="T26" s="39"/>
      <c r="U26" s="33">
        <f t="shared" si="13"/>
        <v>70</v>
      </c>
      <c r="V26" s="45">
        <v>113092</v>
      </c>
      <c r="W26" s="33">
        <f t="shared" si="9"/>
        <v>143</v>
      </c>
      <c r="X26" s="48">
        <v>60402</v>
      </c>
      <c r="Y26" s="33">
        <f t="shared" si="10"/>
        <v>10</v>
      </c>
      <c r="Z26" s="51">
        <v>2710</v>
      </c>
      <c r="AA26" s="57">
        <v>0</v>
      </c>
      <c r="AB26" s="33">
        <f t="shared" si="11"/>
        <v>210</v>
      </c>
      <c r="AC26" s="13">
        <v>199</v>
      </c>
      <c r="AD26" s="18">
        <v>436</v>
      </c>
    </row>
    <row r="27" spans="1:30" ht="20.7" customHeight="1" x14ac:dyDescent="0.2">
      <c r="A27" s="20">
        <v>45530</v>
      </c>
      <c r="B27" s="10">
        <v>12631190</v>
      </c>
      <c r="C27" s="14">
        <f t="shared" si="3"/>
        <v>10845</v>
      </c>
      <c r="D27" s="11">
        <v>514043</v>
      </c>
      <c r="E27" s="14">
        <f t="shared" si="4"/>
        <v>1314</v>
      </c>
      <c r="F27" s="28">
        <v>1704</v>
      </c>
      <c r="G27" s="75">
        <f t="shared" si="5"/>
        <v>0</v>
      </c>
      <c r="H27" s="77">
        <f t="shared" si="6"/>
        <v>12159</v>
      </c>
      <c r="I27" s="81">
        <f t="shared" si="7"/>
        <v>-33371.950000000004</v>
      </c>
      <c r="J27" s="33">
        <f t="shared" si="0"/>
        <v>-276.71999999999389</v>
      </c>
      <c r="K27" s="20">
        <f t="shared" si="1"/>
        <v>45530</v>
      </c>
      <c r="L27" s="34">
        <v>5660</v>
      </c>
      <c r="M27" s="35">
        <v>0</v>
      </c>
      <c r="N27" s="36">
        <v>0</v>
      </c>
      <c r="O27" s="93">
        <v>0.51</v>
      </c>
      <c r="P27" s="94">
        <v>0.56000000000000005</v>
      </c>
      <c r="Q27" s="93">
        <v>0.44</v>
      </c>
      <c r="R27" s="94">
        <v>0.5</v>
      </c>
      <c r="S27" s="41">
        <f t="shared" si="8"/>
        <v>3145</v>
      </c>
      <c r="T27" s="39">
        <v>1562</v>
      </c>
      <c r="U27" s="33" t="str">
        <f t="shared" si="13"/>
        <v>0</v>
      </c>
      <c r="V27" s="45">
        <v>113235</v>
      </c>
      <c r="W27" s="33">
        <f t="shared" si="9"/>
        <v>122</v>
      </c>
      <c r="X27" s="48">
        <v>60412</v>
      </c>
      <c r="Y27" s="33">
        <f t="shared" si="10"/>
        <v>13</v>
      </c>
      <c r="Z27" s="51">
        <v>2500</v>
      </c>
      <c r="AA27" s="57">
        <v>0</v>
      </c>
      <c r="AB27" s="33">
        <f t="shared" si="11"/>
        <v>225</v>
      </c>
      <c r="AC27" s="13">
        <v>196</v>
      </c>
      <c r="AD27" s="18">
        <v>420</v>
      </c>
    </row>
    <row r="28" spans="1:30" ht="20.7" customHeight="1" x14ac:dyDescent="0.2">
      <c r="A28" s="20">
        <v>45531</v>
      </c>
      <c r="B28" s="10">
        <v>12642035</v>
      </c>
      <c r="C28" s="14">
        <f t="shared" si="3"/>
        <v>10570</v>
      </c>
      <c r="D28" s="11">
        <v>515357</v>
      </c>
      <c r="E28" s="14">
        <f t="shared" si="4"/>
        <v>1314</v>
      </c>
      <c r="F28" s="28">
        <v>1704</v>
      </c>
      <c r="G28" s="75">
        <f t="shared" si="5"/>
        <v>0</v>
      </c>
      <c r="H28" s="77">
        <f t="shared" si="6"/>
        <v>11884</v>
      </c>
      <c r="I28" s="81">
        <f t="shared" si="7"/>
        <v>-33648.67</v>
      </c>
      <c r="J28" s="33">
        <f t="shared" si="0"/>
        <v>-272.93000000000757</v>
      </c>
      <c r="K28" s="20">
        <f t="shared" si="1"/>
        <v>45531</v>
      </c>
      <c r="L28" s="34">
        <v>5660</v>
      </c>
      <c r="M28" s="35">
        <v>0</v>
      </c>
      <c r="N28" s="36">
        <v>0</v>
      </c>
      <c r="O28" s="93">
        <v>0.79</v>
      </c>
      <c r="P28" s="94">
        <v>0.78</v>
      </c>
      <c r="Q28" s="93">
        <v>0.88</v>
      </c>
      <c r="R28" s="94">
        <v>0.76</v>
      </c>
      <c r="S28" s="41">
        <f t="shared" si="8"/>
        <v>4745</v>
      </c>
      <c r="T28" s="39"/>
      <c r="U28" s="33">
        <f t="shared" si="13"/>
        <v>85</v>
      </c>
      <c r="V28" s="45">
        <v>113357</v>
      </c>
      <c r="W28" s="33">
        <f t="shared" si="9"/>
        <v>124</v>
      </c>
      <c r="X28" s="48">
        <v>60425</v>
      </c>
      <c r="Y28" s="33">
        <f t="shared" si="10"/>
        <v>14</v>
      </c>
      <c r="Z28" s="51">
        <v>2275</v>
      </c>
      <c r="AA28" s="57">
        <v>0</v>
      </c>
      <c r="AB28" s="33">
        <f t="shared" si="11"/>
        <v>225</v>
      </c>
      <c r="AC28" s="13">
        <v>194</v>
      </c>
      <c r="AD28" s="18">
        <v>426</v>
      </c>
    </row>
    <row r="29" spans="1:30" ht="20.7" customHeight="1" x14ac:dyDescent="0.2">
      <c r="A29" s="20">
        <v>45532</v>
      </c>
      <c r="B29" s="10">
        <v>12652605</v>
      </c>
      <c r="C29" s="14">
        <f t="shared" si="3"/>
        <v>10331</v>
      </c>
      <c r="D29" s="11">
        <v>516671</v>
      </c>
      <c r="E29" s="14">
        <f t="shared" si="4"/>
        <v>1281</v>
      </c>
      <c r="F29" s="28">
        <v>1704</v>
      </c>
      <c r="G29" s="75">
        <f t="shared" si="5"/>
        <v>0</v>
      </c>
      <c r="H29" s="77">
        <f t="shared" si="6"/>
        <v>11612</v>
      </c>
      <c r="I29" s="81">
        <f t="shared" si="7"/>
        <v>-33921.600000000006</v>
      </c>
      <c r="J29" s="33">
        <f t="shared" si="0"/>
        <v>197.18000000000757</v>
      </c>
      <c r="K29" s="20">
        <f t="shared" si="1"/>
        <v>45532</v>
      </c>
      <c r="L29" s="34">
        <v>5660</v>
      </c>
      <c r="M29" s="35">
        <v>0</v>
      </c>
      <c r="N29" s="36">
        <v>0</v>
      </c>
      <c r="O29" s="93">
        <v>0.8</v>
      </c>
      <c r="P29" s="94">
        <v>0.76</v>
      </c>
      <c r="Q29" s="93">
        <v>0.8</v>
      </c>
      <c r="R29" s="94">
        <v>0.72</v>
      </c>
      <c r="S29" s="41">
        <f t="shared" si="8"/>
        <v>4660</v>
      </c>
      <c r="T29" s="39"/>
      <c r="U29" s="33">
        <f t="shared" si="13"/>
        <v>400</v>
      </c>
      <c r="V29" s="45">
        <v>113481</v>
      </c>
      <c r="W29" s="33">
        <f t="shared" si="9"/>
        <v>139</v>
      </c>
      <c r="X29" s="48">
        <v>60439</v>
      </c>
      <c r="Y29" s="33">
        <f t="shared" si="10"/>
        <v>10</v>
      </c>
      <c r="Z29" s="51">
        <v>2050</v>
      </c>
      <c r="AA29" s="57">
        <v>0</v>
      </c>
      <c r="AB29" s="33">
        <f t="shared" si="11"/>
        <v>190</v>
      </c>
      <c r="AC29" s="13">
        <v>185</v>
      </c>
      <c r="AD29" s="18">
        <v>405</v>
      </c>
    </row>
    <row r="30" spans="1:30" ht="20.7" customHeight="1" x14ac:dyDescent="0.2">
      <c r="A30" s="20">
        <v>45533</v>
      </c>
      <c r="B30" s="10">
        <v>12662936</v>
      </c>
      <c r="C30" s="14">
        <f t="shared" si="3"/>
        <v>10544</v>
      </c>
      <c r="D30" s="11">
        <v>517952</v>
      </c>
      <c r="E30" s="14">
        <f t="shared" si="4"/>
        <v>1266</v>
      </c>
      <c r="F30" s="28">
        <v>1704</v>
      </c>
      <c r="G30" s="75">
        <f t="shared" si="5"/>
        <v>0</v>
      </c>
      <c r="H30" s="77">
        <f t="shared" si="6"/>
        <v>11810</v>
      </c>
      <c r="I30" s="81">
        <f t="shared" si="7"/>
        <v>-33724.42</v>
      </c>
      <c r="J30" s="33">
        <f t="shared" si="0"/>
        <v>-1408.9800000000032</v>
      </c>
      <c r="K30" s="20">
        <f t="shared" si="1"/>
        <v>45533</v>
      </c>
      <c r="L30" s="34">
        <v>5660</v>
      </c>
      <c r="M30" s="35">
        <v>0</v>
      </c>
      <c r="N30" s="36">
        <v>0</v>
      </c>
      <c r="O30" s="93">
        <v>0.72</v>
      </c>
      <c r="P30" s="94">
        <v>0.71</v>
      </c>
      <c r="Q30" s="93">
        <v>0.7</v>
      </c>
      <c r="R30" s="94">
        <v>0.67</v>
      </c>
      <c r="S30" s="41">
        <f t="shared" si="8"/>
        <v>4260</v>
      </c>
      <c r="T30" s="39"/>
      <c r="U30" s="33">
        <f t="shared" si="13"/>
        <v>20</v>
      </c>
      <c r="V30" s="45">
        <v>113620</v>
      </c>
      <c r="W30" s="33">
        <f t="shared" si="9"/>
        <v>110</v>
      </c>
      <c r="X30" s="48">
        <v>60449</v>
      </c>
      <c r="Y30" s="33">
        <f t="shared" si="10"/>
        <v>15</v>
      </c>
      <c r="Z30" s="51">
        <v>1860</v>
      </c>
      <c r="AA30" s="57">
        <v>0</v>
      </c>
      <c r="AB30" s="33">
        <f t="shared" si="11"/>
        <v>210</v>
      </c>
      <c r="AC30" s="13">
        <v>172</v>
      </c>
      <c r="AD30" s="18">
        <v>366</v>
      </c>
    </row>
    <row r="31" spans="1:30" ht="20.7" customHeight="1" x14ac:dyDescent="0.2">
      <c r="A31" s="20">
        <v>45534</v>
      </c>
      <c r="B31" s="10">
        <v>12673480</v>
      </c>
      <c r="C31" s="14">
        <f t="shared" si="3"/>
        <v>9184</v>
      </c>
      <c r="D31" s="11">
        <v>519218</v>
      </c>
      <c r="E31" s="14">
        <f t="shared" si="4"/>
        <v>1218</v>
      </c>
      <c r="F31" s="28">
        <v>1704</v>
      </c>
      <c r="G31" s="75">
        <f t="shared" si="5"/>
        <v>0</v>
      </c>
      <c r="H31" s="77">
        <f t="shared" si="6"/>
        <v>10402</v>
      </c>
      <c r="I31" s="81">
        <f t="shared" si="7"/>
        <v>-35133.4</v>
      </c>
      <c r="J31" s="33">
        <f t="shared" si="0"/>
        <v>-152.95999999999913</v>
      </c>
      <c r="K31" s="20">
        <f t="shared" si="1"/>
        <v>45534</v>
      </c>
      <c r="L31" s="34">
        <v>5660</v>
      </c>
      <c r="M31" s="35">
        <v>0</v>
      </c>
      <c r="N31" s="36">
        <v>0</v>
      </c>
      <c r="O31" s="93">
        <v>0.72</v>
      </c>
      <c r="P31" s="94">
        <v>0.71</v>
      </c>
      <c r="Q31" s="93">
        <v>0.68</v>
      </c>
      <c r="R31" s="94">
        <v>0.65</v>
      </c>
      <c r="S31" s="41">
        <f t="shared" si="8"/>
        <v>4240</v>
      </c>
      <c r="T31" s="39"/>
      <c r="U31" s="33">
        <f t="shared" si="13"/>
        <v>30</v>
      </c>
      <c r="V31" s="45">
        <v>113730</v>
      </c>
      <c r="W31" s="33">
        <f t="shared" si="9"/>
        <v>130</v>
      </c>
      <c r="X31" s="48">
        <v>60464</v>
      </c>
      <c r="Y31" s="33">
        <f t="shared" si="10"/>
        <v>11</v>
      </c>
      <c r="Z31" s="51">
        <v>1650</v>
      </c>
      <c r="AA31" s="57">
        <v>0</v>
      </c>
      <c r="AB31" s="33">
        <f t="shared" si="11"/>
        <v>215</v>
      </c>
      <c r="AC31" s="13">
        <v>172</v>
      </c>
      <c r="AD31" s="18">
        <v>358</v>
      </c>
    </row>
    <row r="32" spans="1:30" ht="20.7" customHeight="1" thickBot="1" x14ac:dyDescent="0.25">
      <c r="A32" s="20">
        <v>45535</v>
      </c>
      <c r="B32" s="10">
        <v>12682664</v>
      </c>
      <c r="C32" s="14">
        <f t="shared" si="3"/>
        <v>9060</v>
      </c>
      <c r="D32" s="11">
        <v>520436</v>
      </c>
      <c r="E32" s="14">
        <f t="shared" si="4"/>
        <v>1190</v>
      </c>
      <c r="F32" s="28">
        <v>1704</v>
      </c>
      <c r="G32" s="75">
        <f t="shared" si="5"/>
        <v>0</v>
      </c>
      <c r="H32" s="77">
        <f t="shared" si="6"/>
        <v>10250</v>
      </c>
      <c r="I32" s="81">
        <f t="shared" si="7"/>
        <v>-35286.36</v>
      </c>
      <c r="J32" s="33">
        <f t="shared" si="0"/>
        <v>35286.36</v>
      </c>
      <c r="K32" s="20">
        <f t="shared" si="1"/>
        <v>45535</v>
      </c>
      <c r="L32" s="34">
        <v>5660</v>
      </c>
      <c r="M32" s="35">
        <v>0</v>
      </c>
      <c r="N32" s="66">
        <v>0</v>
      </c>
      <c r="O32" s="93">
        <v>0.72</v>
      </c>
      <c r="P32" s="94">
        <v>0.71</v>
      </c>
      <c r="Q32" s="93">
        <v>0.64</v>
      </c>
      <c r="R32" s="94">
        <v>0.63</v>
      </c>
      <c r="S32" s="41">
        <f t="shared" si="8"/>
        <v>4210</v>
      </c>
      <c r="T32" s="39"/>
      <c r="U32" s="33">
        <f t="shared" si="13"/>
        <v>40</v>
      </c>
      <c r="V32" s="45">
        <v>113860</v>
      </c>
      <c r="W32" s="33">
        <f t="shared" si="9"/>
        <v>107</v>
      </c>
      <c r="X32" s="48">
        <v>60475</v>
      </c>
      <c r="Y32" s="33">
        <f t="shared" si="10"/>
        <v>14</v>
      </c>
      <c r="Z32" s="51">
        <v>1435</v>
      </c>
      <c r="AA32" s="57">
        <v>0</v>
      </c>
      <c r="AB32" s="33">
        <f t="shared" si="11"/>
        <v>185</v>
      </c>
      <c r="AC32" s="61"/>
      <c r="AD32" s="62">
        <v>347</v>
      </c>
    </row>
    <row r="33" spans="1:30" ht="20.7" customHeight="1" thickTop="1" thickBot="1" x14ac:dyDescent="0.25">
      <c r="A33" s="21">
        <v>45536</v>
      </c>
      <c r="B33" s="58">
        <v>12691724</v>
      </c>
      <c r="C33" s="71"/>
      <c r="D33" s="70">
        <v>521626</v>
      </c>
      <c r="E33" s="71"/>
      <c r="F33" s="28">
        <v>1704</v>
      </c>
      <c r="G33" s="63"/>
      <c r="H33" s="79"/>
      <c r="I33" s="72"/>
      <c r="J33" s="71"/>
      <c r="K33" s="69">
        <f t="shared" si="1"/>
        <v>45536</v>
      </c>
      <c r="L33" s="53">
        <v>5660</v>
      </c>
      <c r="M33" s="73">
        <v>0</v>
      </c>
      <c r="N33" s="71"/>
      <c r="O33" s="95">
        <v>0.72</v>
      </c>
      <c r="P33" s="96">
        <v>0.71</v>
      </c>
      <c r="Q33" s="95">
        <v>0.6</v>
      </c>
      <c r="R33" s="96">
        <v>0.59</v>
      </c>
      <c r="S33" s="42">
        <f t="shared" si="8"/>
        <v>4170</v>
      </c>
      <c r="T33" s="59"/>
      <c r="U33" s="71"/>
      <c r="V33" s="68">
        <v>113967</v>
      </c>
      <c r="W33" s="71"/>
      <c r="X33" s="67">
        <v>60489</v>
      </c>
      <c r="Y33" s="71"/>
      <c r="Z33" s="65">
        <v>1250</v>
      </c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324297</v>
      </c>
      <c r="D34" s="85"/>
      <c r="E34" s="84">
        <f>SUM(E2:E33)</f>
        <v>42720</v>
      </c>
      <c r="F34" s="86"/>
      <c r="G34" s="84">
        <f>SUM(G2:G33)</f>
        <v>0</v>
      </c>
      <c r="H34" s="85">
        <f>SUM(H2:H33)</f>
        <v>367017</v>
      </c>
      <c r="I34" s="84">
        <f>SUM(I2:I32)</f>
        <v>-1044145.81</v>
      </c>
      <c r="J34" s="84">
        <f>SUM(J2:J33)</f>
        <v>33901.5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3373</v>
      </c>
      <c r="U34" s="84">
        <f>SUM(U2:U33)</f>
        <v>3196</v>
      </c>
      <c r="V34" s="83"/>
      <c r="W34" s="84">
        <f>SUM(W2:W33)</f>
        <v>4175</v>
      </c>
      <c r="X34" s="83"/>
      <c r="Y34" s="84">
        <f>SUM(Y2:Y33)</f>
        <v>362</v>
      </c>
      <c r="Z34" s="83"/>
      <c r="AA34" s="83">
        <f>SUM(AA2:AA33)</f>
        <v>0</v>
      </c>
      <c r="AB34" s="84">
        <f>SUM(AB2:AB33)</f>
        <v>6810</v>
      </c>
      <c r="AC34" s="87">
        <f>SUM(AC2:AC33)</f>
        <v>6579</v>
      </c>
      <c r="AD34" s="88">
        <f>SUM(AD2:AD33)</f>
        <v>15074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2024-09-02T06:56:44Z</dcterms:modified>
  <cp:category/>
  <cp:contentStatus/>
</cp:coreProperties>
</file>