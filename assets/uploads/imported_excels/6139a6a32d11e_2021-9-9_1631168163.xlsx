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 filterPrivacy="1" defaultThemeVersion="124226"/>
  <xr:revisionPtr revIDLastSave="0" documentId="13_ncr:1_{7E4B4694-4AE9-478E-94B6-C5D84FA68C3B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7" i="7" l="1"/>
  <c r="C37" i="7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R23" i="2"/>
  <c r="Q23" i="2"/>
  <c r="P23" i="2"/>
  <c r="O23" i="2"/>
  <c r="N23" i="2"/>
  <c r="M23" i="2"/>
  <c r="K23" i="2"/>
  <c r="J23" i="2"/>
  <c r="I23" i="2"/>
  <c r="G22" i="4" s="1"/>
  <c r="H23" i="2"/>
  <c r="G23" i="2"/>
  <c r="F23" i="2"/>
  <c r="E23" i="2"/>
  <c r="D23" i="2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H17" i="8" s="1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J33" i="4" s="1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E19" i="3" s="1"/>
  <c r="B20" i="3"/>
  <c r="B21" i="3"/>
  <c r="B22" i="3"/>
  <c r="D22" i="3" s="1"/>
  <c r="B23" i="3"/>
  <c r="D23" i="3" s="1"/>
  <c r="B24" i="3"/>
  <c r="B25" i="3"/>
  <c r="B26" i="3"/>
  <c r="D26" i="3" s="1"/>
  <c r="B27" i="3"/>
  <c r="B28" i="3"/>
  <c r="C28" i="3" s="1"/>
  <c r="B29" i="3"/>
  <c r="B30" i="3"/>
  <c r="B31" i="3"/>
  <c r="B32" i="3"/>
  <c r="B33" i="3"/>
  <c r="B3" i="3"/>
  <c r="C3" i="3" s="1"/>
  <c r="D3" i="4"/>
  <c r="I34" i="2"/>
  <c r="H34" i="2"/>
  <c r="G34" i="2"/>
  <c r="F34" i="2"/>
  <c r="E34" i="2"/>
  <c r="C33" i="2"/>
  <c r="C32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R29" i="8" s="1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X22" i="8" s="1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N17" i="8" s="1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L14" i="8" s="1"/>
  <c r="A14" i="8"/>
  <c r="W13" i="8"/>
  <c r="U13" i="8"/>
  <c r="S13" i="8"/>
  <c r="Q13" i="8"/>
  <c r="O13" i="8"/>
  <c r="M13" i="8"/>
  <c r="I13" i="8"/>
  <c r="E13" i="8"/>
  <c r="F13" i="8" s="1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C10" i="4" s="1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H10" i="3" s="1"/>
  <c r="J11" i="2"/>
  <c r="I13" i="2"/>
  <c r="J13" i="2"/>
  <c r="I14" i="2"/>
  <c r="J14" i="2"/>
  <c r="I15" i="2"/>
  <c r="J15" i="2"/>
  <c r="I16" i="2"/>
  <c r="J16" i="2"/>
  <c r="I17" i="2"/>
  <c r="J17" i="2"/>
  <c r="I18" i="2"/>
  <c r="G17" i="4" s="1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7" i="2"/>
  <c r="C6" i="4" s="1"/>
  <c r="C12" i="2"/>
  <c r="D11" i="3" s="1"/>
  <c r="C13" i="2"/>
  <c r="C14" i="2"/>
  <c r="C13" i="4" s="1"/>
  <c r="C15" i="2"/>
  <c r="C14" i="4" s="1"/>
  <c r="C16" i="2"/>
  <c r="D15" i="3" s="1"/>
  <c r="C17" i="4"/>
  <c r="C20" i="2"/>
  <c r="C25" i="2"/>
  <c r="C26" i="2"/>
  <c r="C27" i="2"/>
  <c r="C26" i="4" s="1"/>
  <c r="C28" i="2"/>
  <c r="C27" i="4" s="1"/>
  <c r="C29" i="2"/>
  <c r="C30" i="2"/>
  <c r="D29" i="3" s="1"/>
  <c r="C31" i="2"/>
  <c r="C30" i="4" s="1"/>
  <c r="C32" i="2"/>
  <c r="C31" i="4" s="1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F4" i="3" s="1"/>
  <c r="E6" i="2"/>
  <c r="E5" i="4" s="1"/>
  <c r="E7" i="2"/>
  <c r="E6" i="4" s="1"/>
  <c r="E7" i="4"/>
  <c r="E11" i="2"/>
  <c r="E12" i="2"/>
  <c r="E13" i="2"/>
  <c r="E12" i="4" s="1"/>
  <c r="E14" i="2"/>
  <c r="F13" i="3" s="1"/>
  <c r="E15" i="2"/>
  <c r="E14" i="4" s="1"/>
  <c r="E16" i="2"/>
  <c r="E15" i="4" s="1"/>
  <c r="E17" i="2"/>
  <c r="E16" i="4" s="1"/>
  <c r="E18" i="2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J21" i="4" s="1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2" i="4"/>
  <c r="C23" i="4"/>
  <c r="C25" i="4"/>
  <c r="D7" i="3"/>
  <c r="E22" i="4"/>
  <c r="H7" i="4"/>
  <c r="C5" i="4"/>
  <c r="E3" i="3"/>
  <c r="E28" i="3"/>
  <c r="K22" i="4"/>
  <c r="J7" i="4"/>
  <c r="E17" i="4"/>
  <c r="C24" i="4"/>
  <c r="C16" i="4"/>
  <c r="C19" i="4"/>
  <c r="C22" i="4"/>
  <c r="K8" i="4"/>
  <c r="E30" i="4"/>
  <c r="J22" i="4"/>
  <c r="E18" i="3"/>
  <c r="D16" i="3"/>
  <c r="E11" i="4"/>
  <c r="G8" i="4"/>
  <c r="C11" i="3" l="1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V10" i="2"/>
  <c r="M9" i="3" s="1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V11" i="2"/>
  <c r="M10" i="3" s="1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M27" i="3" s="1"/>
  <c r="I20" i="3"/>
  <c r="H8" i="4"/>
  <c r="I9" i="3"/>
  <c r="V9" i="2"/>
  <c r="M8" i="3" s="1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<sst xmlns="http://schemas.openxmlformats.org/spreadsheetml/2006/main" count="201" uniqueCount="128">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</sst>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-449370</c:v>
                </c:pt>
                <c:pt idx="1">
                  <c:v>-2528500</c:v>
                </c:pt>
                <c:pt idx="2">
                  <c:v>-244760</c:v>
                </c:pt>
                <c:pt idx="3">
                  <c:v>-938450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-55314</c:v>
                </c:pt>
                <c:pt idx="1">
                  <c:v>0.17090578769789774</c:v>
                </c:pt>
                <c:pt idx="2" formatCode="_(* #,##0.00_);_(* \(#,##0.00\);_(* &quot;-&quot;??_);_(@_)">
                  <c:v>-211984</c:v>
                </c:pt>
                <c:pt idx="3">
                  <c:v>0.65497509670881071</c:v>
                </c:pt>
                <c:pt idx="4" formatCode="0.00">
                  <c:v>-27660</c:v>
                </c:pt>
                <c:pt idx="5">
                  <c:v>8.5462163064031732E-2</c:v>
                </c:pt>
                <c:pt idx="6" formatCode="0.00">
                  <c:v>-37781</c:v>
                </c:pt>
                <c:pt idx="7">
                  <c:v>0.1167334050152633</c:v>
                </c:pt>
                <c:pt idx="8" formatCode="0.00">
                  <c:v>-6604</c:v>
                </c:pt>
                <c:pt idx="9">
                  <c:v>2.0404632135750743E-2</c:v>
                </c:pt>
                <c:pt idx="10" formatCode="0.00">
                  <c:v>-913</c:v>
                </c:pt>
                <c:pt idx="11">
                  <c:v>2.8209311235524574E-3</c:v>
                </c:pt>
                <c:pt idx="12" formatCode="0.00">
                  <c:v>-66981</c:v>
                </c:pt>
                <c:pt idx="13">
                  <c:v>0.20695376515516667</c:v>
                </c:pt>
                <c:pt idx="14" formatCode="_(* #,##0.00_);_(* \(#,##0.00\);_(* &quot;-&quot;??_);_(@_)">
                  <c:v>-251513</c:v>
                </c:pt>
                <c:pt idx="15">
                  <c:v>0.77710936437902434</c:v>
                </c:pt>
                <c:pt idx="16" formatCode="0.00">
                  <c:v>-112781</c:v>
                </c:pt>
                <c:pt idx="17">
                  <c:v>0.34846378208693291</c:v>
                </c:pt>
                <c:pt idx="18" formatCode="0.00">
                  <c:v>-21005</c:v>
                </c:pt>
                <c:pt idx="19">
                  <c:v>6.4899954271872257E-2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-323652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57312"/>
        <c:axId val="142158848"/>
      </c:barChart>
      <c:catAx>
        <c:axId val="14215731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2158848"/>
        <c:crosses val="autoZero"/>
        <c:auto val="1"/>
        <c:lblAlgn val="ctr"/>
        <c:lblOffset val="100"/>
        <c:noMultiLvlLbl val="0"/>
      </c:catAx>
      <c:valAx>
        <c:axId val="14215884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215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M2" sqref="M2:O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9</v>
      </c>
      <c r="D2" s="46">
        <v>2021</v>
      </c>
      <c r="E2" s="107">
        <v>21730.000000000473</v>
      </c>
      <c r="F2" s="48">
        <v>0.15</v>
      </c>
      <c r="G2" s="107">
        <v>5942</v>
      </c>
      <c r="H2" s="48">
        <v>0.5927</v>
      </c>
      <c r="I2" s="65">
        <v>220</v>
      </c>
      <c r="J2" s="76">
        <v>1.133</v>
      </c>
      <c r="K2" s="108"/>
      <c r="L2" s="76"/>
      <c r="M2" s="72">
        <v>13</v>
      </c>
      <c r="N2" s="72">
        <v>28</v>
      </c>
      <c r="O2" s="72">
        <v>98</v>
      </c>
    </row>
    <row r="3" spans="1:15" ht="15" x14ac:dyDescent="0.25">
      <c r="A3" s="45" t="s">
        <v>9</v>
      </c>
      <c r="B3" s="46">
        <f>B2+1</f>
        <v>2</v>
      </c>
      <c r="C3" s="47">
        <v>9</v>
      </c>
      <c r="D3" s="46">
        <v>2021</v>
      </c>
      <c r="E3" s="107">
        <v>21189.999999998465</v>
      </c>
      <c r="F3" s="48">
        <v>0.15</v>
      </c>
      <c r="G3" s="107">
        <v>5855</v>
      </c>
      <c r="H3" s="48">
        <v>0.5927</v>
      </c>
      <c r="I3" s="65">
        <v>233</v>
      </c>
      <c r="J3" s="76">
        <v>1.133</v>
      </c>
      <c r="K3" s="108"/>
      <c r="L3" s="76"/>
      <c r="M3" s="72">
        <v>11</v>
      </c>
      <c r="N3" s="72">
        <v>27</v>
      </c>
      <c r="O3" s="72">
        <v>73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9</v>
      </c>
      <c r="D4" s="46">
        <v>2021</v>
      </c>
      <c r="E4" s="107">
        <v>21290.000000001783</v>
      </c>
      <c r="F4" s="48">
        <v>0.15</v>
      </c>
      <c r="G4" s="107">
        <v>5892</v>
      </c>
      <c r="H4" s="48">
        <v>0.5927</v>
      </c>
      <c r="I4" s="65">
        <v>232</v>
      </c>
      <c r="J4" s="76">
        <v>1.133</v>
      </c>
      <c r="K4" s="108"/>
      <c r="L4" s="76"/>
      <c r="M4" s="72">
        <v>15</v>
      </c>
      <c r="N4" s="72">
        <v>32</v>
      </c>
      <c r="O4" s="72">
        <v>94</v>
      </c>
    </row>
    <row r="5" spans="1:15" ht="15" x14ac:dyDescent="0.25">
      <c r="A5" s="45" t="s">
        <v>9</v>
      </c>
      <c r="B5" s="46">
        <f t="shared" si="0"/>
        <v>4</v>
      </c>
      <c r="C5" s="47">
        <v>9</v>
      </c>
      <c r="D5" s="46">
        <v>2021</v>
      </c>
      <c r="E5" s="107">
        <v>21480.000000000473</v>
      </c>
      <c r="F5" s="48">
        <v>0.15</v>
      </c>
      <c r="G5" s="107">
        <v>5672</v>
      </c>
      <c r="H5" s="48">
        <v>0.5927</v>
      </c>
      <c r="I5" s="65">
        <v>229</v>
      </c>
      <c r="J5" s="76">
        <v>1.133</v>
      </c>
      <c r="K5" s="108"/>
      <c r="L5" s="76"/>
      <c r="M5" s="72">
        <v>17</v>
      </c>
      <c r="N5" s="72">
        <v>36</v>
      </c>
      <c r="O5" s="72">
        <v>98</v>
      </c>
    </row>
    <row r="6" spans="1:15" ht="15" x14ac:dyDescent="0.25">
      <c r="A6" s="45" t="s">
        <v>9</v>
      </c>
      <c r="B6" s="46">
        <f t="shared" si="0"/>
        <v>5</v>
      </c>
      <c r="C6" s="47">
        <v>9</v>
      </c>
      <c r="D6" s="46">
        <v>2021</v>
      </c>
      <c r="E6" s="107">
        <v>22509.999999999083</v>
      </c>
      <c r="F6" s="48">
        <v>0.15</v>
      </c>
      <c r="G6" s="107">
        <v>6189</v>
      </c>
      <c r="H6" s="48">
        <v>0.5927</v>
      </c>
      <c r="I6" s="65">
        <v>243</v>
      </c>
      <c r="J6" s="76">
        <v>1.133</v>
      </c>
      <c r="K6" s="108"/>
      <c r="L6" s="76"/>
      <c r="M6" s="72">
        <v>16</v>
      </c>
      <c r="N6" s="72">
        <v>35</v>
      </c>
      <c r="O6" s="72">
        <v>89</v>
      </c>
    </row>
    <row r="7" spans="1:15" ht="15" x14ac:dyDescent="0.25">
      <c r="A7" s="45" t="s">
        <v>9</v>
      </c>
      <c r="B7" s="46">
        <f t="shared" si="0"/>
        <v>6</v>
      </c>
      <c r="C7" s="47">
        <v>9</v>
      </c>
      <c r="D7" s="46">
        <v>2021</v>
      </c>
      <c r="E7" s="107">
        <v>21619.999999998981</v>
      </c>
      <c r="F7" s="48">
        <v>0.15</v>
      </c>
      <c r="G7" s="107">
        <v>5954</v>
      </c>
      <c r="H7" s="48">
        <v>0.5927</v>
      </c>
      <c r="I7" s="65">
        <v>244</v>
      </c>
      <c r="J7" s="76">
        <v>1.133</v>
      </c>
      <c r="K7" s="108"/>
      <c r="L7" s="76"/>
      <c r="M7" s="72">
        <v>21</v>
      </c>
      <c r="N7" s="72">
        <v>45</v>
      </c>
      <c r="O7" s="72">
        <v>124</v>
      </c>
    </row>
    <row r="8" spans="1:15" ht="15" x14ac:dyDescent="0.25">
      <c r="A8" s="45" t="s">
        <v>9</v>
      </c>
      <c r="B8" s="46">
        <f t="shared" si="0"/>
        <v>7</v>
      </c>
      <c r="C8" s="47">
        <v>9</v>
      </c>
      <c r="D8" s="46">
        <v>2021</v>
      </c>
      <c r="E8" s="107"/>
      <c r="F8" s="48">
        <v>0.15</v>
      </c>
      <c r="G8" s="107"/>
      <c r="H8" s="48">
        <v>0.5927</v>
      </c>
      <c r="I8" s="65"/>
      <c r="J8" s="76">
        <v>1.133</v>
      </c>
      <c r="K8" s="108"/>
      <c r="L8" s="76"/>
      <c r="M8" s="72">
        <v>21</v>
      </c>
      <c r="N8" s="72">
        <v>47</v>
      </c>
      <c r="O8" s="72">
        <v>123</v>
      </c>
    </row>
    <row r="9" spans="1:15" ht="15" x14ac:dyDescent="0.25">
      <c r="A9" s="45" t="s">
        <v>9</v>
      </c>
      <c r="B9" s="46">
        <f t="shared" si="0"/>
        <v>8</v>
      </c>
      <c r="C9" s="47">
        <v>9</v>
      </c>
      <c r="D9" s="46">
        <v>2021</v>
      </c>
      <c r="E9" s="107"/>
      <c r="F9" s="48">
        <v>0.15</v>
      </c>
      <c r="G9" s="107"/>
      <c r="H9" s="48">
        <v>0.5927</v>
      </c>
      <c r="I9" s="65"/>
      <c r="J9" s="76">
        <v>1.133</v>
      </c>
      <c r="K9" s="108"/>
      <c r="L9" s="76"/>
      <c r="M9" s="72">
        <v>21</v>
      </c>
      <c r="N9" s="72">
        <v>46</v>
      </c>
      <c r="O9" s="72">
        <v>136</v>
      </c>
    </row>
    <row r="10" spans="1:15" ht="15" x14ac:dyDescent="0.25">
      <c r="A10" s="45" t="s">
        <v>9</v>
      </c>
      <c r="B10" s="46">
        <f t="shared" si="0"/>
        <v>9</v>
      </c>
      <c r="C10" s="47">
        <v>9</v>
      </c>
      <c r="D10" s="46">
        <v>2021</v>
      </c>
      <c r="E10" s="107"/>
      <c r="F10" s="48">
        <v>0.15</v>
      </c>
      <c r="G10" s="107"/>
      <c r="H10" s="48">
        <v>0.5927</v>
      </c>
      <c r="I10" s="65"/>
      <c r="J10" s="76">
        <v>1.133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9</v>
      </c>
      <c r="D11" s="46">
        <v>2021</v>
      </c>
      <c r="E11" s="107"/>
      <c r="F11" s="48">
        <v>0.15</v>
      </c>
      <c r="G11" s="107"/>
      <c r="H11" s="48">
        <v>0.5927</v>
      </c>
      <c r="I11" s="65"/>
      <c r="J11" s="76">
        <v>1.133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9</v>
      </c>
      <c r="D12" s="46">
        <v>2021</v>
      </c>
      <c r="E12" s="107"/>
      <c r="F12" s="48">
        <v>0.15</v>
      </c>
      <c r="G12" s="107"/>
      <c r="H12" s="48">
        <v>0.5927</v>
      </c>
      <c r="I12" s="65"/>
      <c r="J12" s="76">
        <v>1.133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9</v>
      </c>
      <c r="D13" s="46">
        <v>2021</v>
      </c>
      <c r="E13" s="107"/>
      <c r="F13" s="48">
        <v>0.15</v>
      </c>
      <c r="G13" s="107"/>
      <c r="H13" s="48">
        <v>0.5927</v>
      </c>
      <c r="I13" s="65"/>
      <c r="J13" s="76">
        <v>1.133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9</v>
      </c>
      <c r="D14" s="46">
        <v>2021</v>
      </c>
      <c r="E14" s="107"/>
      <c r="F14" s="48">
        <v>0.15</v>
      </c>
      <c r="G14" s="107"/>
      <c r="H14" s="48">
        <v>0.5927</v>
      </c>
      <c r="I14" s="65"/>
      <c r="J14" s="76">
        <v>1.133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9</v>
      </c>
      <c r="D15" s="46">
        <v>2021</v>
      </c>
      <c r="E15" s="107"/>
      <c r="F15" s="48">
        <v>0.15</v>
      </c>
      <c r="G15" s="107"/>
      <c r="H15" s="48">
        <v>0.5927</v>
      </c>
      <c r="I15" s="65"/>
      <c r="J15" s="76">
        <v>1.133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9</v>
      </c>
      <c r="D16" s="46">
        <v>2021</v>
      </c>
      <c r="E16" s="107"/>
      <c r="F16" s="48">
        <v>0.15</v>
      </c>
      <c r="G16" s="107"/>
      <c r="H16" s="48">
        <v>0.5927</v>
      </c>
      <c r="I16" s="65"/>
      <c r="J16" s="76">
        <v>1.133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9</v>
      </c>
      <c r="D17" s="46">
        <v>2021</v>
      </c>
      <c r="E17" s="107"/>
      <c r="F17" s="48">
        <v>0.15</v>
      </c>
      <c r="G17" s="107"/>
      <c r="H17" s="48">
        <v>0.5927</v>
      </c>
      <c r="I17" s="65"/>
      <c r="J17" s="76">
        <v>1.133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9</v>
      </c>
      <c r="D18" s="46">
        <v>2021</v>
      </c>
      <c r="E18" s="107"/>
      <c r="F18" s="48">
        <v>0.15</v>
      </c>
      <c r="G18" s="107"/>
      <c r="H18" s="48">
        <v>0.5927</v>
      </c>
      <c r="I18" s="65"/>
      <c r="J18" s="76">
        <v>1.133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9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9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9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9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9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9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9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9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9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9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9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9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9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9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129819.99999999926</v>
      </c>
      <c r="F33" s="104">
        <v>0</v>
      </c>
      <c r="G33" s="101">
        <f>SUM(G2:G32)</f>
        <v>35504</v>
      </c>
      <c r="H33" s="102">
        <v>0</v>
      </c>
      <c r="I33" s="103">
        <f>SUM(I2:I32)</f>
        <v>1401</v>
      </c>
      <c r="J33" s="104">
        <v>0</v>
      </c>
      <c r="K33" s="105">
        <v>0</v>
      </c>
      <c r="L33" s="102">
        <v>0</v>
      </c>
      <c r="M33" s="106">
        <f t="shared" ref="M33:O33" si="1">SUM(M2:M32)</f>
        <v>135</v>
      </c>
      <c r="N33" s="106">
        <f t="shared" si="1"/>
        <v>296</v>
      </c>
      <c r="O33" s="106">
        <f t="shared" si="1"/>
        <v>835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1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127</v>
      </c>
      <c r="C2" s="113" t="s">
        <v>11</v>
      </c>
      <c r="D2" s="113" t="s">
        <v>12</v>
      </c>
      <c r="E2" s="113" t="s">
        <v>13</v>
      </c>
      <c r="F2" s="113" t="s">
        <v>14</v>
      </c>
      <c r="G2" s="118" t="s">
        <v>15</v>
      </c>
      <c r="H2" s="120" t="s">
        <v>16</v>
      </c>
      <c r="I2" s="113" t="s">
        <v>17</v>
      </c>
      <c r="J2" s="123" t="s">
        <v>18</v>
      </c>
      <c r="K2" s="124"/>
      <c r="L2" s="125"/>
      <c r="M2" s="118" t="s">
        <v>19</v>
      </c>
      <c r="N2" s="120" t="s">
        <v>20</v>
      </c>
      <c r="O2" s="121" t="s">
        <v>21</v>
      </c>
      <c r="P2" s="120" t="s">
        <v>22</v>
      </c>
      <c r="Q2" s="126" t="s">
        <v>23</v>
      </c>
      <c r="R2" s="113" t="s">
        <v>24</v>
      </c>
      <c r="S2" s="113" t="s">
        <v>25</v>
      </c>
      <c r="T2" s="113" t="s">
        <v>26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27</v>
      </c>
      <c r="K3" s="18" t="s">
        <v>28</v>
      </c>
      <c r="L3" s="18" t="s">
        <v>29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44440</v>
      </c>
      <c r="B4" s="1">
        <v>1.0649999999999999</v>
      </c>
      <c r="C4" s="1">
        <v>244.76</v>
      </c>
      <c r="D4" s="1">
        <v>7626409.6399999997</v>
      </c>
      <c r="E4" s="1">
        <v>8383537.8399999999</v>
      </c>
      <c r="F4" s="1">
        <v>2.5285000000000002</v>
      </c>
      <c r="G4" s="1">
        <v>798.32</v>
      </c>
      <c r="H4" s="1">
        <v>653.78</v>
      </c>
      <c r="I4" s="1">
        <v>256.10000000000002</v>
      </c>
      <c r="J4" s="1">
        <v>333.2</v>
      </c>
      <c r="K4" s="1">
        <v>358.67</v>
      </c>
      <c r="L4" s="1">
        <v>246.58</v>
      </c>
      <c r="M4" s="1">
        <v>564.62</v>
      </c>
      <c r="N4" s="1">
        <v>517.91</v>
      </c>
      <c r="O4" s="1">
        <v>165.55</v>
      </c>
      <c r="P4" s="1">
        <v>682.28</v>
      </c>
      <c r="Q4" s="1">
        <v>503.9</v>
      </c>
      <c r="R4" s="1">
        <v>174.59</v>
      </c>
      <c r="S4" s="1">
        <v>122.74</v>
      </c>
      <c r="T4" s="1">
        <v>449.37</v>
      </c>
      <c r="V4" s="71">
        <v>13</v>
      </c>
      <c r="W4" s="71">
        <v>28</v>
      </c>
      <c r="X4" s="71">
        <v>98</v>
      </c>
      <c r="Y4" s="17"/>
    </row>
    <row r="5" spans="1:25" ht="21" customHeight="1" x14ac:dyDescent="0.25">
      <c r="A5" s="8">
        <v>44441</v>
      </c>
      <c r="B5" s="1">
        <v>1.0664</v>
      </c>
      <c r="C5" s="1">
        <v>245</v>
      </c>
      <c r="D5" s="1">
        <v>7628678.7800000003</v>
      </c>
      <c r="E5" s="1">
        <v>8386467.3300000001</v>
      </c>
      <c r="F5" s="1">
        <v>2.5308999999999999</v>
      </c>
      <c r="G5" s="1">
        <v>799.21</v>
      </c>
      <c r="H5" s="1">
        <v>654.44000000000005</v>
      </c>
      <c r="I5" s="1">
        <v>256.37</v>
      </c>
      <c r="J5" s="1">
        <v>333.41</v>
      </c>
      <c r="K5" s="1">
        <v>358.92</v>
      </c>
      <c r="L5" s="1">
        <v>246.78</v>
      </c>
      <c r="M5" s="1">
        <v>565.37</v>
      </c>
      <c r="N5" s="1">
        <v>518.91</v>
      </c>
      <c r="O5" s="1">
        <v>165.77</v>
      </c>
      <c r="P5" s="1">
        <v>683.3</v>
      </c>
      <c r="Q5" s="1">
        <v>504.56</v>
      </c>
      <c r="R5" s="1">
        <v>174.86</v>
      </c>
      <c r="S5" s="1">
        <v>122.86</v>
      </c>
      <c r="T5" s="1">
        <v>449.85</v>
      </c>
      <c r="V5" s="71">
        <v>11</v>
      </c>
      <c r="W5" s="71">
        <v>27</v>
      </c>
      <c r="X5" s="71">
        <v>73</v>
      </c>
      <c r="Y5" s="17"/>
    </row>
    <row r="6" spans="1:25" ht="21" customHeight="1" x14ac:dyDescent="0.25">
      <c r="A6" s="8">
        <v>44442</v>
      </c>
      <c r="B6" s="1">
        <v>1.0678000000000001</v>
      </c>
      <c r="C6" s="1">
        <v>245.24</v>
      </c>
      <c r="D6" s="1">
        <v>7630883.0599999996</v>
      </c>
      <c r="E6" s="1">
        <v>8388910.4299999997</v>
      </c>
      <c r="F6" s="1">
        <v>2.5331999999999999</v>
      </c>
      <c r="G6" s="1">
        <v>800.01</v>
      </c>
      <c r="H6" s="1">
        <v>655.1</v>
      </c>
      <c r="I6" s="1">
        <v>256.63</v>
      </c>
      <c r="J6" s="1">
        <v>333.62</v>
      </c>
      <c r="K6" s="1">
        <v>359.11</v>
      </c>
      <c r="L6" s="1">
        <v>246.95</v>
      </c>
      <c r="M6" s="1">
        <v>566.19000000000005</v>
      </c>
      <c r="N6" s="1">
        <v>519.08000000000004</v>
      </c>
      <c r="O6" s="1">
        <v>165.99</v>
      </c>
      <c r="P6" s="1">
        <v>684.27</v>
      </c>
      <c r="Q6" s="1">
        <v>505.23</v>
      </c>
      <c r="R6" s="1">
        <v>175.12</v>
      </c>
      <c r="S6" s="1">
        <v>122.98</v>
      </c>
      <c r="T6" s="1">
        <v>450.3</v>
      </c>
      <c r="V6" s="71">
        <v>15</v>
      </c>
      <c r="W6" s="71">
        <v>32</v>
      </c>
      <c r="X6" s="71">
        <v>94</v>
      </c>
      <c r="Y6" s="17"/>
    </row>
    <row r="7" spans="1:25" ht="21" customHeight="1" x14ac:dyDescent="0.25">
      <c r="A7" s="8">
        <v>44443</v>
      </c>
      <c r="B7" s="1">
        <v>1.0691999999999999</v>
      </c>
      <c r="C7" s="1">
        <v>245.49</v>
      </c>
      <c r="D7" s="109">
        <v>7633018.3300000001</v>
      </c>
      <c r="E7" s="1">
        <v>8391629.1500000004</v>
      </c>
      <c r="F7" s="1">
        <v>2.5356000000000001</v>
      </c>
      <c r="G7" s="1">
        <v>800.83</v>
      </c>
      <c r="H7" s="1">
        <v>655.77</v>
      </c>
      <c r="I7" s="1">
        <v>256.89</v>
      </c>
      <c r="J7" s="1">
        <v>333.8</v>
      </c>
      <c r="K7" s="1">
        <v>359.34</v>
      </c>
      <c r="L7" s="1">
        <v>247.11</v>
      </c>
      <c r="M7" s="1">
        <v>567.02</v>
      </c>
      <c r="N7" s="1">
        <v>519.64</v>
      </c>
      <c r="O7" s="1">
        <v>166.22</v>
      </c>
      <c r="P7" s="1">
        <v>685.22</v>
      </c>
      <c r="Q7" s="1">
        <v>505.9</v>
      </c>
      <c r="R7" s="1">
        <v>175.35</v>
      </c>
      <c r="S7" s="1">
        <v>123.09</v>
      </c>
      <c r="T7" s="1">
        <v>450.59</v>
      </c>
      <c r="V7" s="71">
        <v>17</v>
      </c>
      <c r="W7" s="71">
        <v>36</v>
      </c>
      <c r="X7" s="71">
        <v>98</v>
      </c>
      <c r="Y7" s="17"/>
    </row>
    <row r="8" spans="1:25" ht="21" customHeight="1" x14ac:dyDescent="0.25">
      <c r="A8" s="8">
        <v>44444</v>
      </c>
      <c r="B8" s="1">
        <v>1.0705</v>
      </c>
      <c r="C8" s="1">
        <v>245.72</v>
      </c>
      <c r="D8" s="1">
        <v>7635196.2300000004</v>
      </c>
      <c r="E8" s="1">
        <v>8394468.1300000008</v>
      </c>
      <c r="F8" s="1">
        <v>2.5379</v>
      </c>
      <c r="G8" s="1">
        <v>801.63</v>
      </c>
      <c r="H8" s="1">
        <v>656.41</v>
      </c>
      <c r="I8" s="1">
        <v>257.14999999999998</v>
      </c>
      <c r="J8" s="1">
        <v>333.95</v>
      </c>
      <c r="K8" s="1">
        <v>359.54</v>
      </c>
      <c r="L8" s="1">
        <v>247.29</v>
      </c>
      <c r="M8" s="1">
        <v>567.79999999999995</v>
      </c>
      <c r="N8" s="1">
        <v>520.19000000000005</v>
      </c>
      <c r="O8" s="1">
        <v>166.45</v>
      </c>
      <c r="P8" s="1">
        <v>686.19</v>
      </c>
      <c r="Q8" s="1">
        <v>506.61</v>
      </c>
      <c r="R8" s="1">
        <v>175.59</v>
      </c>
      <c r="S8" s="1">
        <v>123.21</v>
      </c>
      <c r="T8" s="1">
        <v>451.06</v>
      </c>
      <c r="V8" s="71">
        <v>16</v>
      </c>
      <c r="W8" s="71">
        <v>35</v>
      </c>
      <c r="X8" s="71">
        <v>89</v>
      </c>
      <c r="Y8" s="17"/>
    </row>
    <row r="9" spans="1:25" ht="21" customHeight="1" x14ac:dyDescent="0.25">
      <c r="A9" s="8">
        <v>44445</v>
      </c>
      <c r="B9" s="111">
        <v>1.0720000000000001</v>
      </c>
      <c r="C9" s="15">
        <v>245.94</v>
      </c>
      <c r="D9" s="111">
        <v>7637500.6900000004</v>
      </c>
      <c r="E9" s="111">
        <v>8397423.4499999993</v>
      </c>
      <c r="F9" s="15">
        <v>2.5402</v>
      </c>
      <c r="G9" s="111">
        <v>802.54</v>
      </c>
      <c r="H9" s="111">
        <v>657.02</v>
      </c>
      <c r="I9" s="111">
        <v>257.44</v>
      </c>
      <c r="J9" s="1">
        <v>334.08</v>
      </c>
      <c r="K9" s="1">
        <v>359.76</v>
      </c>
      <c r="L9" s="1">
        <v>247.47</v>
      </c>
      <c r="M9" s="1">
        <v>568.71</v>
      </c>
      <c r="N9" s="1">
        <v>520.77</v>
      </c>
      <c r="O9" s="1">
        <v>166.68</v>
      </c>
      <c r="P9" s="1">
        <v>687.18</v>
      </c>
      <c r="Q9" s="1">
        <v>507.39</v>
      </c>
      <c r="R9" s="1">
        <v>175.82</v>
      </c>
      <c r="S9" s="1">
        <v>123.32</v>
      </c>
      <c r="T9" s="1">
        <v>451.55</v>
      </c>
      <c r="V9" s="71">
        <v>21</v>
      </c>
      <c r="W9" s="71">
        <v>45</v>
      </c>
      <c r="X9" s="71">
        <v>124</v>
      </c>
      <c r="Y9" s="17"/>
    </row>
    <row r="10" spans="1:25" ht="21" customHeight="1" x14ac:dyDescent="0.25">
      <c r="A10" s="8">
        <v>44446</v>
      </c>
      <c r="B10" s="1">
        <v>1.0733999999999999</v>
      </c>
      <c r="C10" s="1">
        <v>246.19</v>
      </c>
      <c r="D10" s="1">
        <v>7639716.29</v>
      </c>
      <c r="E10" s="1">
        <v>8400214.1500000004</v>
      </c>
      <c r="F10" s="1">
        <v>2.5426000000000002</v>
      </c>
      <c r="G10" s="1">
        <v>803.44</v>
      </c>
      <c r="H10" s="1">
        <v>657.63</v>
      </c>
      <c r="I10" s="1">
        <v>257.70999999999998</v>
      </c>
      <c r="J10" s="1">
        <v>334.36</v>
      </c>
      <c r="K10" s="1">
        <v>359.97</v>
      </c>
      <c r="L10" s="1">
        <v>247.68</v>
      </c>
      <c r="M10" s="1">
        <v>569.54</v>
      </c>
      <c r="N10" s="1">
        <v>521.34</v>
      </c>
      <c r="O10" s="1">
        <v>166.93</v>
      </c>
      <c r="P10" s="1">
        <v>688.13</v>
      </c>
      <c r="Q10" s="1">
        <v>508.05</v>
      </c>
      <c r="R10" s="1">
        <v>176.06</v>
      </c>
      <c r="S10" s="1">
        <v>123.45</v>
      </c>
      <c r="T10" s="1">
        <v>452.01</v>
      </c>
      <c r="V10" s="71">
        <v>21</v>
      </c>
      <c r="W10" s="71">
        <v>47</v>
      </c>
      <c r="X10" s="71">
        <v>123</v>
      </c>
      <c r="Y10" s="17"/>
    </row>
    <row r="11" spans="1:25" ht="21" customHeight="1" x14ac:dyDescent="0.25">
      <c r="A11" s="8">
        <v>44447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>
        <v>21</v>
      </c>
      <c r="W11" s="71">
        <v>46</v>
      </c>
      <c r="X11" s="71">
        <v>136</v>
      </c>
      <c r="Y11" s="17"/>
    </row>
    <row r="12" spans="1:25" ht="21" customHeight="1" x14ac:dyDescent="0.25">
      <c r="A12" s="8">
        <v>44448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44449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44450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44451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44452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44453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44454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44455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44456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44457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44458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44459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44461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44462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44463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44464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44465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44466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44467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44470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135</v>
      </c>
      <c r="W35" s="78">
        <f>SUM(W4:W34)</f>
        <v>296</v>
      </c>
      <c r="X35" s="78">
        <f>SUM(X4:X34)</f>
        <v>835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1" sqref="F3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31</v>
      </c>
      <c r="B2" s="113" t="s">
        <v>32</v>
      </c>
      <c r="C2" s="113" t="s">
        <v>33</v>
      </c>
      <c r="D2" s="113" t="s">
        <v>119</v>
      </c>
      <c r="E2" s="121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22"/>
      <c r="B3" s="114"/>
      <c r="C3" s="114"/>
      <c r="D3" s="114"/>
      <c r="E3" s="122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44440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2399.9999999997358</v>
      </c>
      <c r="E4" s="2">
        <f>('Kwh Reading'!C5-'Kwh Reading'!C4)*1000</f>
        <v>240.00000000000909</v>
      </c>
      <c r="F4" s="2">
        <f>('Kwh Reading'!J5-'Kwh Reading'!J4)*1000</f>
        <v>210.00000000003638</v>
      </c>
      <c r="G4" s="2">
        <f>('Kwh Reading'!K5-'Kwh Reading'!K4)*1000</f>
        <v>250</v>
      </c>
      <c r="H4" s="2">
        <f>('Kwh Reading'!L5-'Kwh Reading'!L4)*1000</f>
        <v>199.99999999998863</v>
      </c>
      <c r="I4" s="2">
        <f>('Kwh Reading'!R5-'Kwh Reading'!R4)*1000</f>
        <v>270.00000000001023</v>
      </c>
      <c r="J4" s="2">
        <f>('Kwh Reading'!S5-'Kwh Reading'!S4)*1000</f>
        <v>120.00000000000455</v>
      </c>
      <c r="K4" s="2">
        <f>('Kwh Reading'!I5-'Kwh Reading'!I4)*1000</f>
        <v>269.99999999998181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660.00000000008185</v>
      </c>
      <c r="O4" s="2">
        <f>('Kwh Reading'!P5-'Kwh Reading'!P4)*1000</f>
        <v>1019.9999999999818</v>
      </c>
      <c r="P4" s="2">
        <f>('Kwh Reading'!G5-'Kwh Reading'!G4)*1000</f>
        <v>889.99999999998636</v>
      </c>
      <c r="Q4" s="2">
        <f>('Kwh Reading'!Q5-'Kwh Reading'!Q4)*1000</f>
        <v>660.00000000002501</v>
      </c>
      <c r="R4" s="2">
        <f>('Kwh Reading'!N5-'Kwh Reading'!N4)*1000</f>
        <v>1000</v>
      </c>
      <c r="S4" s="2">
        <f>'Kwh Reading'!E5-'Kwh Reading'!E4</f>
        <v>2929.4900000002235</v>
      </c>
      <c r="T4" s="2">
        <f>'Kwh Reading'!D5-'Kwh Reading'!D4</f>
        <v>2269.140000000596</v>
      </c>
      <c r="U4" s="27">
        <f>('Kwh Reading'!O5-'Kwh Reading'!O4)*1000</f>
        <v>219.99999999999886</v>
      </c>
      <c r="V4" s="16">
        <f>B4-(SUM(C4:U4))</f>
        <v>9281.369999999255</v>
      </c>
    </row>
    <row r="5" spans="1:22" x14ac:dyDescent="0.25">
      <c r="A5" s="3">
        <f>'Kwh Reading'!A5</f>
        <v>44441</v>
      </c>
      <c r="B5" s="26">
        <f>TOTAL!E3</f>
        <v>21189.999999998465</v>
      </c>
      <c r="C5" s="4">
        <f>('Kwh Reading'!T6-'Kwh Reading'!T5)*1000</f>
        <v>449.99999999998863</v>
      </c>
      <c r="D5" s="2">
        <f>('Kwh Reading'!F6-'Kwh Reading'!F5)*1000000</f>
        <v>2299.9999999999686</v>
      </c>
      <c r="E5" s="2">
        <f>('Kwh Reading'!C6-'Kwh Reading'!C5)*1000</f>
        <v>240.00000000000909</v>
      </c>
      <c r="F5" s="2">
        <f>('Kwh Reading'!J6-'Kwh Reading'!J5)*1000</f>
        <v>209.99999999997954</v>
      </c>
      <c r="G5" s="2">
        <f>('Kwh Reading'!K6-'Kwh Reading'!K5)*1000</f>
        <v>189.99999999999773</v>
      </c>
      <c r="H5" s="2">
        <f>('Kwh Reading'!L6-'Kwh Reading'!L5)*1000</f>
        <v>169.99999999998749</v>
      </c>
      <c r="I5" s="2">
        <f>('Kwh Reading'!R6-'Kwh Reading'!R5)*1000</f>
        <v>259.99999999999091</v>
      </c>
      <c r="J5" s="2">
        <f>('Kwh Reading'!S6-'Kwh Reading'!S5)*1000</f>
        <v>120.00000000000455</v>
      </c>
      <c r="K5" s="2">
        <f>('Kwh Reading'!I6-'Kwh Reading'!I5)*1000</f>
        <v>259.99999999999091</v>
      </c>
      <c r="L5" s="2">
        <f>('Kwh Reading'!B6-'Kwh Reading'!B5)*1000000</f>
        <v>1400.0000000000678</v>
      </c>
      <c r="M5" s="2">
        <f>('Kwh Reading'!M6-'Kwh Reading'!M5)*1000</f>
        <v>820.00000000005002</v>
      </c>
      <c r="N5" s="2">
        <f>('Kwh Reading'!H6-'Kwh Reading'!H5)*1000</f>
        <v>659.99999999996817</v>
      </c>
      <c r="O5" s="2">
        <f>('Kwh Reading'!P6-'Kwh Reading'!P5)*1000</f>
        <v>970.00000000002728</v>
      </c>
      <c r="P5" s="2">
        <f>('Kwh Reading'!G6-'Kwh Reading'!G5)*1000</f>
        <v>799.99999999995453</v>
      </c>
      <c r="Q5" s="2">
        <f>('Kwh Reading'!Q6-'Kwh Reading'!Q5)*1000</f>
        <v>670.00000000001592</v>
      </c>
      <c r="R5" s="2">
        <f>('Kwh Reading'!N6-'Kwh Reading'!N5)*1000</f>
        <v>170.00000000007276</v>
      </c>
      <c r="S5" s="2">
        <f>'Kwh Reading'!E6-'Kwh Reading'!E5</f>
        <v>2443.0999999996275</v>
      </c>
      <c r="T5" s="2">
        <f>'Kwh Reading'!D6-'Kwh Reading'!D5</f>
        <v>2204.2799999993294</v>
      </c>
      <c r="U5" s="27">
        <f>('Kwh Reading'!O6-'Kwh Reading'!O5)*1000</f>
        <v>219.99999999999886</v>
      </c>
      <c r="V5" s="16">
        <f t="shared" ref="V5:V9" si="0">B5-(SUM(C5:U5))</f>
        <v>6632.6199999994351</v>
      </c>
    </row>
    <row r="6" spans="1:22" x14ac:dyDescent="0.25">
      <c r="A6" s="3">
        <f>'Kwh Reading'!A6</f>
        <v>44442</v>
      </c>
      <c r="B6" s="26">
        <f>TOTAL!E4</f>
        <v>21290.000000001783</v>
      </c>
      <c r="C6" s="4">
        <f>('Kwh Reading'!T7-'Kwh Reading'!T6)*1000</f>
        <v>289.99999999996362</v>
      </c>
      <c r="D6" s="2">
        <f>('Kwh Reading'!F7-'Kwh Reading'!F6)*1000000</f>
        <v>2400.0000000001796</v>
      </c>
      <c r="E6" s="2">
        <f>('Kwh Reading'!C7-'Kwh Reading'!C6)*1000</f>
        <v>250</v>
      </c>
      <c r="F6" s="2">
        <f>('Kwh Reading'!J7-'Kwh Reading'!J6)*1000</f>
        <v>180.00000000000682</v>
      </c>
      <c r="G6" s="2">
        <f>('Kwh Reading'!K7-'Kwh Reading'!K6)*1000</f>
        <v>229.99999999996135</v>
      </c>
      <c r="H6" s="2">
        <f>('Kwh Reading'!L7-'Kwh Reading'!L6)*1000</f>
        <v>160.00000000002501</v>
      </c>
      <c r="I6" s="2">
        <f>('Kwh Reading'!R7-'Kwh Reading'!R6)*1000</f>
        <v>229.99999999998977</v>
      </c>
      <c r="J6" s="2">
        <f>('Kwh Reading'!S7-'Kwh Reading'!S6)*1000</f>
        <v>109.99999999999943</v>
      </c>
      <c r="K6" s="2">
        <f>('Kwh Reading'!I7-'Kwh Reading'!I6)*1000</f>
        <v>259.99999999999091</v>
      </c>
      <c r="L6" s="2">
        <f>('Kwh Reading'!B7-'Kwh Reading'!B6)*1000000</f>
        <v>1399.9999999998458</v>
      </c>
      <c r="M6" s="2">
        <f>('Kwh Reading'!M7-'Kwh Reading'!M6)*1000</f>
        <v>829.99999999992724</v>
      </c>
      <c r="N6" s="2">
        <f>('Kwh Reading'!H7-'Kwh Reading'!H6)*1000</f>
        <v>669.99999999995907</v>
      </c>
      <c r="O6" s="2">
        <f>('Kwh Reading'!P7-'Kwh Reading'!P6)*1000</f>
        <v>950.00000000004547</v>
      </c>
      <c r="P6" s="2">
        <f>('Kwh Reading'!G7-'Kwh Reading'!G6)*1000</f>
        <v>820.00000000005002</v>
      </c>
      <c r="Q6" s="2">
        <f>('Kwh Reading'!Q7-'Kwh Reading'!Q6)*1000</f>
        <v>669.99999999995907</v>
      </c>
      <c r="R6" s="2">
        <f>('Kwh Reading'!N7-'Kwh Reading'!N6)*1000</f>
        <v>559.99999999994543</v>
      </c>
      <c r="S6" s="2">
        <f>'Kwh Reading'!E7-'Kwh Reading'!E6</f>
        <v>2718.7200000006706</v>
      </c>
      <c r="T6" s="2">
        <f>'Kwh Reading'!D7-'Kwh Reading'!D6</f>
        <v>2135.2700000004843</v>
      </c>
      <c r="U6" s="27">
        <f>('Kwh Reading'!O7-'Kwh Reading'!O6)*1000</f>
        <v>229.99999999998977</v>
      </c>
      <c r="V6" s="16">
        <f t="shared" si="0"/>
        <v>6196.0100000007915</v>
      </c>
    </row>
    <row r="7" spans="1:22" x14ac:dyDescent="0.25">
      <c r="A7" s="3">
        <f>'Kwh Reading'!A7</f>
        <v>44443</v>
      </c>
      <c r="B7" s="26">
        <f>TOTAL!E5</f>
        <v>21480.000000000473</v>
      </c>
      <c r="C7" s="4">
        <f>('Kwh Reading'!T8-'Kwh Reading'!T7)*1000</f>
        <v>470.00000000002728</v>
      </c>
      <c r="D7" s="2">
        <f>('Kwh Reading'!F8-'Kwh Reading'!F7)*1000000</f>
        <v>2299.9999999999686</v>
      </c>
      <c r="E7" s="2">
        <f>('Kwh Reading'!C8-'Kwh Reading'!C7)*1000</f>
        <v>229.99999999998977</v>
      </c>
      <c r="F7" s="2">
        <f>('Kwh Reading'!J8-'Kwh Reading'!J7)*1000</f>
        <v>149.99999999997726</v>
      </c>
      <c r="G7" s="2">
        <f>('Kwh Reading'!K8-'Kwh Reading'!K7)*1000</f>
        <v>200.00000000004547</v>
      </c>
      <c r="H7" s="2">
        <f>('Kwh Reading'!L8-'Kwh Reading'!L7)*1000</f>
        <v>179.9999999999784</v>
      </c>
      <c r="I7" s="2">
        <f>('Kwh Reading'!R8-'Kwh Reading'!R7)*1000</f>
        <v>240.00000000000909</v>
      </c>
      <c r="J7" s="2">
        <f>('Kwh Reading'!S8-'Kwh Reading'!S7)*1000</f>
        <v>119.99999999999034</v>
      </c>
      <c r="K7" s="2">
        <f>('Kwh Reading'!I8-'Kwh Reading'!I7)*1000</f>
        <v>259.99999999999091</v>
      </c>
      <c r="L7" s="2">
        <f>('Kwh Reading'!B8-'Kwh Reading'!B7)*1000000</f>
        <v>1300.0000000000789</v>
      </c>
      <c r="M7" s="2">
        <f>('Kwh Reading'!M8-'Kwh Reading'!M7)*1000</f>
        <v>779.99999999997272</v>
      </c>
      <c r="N7" s="2">
        <f>('Kwh Reading'!H8-'Kwh Reading'!H7)*1000</f>
        <v>639.99999999998636</v>
      </c>
      <c r="O7" s="2">
        <f>('Kwh Reading'!P8-'Kwh Reading'!P7)*1000</f>
        <v>970.00000000002728</v>
      </c>
      <c r="P7" s="2">
        <f>('Kwh Reading'!G8-'Kwh Reading'!G7)*1000</f>
        <v>799.99999999995453</v>
      </c>
      <c r="Q7" s="2">
        <f>('Kwh Reading'!Q8-'Kwh Reading'!Q7)*1000</f>
        <v>710.00000000003638</v>
      </c>
      <c r="R7" s="2">
        <f>('Kwh Reading'!N8-'Kwh Reading'!N7)*1000</f>
        <v>550.00000000006821</v>
      </c>
      <c r="S7" s="2">
        <f>'Kwh Reading'!E8-'Kwh Reading'!E7</f>
        <v>2838.980000000447</v>
      </c>
      <c r="T7" s="2">
        <f>'Kwh Reading'!D8-'Kwh Reading'!D7</f>
        <v>2177.9000000003725</v>
      </c>
      <c r="U7" s="27">
        <f>('Kwh Reading'!O8-'Kwh Reading'!O7)*1000</f>
        <v>229.99999999998977</v>
      </c>
      <c r="V7" s="16">
        <f t="shared" si="0"/>
        <v>6333.1199999995624</v>
      </c>
    </row>
    <row r="8" spans="1:22" x14ac:dyDescent="0.25">
      <c r="A8" s="3">
        <f>'Kwh Reading'!A8</f>
        <v>44444</v>
      </c>
      <c r="B8" s="26">
        <f>TOTAL!E6</f>
        <v>22509.999999999083</v>
      </c>
      <c r="C8" s="4">
        <f>('Kwh Reading'!T9-'Kwh Reading'!T8)*1000</f>
        <v>490.00000000000909</v>
      </c>
      <c r="D8" s="2">
        <f>('Kwh Reading'!F9-'Kwh Reading'!F8)*1000000</f>
        <v>2299.9999999999686</v>
      </c>
      <c r="E8" s="2">
        <f>('Kwh Reading'!C9-'Kwh Reading'!C8)*1000</f>
        <v>219.99999999999886</v>
      </c>
      <c r="F8" s="2">
        <f>('Kwh Reading'!J9-'Kwh Reading'!J8)*1000</f>
        <v>129.99999999999545</v>
      </c>
      <c r="G8" s="2">
        <f>('Kwh Reading'!K9-'Kwh Reading'!K8)*1000</f>
        <v>219.99999999997044</v>
      </c>
      <c r="H8" s="2">
        <f>('Kwh Reading'!L9-'Kwh Reading'!L8)*1000</f>
        <v>180.00000000000682</v>
      </c>
      <c r="I8" s="2">
        <f>('Kwh Reading'!R9-'Kwh Reading'!R8)*1000</f>
        <v>229.99999999998977</v>
      </c>
      <c r="J8" s="2">
        <f>('Kwh Reading'!S9-'Kwh Reading'!S8)*1000</f>
        <v>109.99999999999943</v>
      </c>
      <c r="K8" s="2">
        <f>('Kwh Reading'!I9-'Kwh Reading'!I8)*1000</f>
        <v>290.00000000002046</v>
      </c>
      <c r="L8" s="2">
        <f>('Kwh Reading'!B9-'Kwh Reading'!B8)*1000000</f>
        <v>1500.0000000000568</v>
      </c>
      <c r="M8" s="2">
        <f>('Kwh Reading'!M9-'Kwh Reading'!M8)*1000</f>
        <v>910.00000000008185</v>
      </c>
      <c r="N8" s="2">
        <f>('Kwh Reading'!H9-'Kwh Reading'!H8)*1000</f>
        <v>610.00000000001364</v>
      </c>
      <c r="O8" s="2">
        <f>('Kwh Reading'!P9-'Kwh Reading'!P8)*1000</f>
        <v>989.99999999989541</v>
      </c>
      <c r="P8" s="2">
        <f>('Kwh Reading'!G9-'Kwh Reading'!G8)*1000</f>
        <v>909.99999999996817</v>
      </c>
      <c r="Q8" s="2">
        <f>('Kwh Reading'!Q9-'Kwh Reading'!Q8)*1000</f>
        <v>779.99999999997272</v>
      </c>
      <c r="R8" s="2">
        <f>('Kwh Reading'!N9-'Kwh Reading'!N8)*1000</f>
        <v>579.99999999992724</v>
      </c>
      <c r="S8" s="2">
        <f>'Kwh Reading'!E9-'Kwh Reading'!E8</f>
        <v>2955.3199999984354</v>
      </c>
      <c r="T8" s="2">
        <f>'Kwh Reading'!D9-'Kwh Reading'!D8</f>
        <v>2304.4599999999627</v>
      </c>
      <c r="U8" s="27">
        <f>('Kwh Reading'!O9-'Kwh Reading'!O8)*1000</f>
        <v>230.00000000001819</v>
      </c>
      <c r="V8" s="16">
        <f t="shared" si="0"/>
        <v>6570.2200000007924</v>
      </c>
    </row>
    <row r="9" spans="1:22" x14ac:dyDescent="0.25">
      <c r="A9" s="3">
        <f>'Kwh Reading'!A9</f>
        <v>44445</v>
      </c>
      <c r="B9" s="26">
        <f>TOTAL!E7</f>
        <v>21619.999999998981</v>
      </c>
      <c r="C9" s="4">
        <f>('Kwh Reading'!T10-'Kwh Reading'!T9)*1000</f>
        <v>459.99999999997954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280.00000000002956</v>
      </c>
      <c r="G9" s="2">
        <f>('Kwh Reading'!K10-'Kwh Reading'!K9)*1000</f>
        <v>210.00000000003638</v>
      </c>
      <c r="H9" s="2">
        <f>('Kwh Reading'!L10-'Kwh Reading'!L9)*1000</f>
        <v>210.00000000000796</v>
      </c>
      <c r="I9" s="2">
        <f>('Kwh Reading'!R10-'Kwh Reading'!R9)*1000</f>
        <v>240.00000000000909</v>
      </c>
      <c r="J9" s="2">
        <f>('Kwh Reading'!S10-'Kwh Reading'!S9)*1000</f>
        <v>130.00000000000966</v>
      </c>
      <c r="K9" s="2">
        <f>('Kwh Reading'!I10-'Kwh Reading'!I9)*1000</f>
        <v>269.99999999998181</v>
      </c>
      <c r="L9" s="2">
        <f>('Kwh Reading'!B10-'Kwh Reading'!B9)*1000000</f>
        <v>1399.9999999998458</v>
      </c>
      <c r="M9" s="2">
        <f>('Kwh Reading'!M10-'Kwh Reading'!M9)*1000</f>
        <v>829.99999999992724</v>
      </c>
      <c r="N9" s="2">
        <f>('Kwh Reading'!H10-'Kwh Reading'!H9)*1000</f>
        <v>610.00000000001364</v>
      </c>
      <c r="O9" s="2">
        <f>('Kwh Reading'!P10-'Kwh Reading'!P9)*1000</f>
        <v>950.00000000004547</v>
      </c>
      <c r="P9" s="2">
        <f>('Kwh Reading'!G10-'Kwh Reading'!G9)*1000</f>
        <v>900.00000000009095</v>
      </c>
      <c r="Q9" s="2">
        <f>('Kwh Reading'!Q10-'Kwh Reading'!Q9)*1000</f>
        <v>660.00000000002501</v>
      </c>
      <c r="R9" s="2">
        <f>('Kwh Reading'!N10-'Kwh Reading'!N9)*1000</f>
        <v>570.00000000005002</v>
      </c>
      <c r="S9" s="2">
        <f>'Kwh Reading'!E10-'Kwh Reading'!E9</f>
        <v>2790.7000000011176</v>
      </c>
      <c r="T9" s="2">
        <f>'Kwh Reading'!D10-'Kwh Reading'!D9</f>
        <v>2215.5999999996275</v>
      </c>
      <c r="U9" s="27">
        <f>('Kwh Reading'!O10-'Kwh Reading'!O9)*1000</f>
        <v>250</v>
      </c>
      <c r="V9" s="16">
        <f t="shared" si="0"/>
        <v>5993.6999999980035</v>
      </c>
    </row>
    <row r="10" spans="1:22" x14ac:dyDescent="0.25">
      <c r="A10" s="3">
        <f>'Kwh Reading'!A10</f>
        <v>44446</v>
      </c>
      <c r="B10" s="26">
        <f>TOTAL!E8</f>
        <v>0</v>
      </c>
      <c r="C10" s="4">
        <f>('Kwh Reading'!T11-'Kwh Reading'!T10)*1000</f>
        <v>-452010</v>
      </c>
      <c r="D10" s="2">
        <f>('Kwh Reading'!F11-'Kwh Reading'!F10)*1000000</f>
        <v>-2542600</v>
      </c>
      <c r="E10" s="2">
        <f>('Kwh Reading'!C11-'Kwh Reading'!C10)*1000</f>
        <v>-246190</v>
      </c>
      <c r="F10" s="2">
        <f>('Kwh Reading'!J11-'Kwh Reading'!J10)*1000</f>
        <v>-334360</v>
      </c>
      <c r="G10" s="2">
        <f>('Kwh Reading'!K11-'Kwh Reading'!K10)*1000</f>
        <v>-359970</v>
      </c>
      <c r="H10" s="2">
        <f>('Kwh Reading'!L11-'Kwh Reading'!L10)*1000</f>
        <v>-247680</v>
      </c>
      <c r="I10" s="2">
        <f>('Kwh Reading'!R11-'Kwh Reading'!R10)*1000</f>
        <v>-176060</v>
      </c>
      <c r="J10" s="2">
        <f>('Kwh Reading'!S11-'Kwh Reading'!S10)*1000</f>
        <v>-123450</v>
      </c>
      <c r="K10" s="2">
        <f>('Kwh Reading'!I11-'Kwh Reading'!I10)*1000</f>
        <v>-257709.99999999997</v>
      </c>
      <c r="L10" s="2">
        <f>('Kwh Reading'!B11-'Kwh Reading'!B10)*1000000</f>
        <v>-1073400</v>
      </c>
      <c r="M10" s="2">
        <f>('Kwh Reading'!M11-'Kwh Reading'!M10)*1000</f>
        <v>-569540</v>
      </c>
      <c r="N10" s="2">
        <f>('Kwh Reading'!H11-'Kwh Reading'!H10)*1000</f>
        <v>-657630</v>
      </c>
      <c r="O10" s="2">
        <f>('Kwh Reading'!P11-'Kwh Reading'!P10)*1000</f>
        <v>-688130</v>
      </c>
      <c r="P10" s="2">
        <f>('Kwh Reading'!G11-'Kwh Reading'!G10)*1000</f>
        <v>-803440</v>
      </c>
      <c r="Q10" s="2">
        <f>('Kwh Reading'!Q11-'Kwh Reading'!Q10)*1000</f>
        <v>-508050</v>
      </c>
      <c r="R10" s="2">
        <f>('Kwh Reading'!N11-'Kwh Reading'!N10)*1000</f>
        <v>-521340.00000000006</v>
      </c>
      <c r="S10" s="34">
        <f>'Kwh Reading'!E11-'Kwh Reading'!E10</f>
        <v>-8400214.1500000004</v>
      </c>
      <c r="T10" s="34">
        <f>'Kwh Reading'!D11-'Kwh Reading'!D10</f>
        <v>-7639716.29</v>
      </c>
      <c r="U10" s="27">
        <f>('Kwh Reading'!O11-'Kwh Reading'!O10)*1000</f>
        <v>-166930</v>
      </c>
      <c r="V10" s="16">
        <f t="shared" ref="V10:V34" si="1">B10-(SUM(C10:U10))</f>
        <v>25768420.439999998</v>
      </c>
    </row>
    <row r="11" spans="1:22" x14ac:dyDescent="0.25">
      <c r="A11" s="3">
        <f>'Kwh Reading'!A11</f>
        <v>44447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1"/>
        <v>0</v>
      </c>
    </row>
    <row r="12" spans="1:22" x14ac:dyDescent="0.25">
      <c r="A12" s="3">
        <f>'Kwh Reading'!A12</f>
        <v>44448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44449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44450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44451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44452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44453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44454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44455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44456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44457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44458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44459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44460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44461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44462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44463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44464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44465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44466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44467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44468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44469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44470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133609.99999999878</v>
      </c>
      <c r="C35" s="75">
        <f t="shared" ref="C35" si="2">SUM(C4:C34)</f>
        <v>-449370</v>
      </c>
      <c r="D35" s="75">
        <f t="shared" ref="D35" si="3">SUM(D4:D34)</f>
        <v>-2528500</v>
      </c>
      <c r="E35" s="75">
        <f t="shared" ref="E35" si="4">SUM(E4:E34)</f>
        <v>-244760</v>
      </c>
      <c r="F35" s="75">
        <f t="shared" ref="F35" si="5">SUM(F4:F34)</f>
        <v>-333200</v>
      </c>
      <c r="G35" s="75">
        <f t="shared" ref="G35:U35" si="6">SUM(G4:G34)</f>
        <v>-358670</v>
      </c>
      <c r="H35" s="75">
        <f t="shared" si="6"/>
        <v>-246580</v>
      </c>
      <c r="I35" s="75">
        <f t="shared" si="6"/>
        <v>-174590</v>
      </c>
      <c r="J35" s="75">
        <f t="shared" si="6"/>
        <v>-122739.99999999999</v>
      </c>
      <c r="K35" s="75">
        <f t="shared" si="6"/>
        <v>-256100</v>
      </c>
      <c r="L35" s="75">
        <f t="shared" si="6"/>
        <v>-1065000</v>
      </c>
      <c r="M35" s="75">
        <f t="shared" si="6"/>
        <v>-564620</v>
      </c>
      <c r="N35" s="75">
        <f t="shared" si="6"/>
        <v>-653780</v>
      </c>
      <c r="O35" s="75">
        <f t="shared" si="6"/>
        <v>-682280</v>
      </c>
      <c r="P35" s="75">
        <f t="shared" si="6"/>
        <v>-798320</v>
      </c>
      <c r="Q35" s="75">
        <f t="shared" si="6"/>
        <v>-503899.99999999994</v>
      </c>
      <c r="R35" s="75">
        <f t="shared" si="6"/>
        <v>-517910</v>
      </c>
      <c r="S35" s="75">
        <f t="shared" si="6"/>
        <v>-8383537.8399999999</v>
      </c>
      <c r="T35" s="75">
        <f t="shared" si="6"/>
        <v>-7626409.6399999997</v>
      </c>
      <c r="U35" s="75">
        <f t="shared" si="6"/>
        <v>-165550</v>
      </c>
      <c r="V35" s="75">
        <f>SUM(V4:V34)</f>
        <v>25809427.479999997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3" sqref="C3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44440</v>
      </c>
      <c r="B3" s="83">
        <f>TOTAL!E2</f>
        <v>21730.000000000473</v>
      </c>
      <c r="C3" s="1">
        <f>'Kwh Consumption'!C4</f>
        <v>480.00000000001819</v>
      </c>
      <c r="D3" s="1">
        <f>'Kwh Consumption'!D4</f>
        <v>2399.9999999997358</v>
      </c>
      <c r="E3" s="1">
        <f>'Kwh Consumption'!E4</f>
        <v>240.00000000000909</v>
      </c>
      <c r="F3" s="1">
        <f>('Kwh Consumption'!F4+'Kwh Consumption'!G4+'Kwh Consumption'!H4)</f>
        <v>660.00000000002501</v>
      </c>
      <c r="G3" s="16">
        <f>('Kwh Consumption'!I4+'Kwh Consumption'!J4)</f>
        <v>390.00000000001478</v>
      </c>
      <c r="H3" s="1">
        <f>('Kwh Consumption'!K4+'Kwh Consumption'!L4)</f>
        <v>1670.0000000000496</v>
      </c>
      <c r="I3" s="1">
        <f>('Kwh Consumption'!M4+'Kwh Consumption'!N4+'Kwh Consumption'!O4+'Kwh Consumption'!P4+'Kwh Consumption'!Q4+'Kwh Consumption'!R4)</f>
        <v>4980.0000000000746</v>
      </c>
      <c r="J3" s="1">
        <f>('Kwh Consumption'!S4+'Kwh Consumption'!T4)</f>
        <v>5198.6300000008196</v>
      </c>
      <c r="K3" s="1">
        <f>'Kwh Consumption'!U4</f>
        <v>219.99999999999886</v>
      </c>
      <c r="L3" s="32">
        <f t="shared" ref="L3:L33" si="0">B3-C3-D3-E3-F3-G3-H3-I3-J3-K3</f>
        <v>5491.3699999997307</v>
      </c>
    </row>
    <row r="4" spans="1:12" x14ac:dyDescent="0.25">
      <c r="A4" s="14">
        <f>'Kwh Reading'!A5</f>
        <v>44441</v>
      </c>
      <c r="B4" s="83">
        <f>TOTAL!E3</f>
        <v>21189.999999998465</v>
      </c>
      <c r="C4" s="1">
        <f>'Kwh Consumption'!C5</f>
        <v>449.99999999998863</v>
      </c>
      <c r="D4" s="1">
        <f>'Kwh Consumption'!D5</f>
        <v>2299.9999999999686</v>
      </c>
      <c r="E4" s="1">
        <f>'Kwh Consumption'!E5</f>
        <v>240.00000000000909</v>
      </c>
      <c r="F4" s="1">
        <f>('Kwh Consumption'!F5+'Kwh Consumption'!G5+'Kwh Consumption'!H5)</f>
        <v>569.99999999996476</v>
      </c>
      <c r="G4" s="16">
        <f>('Kwh Consumption'!I5+'Kwh Consumption'!J5)</f>
        <v>379.99999999999545</v>
      </c>
      <c r="H4" s="1">
        <f>('Kwh Consumption'!K5+'Kwh Consumption'!L5)</f>
        <v>1660.0000000000587</v>
      </c>
      <c r="I4" s="1">
        <f>('Kwh Consumption'!M5+'Kwh Consumption'!N5+'Kwh Consumption'!O5+'Kwh Consumption'!P5+'Kwh Consumption'!Q5+'Kwh Consumption'!R5)</f>
        <v>4090.0000000000887</v>
      </c>
      <c r="J4" s="1">
        <f>('Kwh Consumption'!S5+'Kwh Consumption'!T5)</f>
        <v>4647.3799999989569</v>
      </c>
      <c r="K4" s="1">
        <f>'Kwh Consumption'!U5</f>
        <v>219.99999999999886</v>
      </c>
      <c r="L4" s="32">
        <f t="shared" si="0"/>
        <v>6632.6199999994378</v>
      </c>
    </row>
    <row r="5" spans="1:12" x14ac:dyDescent="0.25">
      <c r="A5" s="14">
        <f>'Kwh Reading'!A6</f>
        <v>44442</v>
      </c>
      <c r="B5" s="83">
        <f>TOTAL!E4</f>
        <v>21290.000000001783</v>
      </c>
      <c r="C5" s="1">
        <f>'Kwh Consumption'!C6</f>
        <v>289.99999999996362</v>
      </c>
      <c r="D5" s="1">
        <f>'Kwh Consumption'!D6</f>
        <v>2400.0000000001796</v>
      </c>
      <c r="E5" s="1">
        <f>'Kwh Consumption'!E6</f>
        <v>250</v>
      </c>
      <c r="F5" s="1">
        <f>('Kwh Consumption'!F6+'Kwh Consumption'!G6+'Kwh Consumption'!H6)</f>
        <v>569.99999999999318</v>
      </c>
      <c r="G5" s="16">
        <f>('Kwh Consumption'!I6+'Kwh Consumption'!J6)</f>
        <v>339.9999999999892</v>
      </c>
      <c r="H5" s="1">
        <f>('Kwh Consumption'!K6+'Kwh Consumption'!L6)</f>
        <v>1659.9999999998367</v>
      </c>
      <c r="I5" s="1">
        <f>('Kwh Consumption'!M6+'Kwh Consumption'!N6+'Kwh Consumption'!O6+'Kwh Consumption'!P6+'Kwh Consumption'!Q6+'Kwh Consumption'!R6)</f>
        <v>4499.9999999998863</v>
      </c>
      <c r="J5" s="1">
        <f>('Kwh Consumption'!S6+'Kwh Consumption'!T6)</f>
        <v>4853.9900000011548</v>
      </c>
      <c r="K5" s="1">
        <f>'Kwh Consumption'!U6</f>
        <v>229.99999999998977</v>
      </c>
      <c r="L5" s="32">
        <f t="shared" si="0"/>
        <v>6196.0100000007906</v>
      </c>
    </row>
    <row r="6" spans="1:12" x14ac:dyDescent="0.25">
      <c r="A6" s="14">
        <f>'Kwh Reading'!A7</f>
        <v>44443</v>
      </c>
      <c r="B6" s="83">
        <f>TOTAL!E5</f>
        <v>21480.000000000473</v>
      </c>
      <c r="C6" s="1">
        <f>'Kwh Consumption'!C7</f>
        <v>470.00000000002728</v>
      </c>
      <c r="D6" s="1">
        <f>'Kwh Consumption'!D7</f>
        <v>2299.9999999999686</v>
      </c>
      <c r="E6" s="1">
        <f>'Kwh Consumption'!E7</f>
        <v>229.99999999998977</v>
      </c>
      <c r="F6" s="1">
        <f>('Kwh Consumption'!F7+'Kwh Consumption'!G7+'Kwh Consumption'!H7)</f>
        <v>530.00000000000114</v>
      </c>
      <c r="G6" s="16">
        <f>('Kwh Consumption'!I7+'Kwh Consumption'!J7)</f>
        <v>359.99999999999943</v>
      </c>
      <c r="H6" s="1">
        <f>('Kwh Consumption'!K7+'Kwh Consumption'!L7)</f>
        <v>1560.0000000000698</v>
      </c>
      <c r="I6" s="1">
        <f>('Kwh Consumption'!M7+'Kwh Consumption'!N7+'Kwh Consumption'!O7+'Kwh Consumption'!P7+'Kwh Consumption'!Q7+'Kwh Consumption'!R7)</f>
        <v>4450.0000000000455</v>
      </c>
      <c r="J6" s="1">
        <f>('Kwh Consumption'!S7+'Kwh Consumption'!T7)</f>
        <v>5016.8800000008196</v>
      </c>
      <c r="K6" s="1">
        <f>'Kwh Consumption'!U7</f>
        <v>229.99999999998977</v>
      </c>
      <c r="L6" s="32">
        <f t="shared" si="0"/>
        <v>6333.1199999995633</v>
      </c>
    </row>
    <row r="7" spans="1:12" x14ac:dyDescent="0.25">
      <c r="A7" s="14">
        <f>'Kwh Reading'!A8</f>
        <v>44444</v>
      </c>
      <c r="B7" s="83">
        <f>TOTAL!E6</f>
        <v>22509.999999999083</v>
      </c>
      <c r="C7" s="1">
        <f>'Kwh Consumption'!C8</f>
        <v>490.00000000000909</v>
      </c>
      <c r="D7" s="1">
        <f>'Kwh Consumption'!D8</f>
        <v>2299.9999999999686</v>
      </c>
      <c r="E7" s="1">
        <f>'Kwh Consumption'!E8</f>
        <v>219.99999999999886</v>
      </c>
      <c r="F7" s="1">
        <f>('Kwh Consumption'!F8+'Kwh Consumption'!G8+'Kwh Consumption'!H8)</f>
        <v>529.99999999997272</v>
      </c>
      <c r="G7" s="16">
        <f>('Kwh Consumption'!I8+'Kwh Consumption'!J8)</f>
        <v>339.9999999999892</v>
      </c>
      <c r="H7" s="1">
        <f>('Kwh Consumption'!K8+'Kwh Consumption'!L8)</f>
        <v>1790.0000000000773</v>
      </c>
      <c r="I7" s="1">
        <f>('Kwh Consumption'!M8+'Kwh Consumption'!N8+'Kwh Consumption'!O8+'Kwh Consumption'!P8+'Kwh Consumption'!Q8+'Kwh Consumption'!R8)</f>
        <v>4779.999999999859</v>
      </c>
      <c r="J7" s="1">
        <f>('Kwh Consumption'!S8+'Kwh Consumption'!T8)</f>
        <v>5259.7799999983981</v>
      </c>
      <c r="K7" s="1">
        <f>'Kwh Consumption'!U8</f>
        <v>230.00000000001819</v>
      </c>
      <c r="L7" s="32">
        <f t="shared" si="0"/>
        <v>6570.2200000007942</v>
      </c>
    </row>
    <row r="8" spans="1:12" x14ac:dyDescent="0.25">
      <c r="A8" s="14">
        <f>'Kwh Reading'!A9</f>
        <v>44445</v>
      </c>
      <c r="B8" s="83">
        <f>TOTAL!E7</f>
        <v>21619.999999998981</v>
      </c>
      <c r="C8" s="1">
        <f>'Kwh Consumption'!C9</f>
        <v>459.99999999997954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700.0000000000739</v>
      </c>
      <c r="G8" s="16">
        <f>('Kwh Consumption'!I9+'Kwh Consumption'!J9)</f>
        <v>370.00000000001876</v>
      </c>
      <c r="H8" s="1">
        <f>('Kwh Consumption'!K9+'Kwh Consumption'!L9)</f>
        <v>1669.9999999998277</v>
      </c>
      <c r="I8" s="1">
        <f>('Kwh Consumption'!M9+'Kwh Consumption'!N9+'Kwh Consumption'!O9+'Kwh Consumption'!P9+'Kwh Consumption'!Q9+'Kwh Consumption'!R9)</f>
        <v>4520.0000000001528</v>
      </c>
      <c r="J8" s="1">
        <f>('Kwh Consumption'!S9+'Kwh Consumption'!T9)</f>
        <v>5006.3000000007451</v>
      </c>
      <c r="K8" s="1">
        <f>'Kwh Consumption'!U9</f>
        <v>250</v>
      </c>
      <c r="L8" s="32">
        <f t="shared" si="0"/>
        <v>5993.6999999980089</v>
      </c>
    </row>
    <row r="9" spans="1:12" x14ac:dyDescent="0.25">
      <c r="A9" s="14">
        <f>'Kwh Reading'!A10</f>
        <v>44446</v>
      </c>
      <c r="B9" s="83">
        <f>TOTAL!E8</f>
        <v>0</v>
      </c>
      <c r="C9" s="1">
        <f>'Kwh Consumption'!C10</f>
        <v>-452010</v>
      </c>
      <c r="D9" s="1">
        <f>'Kwh Consumption'!D10</f>
        <v>-2542600</v>
      </c>
      <c r="E9" s="1">
        <f>'Kwh Consumption'!E10</f>
        <v>-246190</v>
      </c>
      <c r="F9" s="1">
        <f>('Kwh Consumption'!F10+'Kwh Consumption'!G10+'Kwh Consumption'!H10)</f>
        <v>-942010</v>
      </c>
      <c r="G9" s="16">
        <f>('Kwh Consumption'!I10+'Kwh Consumption'!J10)</f>
        <v>-299510</v>
      </c>
      <c r="H9" s="1">
        <f>('Kwh Consumption'!K10+'Kwh Consumption'!L10)</f>
        <v>-1331110</v>
      </c>
      <c r="I9" s="1">
        <f>('Kwh Consumption'!M10+'Kwh Consumption'!N10+'Kwh Consumption'!O10+'Kwh Consumption'!P10+'Kwh Consumption'!Q10+'Kwh Consumption'!R10)</f>
        <v>-3748130</v>
      </c>
      <c r="J9" s="1">
        <f>('Kwh Consumption'!S10+'Kwh Consumption'!T10)</f>
        <v>-16039930.440000001</v>
      </c>
      <c r="K9" s="1">
        <f>'Kwh Consumption'!U10</f>
        <v>-166930</v>
      </c>
      <c r="L9" s="32">
        <f t="shared" si="0"/>
        <v>25768420.440000001</v>
      </c>
    </row>
    <row r="10" spans="1:12" x14ac:dyDescent="0.25">
      <c r="A10" s="14">
        <f>'Kwh Reading'!A11</f>
        <v>44447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44448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44449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44450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44451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44452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44453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44454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44455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44456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44457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44458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44459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44460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44461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44462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44463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44464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44465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44466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44467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44468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44469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44470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129819.99999999926</v>
      </c>
      <c r="C34" s="75">
        <f>SUM(C3:C33)</f>
        <v>-449370</v>
      </c>
      <c r="D34" s="75">
        <f t="shared" ref="D34:L34" si="1">SUM(D3:D33)</f>
        <v>-2528500</v>
      </c>
      <c r="E34" s="75">
        <f t="shared" si="1"/>
        <v>-244760</v>
      </c>
      <c r="F34" s="75">
        <f t="shared" si="1"/>
        <v>-938450</v>
      </c>
      <c r="G34" s="75">
        <f t="shared" si="1"/>
        <v>-297330</v>
      </c>
      <c r="H34" s="75">
        <f t="shared" si="1"/>
        <v>-1321100</v>
      </c>
      <c r="I34" s="75">
        <f t="shared" si="1"/>
        <v>-3720810</v>
      </c>
      <c r="J34" s="75">
        <f t="shared" si="1"/>
        <v>-16009947.48</v>
      </c>
      <c r="K34" s="75">
        <f t="shared" si="1"/>
        <v>-165550</v>
      </c>
      <c r="L34" s="75">
        <f t="shared" si="1"/>
        <v>25805637.48</v>
      </c>
      <c r="M34" s="84">
        <f>C34+D34+E34+F34+G34+H34+I34+J34+K34+L34</f>
        <v>129820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-67405.5</v>
      </c>
      <c r="D36" s="75">
        <f>D34*B36</f>
        <v>-379275</v>
      </c>
      <c r="E36" s="75">
        <f>E34*B36</f>
        <v>-36714</v>
      </c>
      <c r="F36" s="75">
        <f>F34*B36</f>
        <v>-140767.5</v>
      </c>
      <c r="G36" s="75">
        <f>G34*B36</f>
        <v>-44599.5</v>
      </c>
      <c r="H36" s="75">
        <f>H34*B36</f>
        <v>-198165</v>
      </c>
      <c r="I36" s="75">
        <f>I34*B36</f>
        <v>-558121.5</v>
      </c>
      <c r="J36" s="75">
        <f>J34*B36</f>
        <v>-2401492.122</v>
      </c>
      <c r="K36" s="75">
        <f>K34*B36</f>
        <v>-24832.5</v>
      </c>
      <c r="L36" s="75">
        <f>L34*B36</f>
        <v>3870845.622</v>
      </c>
      <c r="M36" s="84">
        <f>C36+D36+E36+F36+G36+H36+I36+J36+K36+L36</f>
        <v>19473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44440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72.000000000002728</v>
      </c>
      <c r="E3" s="1">
        <f>'Kwh Consumption'!D4*' Kwh area wise $ '!B3</f>
        <v>359.99999999996038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99.000000000003752</v>
      </c>
      <c r="H3" s="16">
        <f>('Kwh Consumption'!I4+'Kwh Consumption'!J4)*' Kwh area wise $ '!B3</f>
        <v>58.500000000002217</v>
      </c>
      <c r="I3" s="1">
        <f>('Kwh Consumption'!K4+'Kwh Consumption'!L4)*' Kwh area wise $ '!B3</f>
        <v>250.50000000000742</v>
      </c>
      <c r="J3" s="1">
        <f>('Kwh Consumption'!M4+'Kwh Consumption'!N4+'Kwh Consumption'!O4+'Kwh Consumption'!P4+'Kwh Consumption'!Q4+'Kwh Consumption'!R4)*' Kwh area wise $ '!B3</f>
        <v>747.00000000001114</v>
      </c>
      <c r="K3" s="1">
        <f>('Kwh Consumption'!S4+'Kwh Consumption'!T4)*' Kwh area wise $ '!B3</f>
        <v>779.79450000012287</v>
      </c>
      <c r="L3" s="1">
        <f>'Kwh Consumption'!U4*' Kwh area wise $ '!B3</f>
        <v>32.999999999999829</v>
      </c>
      <c r="M3" s="1">
        <f>'Kwh Consumption'!V4*' Kwh area wise $ '!B3</f>
        <v>1392.2054999998882</v>
      </c>
    </row>
    <row r="4" spans="1:13" x14ac:dyDescent="0.25">
      <c r="A4" s="14">
        <f>'Kwh Reading'!A5</f>
        <v>44441</v>
      </c>
      <c r="B4" s="11">
        <f>TOTAL!F3</f>
        <v>0.15</v>
      </c>
      <c r="C4" s="11">
        <f>'Kwh Consumption'!B5*' Kwh area wise $ '!B4</f>
        <v>3178.4999999997694</v>
      </c>
      <c r="D4" s="1">
        <f>'Kwh Consumption'!C5*' Kwh area wise $ '!B4</f>
        <v>67.499999999998295</v>
      </c>
      <c r="E4" s="1">
        <f>'Kwh Consumption'!D5*' Kwh area wise $ '!B4</f>
        <v>344.99999999999528</v>
      </c>
      <c r="F4" s="1">
        <f>'Kwh Consumption'!E5*' Kwh area wise $ '!B4</f>
        <v>36.000000000001364</v>
      </c>
      <c r="G4" s="1">
        <f>('Kwh Consumption'!F5+'Kwh Consumption'!G5+'Kwh Consumption'!H5)*' Kwh area wise $ '!B4</f>
        <v>85.499999999994714</v>
      </c>
      <c r="H4" s="16">
        <f>('Kwh Consumption'!I5+'Kwh Consumption'!J5)*' Kwh area wise $ '!B4</f>
        <v>56.999999999999318</v>
      </c>
      <c r="I4" s="1">
        <f>('Kwh Consumption'!K5+'Kwh Consumption'!L5)*' Kwh area wise $ '!B4</f>
        <v>249.00000000000878</v>
      </c>
      <c r="J4" s="1">
        <f>('Kwh Consumption'!M5+'Kwh Consumption'!N5+'Kwh Consumption'!O5+'Kwh Consumption'!P5+'Kwh Consumption'!Q5+'Kwh Consumption'!R5)*' Kwh area wise $ '!B4</f>
        <v>613.5000000000133</v>
      </c>
      <c r="K4" s="1">
        <f>('Kwh Consumption'!S5+'Kwh Consumption'!T5)*' Kwh area wise $ '!B4</f>
        <v>697.10699999984354</v>
      </c>
      <c r="L4" s="1">
        <f>'Kwh Consumption'!U5*' Kwh area wise $ '!B4</f>
        <v>32.999999999999829</v>
      </c>
      <c r="M4" s="1">
        <f>'Kwh Consumption'!V5*' Kwh area wise $ '!B4</f>
        <v>994.89299999991522</v>
      </c>
    </row>
    <row r="5" spans="1:13" x14ac:dyDescent="0.25">
      <c r="A5" s="14">
        <f>'Kwh Reading'!A6</f>
        <v>44442</v>
      </c>
      <c r="B5" s="11">
        <f>TOTAL!F4</f>
        <v>0.15</v>
      </c>
      <c r="C5" s="11">
        <f>'Kwh Consumption'!B6*' Kwh area wise $ '!B5</f>
        <v>3193.5000000002674</v>
      </c>
      <c r="D5" s="1">
        <f>'Kwh Consumption'!C6*' Kwh area wise $ '!B5</f>
        <v>43.499999999994543</v>
      </c>
      <c r="E5" s="1">
        <f>'Kwh Consumption'!D6*' Kwh area wise $ '!B5</f>
        <v>360.00000000002694</v>
      </c>
      <c r="F5" s="1">
        <f>'Kwh Consumption'!E6*' Kwh area wise $ '!B5</f>
        <v>37.5</v>
      </c>
      <c r="G5" s="1">
        <f>('Kwh Consumption'!F6+'Kwh Consumption'!G6+'Kwh Consumption'!H6)*' Kwh area wise $ '!B5</f>
        <v>85.499999999998977</v>
      </c>
      <c r="H5" s="16">
        <f>('Kwh Consumption'!I6+'Kwh Consumption'!J6)*' Kwh area wise $ '!B5</f>
        <v>50.99999999999838</v>
      </c>
      <c r="I5" s="1">
        <f>('Kwh Consumption'!K6+'Kwh Consumption'!L6)*' Kwh area wise $ '!B5</f>
        <v>248.9999999999755</v>
      </c>
      <c r="J5" s="1">
        <f>('Kwh Consumption'!M6+'Kwh Consumption'!N6+'Kwh Consumption'!O6+'Kwh Consumption'!P6+'Kwh Consumption'!Q6+'Kwh Consumption'!R6)*' Kwh area wise $ '!B5</f>
        <v>674.99999999998295</v>
      </c>
      <c r="K5" s="1">
        <f>('Kwh Consumption'!S6+'Kwh Consumption'!T6)*' Kwh area wise $ '!B5</f>
        <v>728.0985000001732</v>
      </c>
      <c r="L5" s="1">
        <f>'Kwh Consumption'!U6*' Kwh area wise $ '!B5</f>
        <v>34.499999999998465</v>
      </c>
      <c r="M5" s="1">
        <f>'Kwh Consumption'!V6*' Kwh area wise $ '!B5</f>
        <v>929.40150000011863</v>
      </c>
    </row>
    <row r="6" spans="1:13" x14ac:dyDescent="0.25">
      <c r="A6" s="14">
        <f>'Kwh Reading'!A7</f>
        <v>44443</v>
      </c>
      <c r="B6" s="11">
        <f>TOTAL!F5</f>
        <v>0.15</v>
      </c>
      <c r="C6" s="11">
        <f>'Kwh Consumption'!B7*' Kwh area wise $ '!B6</f>
        <v>3222.0000000000709</v>
      </c>
      <c r="D6" s="1">
        <f>'Kwh Consumption'!C7*' Kwh area wise $ '!B6</f>
        <v>70.500000000004093</v>
      </c>
      <c r="E6" s="1">
        <f>'Kwh Consumption'!D7*' Kwh area wise $ '!B6</f>
        <v>344.99999999999528</v>
      </c>
      <c r="F6" s="1">
        <f>'Kwh Consumption'!E7*' Kwh area wise $ '!B6</f>
        <v>34.499999999998465</v>
      </c>
      <c r="G6" s="1">
        <f>('Kwh Consumption'!F7+'Kwh Consumption'!G7+'Kwh Consumption'!H7)*' Kwh area wise $ '!B6</f>
        <v>79.500000000000171</v>
      </c>
      <c r="H6" s="16">
        <f>('Kwh Consumption'!I7+'Kwh Consumption'!J7)*' Kwh area wise $ '!B6</f>
        <v>53.999999999999915</v>
      </c>
      <c r="I6" s="1">
        <f>('Kwh Consumption'!K7+'Kwh Consumption'!L7)*' Kwh area wise $ '!B6</f>
        <v>234.00000000001046</v>
      </c>
      <c r="J6" s="1">
        <f>('Kwh Consumption'!M7+'Kwh Consumption'!N7+'Kwh Consumption'!O7+'Kwh Consumption'!P7+'Kwh Consumption'!Q7+'Kwh Consumption'!R7)*' Kwh area wise $ '!B6</f>
        <v>667.50000000000682</v>
      </c>
      <c r="K6" s="1">
        <f>('Kwh Consumption'!S7+'Kwh Consumption'!T7)*' Kwh area wise $ '!B6</f>
        <v>752.53200000012293</v>
      </c>
      <c r="L6" s="1">
        <f>'Kwh Consumption'!U7*' Kwh area wise $ '!B6</f>
        <v>34.499999999998465</v>
      </c>
      <c r="M6" s="1">
        <f>'Kwh Consumption'!V7*' Kwh area wise $ '!B6</f>
        <v>949.96799999993436</v>
      </c>
    </row>
    <row r="7" spans="1:13" x14ac:dyDescent="0.25">
      <c r="A7" s="14">
        <f>'Kwh Reading'!A8</f>
        <v>44444</v>
      </c>
      <c r="B7" s="11">
        <f>TOTAL!F6</f>
        <v>0.15</v>
      </c>
      <c r="C7" s="11">
        <f>'Kwh Consumption'!B8*' Kwh area wise $ '!B7</f>
        <v>3376.4999999998622</v>
      </c>
      <c r="D7" s="1">
        <f>'Kwh Consumption'!C8*' Kwh area wise $ '!B7</f>
        <v>73.500000000001364</v>
      </c>
      <c r="E7" s="1">
        <f>'Kwh Consumption'!D8*' Kwh area wise $ '!B7</f>
        <v>344.99999999999528</v>
      </c>
      <c r="F7" s="1">
        <f>'Kwh Consumption'!E8*' Kwh area wise $ '!B7</f>
        <v>32.999999999999829</v>
      </c>
      <c r="G7" s="1">
        <f>('Kwh Consumption'!F8+'Kwh Consumption'!G8+'Kwh Consumption'!H8)*' Kwh area wise $ '!B7</f>
        <v>79.499999999995907</v>
      </c>
      <c r="H7" s="16">
        <f>('Kwh Consumption'!I8+'Kwh Consumption'!J8)*' Kwh area wise $ '!B7</f>
        <v>50.99999999999838</v>
      </c>
      <c r="I7" s="1">
        <f>('Kwh Consumption'!K8+'Kwh Consumption'!L8)*' Kwh area wise $ '!B7</f>
        <v>268.5000000000116</v>
      </c>
      <c r="J7" s="1">
        <f>('Kwh Consumption'!M8+'Kwh Consumption'!N8+'Kwh Consumption'!O8+'Kwh Consumption'!P8+'Kwh Consumption'!Q8+'Kwh Consumption'!R8)*' Kwh area wise $ '!B7</f>
        <v>716.99999999997885</v>
      </c>
      <c r="K7" s="1">
        <f>('Kwh Consumption'!S8+'Kwh Consumption'!T8)*' Kwh area wise $ '!B7</f>
        <v>788.96699999975965</v>
      </c>
      <c r="L7" s="1">
        <f>'Kwh Consumption'!U8*' Kwh area wise $ '!B7</f>
        <v>34.500000000002728</v>
      </c>
      <c r="M7" s="1">
        <f>'Kwh Consumption'!V8*' Kwh area wise $ '!B7</f>
        <v>985.53300000011882</v>
      </c>
    </row>
    <row r="8" spans="1:13" x14ac:dyDescent="0.25">
      <c r="A8" s="14">
        <f>'Kwh Reading'!A9</f>
        <v>44445</v>
      </c>
      <c r="B8" s="11">
        <f>TOTAL!F7</f>
        <v>0.15</v>
      </c>
      <c r="C8" s="11">
        <f>'Kwh Consumption'!B9*' Kwh area wise $ '!B8</f>
        <v>3242.9999999998472</v>
      </c>
      <c r="D8" s="1">
        <f>'Kwh Consumption'!C9*' Kwh area wise $ '!B8</f>
        <v>68.99999999999693</v>
      </c>
      <c r="E8" s="1">
        <f>'Kwh Consumption'!D9*' Kwh area wise $ '!B8</f>
        <v>360.00000000002694</v>
      </c>
      <c r="F8" s="1">
        <f>'Kwh Consumption'!E9*' Kwh area wise $ '!B8</f>
        <v>37.5</v>
      </c>
      <c r="G8" s="1">
        <f>('Kwh Consumption'!F9+'Kwh Consumption'!G9+'Kwh Consumption'!H9)*' Kwh area wise $ '!B8</f>
        <v>105.00000000001108</v>
      </c>
      <c r="H8" s="16">
        <f>('Kwh Consumption'!I9+'Kwh Consumption'!J9)*' Kwh area wise $ '!B8</f>
        <v>55.500000000002814</v>
      </c>
      <c r="I8" s="1">
        <f>('Kwh Consumption'!K9+'Kwh Consumption'!L9)*' Kwh area wise $ '!B8</f>
        <v>250.49999999997414</v>
      </c>
      <c r="J8" s="1">
        <f>('Kwh Consumption'!M9+'Kwh Consumption'!N9+'Kwh Consumption'!O9+'Kwh Consumption'!P9+'Kwh Consumption'!Q9+'Kwh Consumption'!R9)*' Kwh area wise $ '!B8</f>
        <v>678.00000000002285</v>
      </c>
      <c r="K8" s="1">
        <f>('Kwh Consumption'!S9+'Kwh Consumption'!T9)*' Kwh area wise $ '!B8</f>
        <v>750.94500000011169</v>
      </c>
      <c r="L8" s="1">
        <f>'Kwh Consumption'!U9*' Kwh area wise $ '!B8</f>
        <v>37.5</v>
      </c>
      <c r="M8" s="1">
        <f>'Kwh Consumption'!V9*' Kwh area wise $ '!B8</f>
        <v>899.0549999997005</v>
      </c>
    </row>
    <row r="9" spans="1:13" x14ac:dyDescent="0.25">
      <c r="A9" s="14">
        <f>'Kwh Reading'!A10</f>
        <v>44446</v>
      </c>
      <c r="B9" s="11">
        <f>TOTAL!F8</f>
        <v>0.15</v>
      </c>
      <c r="C9" s="11">
        <f>'Kwh Consumption'!B10*' Kwh area wise $ '!B9</f>
        <v>0</v>
      </c>
      <c r="D9" s="1">
        <f>'Kwh Consumption'!C10*' Kwh area wise $ '!B9</f>
        <v>-67801.5</v>
      </c>
      <c r="E9" s="1">
        <f>'Kwh Consumption'!D10*' Kwh area wise $ '!B9</f>
        <v>-381390</v>
      </c>
      <c r="F9" s="1">
        <f>'Kwh Consumption'!E10*' Kwh area wise $ '!B9</f>
        <v>-36928.5</v>
      </c>
      <c r="G9" s="1">
        <f>('Kwh Consumption'!F10+'Kwh Consumption'!G10+'Kwh Consumption'!H10)*' Kwh area wise $ '!B9</f>
        <v>-141301.5</v>
      </c>
      <c r="H9" s="16">
        <f>('Kwh Consumption'!I10+'Kwh Consumption'!J10)*' Kwh area wise $ '!B9</f>
        <v>-44926.5</v>
      </c>
      <c r="I9" s="1">
        <f>('Kwh Consumption'!K10+'Kwh Consumption'!L10)*' Kwh area wise $ '!B9</f>
        <v>-199666.5</v>
      </c>
      <c r="J9" s="1">
        <f>('Kwh Consumption'!M10+'Kwh Consumption'!N10+'Kwh Consumption'!O10+'Kwh Consumption'!P10+'Kwh Consumption'!Q10+'Kwh Consumption'!R10)*' Kwh area wise $ '!B9</f>
        <v>-562219.5</v>
      </c>
      <c r="K9" s="1">
        <f>('Kwh Consumption'!S10+'Kwh Consumption'!T10)*' Kwh area wise $ '!B9</f>
        <v>-2405989.5660000001</v>
      </c>
      <c r="L9" s="1">
        <f>'Kwh Consumption'!U10*' Kwh area wise $ '!B9</f>
        <v>-25039.5</v>
      </c>
      <c r="M9" s="1">
        <f>'Kwh Consumption'!V10*' Kwh area wise $ '!B9</f>
        <v>3865263.0659999996</v>
      </c>
    </row>
    <row r="10" spans="1:13" x14ac:dyDescent="0.25">
      <c r="A10" s="14">
        <f>'Kwh Reading'!A11</f>
        <v>44447</v>
      </c>
      <c r="B10" s="11">
        <f>TOTAL!F9</f>
        <v>0.15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44448</v>
      </c>
      <c r="B11" s="11">
        <f>TOTAL!F10</f>
        <v>0.15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44449</v>
      </c>
      <c r="B12" s="11">
        <f>TOTAL!F11</f>
        <v>0.15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44450</v>
      </c>
      <c r="B13" s="11">
        <f>TOTAL!F12</f>
        <v>0.15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44451</v>
      </c>
      <c r="B14" s="11">
        <f>TOTAL!F13</f>
        <v>0.15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44452</v>
      </c>
      <c r="B15" s="11">
        <f>TOTAL!F14</f>
        <v>0.15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44453</v>
      </c>
      <c r="B16" s="11">
        <f>TOTAL!F15</f>
        <v>0.15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44454</v>
      </c>
      <c r="B17" s="11">
        <f>TOTAL!F16</f>
        <v>0.15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44455</v>
      </c>
      <c r="B18" s="11">
        <f>TOTAL!F17</f>
        <v>0.15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44456</v>
      </c>
      <c r="B19" s="11">
        <f>TOTAL!F18</f>
        <v>0.15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44457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44458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44459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44460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44461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44462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44463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44464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44465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44466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44467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44468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44469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44470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20041.499999999818</v>
      </c>
      <c r="D34" s="75">
        <f t="shared" si="0"/>
        <v>-67405.5</v>
      </c>
      <c r="E34" s="75">
        <f t="shared" si="0"/>
        <v>-379275</v>
      </c>
      <c r="F34" s="75">
        <f t="shared" si="0"/>
        <v>-36714</v>
      </c>
      <c r="G34" s="75">
        <f t="shared" si="0"/>
        <v>-140767.5</v>
      </c>
      <c r="H34" s="75">
        <f t="shared" si="0"/>
        <v>-44599.5</v>
      </c>
      <c r="I34" s="75">
        <f t="shared" si="0"/>
        <v>-198165</v>
      </c>
      <c r="J34" s="75">
        <f t="shared" si="0"/>
        <v>-558121.5</v>
      </c>
      <c r="K34" s="75">
        <f t="shared" si="0"/>
        <v>-2401492.122</v>
      </c>
      <c r="L34" s="75">
        <f t="shared" si="0"/>
        <v>-24832.5</v>
      </c>
      <c r="M34" s="75">
        <f>SUM(M3:M33)</f>
        <v>3871414.1219999995</v>
      </c>
      <c r="N34" s="84">
        <f>D34+E34+F34+G34+H34+I34+J34+K34+L34+M34</f>
        <v>20041.499999999534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E36" sqref="E3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44440</v>
      </c>
      <c r="B3" s="33">
        <v>180874</v>
      </c>
      <c r="C3" s="56">
        <v>142133</v>
      </c>
      <c r="D3" s="33">
        <v>219501</v>
      </c>
      <c r="E3" s="33">
        <v>251513</v>
      </c>
      <c r="F3" s="33">
        <v>66981</v>
      </c>
      <c r="G3" s="33">
        <v>112781</v>
      </c>
      <c r="H3" s="33">
        <v>55314</v>
      </c>
      <c r="I3" s="33">
        <v>65441</v>
      </c>
      <c r="J3" s="33">
        <v>21005</v>
      </c>
      <c r="K3" s="33">
        <v>1024</v>
      </c>
      <c r="L3" s="33">
        <v>17705</v>
      </c>
      <c r="M3" s="33">
        <v>25154</v>
      </c>
      <c r="N3" s="33">
        <v>7590</v>
      </c>
      <c r="O3" s="33">
        <v>1735</v>
      </c>
      <c r="P3" s="33">
        <v>27660</v>
      </c>
      <c r="Q3" s="33">
        <v>913</v>
      </c>
      <c r="R3" s="33">
        <v>6604</v>
      </c>
    </row>
    <row r="4" spans="1:21" x14ac:dyDescent="0.25">
      <c r="A4" s="54">
        <v>44441</v>
      </c>
      <c r="B4" s="56">
        <v>181081</v>
      </c>
      <c r="C4" s="56">
        <v>142227</v>
      </c>
      <c r="D4" s="55">
        <v>219628</v>
      </c>
      <c r="E4" s="55">
        <v>251570</v>
      </c>
      <c r="F4" s="55">
        <v>66982</v>
      </c>
      <c r="G4" s="55">
        <v>112795</v>
      </c>
      <c r="H4" s="33">
        <v>55339</v>
      </c>
      <c r="I4" s="55">
        <v>65477</v>
      </c>
      <c r="J4" s="55">
        <v>21015</v>
      </c>
      <c r="K4" s="55">
        <v>1024</v>
      </c>
      <c r="L4" s="55">
        <v>17713</v>
      </c>
      <c r="M4" s="55">
        <v>25169</v>
      </c>
      <c r="N4" s="55">
        <v>7593</v>
      </c>
      <c r="O4" s="55">
        <v>1737</v>
      </c>
      <c r="P4" s="55">
        <v>27677</v>
      </c>
      <c r="Q4" s="33">
        <v>913</v>
      </c>
      <c r="R4" s="55">
        <v>6608</v>
      </c>
    </row>
    <row r="5" spans="1:21" x14ac:dyDescent="0.25">
      <c r="A5" s="54">
        <v>44442</v>
      </c>
      <c r="B5" s="55">
        <v>181233</v>
      </c>
      <c r="C5" s="33">
        <v>143105</v>
      </c>
      <c r="D5" s="55">
        <v>219729</v>
      </c>
      <c r="E5" s="55">
        <v>251630</v>
      </c>
      <c r="F5" s="55">
        <v>66982</v>
      </c>
      <c r="G5" s="55">
        <v>112809</v>
      </c>
      <c r="H5" s="33">
        <v>55363</v>
      </c>
      <c r="I5" s="55">
        <v>65511</v>
      </c>
      <c r="J5" s="55">
        <v>21025</v>
      </c>
      <c r="K5" s="55">
        <v>1024</v>
      </c>
      <c r="L5" s="55">
        <v>17738</v>
      </c>
      <c r="M5" s="55">
        <v>25196</v>
      </c>
      <c r="N5" s="55">
        <v>7597</v>
      </c>
      <c r="O5" s="55">
        <v>1738</v>
      </c>
      <c r="P5" s="55">
        <v>27693</v>
      </c>
      <c r="Q5" s="33">
        <v>913</v>
      </c>
      <c r="R5" s="55">
        <v>6612</v>
      </c>
    </row>
    <row r="6" spans="1:21" x14ac:dyDescent="0.25">
      <c r="A6" s="54">
        <v>44443</v>
      </c>
      <c r="B6" s="56">
        <v>181348</v>
      </c>
      <c r="C6" s="56">
        <v>143406</v>
      </c>
      <c r="D6" s="55">
        <v>219873</v>
      </c>
      <c r="E6" s="55">
        <v>251697</v>
      </c>
      <c r="F6" s="55">
        <v>66983</v>
      </c>
      <c r="G6" s="55">
        <v>112823</v>
      </c>
      <c r="H6" s="33">
        <v>55389</v>
      </c>
      <c r="I6" s="55">
        <v>65525</v>
      </c>
      <c r="J6" s="55">
        <v>21036</v>
      </c>
      <c r="K6" s="55">
        <v>1024</v>
      </c>
      <c r="L6" s="55">
        <v>17729</v>
      </c>
      <c r="M6" s="55">
        <v>25197</v>
      </c>
      <c r="N6" s="55">
        <v>7602</v>
      </c>
      <c r="O6" s="55">
        <v>1739</v>
      </c>
      <c r="P6" s="55">
        <v>27693</v>
      </c>
      <c r="Q6" s="33">
        <v>913</v>
      </c>
      <c r="R6" s="55">
        <v>6614</v>
      </c>
    </row>
    <row r="7" spans="1:21" x14ac:dyDescent="0.25">
      <c r="A7" s="54">
        <v>44444</v>
      </c>
      <c r="B7" s="56">
        <v>181475</v>
      </c>
      <c r="C7" s="33">
        <v>143528</v>
      </c>
      <c r="D7" s="55">
        <v>220028</v>
      </c>
      <c r="E7" s="55">
        <v>251752</v>
      </c>
      <c r="F7" s="55">
        <v>66984</v>
      </c>
      <c r="G7" s="55">
        <v>112835</v>
      </c>
      <c r="H7" s="33">
        <v>55425</v>
      </c>
      <c r="I7" s="55">
        <v>65555</v>
      </c>
      <c r="J7" s="55">
        <v>21046</v>
      </c>
      <c r="K7" s="55">
        <v>1024</v>
      </c>
      <c r="L7" s="55">
        <v>17736</v>
      </c>
      <c r="M7" s="55">
        <v>25211</v>
      </c>
      <c r="N7" s="55">
        <v>7605</v>
      </c>
      <c r="O7" s="55">
        <v>1740</v>
      </c>
      <c r="P7" s="55">
        <v>27708</v>
      </c>
      <c r="Q7" s="33">
        <v>913</v>
      </c>
      <c r="R7" s="55">
        <v>6618</v>
      </c>
    </row>
    <row r="8" spans="1:21" x14ac:dyDescent="0.25">
      <c r="A8" s="54">
        <v>44445</v>
      </c>
      <c r="B8" s="33">
        <v>181545</v>
      </c>
      <c r="C8" s="56">
        <v>143708</v>
      </c>
      <c r="D8" s="55">
        <v>220114</v>
      </c>
      <c r="E8" s="55">
        <v>251810</v>
      </c>
      <c r="F8" s="55">
        <v>66984</v>
      </c>
      <c r="G8" s="55">
        <v>112848</v>
      </c>
      <c r="H8" s="33">
        <v>55466</v>
      </c>
      <c r="I8" s="55">
        <v>65589</v>
      </c>
      <c r="J8" s="55">
        <v>21057</v>
      </c>
      <c r="K8" s="55">
        <v>1024</v>
      </c>
      <c r="L8" s="55">
        <v>17744</v>
      </c>
      <c r="M8" s="55">
        <v>25224</v>
      </c>
      <c r="N8" s="55">
        <v>7608</v>
      </c>
      <c r="O8" s="55">
        <v>1741</v>
      </c>
      <c r="P8" s="55">
        <v>27722</v>
      </c>
      <c r="Q8" s="33">
        <v>913</v>
      </c>
      <c r="R8" s="55">
        <v>6622</v>
      </c>
    </row>
    <row r="9" spans="1:21" x14ac:dyDescent="0.25">
      <c r="A9" s="54">
        <v>44446</v>
      </c>
      <c r="B9" s="56">
        <v>181663</v>
      </c>
      <c r="C9" s="33">
        <v>143812</v>
      </c>
      <c r="D9" s="55">
        <v>220275</v>
      </c>
      <c r="E9" s="55">
        <v>251866</v>
      </c>
      <c r="F9" s="55">
        <v>66984</v>
      </c>
      <c r="G9" s="55">
        <v>112864</v>
      </c>
      <c r="H9" s="33">
        <v>55472</v>
      </c>
      <c r="I9" s="55">
        <v>65614</v>
      </c>
      <c r="J9" s="55">
        <v>21068</v>
      </c>
      <c r="K9" s="55">
        <v>1024</v>
      </c>
      <c r="L9" s="55">
        <v>17752</v>
      </c>
      <c r="M9" s="55">
        <v>24240</v>
      </c>
      <c r="N9" s="55">
        <v>7611</v>
      </c>
      <c r="O9" s="55">
        <v>1442</v>
      </c>
      <c r="P9" s="55">
        <v>27732</v>
      </c>
      <c r="Q9" s="33">
        <v>938</v>
      </c>
      <c r="R9" s="55">
        <v>6626</v>
      </c>
    </row>
    <row r="10" spans="1:21" x14ac:dyDescent="0.25">
      <c r="A10" s="54">
        <v>44447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44448</v>
      </c>
      <c r="B11" s="56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44449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44450</v>
      </c>
      <c r="B13" s="56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44451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44452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44453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44454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44455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44456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44457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44458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44459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44460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44461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44462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44463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44464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44465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44466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44467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44468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44469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44470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>
        <f>B4-B3</f>
        <v>207</v>
      </c>
      <c r="C37" s="110">
        <f>C4-C3</f>
        <v>94</v>
      </c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5" sqref="C1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31</v>
      </c>
      <c r="B2" s="140" t="s">
        <v>108</v>
      </c>
      <c r="C2" s="140" t="s">
        <v>109</v>
      </c>
      <c r="D2" s="140"/>
      <c r="E2" s="141" t="s">
        <v>97</v>
      </c>
      <c r="F2" s="138"/>
      <c r="G2" s="135" t="s">
        <v>112</v>
      </c>
      <c r="H2" s="138"/>
      <c r="I2" s="135" t="s">
        <v>110</v>
      </c>
      <c r="J2" s="138"/>
      <c r="K2" s="135" t="s">
        <v>111</v>
      </c>
      <c r="L2" s="138"/>
      <c r="M2" s="135" t="s">
        <v>107</v>
      </c>
      <c r="N2" s="138"/>
      <c r="O2" s="135" t="s">
        <v>106</v>
      </c>
      <c r="P2" s="138"/>
      <c r="Q2" s="135" t="s">
        <v>113</v>
      </c>
      <c r="R2" s="138"/>
      <c r="S2" s="135" t="s">
        <v>114</v>
      </c>
      <c r="T2" s="138"/>
      <c r="U2" s="135" t="s">
        <v>115</v>
      </c>
      <c r="V2" s="138"/>
      <c r="W2" s="135" t="s">
        <v>99</v>
      </c>
      <c r="X2" s="136"/>
      <c r="Y2" s="137" t="s">
        <v>52</v>
      </c>
      <c r="Z2" s="137"/>
    </row>
    <row r="3" spans="1:26" ht="30" x14ac:dyDescent="0.35">
      <c r="A3" s="139"/>
      <c r="B3" s="140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44440</v>
      </c>
      <c r="B4" s="65">
        <v>469</v>
      </c>
      <c r="C4" s="66">
        <f>('Water Reading'!B4-'Water Reading'!B3)+('Water Reading'!C4-'Water Reading'!C3)</f>
        <v>301</v>
      </c>
      <c r="D4" s="67">
        <f>C4/B4</f>
        <v>0.64179104477611937</v>
      </c>
      <c r="E4" s="88">
        <f>'Water Reading'!H4-'Water Reading'!H3</f>
        <v>25</v>
      </c>
      <c r="F4" s="89">
        <f>E4/C4</f>
        <v>8.3056478405315617E-2</v>
      </c>
      <c r="G4" s="93">
        <f>('Water Reading'!D4-'Water Reading'!D3)-('Water Reading'!R4-'Water Reading'!R3)-('Water Reading'!Q4-'Water Reading'!Q3)</f>
        <v>123</v>
      </c>
      <c r="H4" s="89">
        <f>G4/C4</f>
        <v>0.40863787375415284</v>
      </c>
      <c r="I4" s="90">
        <f>'Water Reading'!P4-'Water Reading'!P3</f>
        <v>17</v>
      </c>
      <c r="J4" s="68">
        <f>I4/C4</f>
        <v>5.647840531561462E-2</v>
      </c>
      <c r="K4" s="91">
        <f>('Water Reading'!I4-'Water Reading'!I3)-('Water Reading'!P4-'Water Reading'!P3)</f>
        <v>19</v>
      </c>
      <c r="L4" s="68">
        <f>K4/C4</f>
        <v>6.3122923588039864E-2</v>
      </c>
      <c r="M4" s="90">
        <f>'Water Reading'!R4-'Water Reading'!R3</f>
        <v>4</v>
      </c>
      <c r="N4" s="92">
        <f>M4/C4</f>
        <v>1.3289036544850499E-2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3.3222591362126247E-3</v>
      </c>
      <c r="S4" s="90">
        <f>'Water Reading'!E4-'Water Reading'!E3</f>
        <v>57</v>
      </c>
      <c r="T4" s="100">
        <f>S4/C4</f>
        <v>0.18936877076411959</v>
      </c>
      <c r="U4" s="90">
        <f>'Water Reading'!G4-'Water Reading'!G3</f>
        <v>14</v>
      </c>
      <c r="V4" s="100">
        <f>U4/C4</f>
        <v>4.6511627906976744E-2</v>
      </c>
      <c r="W4" s="90">
        <f>'Water Reading'!J4-'Water Reading'!J3</f>
        <v>10</v>
      </c>
      <c r="X4" s="100">
        <f>W4/C4</f>
        <v>3.3222591362126248E-2</v>
      </c>
      <c r="Y4" s="66">
        <f t="shared" ref="Y4:Y34" si="0">E4+I4+K4+M4+O4+G4+Q4+S4+U4+W4</f>
        <v>270</v>
      </c>
      <c r="Z4" s="67">
        <f t="shared" ref="Z4:Z35" si="1">Y4/B4</f>
        <v>0.57569296375266521</v>
      </c>
    </row>
    <row r="5" spans="1:26" x14ac:dyDescent="0.25">
      <c r="A5" s="8">
        <f>'Water Reading'!A4</f>
        <v>44441</v>
      </c>
      <c r="B5" s="65">
        <f>TOTAL!I3</f>
        <v>233</v>
      </c>
      <c r="C5" s="66">
        <v>385</v>
      </c>
      <c r="D5" s="67">
        <f t="shared" ref="D5:D34" si="2">C5/B5</f>
        <v>1.6523605150214593</v>
      </c>
      <c r="E5" s="88">
        <f>'Water Reading'!H5-'Water Reading'!H4</f>
        <v>24</v>
      </c>
      <c r="F5" s="89">
        <f t="shared" ref="F5:F34" si="3">E5/C5</f>
        <v>6.2337662337662338E-2</v>
      </c>
      <c r="G5" s="93">
        <f>('Water Reading'!D5-'Water Reading'!D4)-('Water Reading'!R5-'Water Reading'!R4)-('Water Reading'!Q5-'Water Reading'!Q4)</f>
        <v>97</v>
      </c>
      <c r="H5" s="89">
        <f t="shared" ref="H5:H34" si="4">G5/C5</f>
        <v>0.25194805194805192</v>
      </c>
      <c r="I5" s="90">
        <f>'Water Reading'!P5-'Water Reading'!P4</f>
        <v>16</v>
      </c>
      <c r="J5" s="68">
        <f t="shared" ref="J5:J34" si="5">I5/C5</f>
        <v>4.1558441558441558E-2</v>
      </c>
      <c r="K5" s="91">
        <f>('Water Reading'!I5-'Water Reading'!I4)-('Water Reading'!P5-'Water Reading'!P4)</f>
        <v>18</v>
      </c>
      <c r="L5" s="68">
        <f t="shared" ref="L5:L34" si="6">K5/C5</f>
        <v>4.6753246753246755E-2</v>
      </c>
      <c r="M5" s="90">
        <f>'Water Reading'!R5-'Water Reading'!R4</f>
        <v>4</v>
      </c>
      <c r="N5" s="92">
        <f t="shared" ref="N5:N34" si="7">M5/C5</f>
        <v>1.038961038961039E-2</v>
      </c>
      <c r="O5" s="90">
        <f>'Water Reading'!Q5-'Water Reading'!Q4</f>
        <v>0</v>
      </c>
      <c r="P5" s="99">
        <f t="shared" ref="P5:P34" si="8">O5/C5</f>
        <v>0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60</v>
      </c>
      <c r="T5" s="100">
        <f t="shared" ref="T5:T34" si="10">S5/C5</f>
        <v>0.15584415584415584</v>
      </c>
      <c r="U5" s="90">
        <f>'Water Reading'!G5-'Water Reading'!G4</f>
        <v>14</v>
      </c>
      <c r="V5" s="100">
        <f t="shared" ref="V5:V34" si="11">U5/C5</f>
        <v>3.6363636363636362E-2</v>
      </c>
      <c r="W5" s="90">
        <f>'Water Reading'!J5-'Water Reading'!J4</f>
        <v>10</v>
      </c>
      <c r="X5" s="100">
        <f t="shared" ref="X5:X34" si="12">W5/C5</f>
        <v>2.5974025974025976E-2</v>
      </c>
      <c r="Y5" s="66">
        <f t="shared" si="0"/>
        <v>243</v>
      </c>
      <c r="Z5" s="67">
        <f t="shared" si="1"/>
        <v>1.0429184549356223</v>
      </c>
    </row>
    <row r="6" spans="1:26" x14ac:dyDescent="0.25">
      <c r="A6" s="8">
        <f>'Water Reading'!A5</f>
        <v>44442</v>
      </c>
      <c r="B6" s="65">
        <f>TOTAL!I4</f>
        <v>232</v>
      </c>
      <c r="C6" s="66">
        <f>('Water Reading'!B6-'Water Reading'!B5)+('Water Reading'!C6-'Water Reading'!C5)</f>
        <v>416</v>
      </c>
      <c r="D6" s="67">
        <f t="shared" si="2"/>
        <v>1.7931034482758621</v>
      </c>
      <c r="E6" s="88">
        <f>'Water Reading'!H6-'Water Reading'!H5</f>
        <v>26</v>
      </c>
      <c r="F6" s="89">
        <f t="shared" si="3"/>
        <v>6.25E-2</v>
      </c>
      <c r="G6" s="93">
        <f>('Water Reading'!D6-'Water Reading'!D5)-('Water Reading'!R6-'Water Reading'!R5)-('Water Reading'!Q6-'Water Reading'!Q5)</f>
        <v>142</v>
      </c>
      <c r="H6" s="89">
        <f t="shared" si="4"/>
        <v>0.34134615384615385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14</v>
      </c>
      <c r="L6" s="68">
        <f t="shared" si="6"/>
        <v>3.3653846153846152E-2</v>
      </c>
      <c r="M6" s="90">
        <f>'Water Reading'!R6-'Water Reading'!R5</f>
        <v>2</v>
      </c>
      <c r="N6" s="92">
        <f t="shared" si="7"/>
        <v>4.807692307692308E-3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1</v>
      </c>
      <c r="R6" s="100">
        <f t="shared" si="9"/>
        <v>2.403846153846154E-3</v>
      </c>
      <c r="S6" s="90">
        <f>'Water Reading'!E6-'Water Reading'!E5</f>
        <v>67</v>
      </c>
      <c r="T6" s="100">
        <f t="shared" si="10"/>
        <v>0.16105769230769232</v>
      </c>
      <c r="U6" s="90">
        <f>'Water Reading'!G6-'Water Reading'!G5</f>
        <v>14</v>
      </c>
      <c r="V6" s="100">
        <f t="shared" si="11"/>
        <v>3.3653846153846152E-2</v>
      </c>
      <c r="W6" s="90">
        <f>'Water Reading'!J6-'Water Reading'!J5</f>
        <v>11</v>
      </c>
      <c r="X6" s="100">
        <f t="shared" si="12"/>
        <v>2.6442307692307692E-2</v>
      </c>
      <c r="Y6" s="66">
        <f t="shared" si="0"/>
        <v>277</v>
      </c>
      <c r="Z6" s="67">
        <f t="shared" si="1"/>
        <v>1.1939655172413792</v>
      </c>
    </row>
    <row r="7" spans="1:26" x14ac:dyDescent="0.25">
      <c r="A7" s="8">
        <f>'Water Reading'!A6</f>
        <v>44443</v>
      </c>
      <c r="B7" s="65">
        <f>TOTAL!I5</f>
        <v>229</v>
      </c>
      <c r="C7" s="66">
        <f>('Water Reading'!B7-'Water Reading'!B6)+('Water Reading'!C7-'Water Reading'!C6)</f>
        <v>249</v>
      </c>
      <c r="D7" s="67">
        <f t="shared" si="2"/>
        <v>1.0873362445414847</v>
      </c>
      <c r="E7" s="88">
        <f>'Water Reading'!H7-'Water Reading'!H6</f>
        <v>36</v>
      </c>
      <c r="F7" s="89">
        <f t="shared" si="3"/>
        <v>0.14457831325301204</v>
      </c>
      <c r="G7" s="93">
        <f>('Water Reading'!D7-'Water Reading'!D6)-('Water Reading'!R7-'Water Reading'!R6)-('Water Reading'!Q7-'Water Reading'!Q6)</f>
        <v>151</v>
      </c>
      <c r="H7" s="89">
        <f t="shared" si="4"/>
        <v>0.60642570281124497</v>
      </c>
      <c r="I7" s="90">
        <f>'Water Reading'!P7-'Water Reading'!P6</f>
        <v>15</v>
      </c>
      <c r="J7" s="68">
        <f t="shared" si="5"/>
        <v>6.0240963855421686E-2</v>
      </c>
      <c r="K7" s="91">
        <f>('Water Reading'!I7-'Water Reading'!I6)-('Water Reading'!P7-'Water Reading'!P6)</f>
        <v>15</v>
      </c>
      <c r="L7" s="68">
        <f t="shared" si="6"/>
        <v>6.0240963855421686E-2</v>
      </c>
      <c r="M7" s="90">
        <f>'Water Reading'!R7-'Water Reading'!R6</f>
        <v>4</v>
      </c>
      <c r="N7" s="92">
        <f t="shared" si="7"/>
        <v>1.6064257028112448E-2</v>
      </c>
      <c r="O7" s="90">
        <f>'Water Reading'!Q7-'Water Reading'!Q6</f>
        <v>0</v>
      </c>
      <c r="P7" s="99">
        <f t="shared" si="8"/>
        <v>0</v>
      </c>
      <c r="Q7" s="91">
        <f>'Water Reading'!F7-'Water Reading'!F6</f>
        <v>1</v>
      </c>
      <c r="R7" s="100">
        <f t="shared" si="9"/>
        <v>4.0160642570281121E-3</v>
      </c>
      <c r="S7" s="90">
        <f>'Water Reading'!E7-'Water Reading'!E6</f>
        <v>55</v>
      </c>
      <c r="T7" s="100">
        <f t="shared" si="10"/>
        <v>0.22088353413654618</v>
      </c>
      <c r="U7" s="90">
        <f>'Water Reading'!G7-'Water Reading'!G6</f>
        <v>12</v>
      </c>
      <c r="V7" s="100">
        <f t="shared" si="11"/>
        <v>4.8192771084337352E-2</v>
      </c>
      <c r="W7" s="90">
        <f>'Water Reading'!J7-'Water Reading'!J6</f>
        <v>10</v>
      </c>
      <c r="X7" s="100">
        <f t="shared" si="12"/>
        <v>4.0160642570281124E-2</v>
      </c>
      <c r="Y7" s="66">
        <f t="shared" si="0"/>
        <v>299</v>
      </c>
      <c r="Z7" s="67">
        <f t="shared" si="1"/>
        <v>1.3056768558951966</v>
      </c>
    </row>
    <row r="8" spans="1:26" x14ac:dyDescent="0.25">
      <c r="A8" s="8">
        <f>'Water Reading'!A7</f>
        <v>44444</v>
      </c>
      <c r="B8" s="65">
        <f>TOTAL!I6</f>
        <v>243</v>
      </c>
      <c r="C8" s="66">
        <f>('Water Reading'!B8-'Water Reading'!B7)+('Water Reading'!C8-'Water Reading'!C7)</f>
        <v>250</v>
      </c>
      <c r="D8" s="67">
        <f t="shared" si="2"/>
        <v>1.0288065843621399</v>
      </c>
      <c r="E8" s="88">
        <f>'Water Reading'!H8-'Water Reading'!H7</f>
        <v>41</v>
      </c>
      <c r="F8" s="89">
        <f t="shared" si="3"/>
        <v>0.16400000000000001</v>
      </c>
      <c r="G8" s="93">
        <f>('Water Reading'!D8-'Water Reading'!D7)-('Water Reading'!R8-'Water Reading'!R7)-('Water Reading'!Q8-'Water Reading'!Q7)</f>
        <v>82</v>
      </c>
      <c r="H8" s="89">
        <f t="shared" si="4"/>
        <v>0.32800000000000001</v>
      </c>
      <c r="I8" s="90">
        <f>'Water Reading'!P8-'Water Reading'!P7</f>
        <v>14</v>
      </c>
      <c r="J8" s="68">
        <f t="shared" si="5"/>
        <v>5.6000000000000001E-2</v>
      </c>
      <c r="K8" s="91">
        <f>('Water Reading'!I8-'Water Reading'!I7)-('Water Reading'!P8-'Water Reading'!P7)</f>
        <v>20</v>
      </c>
      <c r="L8" s="68">
        <f t="shared" si="6"/>
        <v>0.08</v>
      </c>
      <c r="M8" s="90">
        <f>'Water Reading'!R8-'Water Reading'!R7</f>
        <v>4</v>
      </c>
      <c r="N8" s="92">
        <f t="shared" si="7"/>
        <v>1.6E-2</v>
      </c>
      <c r="O8" s="90">
        <f>'Water Reading'!Q8-'Water Reading'!Q7</f>
        <v>0</v>
      </c>
      <c r="P8" s="99">
        <f t="shared" si="8"/>
        <v>0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58</v>
      </c>
      <c r="T8" s="100">
        <f t="shared" si="10"/>
        <v>0.23200000000000001</v>
      </c>
      <c r="U8" s="90">
        <f>'Water Reading'!G8-'Water Reading'!G7</f>
        <v>13</v>
      </c>
      <c r="V8" s="100">
        <f t="shared" si="11"/>
        <v>5.1999999999999998E-2</v>
      </c>
      <c r="W8" s="90">
        <f>'Water Reading'!J8-'Water Reading'!J7</f>
        <v>11</v>
      </c>
      <c r="X8" s="100">
        <f t="shared" si="12"/>
        <v>4.3999999999999997E-2</v>
      </c>
      <c r="Y8" s="66">
        <f t="shared" si="0"/>
        <v>243</v>
      </c>
      <c r="Z8" s="67">
        <f t="shared" si="1"/>
        <v>1</v>
      </c>
    </row>
    <row r="9" spans="1:26" x14ac:dyDescent="0.25">
      <c r="A9" s="8">
        <f>'Water Reading'!A8</f>
        <v>44445</v>
      </c>
      <c r="B9" s="65">
        <f>TOTAL!I7</f>
        <v>244</v>
      </c>
      <c r="C9" s="66">
        <f>('Water Reading'!B9-'Water Reading'!B8)+('Water Reading'!C9-'Water Reading'!C8)</f>
        <v>222</v>
      </c>
      <c r="D9" s="67">
        <f t="shared" si="2"/>
        <v>0.9098360655737705</v>
      </c>
      <c r="E9" s="88">
        <f>'Water Reading'!H9-'Water Reading'!H8</f>
        <v>6</v>
      </c>
      <c r="F9" s="89">
        <f t="shared" si="3"/>
        <v>2.7027027027027029E-2</v>
      </c>
      <c r="G9" s="93">
        <f>('Water Reading'!D9-'Water Reading'!D8)-('Water Reading'!R9-'Water Reading'!R8)-('Water Reading'!Q9-'Water Reading'!Q8)</f>
        <v>132</v>
      </c>
      <c r="H9" s="89">
        <f t="shared" si="4"/>
        <v>0.59459459459459463</v>
      </c>
      <c r="I9" s="90">
        <f>'Water Reading'!P9-'Water Reading'!P8</f>
        <v>10</v>
      </c>
      <c r="J9" s="68">
        <f t="shared" si="5"/>
        <v>4.5045045045045043E-2</v>
      </c>
      <c r="K9" s="91">
        <f>('Water Reading'!I9-'Water Reading'!I8)-('Water Reading'!P9-'Water Reading'!P8)</f>
        <v>15</v>
      </c>
      <c r="L9" s="68">
        <f t="shared" si="6"/>
        <v>6.7567567567567571E-2</v>
      </c>
      <c r="M9" s="90">
        <f>'Water Reading'!R9-'Water Reading'!R8</f>
        <v>4</v>
      </c>
      <c r="N9" s="92">
        <f t="shared" si="7"/>
        <v>1.8018018018018018E-2</v>
      </c>
      <c r="O9" s="90">
        <f>'Water Reading'!Q9-'Water Reading'!Q8</f>
        <v>25</v>
      </c>
      <c r="P9" s="99">
        <f t="shared" si="8"/>
        <v>0.11261261261261261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56</v>
      </c>
      <c r="T9" s="100">
        <f t="shared" si="10"/>
        <v>0.25225225225225223</v>
      </c>
      <c r="U9" s="90">
        <f>'Water Reading'!G9-'Water Reading'!G8</f>
        <v>16</v>
      </c>
      <c r="V9" s="100">
        <f t="shared" si="11"/>
        <v>7.2072072072072071E-2</v>
      </c>
      <c r="W9" s="90">
        <f>'Water Reading'!J9-'Water Reading'!J8</f>
        <v>11</v>
      </c>
      <c r="X9" s="100">
        <f t="shared" si="12"/>
        <v>4.954954954954955E-2</v>
      </c>
      <c r="Y9" s="66">
        <f t="shared" si="0"/>
        <v>275</v>
      </c>
      <c r="Z9" s="67">
        <f t="shared" si="1"/>
        <v>1.1270491803278688</v>
      </c>
    </row>
    <row r="10" spans="1:26" x14ac:dyDescent="0.25">
      <c r="A10" s="8">
        <f>'Water Reading'!A9</f>
        <v>44446</v>
      </c>
      <c r="B10" s="65">
        <f>TOTAL!I8</f>
        <v>0</v>
      </c>
      <c r="C10" s="66">
        <f>('Water Reading'!B10-'Water Reading'!B9)+('Water Reading'!C10-'Water Reading'!C9)</f>
        <v>-325475</v>
      </c>
      <c r="D10" s="67" t="e">
        <f t="shared" si="2"/>
        <v>#DIV/0!</v>
      </c>
      <c r="E10" s="88">
        <f>'Water Reading'!H10-'Water Reading'!H9</f>
        <v>-55472</v>
      </c>
      <c r="F10" s="89">
        <f t="shared" si="3"/>
        <v>0.17043398110453953</v>
      </c>
      <c r="G10" s="93">
        <f>('Water Reading'!D10-'Water Reading'!D9)-('Water Reading'!R10-'Water Reading'!R9)-('Water Reading'!Q10-'Water Reading'!Q9)</f>
        <v>-212711</v>
      </c>
      <c r="H10" s="89">
        <f t="shared" si="4"/>
        <v>0.65354021046163302</v>
      </c>
      <c r="I10" s="90">
        <f>'Water Reading'!P10-'Water Reading'!P9</f>
        <v>-27732</v>
      </c>
      <c r="J10" s="68">
        <f t="shared" si="5"/>
        <v>8.5204700821875715E-2</v>
      </c>
      <c r="K10" s="91">
        <f>('Water Reading'!I10-'Water Reading'!I9)-('Water Reading'!P10-'Water Reading'!P9)</f>
        <v>-37882</v>
      </c>
      <c r="L10" s="68">
        <f t="shared" si="6"/>
        <v>0.1163898916967509</v>
      </c>
      <c r="M10" s="90">
        <f>'Water Reading'!R10-'Water Reading'!R9</f>
        <v>-6626</v>
      </c>
      <c r="N10" s="92">
        <f t="shared" si="7"/>
        <v>2.0357938397726399E-2</v>
      </c>
      <c r="O10" s="90">
        <f>'Water Reading'!Q10-'Water Reading'!Q9</f>
        <v>-938</v>
      </c>
      <c r="P10" s="99">
        <f t="shared" si="8"/>
        <v>2.8819417774022583E-3</v>
      </c>
      <c r="Q10" s="91">
        <f>'Water Reading'!F10-'Water Reading'!F9</f>
        <v>-66984</v>
      </c>
      <c r="R10" s="100">
        <f t="shared" si="9"/>
        <v>0.20580382517858514</v>
      </c>
      <c r="S10" s="90">
        <f>'Water Reading'!E10-'Water Reading'!E9</f>
        <v>-251866</v>
      </c>
      <c r="T10" s="100">
        <f t="shared" si="10"/>
        <v>0.77384130885628699</v>
      </c>
      <c r="U10" s="90">
        <f>'Water Reading'!G10-'Water Reading'!G9</f>
        <v>-112864</v>
      </c>
      <c r="V10" s="100">
        <f t="shared" si="11"/>
        <v>0.34676703279821797</v>
      </c>
      <c r="W10" s="90">
        <f>'Water Reading'!J10-'Water Reading'!J9</f>
        <v>-21068</v>
      </c>
      <c r="X10" s="100">
        <f t="shared" si="12"/>
        <v>6.4730009985405942E-2</v>
      </c>
      <c r="Y10" s="66">
        <f t="shared" si="0"/>
        <v>-794143</v>
      </c>
      <c r="Z10" s="67" t="e">
        <f t="shared" si="1"/>
        <v>#DIV/0!</v>
      </c>
    </row>
    <row r="11" spans="1:26" x14ac:dyDescent="0.25">
      <c r="A11" s="8">
        <f>'Water Reading'!A10</f>
        <v>44447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44448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44449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44450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44451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44452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44453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44454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44455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44456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44457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44458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44459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44460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44461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44462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44463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44464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44465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44466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44467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44468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44469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44470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1650</v>
      </c>
      <c r="C35" s="75">
        <f>SUM(C4:C34)</f>
        <v>-323652</v>
      </c>
      <c r="D35" s="96">
        <f>C35/B35</f>
        <v>-196.15272727272728</v>
      </c>
      <c r="E35" s="7">
        <f>SUM(E4:E34)</f>
        <v>-55314</v>
      </c>
      <c r="F35" s="95">
        <f>E35/C35</f>
        <v>0.17090578769789774</v>
      </c>
      <c r="G35" s="75">
        <f>SUM(G4:G34)</f>
        <v>-211984</v>
      </c>
      <c r="H35" s="95">
        <f>G35/C35</f>
        <v>0.65497509670881071</v>
      </c>
      <c r="I35" s="7">
        <f>SUM(I4:I34)</f>
        <v>-27660</v>
      </c>
      <c r="J35" s="95">
        <f>I35/C35</f>
        <v>8.5462163064031732E-2</v>
      </c>
      <c r="K35" s="7">
        <f>SUM(K4:K34)</f>
        <v>-37781</v>
      </c>
      <c r="L35" s="95">
        <f>K35/C35</f>
        <v>0.1167334050152633</v>
      </c>
      <c r="M35" s="7">
        <f>SUM(M4:M34)</f>
        <v>-6604</v>
      </c>
      <c r="N35" s="95">
        <f>M35/C35</f>
        <v>2.0404632135750743E-2</v>
      </c>
      <c r="O35" s="7">
        <f>SUM(O4:O34)</f>
        <v>-913</v>
      </c>
      <c r="P35" s="95">
        <f>O35/C35</f>
        <v>2.8209311235524574E-3</v>
      </c>
      <c r="Q35" s="7">
        <f>SUM(Q4:Q34)</f>
        <v>-66981</v>
      </c>
      <c r="R35" s="95">
        <f>Q35/C35</f>
        <v>0.20695376515516667</v>
      </c>
      <c r="S35" s="75">
        <f>SUM(S4:S34)</f>
        <v>-251513</v>
      </c>
      <c r="T35" s="95">
        <f>S35/C35</f>
        <v>0.77710936437902434</v>
      </c>
      <c r="U35" s="7">
        <f>SUM(U4:U34)</f>
        <v>-112781</v>
      </c>
      <c r="V35" s="95">
        <f>U35/C35</f>
        <v>0.34846378208693291</v>
      </c>
      <c r="W35" s="7">
        <f>SUM(W4:W34)</f>
        <v>-21005</v>
      </c>
      <c r="X35" s="95">
        <f>W35/C35</f>
        <v>6.4899954271872257E-2</v>
      </c>
      <c r="Y35" s="75">
        <f>SUM(Y4:Y34)</f>
        <v>-792536</v>
      </c>
      <c r="Z35" s="95">
        <f t="shared" si="1"/>
        <v>-480.32484848484847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2021-09-09T06:15:19Z</dcterms:modified>
  <cp:category/>
  <cp:contentStatus/>
</cp:coreProperties>
</file>