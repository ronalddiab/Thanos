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Y27" i="7"/>
  <c r="M22" i="9"/>
  <c r="Z27" i="7"/>
  <c r="AO27" i="7" s="1"/>
  <c r="AA27" i="7"/>
  <c r="O22" i="9" s="1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H32" i="7"/>
  <c r="AC22" i="7"/>
  <c r="Q17" i="9"/>
  <c r="AC23" i="7"/>
  <c r="Q18" i="9" s="1"/>
  <c r="X22" i="7"/>
  <c r="L17" i="9"/>
  <c r="AK20" i="7"/>
  <c r="AH22" i="7"/>
  <c r="P27" i="9"/>
  <c r="AI25" i="7"/>
  <c r="R28" i="9"/>
  <c r="G28" i="5"/>
  <c r="F20" i="9"/>
  <c r="N23" i="9"/>
  <c r="N28" i="9"/>
  <c r="AO36" i="7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AG31" i="7"/>
  <c r="K29" i="9"/>
  <c r="J29" i="9"/>
  <c r="Q30" i="9"/>
  <c r="O6" i="9"/>
  <c r="AP20" i="7"/>
  <c r="AW25" i="7"/>
  <c r="J24" i="9"/>
  <c r="H29" i="9"/>
  <c r="AJ35" i="7"/>
  <c r="AO31" i="7"/>
  <c r="AH21" i="7"/>
  <c r="AO11" i="7"/>
  <c r="AL10" i="7"/>
  <c r="H26" i="9"/>
  <c r="AI31" i="7"/>
  <c r="N19" i="9"/>
  <c r="AO24" i="7"/>
  <c r="AL21" i="7"/>
  <c r="M23" i="9"/>
  <c r="AQ24" i="7"/>
  <c r="R19" i="9"/>
  <c r="G19" i="5" s="1"/>
  <c r="K26" i="9"/>
  <c r="AL31" i="7"/>
  <c r="AJ30" i="7"/>
  <c r="I15" i="9"/>
  <c r="K7" i="9"/>
  <c r="AN27" i="7"/>
  <c r="AM7" i="7"/>
  <c r="R27" i="9"/>
  <c r="G27" i="5"/>
  <c r="R22" i="9"/>
  <c r="G22" i="5" s="1"/>
  <c r="R29" i="9"/>
  <c r="G29" i="5"/>
  <c r="N25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K20" i="9"/>
  <c r="K11" i="9"/>
  <c r="AL16" i="7"/>
  <c r="AP13" i="7"/>
  <c r="H23" i="9"/>
  <c r="AI28" i="7"/>
  <c r="AH30" i="7"/>
  <c r="AN30" i="7"/>
  <c r="M25" i="9"/>
  <c r="H21" i="9"/>
  <c r="AP36" i="7"/>
  <c r="AH15" i="7"/>
  <c r="AN11" i="7"/>
  <c r="L28" i="9"/>
  <c r="AP35" i="7"/>
  <c r="AG34" i="7"/>
  <c r="AS34" i="7" s="1"/>
  <c r="L22" i="9"/>
  <c r="AM27" i="7"/>
  <c r="AJ27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Q23" i="9"/>
  <c r="AM28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N34" i="7"/>
  <c r="K25" i="9"/>
  <c r="AG10" i="7"/>
  <c r="I23" i="9"/>
  <c r="G5" i="9"/>
  <c r="P22" i="9"/>
  <c r="AQ28" i="7"/>
  <c r="P23" i="9"/>
  <c r="AD34" i="7"/>
  <c r="AI35" i="7"/>
  <c r="AF34" i="7"/>
  <c r="AD32" i="7"/>
  <c r="AM31" i="7"/>
  <c r="AN8" i="7"/>
  <c r="L24" i="9"/>
  <c r="E24" i="5"/>
  <c r="P25" i="9"/>
  <c r="H27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N22" i="9" l="1"/>
  <c r="AL27" i="7"/>
  <c r="AJ26" i="7"/>
  <c r="H22" i="9"/>
  <c r="G22" i="9"/>
  <c r="E22" i="5" s="1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H10" i="9"/>
  <c r="AI15" i="7"/>
  <c r="H31" i="9"/>
  <c r="AI36" i="7"/>
  <c r="AS36" i="7" s="1"/>
  <c r="U38" i="7"/>
  <c r="AA38" i="7"/>
  <c r="Y38" i="7"/>
  <c r="AD23" i="7"/>
  <c r="AD36" i="7"/>
  <c r="AP26" i="7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E21" i="5" l="1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<sst xmlns="http://schemas.openxmlformats.org/spreadsheetml/2006/main" count="127" uniqueCount="49">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</sst>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U19" sqref="U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2"/>
        <v>0</v>
      </c>
      <c r="R27" s="37" t="str">
        <f t="shared" si="32"/>
        <v>0</v>
      </c>
      <c r="S27" s="37" t="str">
        <f t="shared" si="32"/>
        <v>0</v>
      </c>
      <c r="T27" s="37" t="str">
        <f t="shared" si="32"/>
        <v>0</v>
      </c>
      <c r="U27" s="37" t="str">
        <f t="shared" si="32"/>
        <v>0</v>
      </c>
      <c r="V27" s="37" t="str">
        <f t="shared" si="32"/>
        <v>0</v>
      </c>
      <c r="W27" s="37" t="str">
        <f t="shared" si="32"/>
        <v>0</v>
      </c>
      <c r="X27" s="37" t="str">
        <f t="shared" si="32"/>
        <v>0</v>
      </c>
      <c r="Y27" s="37" t="str">
        <f t="shared" si="32"/>
        <v>0</v>
      </c>
      <c r="Z27" s="37" t="str">
        <f t="shared" si="32"/>
        <v>0</v>
      </c>
      <c r="AA27" s="37" t="str">
        <f t="shared" si="32"/>
        <v>0</v>
      </c>
      <c r="AB27" s="37" t="str">
        <f t="shared" si="32"/>
        <v>0</v>
      </c>
      <c r="AC27" s="37" t="str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214850</v>
      </c>
      <c r="R38" s="30">
        <f t="shared" si="35"/>
        <v>298900</v>
      </c>
      <c r="S38" s="30">
        <f t="shared" si="35"/>
        <v>21330</v>
      </c>
      <c r="T38" s="30">
        <f t="shared" si="35"/>
        <v>83200</v>
      </c>
      <c r="U38" s="30">
        <f t="shared" si="35"/>
        <v>105210</v>
      </c>
      <c r="V38" s="30">
        <f t="shared" si="35"/>
        <v>86460</v>
      </c>
      <c r="W38" s="30">
        <f t="shared" si="35"/>
        <v>69020</v>
      </c>
      <c r="X38" s="30">
        <f t="shared" si="35"/>
        <v>99430</v>
      </c>
      <c r="Y38" s="30">
        <f t="shared" si="35"/>
        <v>124290</v>
      </c>
      <c r="Z38" s="30">
        <f t="shared" si="35"/>
        <v>58070</v>
      </c>
      <c r="AA38" s="30">
        <f t="shared" si="35"/>
        <v>67910</v>
      </c>
      <c r="AB38" s="30">
        <f t="shared" si="35"/>
        <v>149890</v>
      </c>
      <c r="AC38" s="30">
        <f t="shared" si="35"/>
        <v>245440</v>
      </c>
      <c r="AD38" s="35">
        <f t="shared" si="35"/>
        <v>1624000</v>
      </c>
      <c r="AF38" s="35">
        <f t="shared" ref="AF38:AS38" si="36">SUM(AF7:AF34)</f>
        <v>1074.2499999999998</v>
      </c>
      <c r="AG38" s="35">
        <f t="shared" si="36"/>
        <v>1494.5</v>
      </c>
      <c r="AH38" s="35">
        <f t="shared" si="36"/>
        <v>106.64999999999999</v>
      </c>
      <c r="AI38" s="35">
        <f t="shared" si="36"/>
        <v>416</v>
      </c>
      <c r="AJ38" s="35">
        <f t="shared" si="36"/>
        <v>526.05000000000007</v>
      </c>
      <c r="AK38" s="35">
        <f t="shared" si="36"/>
        <v>432.3</v>
      </c>
      <c r="AL38" s="35">
        <f t="shared" si="36"/>
        <v>345.10000000000008</v>
      </c>
      <c r="AM38" s="35">
        <f t="shared" si="36"/>
        <v>497.14999999999992</v>
      </c>
      <c r="AN38" s="35">
        <f t="shared" si="36"/>
        <v>621.44999999999993</v>
      </c>
      <c r="AO38" s="35">
        <f t="shared" si="36"/>
        <v>290.35000000000002</v>
      </c>
      <c r="AP38" s="35">
        <f t="shared" si="36"/>
        <v>339.55</v>
      </c>
      <c r="AQ38" s="35">
        <f t="shared" si="36"/>
        <v>749.44999999999982</v>
      </c>
      <c r="AR38" s="35">
        <f t="shared" si="36"/>
        <v>1227.2</v>
      </c>
      <c r="AS38" s="35">
        <f t="shared" si="36"/>
        <v>8119.9999999999991</v>
      </c>
      <c r="AU38" s="48"/>
      <c r="AV38" s="35">
        <f>SUM(AV7:AV34)</f>
        <v>50212</v>
      </c>
      <c r="AW38" s="35">
        <f>SUM(AW7:AW34)</f>
        <v>89.492000000000004</v>
      </c>
    </row>
    <row r="39" spans="1:49" x14ac:dyDescent="0.25">
      <c r="D39">
        <v>5.0000000000000001E-3</v>
      </c>
      <c r="AV39" s="36">
        <f>AV38*0.00378541*1000</f>
        <v>190073.00691999999</v>
      </c>
    </row>
    <row r="40" spans="1:49" x14ac:dyDescent="0.25">
      <c r="D40">
        <v>2E-3</v>
      </c>
      <c r="AV40">
        <f>AV39/31</f>
        <v>6131.3873199999998</v>
      </c>
    </row>
    <row r="41" spans="1:49" x14ac:dyDescent="0.25">
      <c r="AV41">
        <f>AV38*0.00378541</f>
        <v>190.07300691999998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2019-10-21T12:56:33Z</dcterms:modified>
</cp:coreProperties>
</file>