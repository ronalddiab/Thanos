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<sst xmlns="http://schemas.openxmlformats.org/spreadsheetml/2006/main" count="128" uniqueCount="49">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</sst>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E32" sqref="E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28830</v>
      </c>
      <c r="F2" s="11">
        <v>5.0000000000000001E-3</v>
      </c>
      <c r="G2" s="12">
        <f>Submetering!R2</f>
        <v>339.55127699999997</v>
      </c>
      <c r="H2" s="11">
        <v>0.52800000000000002</v>
      </c>
      <c r="I2" s="12">
        <f>Hotel!B7</f>
        <v>9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27010</v>
      </c>
      <c r="F3" s="11">
        <v>5.0000000000000001E-3</v>
      </c>
      <c r="G3" s="12">
        <f>Submetering!R3</f>
        <v>366.04914699999995</v>
      </c>
      <c r="H3" s="11">
        <v>0.52800000000000002</v>
      </c>
      <c r="I3" s="12">
        <f>Hotel!B8</f>
        <v>10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26770</v>
      </c>
      <c r="F4" s="11">
        <v>5.0000000000000001E-3</v>
      </c>
      <c r="G4" s="12">
        <f>Submetering!R4</f>
        <v>366.80622899999997</v>
      </c>
      <c r="H4" s="11">
        <v>0.52800000000000002</v>
      </c>
      <c r="I4" s="12">
        <f>Hotel!B9</f>
        <v>7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5</v>
      </c>
      <c r="D2" s="2">
        <v>2020</v>
      </c>
      <c r="E2" s="4">
        <f>Hotel!Q7</f>
        <v>590</v>
      </c>
      <c r="F2" s="4">
        <f>Hotel!R7</f>
        <v>1960</v>
      </c>
      <c r="G2" s="4">
        <f>Hotel!S7</f>
        <v>3090</v>
      </c>
      <c r="H2" s="4">
        <f>Hotel!T7</f>
        <v>1440</v>
      </c>
      <c r="I2" s="4">
        <f>Hotel!U7</f>
        <v>3120</v>
      </c>
      <c r="J2" s="4">
        <f>Hotel!V7</f>
        <v>2300</v>
      </c>
      <c r="K2" s="4">
        <f>Hotel!W7</f>
        <v>2190</v>
      </c>
      <c r="L2" s="4">
        <f>Hotel!X7</f>
        <v>1420</v>
      </c>
      <c r="M2" s="4">
        <f>Hotel!Y7</f>
        <v>2040</v>
      </c>
      <c r="N2" s="4">
        <f>Hotel!Z7</f>
        <v>2410</v>
      </c>
      <c r="O2" s="4">
        <f>Hotel!AA7</f>
        <v>1490</v>
      </c>
      <c r="P2" s="4">
        <f>Hotel!AB7</f>
        <v>3900</v>
      </c>
      <c r="Q2" s="4">
        <f>Hotel!AC7</f>
        <v>2880</v>
      </c>
      <c r="R2" s="4">
        <f>Hotel!AV7*0.00378541*100</f>
        <v>339.55127699999997</v>
      </c>
      <c r="S2" s="4">
        <f>Hotel!B7</f>
        <v>9</v>
      </c>
    </row>
    <row r="3" spans="1:19" x14ac:dyDescent="0.25">
      <c r="A3" s="21" t="s">
        <v>31</v>
      </c>
      <c r="B3" s="2">
        <f>B2+1</f>
        <v>2</v>
      </c>
      <c r="C3" s="10">
        <v>5</v>
      </c>
      <c r="D3" s="2">
        <v>2020</v>
      </c>
      <c r="E3" s="4">
        <f>Hotel!Q8</f>
        <v>570</v>
      </c>
      <c r="F3" s="4">
        <f>Hotel!R8</f>
        <v>1880</v>
      </c>
      <c r="G3" s="4">
        <f>Hotel!S8</f>
        <v>2950</v>
      </c>
      <c r="H3" s="4">
        <f>Hotel!T8</f>
        <v>1380</v>
      </c>
      <c r="I3" s="4">
        <f>Hotel!U8</f>
        <v>3050</v>
      </c>
      <c r="J3" s="4">
        <f>Hotel!V8</f>
        <v>2340</v>
      </c>
      <c r="K3" s="4">
        <f>Hotel!W8</f>
        <v>2040</v>
      </c>
      <c r="L3" s="4">
        <f>Hotel!X8</f>
        <v>1190</v>
      </c>
      <c r="M3" s="4">
        <f>Hotel!Y8</f>
        <v>1940</v>
      </c>
      <c r="N3" s="4">
        <f>Hotel!Z8</f>
        <v>2350</v>
      </c>
      <c r="O3" s="4">
        <f>Hotel!AA8</f>
        <v>1460</v>
      </c>
      <c r="P3" s="4">
        <f>Hotel!AB8</f>
        <v>3180</v>
      </c>
      <c r="Q3" s="4">
        <f>Hotel!AC8</f>
        <v>2680</v>
      </c>
      <c r="R3" s="4">
        <f>Hotel!AV8*0.00378541*100</f>
        <v>366.04914699999995</v>
      </c>
      <c r="S3" s="4">
        <f>Hotel!B8</f>
        <v>10</v>
      </c>
    </row>
    <row r="4" spans="1:19" x14ac:dyDescent="0.25">
      <c r="A4" s="21" t="s">
        <v>31</v>
      </c>
      <c r="B4" s="2">
        <f t="shared" ref="B4:B29" si="0">B3+1</f>
        <v>3</v>
      </c>
      <c r="C4" s="10">
        <v>5</v>
      </c>
      <c r="D4" s="2">
        <v>2020</v>
      </c>
      <c r="E4" s="4">
        <f>Hotel!Q9</f>
        <v>560</v>
      </c>
      <c r="F4" s="4">
        <f>Hotel!R9</f>
        <v>1880</v>
      </c>
      <c r="G4" s="4">
        <f>Hotel!S9</f>
        <v>2890</v>
      </c>
      <c r="H4" s="4">
        <f>Hotel!T9</f>
        <v>1370</v>
      </c>
      <c r="I4" s="4">
        <f>Hotel!U9</f>
        <v>3020</v>
      </c>
      <c r="J4" s="4">
        <f>Hotel!V9</f>
        <v>2030</v>
      </c>
      <c r="K4" s="4">
        <f>Hotel!W9</f>
        <v>2080</v>
      </c>
      <c r="L4" s="4">
        <f>Hotel!X9</f>
        <v>1100</v>
      </c>
      <c r="M4" s="4">
        <f>Hotel!Y9</f>
        <v>1950</v>
      </c>
      <c r="N4" s="4">
        <f>Hotel!Z9</f>
        <v>2310</v>
      </c>
      <c r="O4" s="4">
        <f>Hotel!AA9</f>
        <v>1470</v>
      </c>
      <c r="P4" s="4">
        <f>Hotel!AB9</f>
        <v>3460</v>
      </c>
      <c r="Q4" s="4">
        <f>Hotel!AC9</f>
        <v>2650</v>
      </c>
      <c r="R4" s="4">
        <f>Hotel!AV9*0.00378541*100</f>
        <v>366.80622899999997</v>
      </c>
      <c r="S4" s="4">
        <f>Hotel!B9</f>
        <v>7</v>
      </c>
    </row>
    <row r="5" spans="1:19" x14ac:dyDescent="0.25">
      <c r="A5" s="21" t="s">
        <v>31</v>
      </c>
      <c r="B5" s="2">
        <f t="shared" si="0"/>
        <v>4</v>
      </c>
      <c r="C5" s="10">
        <v>5</v>
      </c>
      <c r="D5" s="2">
        <v>2020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5</v>
      </c>
      <c r="D6" s="2">
        <v>2020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5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5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5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5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5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5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5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5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5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5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5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5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5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5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5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5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5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5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5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5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5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5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5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5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5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5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W20" sqref="AW2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43951</v>
      </c>
      <c r="B2" s="40">
        <v>19</v>
      </c>
      <c r="C2" s="24">
        <v>6004670</v>
      </c>
      <c r="D2" s="24">
        <v>13013880</v>
      </c>
      <c r="E2" s="24">
        <v>1668350</v>
      </c>
      <c r="F2" s="24">
        <v>2817830</v>
      </c>
      <c r="G2" s="24">
        <v>8718530</v>
      </c>
      <c r="H2" s="24">
        <v>4336080</v>
      </c>
      <c r="I2" s="24">
        <v>4162230</v>
      </c>
      <c r="J2" s="53">
        <v>4738070</v>
      </c>
      <c r="K2" s="24">
        <v>7469390</v>
      </c>
      <c r="L2" s="24">
        <v>2822710</v>
      </c>
      <c r="M2" s="24">
        <v>6751070</v>
      </c>
      <c r="N2" s="24">
        <v>9551840</v>
      </c>
      <c r="O2" s="24">
        <v>13018870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905510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905510</v>
      </c>
    </row>
    <row r="7" spans="1:49" x14ac:dyDescent="0.25">
      <c r="A7" s="23">
        <v>43952</v>
      </c>
      <c r="B7" s="40">
        <v>9</v>
      </c>
      <c r="C7" s="24">
        <v>6005260</v>
      </c>
      <c r="D7" s="24">
        <v>13015840</v>
      </c>
      <c r="E7" s="24">
        <v>1671440</v>
      </c>
      <c r="F7" s="24">
        <v>2819270</v>
      </c>
      <c r="G7" s="24">
        <v>8721650</v>
      </c>
      <c r="H7" s="24">
        <v>4338380</v>
      </c>
      <c r="I7" s="24">
        <v>4164420</v>
      </c>
      <c r="J7" s="24">
        <v>4739490</v>
      </c>
      <c r="K7" s="24">
        <v>7471430</v>
      </c>
      <c r="L7" s="24">
        <v>2825120</v>
      </c>
      <c r="M7" s="24">
        <v>6752560</v>
      </c>
      <c r="N7" s="24">
        <v>9555740</v>
      </c>
      <c r="O7" s="24">
        <v>13021750</v>
      </c>
      <c r="Q7" s="37">
        <f>IF((C7-C2&lt;0), "0",C7-C2)</f>
        <v>590</v>
      </c>
      <c r="R7" s="37">
        <f t="shared" ref="R7:AC7" si="0">IF((D7-D2&lt;0), "0",D7-D2)</f>
        <v>1960</v>
      </c>
      <c r="S7" s="37">
        <f>IF((E7-E2&lt;0), "0",E7-E2)</f>
        <v>3090</v>
      </c>
      <c r="T7" s="37">
        <f t="shared" si="0"/>
        <v>1440</v>
      </c>
      <c r="U7" s="37">
        <f t="shared" si="0"/>
        <v>3120</v>
      </c>
      <c r="V7" s="37">
        <f t="shared" si="0"/>
        <v>2300</v>
      </c>
      <c r="W7" s="37">
        <f t="shared" si="0"/>
        <v>2190</v>
      </c>
      <c r="X7" s="37">
        <f t="shared" si="0"/>
        <v>1420</v>
      </c>
      <c r="Y7" s="37">
        <f t="shared" si="0"/>
        <v>2040</v>
      </c>
      <c r="Z7" s="37">
        <f t="shared" si="0"/>
        <v>2410</v>
      </c>
      <c r="AA7" s="37">
        <f t="shared" si="0"/>
        <v>1490</v>
      </c>
      <c r="AB7" s="37">
        <f t="shared" si="0"/>
        <v>3900</v>
      </c>
      <c r="AC7" s="37">
        <f t="shared" si="0"/>
        <v>2880</v>
      </c>
      <c r="AD7" s="34">
        <f>SUM(Q7:AC7)</f>
        <v>28830</v>
      </c>
      <c r="AF7" s="20">
        <f t="shared" ref="AF7:AF36" si="1">Q7*$D$39</f>
        <v>2.95</v>
      </c>
      <c r="AG7" s="20">
        <f t="shared" ref="AG7:AG36" si="2">R7*$D$39</f>
        <v>9.8000000000000007</v>
      </c>
      <c r="AH7" s="20">
        <f t="shared" ref="AH7:AH36" si="3">S7*$D$39</f>
        <v>15.450000000000001</v>
      </c>
      <c r="AI7" s="20">
        <f t="shared" ref="AI7:AI36" si="4">T7*$D$39</f>
        <v>7.2</v>
      </c>
      <c r="AJ7" s="20">
        <f t="shared" ref="AJ7:AJ36" si="5">U7*$D$39</f>
        <v>15.6</v>
      </c>
      <c r="AK7" s="20">
        <f t="shared" ref="AK7:AK36" si="6">V7*$D$39</f>
        <v>11.5</v>
      </c>
      <c r="AL7" s="20">
        <f t="shared" ref="AL7:AL36" si="7">W7*$D$39</f>
        <v>10.950000000000001</v>
      </c>
      <c r="AM7" s="20">
        <f t="shared" ref="AM7:AM36" si="8">X7*$D$39</f>
        <v>7.1000000000000005</v>
      </c>
      <c r="AN7" s="20">
        <f t="shared" ref="AN7:AN36" si="9">Y7*$D$39</f>
        <v>10.200000000000001</v>
      </c>
      <c r="AO7" s="20">
        <f t="shared" ref="AO7:AO36" si="10">Z7*$D$39</f>
        <v>12.05</v>
      </c>
      <c r="AP7" s="20">
        <f t="shared" ref="AP7:AP36" si="11">AA7*$D$39</f>
        <v>7.45</v>
      </c>
      <c r="AQ7" s="20">
        <f t="shared" ref="AQ7:AQ36" si="12">AB7*$D$39</f>
        <v>19.5</v>
      </c>
      <c r="AR7" s="20">
        <f t="shared" ref="AR7:AR36" si="13">AC7*$D$39</f>
        <v>14.4</v>
      </c>
      <c r="AS7" s="35">
        <f>SUM(AF7:AR7)</f>
        <v>144.15</v>
      </c>
      <c r="AU7" s="47">
        <v>906407</v>
      </c>
      <c r="AV7" s="37">
        <f>IF((AU7-AU6&lt;0),"0",AU7-AU6)</f>
        <v>897</v>
      </c>
      <c r="AW7" s="50">
        <v>0</v>
      </c>
    </row>
    <row r="8" spans="1:49" x14ac:dyDescent="0.25">
      <c r="A8" s="23">
        <v>43953</v>
      </c>
      <c r="B8" s="40">
        <v>10</v>
      </c>
      <c r="C8" s="24">
        <v>6005830</v>
      </c>
      <c r="D8" s="24">
        <v>13017720</v>
      </c>
      <c r="E8" s="24">
        <v>1674390</v>
      </c>
      <c r="F8" s="24">
        <v>2820650</v>
      </c>
      <c r="G8" s="24">
        <v>8724700</v>
      </c>
      <c r="H8" s="24">
        <v>4340720</v>
      </c>
      <c r="I8" s="24">
        <v>4166460</v>
      </c>
      <c r="J8" s="24">
        <v>4740680</v>
      </c>
      <c r="K8" s="24">
        <v>7473370</v>
      </c>
      <c r="L8" s="24">
        <v>2827470</v>
      </c>
      <c r="M8" s="24">
        <v>6754020</v>
      </c>
      <c r="N8" s="24">
        <v>9558920</v>
      </c>
      <c r="O8" s="24">
        <v>13024430</v>
      </c>
      <c r="Q8" s="37">
        <f>IF((C8-C7&lt;0), "0",C8-C7)</f>
        <v>570</v>
      </c>
      <c r="R8" s="37">
        <f t="shared" ref="R8:AC8" si="14">IF((D8-D7&lt;0), "0",D8-D7)</f>
        <v>1880</v>
      </c>
      <c r="S8" s="37">
        <f t="shared" ref="S8:S35" si="15">IF((E8-E7&lt;0), "0",E8-E7)</f>
        <v>2950</v>
      </c>
      <c r="T8" s="37">
        <f t="shared" si="14"/>
        <v>1380</v>
      </c>
      <c r="U8" s="37">
        <f t="shared" si="14"/>
        <v>3050</v>
      </c>
      <c r="V8" s="37">
        <f t="shared" si="14"/>
        <v>2340</v>
      </c>
      <c r="W8" s="37">
        <f t="shared" si="14"/>
        <v>2040</v>
      </c>
      <c r="X8" s="37">
        <f t="shared" si="14"/>
        <v>1190</v>
      </c>
      <c r="Y8" s="37">
        <f t="shared" si="14"/>
        <v>1940</v>
      </c>
      <c r="Z8" s="37">
        <f t="shared" si="14"/>
        <v>2350</v>
      </c>
      <c r="AA8" s="37">
        <f t="shared" si="14"/>
        <v>1460</v>
      </c>
      <c r="AB8" s="37">
        <f t="shared" si="14"/>
        <v>3180</v>
      </c>
      <c r="AC8" s="37">
        <f t="shared" si="14"/>
        <v>2680</v>
      </c>
      <c r="AD8" s="35">
        <f>SUM(Q8:AC8)</f>
        <v>27010</v>
      </c>
      <c r="AF8" s="20">
        <f t="shared" si="1"/>
        <v>2.85</v>
      </c>
      <c r="AG8" s="20">
        <f t="shared" si="2"/>
        <v>9.4</v>
      </c>
      <c r="AH8" s="20">
        <f t="shared" si="3"/>
        <v>14.75</v>
      </c>
      <c r="AI8" s="20">
        <f t="shared" si="4"/>
        <v>6.9</v>
      </c>
      <c r="AJ8" s="20">
        <f t="shared" si="5"/>
        <v>15.25</v>
      </c>
      <c r="AK8" s="20">
        <f t="shared" si="6"/>
        <v>11.700000000000001</v>
      </c>
      <c r="AL8" s="20">
        <f t="shared" si="7"/>
        <v>10.200000000000001</v>
      </c>
      <c r="AM8" s="20">
        <f t="shared" si="8"/>
        <v>5.95</v>
      </c>
      <c r="AN8" s="20">
        <f t="shared" si="9"/>
        <v>9.7000000000000011</v>
      </c>
      <c r="AO8" s="20">
        <f t="shared" si="10"/>
        <v>11.75</v>
      </c>
      <c r="AP8" s="20">
        <f t="shared" si="11"/>
        <v>7.3</v>
      </c>
      <c r="AQ8" s="20">
        <f t="shared" si="12"/>
        <v>15.9</v>
      </c>
      <c r="AR8" s="20">
        <f t="shared" si="13"/>
        <v>13.4</v>
      </c>
      <c r="AS8" s="35">
        <f>SUM(AF8:AR8)</f>
        <v>135.05000000000001</v>
      </c>
      <c r="AU8" s="47">
        <v>907374</v>
      </c>
      <c r="AV8" s="37">
        <f>IF((AU8-AU7&lt;0),"0",AU8-AU7)</f>
        <v>967</v>
      </c>
      <c r="AW8" s="35">
        <v>0</v>
      </c>
    </row>
    <row r="9" spans="1:49" x14ac:dyDescent="0.25">
      <c r="A9" s="23">
        <v>43954</v>
      </c>
      <c r="B9" s="40">
        <v>7</v>
      </c>
      <c r="C9" s="24">
        <v>6006390</v>
      </c>
      <c r="D9" s="24">
        <v>13019600</v>
      </c>
      <c r="E9" s="24">
        <v>1677280</v>
      </c>
      <c r="F9" s="24">
        <v>2822020</v>
      </c>
      <c r="G9" s="24">
        <v>8727720</v>
      </c>
      <c r="H9" s="24">
        <v>4342750</v>
      </c>
      <c r="I9" s="24">
        <v>4168540</v>
      </c>
      <c r="J9" s="24">
        <v>4741780</v>
      </c>
      <c r="K9" s="24">
        <v>7475320</v>
      </c>
      <c r="L9" s="24">
        <v>2829780</v>
      </c>
      <c r="M9" s="24">
        <v>6755490</v>
      </c>
      <c r="N9" s="24">
        <v>9562380</v>
      </c>
      <c r="O9" s="24">
        <v>13027080</v>
      </c>
      <c r="Q9" s="37">
        <f t="shared" ref="Q9:Q30" si="16">IF((C9-C8&lt;0), "0",C9-C8)</f>
        <v>560</v>
      </c>
      <c r="R9" s="37">
        <f t="shared" ref="R9:R35" si="17">IF((D9-D8&lt;0), "0",D9-D8)</f>
        <v>1880</v>
      </c>
      <c r="S9" s="37">
        <f t="shared" si="15"/>
        <v>2890</v>
      </c>
      <c r="T9" s="37">
        <f t="shared" ref="T9:T35" si="18">IF((F9-F8&lt;0), "0",F9-F8)</f>
        <v>1370</v>
      </c>
      <c r="U9" s="37">
        <f t="shared" ref="U9:U35" si="19">IF((G9-G8&lt;0), "0",G9-G8)</f>
        <v>3020</v>
      </c>
      <c r="V9" s="37">
        <f t="shared" ref="V9:V35" si="20">IF((H9-H8&lt;0), "0",H9-H8)</f>
        <v>2030</v>
      </c>
      <c r="W9" s="37">
        <f t="shared" ref="W9:W35" si="21">IF((I9-I8&lt;0), "0",I9-I8)</f>
        <v>2080</v>
      </c>
      <c r="X9" s="37">
        <f t="shared" ref="X9:X35" si="22">IF((J9-J8&lt;0), "0",J9-J8)</f>
        <v>1100</v>
      </c>
      <c r="Y9" s="37">
        <f t="shared" ref="Y9:Y35" si="23">IF((K9-K8&lt;0), "0",K9-K8)</f>
        <v>1950</v>
      </c>
      <c r="Z9" s="37">
        <f t="shared" ref="Z9:Z35" si="24">IF((L9-L8&lt;0), "0",L9-L8)</f>
        <v>2310</v>
      </c>
      <c r="AA9" s="37">
        <f t="shared" ref="AA9:AA35" si="25">IF((M9-M8&lt;0), "0",M9-M8)</f>
        <v>1470</v>
      </c>
      <c r="AB9" s="37">
        <f t="shared" ref="AB9:AB37" si="26">IF((N9-N8&lt;0), "0",N9-N8)</f>
        <v>3460</v>
      </c>
      <c r="AC9" s="37">
        <f t="shared" ref="AC9:AC37" si="27">IF((O9-O8&lt;0), "0",O9-O8)</f>
        <v>2650</v>
      </c>
      <c r="AD9" s="35">
        <f t="shared" ref="AD9:AD37" si="28">SUM(Q9:AC9)</f>
        <v>26770</v>
      </c>
      <c r="AF9" s="20">
        <f t="shared" si="1"/>
        <v>2.8000000000000003</v>
      </c>
      <c r="AG9" s="20">
        <f t="shared" si="2"/>
        <v>9.4</v>
      </c>
      <c r="AH9" s="20">
        <f t="shared" si="3"/>
        <v>14.450000000000001</v>
      </c>
      <c r="AI9" s="20">
        <f t="shared" si="4"/>
        <v>6.8500000000000005</v>
      </c>
      <c r="AJ9" s="20">
        <f t="shared" si="5"/>
        <v>15.1</v>
      </c>
      <c r="AK9" s="20">
        <f t="shared" si="6"/>
        <v>10.15</v>
      </c>
      <c r="AL9" s="20">
        <f t="shared" si="7"/>
        <v>10.4</v>
      </c>
      <c r="AM9" s="20">
        <f t="shared" si="8"/>
        <v>5.5</v>
      </c>
      <c r="AN9" s="20">
        <f t="shared" si="9"/>
        <v>9.75</v>
      </c>
      <c r="AO9" s="20">
        <f t="shared" si="10"/>
        <v>11.55</v>
      </c>
      <c r="AP9" s="20">
        <f t="shared" si="11"/>
        <v>7.3500000000000005</v>
      </c>
      <c r="AQ9" s="20">
        <f t="shared" si="12"/>
        <v>17.3</v>
      </c>
      <c r="AR9" s="20">
        <f t="shared" si="13"/>
        <v>13.25</v>
      </c>
      <c r="AS9" s="35">
        <f t="shared" ref="AS9:AS33" si="29">SUM(AF9:AR9)</f>
        <v>133.85</v>
      </c>
      <c r="AU9" s="47">
        <v>908343</v>
      </c>
      <c r="AV9" s="37">
        <f>IF((AU9-AU8&lt;0),"0",AU9-AU8)</f>
        <v>969</v>
      </c>
      <c r="AW9" s="35">
        <f t="shared" ref="AW9:AW35" si="30">AV9*$D$40</f>
        <v>1.9379999999999999</v>
      </c>
    </row>
    <row r="10" spans="1:49" x14ac:dyDescent="0.25">
      <c r="A10" s="23">
        <v>43955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 t="str">
        <f t="shared" si="16"/>
        <v>0</v>
      </c>
      <c r="R10" s="37" t="str">
        <f t="shared" si="17"/>
        <v>0</v>
      </c>
      <c r="S10" s="37" t="str">
        <f t="shared" si="15"/>
        <v>0</v>
      </c>
      <c r="T10" s="37" t="str">
        <f t="shared" si="18"/>
        <v>0</v>
      </c>
      <c r="U10" s="37" t="str">
        <f t="shared" si="19"/>
        <v>0</v>
      </c>
      <c r="V10" s="37" t="str">
        <f t="shared" si="20"/>
        <v>0</v>
      </c>
      <c r="W10" s="37" t="str">
        <f t="shared" si="21"/>
        <v>0</v>
      </c>
      <c r="X10" s="37" t="str">
        <f t="shared" si="22"/>
        <v>0</v>
      </c>
      <c r="Y10" s="37" t="str">
        <f t="shared" si="23"/>
        <v>0</v>
      </c>
      <c r="Z10" s="37" t="str">
        <f t="shared" si="24"/>
        <v>0</v>
      </c>
      <c r="AA10" s="37" t="str">
        <f t="shared" si="25"/>
        <v>0</v>
      </c>
      <c r="AB10" s="37" t="str">
        <f t="shared" si="26"/>
        <v>0</v>
      </c>
      <c r="AC10" s="37" t="str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 t="str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43956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43957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43958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43959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43960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43961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43962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43963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43964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43965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43966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43967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43968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43969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43970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43971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43972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43973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43974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43975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43976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43977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43979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43981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43982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1720</v>
      </c>
      <c r="R38" s="30">
        <f t="shared" si="62"/>
        <v>5720</v>
      </c>
      <c r="S38" s="30">
        <f t="shared" si="62"/>
        <v>8930</v>
      </c>
      <c r="T38" s="30">
        <f t="shared" si="62"/>
        <v>4190</v>
      </c>
      <c r="U38" s="30">
        <f t="shared" si="62"/>
        <v>9190</v>
      </c>
      <c r="V38" s="30">
        <f t="shared" si="62"/>
        <v>6670</v>
      </c>
      <c r="W38" s="30">
        <f t="shared" si="62"/>
        <v>6310</v>
      </c>
      <c r="X38" s="30">
        <f t="shared" si="62"/>
        <v>3710</v>
      </c>
      <c r="Y38" s="30">
        <f t="shared" si="62"/>
        <v>5930</v>
      </c>
      <c r="Z38" s="30">
        <f t="shared" si="62"/>
        <v>7070</v>
      </c>
      <c r="AA38" s="30">
        <f t="shared" si="62"/>
        <v>4420</v>
      </c>
      <c r="AB38" s="30">
        <f t="shared" si="62"/>
        <v>10540</v>
      </c>
      <c r="AC38" s="30">
        <f t="shared" si="62"/>
        <v>8210</v>
      </c>
      <c r="AD38" s="35">
        <f t="shared" si="62"/>
        <v>82610</v>
      </c>
      <c r="AF38" s="35">
        <f t="shared" ref="AF38:AS38" si="63">SUM(AF7:AF34)</f>
        <v>8.6000000000000014</v>
      </c>
      <c r="AG38" s="35">
        <f t="shared" si="63"/>
        <v>28.6</v>
      </c>
      <c r="AH38" s="35">
        <f t="shared" si="63"/>
        <v>44.650000000000006</v>
      </c>
      <c r="AI38" s="35">
        <f t="shared" si="63"/>
        <v>20.950000000000003</v>
      </c>
      <c r="AJ38" s="35">
        <f t="shared" si="63"/>
        <v>45.95</v>
      </c>
      <c r="AK38" s="35">
        <f t="shared" si="63"/>
        <v>33.35</v>
      </c>
      <c r="AL38" s="35">
        <f t="shared" si="63"/>
        <v>31.550000000000004</v>
      </c>
      <c r="AM38" s="35">
        <f t="shared" si="63"/>
        <v>18.55</v>
      </c>
      <c r="AN38" s="35">
        <f t="shared" si="63"/>
        <v>29.650000000000002</v>
      </c>
      <c r="AO38" s="35">
        <f t="shared" si="63"/>
        <v>35.35</v>
      </c>
      <c r="AP38" s="35">
        <f t="shared" si="63"/>
        <v>22.1</v>
      </c>
      <c r="AQ38" s="35">
        <f t="shared" si="63"/>
        <v>52.7</v>
      </c>
      <c r="AR38" s="35">
        <f t="shared" si="63"/>
        <v>41.05</v>
      </c>
      <c r="AS38" s="35">
        <f t="shared" si="63"/>
        <v>413.05000000000007</v>
      </c>
      <c r="AU38" s="48"/>
      <c r="AV38" s="35">
        <f>SUM(AV7:AV34)</f>
        <v>2833</v>
      </c>
      <c r="AW38" s="35">
        <f>SUM(AW7:AW34)</f>
        <v>1.9379999999999999</v>
      </c>
    </row>
    <row r="39" spans="1:49" x14ac:dyDescent="0.25">
      <c r="D39">
        <v>5.0000000000000001E-3</v>
      </c>
      <c r="AV39" s="36">
        <f>AV38*0.00378541*1000</f>
        <v>10724.06653</v>
      </c>
    </row>
    <row r="40" spans="1:49" x14ac:dyDescent="0.25">
      <c r="D40">
        <v>2E-3</v>
      </c>
      <c r="AV40">
        <f>AV39/31</f>
        <v>345.93763000000001</v>
      </c>
    </row>
    <row r="41" spans="1:49" x14ac:dyDescent="0.25">
      <c r="AV41">
        <f>AV38*0.00378541</f>
        <v>10.72406653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2020-05-04T06:20:52Z</dcterms:modified>
</cp:coreProperties>
</file>