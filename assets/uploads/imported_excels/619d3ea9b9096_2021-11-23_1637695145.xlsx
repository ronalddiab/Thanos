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M24" i="7" s="1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26" i="7" l="1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<sst xmlns="http://schemas.openxmlformats.org/spreadsheetml/2006/main" count="313" uniqueCount="148">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</sst>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38.461499999999994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20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11310.000000000735</v>
      </c>
      <c r="F10" s="11">
        <f t="shared" si="1"/>
        <v>0.58765030286592534</v>
      </c>
      <c r="G10" s="12">
        <f>(Submetering!AX10+Submetering!AY10+Submetering!AZ10+Submetering!BA10+Submetering!BB10)</f>
        <v>34.798499999999997</v>
      </c>
      <c r="H10" s="11">
        <f t="shared" si="2"/>
        <v>0.99</v>
      </c>
      <c r="I10" s="12">
        <f>'FS Desroches Daily'!CM12</f>
        <v>101.5</v>
      </c>
      <c r="J10" s="11">
        <f t="shared" si="3"/>
        <v>10.487297712684205</v>
      </c>
      <c r="K10" s="13">
        <f>'FS Desroches Daily'!CN12</f>
        <v>20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11799.999999999465</v>
      </c>
      <c r="F11" s="11">
        <f t="shared" si="1"/>
        <v>0.58765030286592534</v>
      </c>
      <c r="G11" s="12">
        <f>(Submetering!AX11+Submetering!AY11+Submetering!AZ11+Submetering!BA11+Submetering!BB11)</f>
        <v>27.472499999999997</v>
      </c>
      <c r="H11" s="11">
        <f t="shared" si="2"/>
        <v>0.99</v>
      </c>
      <c r="I11" s="12">
        <f>'FS Desroches Daily'!CM13</f>
        <v>89</v>
      </c>
      <c r="J11" s="11">
        <f t="shared" si="3"/>
        <v>10.487297712684205</v>
      </c>
      <c r="K11" s="13">
        <f>'FS Desroches Daily'!CN13</f>
        <v>20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11950.000000000411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90.100000000000364</v>
      </c>
      <c r="J12" s="11">
        <f t="shared" si="3"/>
        <v>10.487297712684205</v>
      </c>
      <c r="K12" s="13">
        <f>'FS Desroches Daily'!CN14</f>
        <v>20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12059.999999999915</v>
      </c>
      <c r="F13" s="11">
        <f t="shared" si="1"/>
        <v>0.58765030286592534</v>
      </c>
      <c r="G13" s="12">
        <f>(Submetering!AX13+Submetering!AY13+Submetering!AZ13+Submetering!BA13+Submetering!BB13)</f>
        <v>20.1465</v>
      </c>
      <c r="H13" s="11">
        <f t="shared" si="2"/>
        <v>0.99</v>
      </c>
      <c r="I13" s="12">
        <f>'FS Desroches Daily'!CM15</f>
        <v>75.199999999998909</v>
      </c>
      <c r="J13" s="11">
        <f t="shared" si="3"/>
        <v>10.487297712684205</v>
      </c>
      <c r="K13" s="13">
        <f>'FS Desroches Daily'!CN15</f>
        <v>20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11829.999999999553</v>
      </c>
      <c r="F14" s="11">
        <f t="shared" si="1"/>
        <v>0.58765030286592534</v>
      </c>
      <c r="G14" s="12">
        <f>(Submetering!AX14+Submetering!AY14+Submetering!AZ14+Submetering!BA14+Submetering!BB14)</f>
        <v>23.8095</v>
      </c>
      <c r="H14" s="11">
        <f t="shared" si="2"/>
        <v>0.99</v>
      </c>
      <c r="I14" s="12">
        <f>'FS Desroches Daily'!CM16</f>
        <v>69.900000000001455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11400.000000000176</v>
      </c>
      <c r="F15" s="11">
        <f t="shared" si="1"/>
        <v>0.58765030286592534</v>
      </c>
      <c r="G15" s="12">
        <f>(Submetering!AX15+Submetering!AY15+Submetering!AZ15+Submetering!BA15+Submetering!BB15)</f>
        <v>21.977999999999998</v>
      </c>
      <c r="H15" s="11">
        <f t="shared" si="2"/>
        <v>0.99</v>
      </c>
      <c r="I15" s="12">
        <f>'FS Desroches Daily'!CM17</f>
        <v>72.799999999999272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11000.000000000113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10739.999999999773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96.599999999998545</v>
      </c>
      <c r="J17" s="11">
        <f t="shared" si="3"/>
        <v>10.487297712684205</v>
      </c>
      <c r="K17" s="13">
        <f>'FS Desroches Daily'!CN19</f>
        <v>21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11610.000000000036</v>
      </c>
      <c r="F18" s="11">
        <f t="shared" si="1"/>
        <v>0.58765030286592534</v>
      </c>
      <c r="G18" s="12">
        <f>(Submetering!AX18+Submetering!AY18+Submetering!AZ18+Submetering!BA18+Submetering!BB18)</f>
        <v>20.1465</v>
      </c>
      <c r="H18" s="11">
        <f t="shared" si="2"/>
        <v>0.99</v>
      </c>
      <c r="I18" s="12">
        <f>'FS Desroches Daily'!CM20</f>
        <v>82.900000000001455</v>
      </c>
      <c r="J18" s="11">
        <f t="shared" si="3"/>
        <v>10.487297712684205</v>
      </c>
      <c r="K18" s="13">
        <f>'FS Desroches Daily'!CN20</f>
        <v>21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10730.00000000056</v>
      </c>
      <c r="F19" s="11">
        <f t="shared" si="1"/>
        <v>0.58765030286592534</v>
      </c>
      <c r="G19" s="12">
        <f>(Submetering!AX19+Submetering!AY19+Submetering!AZ19+Submetering!BA19+Submetering!BB19)</f>
        <v>20.1465</v>
      </c>
      <c r="H19" s="11">
        <f t="shared" si="2"/>
        <v>0.99</v>
      </c>
      <c r="I19" s="12">
        <f>'FS Desroches Daily'!CM21</f>
        <v>74</v>
      </c>
      <c r="J19" s="11">
        <f t="shared" si="3"/>
        <v>10.487297712684205</v>
      </c>
      <c r="K19" s="13">
        <f>'FS Desroches Daily'!CN21</f>
        <v>20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11249.999999999263</v>
      </c>
      <c r="F20" s="11">
        <f t="shared" si="1"/>
        <v>0.58765030286592534</v>
      </c>
      <c r="G20" s="12">
        <f>(Submetering!AX20+Submetering!AY20+Submetering!AZ20+Submetering!BA20+Submetering!BB20)</f>
        <v>20.1465</v>
      </c>
      <c r="H20" s="11">
        <f t="shared" si="2"/>
        <v>0.99</v>
      </c>
      <c r="I20" s="12">
        <f>'FS Desroches Daily'!CM22</f>
        <v>54</v>
      </c>
      <c r="J20" s="11">
        <f t="shared" si="3"/>
        <v>10.487297712684205</v>
      </c>
      <c r="K20" s="13">
        <f>'FS Desroches Daily'!CN22</f>
        <v>21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11010.00000000058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65.599999999998545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10470.000000000033</v>
      </c>
      <c r="F22" s="11">
        <f t="shared" si="1"/>
        <v>0.58765030286592534</v>
      </c>
      <c r="G22" s="12">
        <f>(Submetering!AX22+Submetering!AY22+Submetering!AZ22+Submetering!BA22+Submetering!BB22)</f>
        <v>18.314999999999998</v>
      </c>
      <c r="H22" s="11">
        <f t="shared" si="2"/>
        <v>0.99</v>
      </c>
      <c r="I22" s="12">
        <f>'FS Desroches Daily'!CM24</f>
        <v>78.900000000001455</v>
      </c>
      <c r="J22" s="11">
        <f t="shared" si="3"/>
        <v>10.487297712684205</v>
      </c>
      <c r="K22" s="13">
        <f>'FS Desroches Daily'!CN24</f>
        <v>20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11699.999999999371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87.299999999999272</v>
      </c>
      <c r="J23" s="11">
        <f t="shared" si="3"/>
        <v>10.487297712684205</v>
      </c>
      <c r="K23" s="13">
        <f>'FS Desroches Daily'!CN25</f>
        <v>25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 t="e">
        <f>Submetering!E24+Submetering!F24+Submetering!G24+Submetering!H24+Submetering!J24-Submetering!AV24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'FS Desroches Daily'!CM26</f>
        <v>#VALUE!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>
        <f>IF(LPG!F16-LPG!F14&lt;0,"0",(LPG!F16-LPG!F14)*1.8315)</f>
        <v>21.977999999999998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>
        <f>'FS Desroches Daily'!P11</f>
        <v>9</v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>
        <f>IF(LPG!F17-LPG!F15&lt;0,"0",(LPG!F17-LPG!F15)*1.8315)</f>
        <v>21.977999999999998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20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2900.0000000003465</v>
      </c>
      <c r="F10" s="32">
        <f>'FS Desroches Daily'!F12</f>
        <v>3400.0000000000696</v>
      </c>
      <c r="G10" s="31">
        <f>'FS Desroches Daily'!H12</f>
        <v>2800.0000000001355</v>
      </c>
      <c r="H10" s="32">
        <f>'FS Desroches Daily'!J12</f>
        <v>1400.0000000000678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3</v>
      </c>
      <c r="L10" s="31">
        <f>'FS Desroches Daily'!R12</f>
        <v>5</v>
      </c>
      <c r="M10" s="31">
        <f>'FS Desroches Daily'!T12</f>
        <v>1</v>
      </c>
      <c r="N10" s="31">
        <f>'FS Desroches Daily'!V12</f>
        <v>377.89999999996508</v>
      </c>
      <c r="O10" s="31">
        <f>'FS Desroches Daily'!X12</f>
        <v>260.00000000004775</v>
      </c>
      <c r="P10" s="31">
        <f>'FS Desroches Daily'!Z12</f>
        <v>3000.0000000001137</v>
      </c>
      <c r="Q10" s="31">
        <f>'FS Desroches Daily'!AB12</f>
        <v>270.00000000003865</v>
      </c>
      <c r="R10" s="31">
        <f>'FS Desroches Daily'!AD12</f>
        <v>549.99999999995453</v>
      </c>
      <c r="S10" s="31">
        <f>'FS Desroches Daily'!AF12</f>
        <v>570.00000000005002</v>
      </c>
      <c r="T10" s="31">
        <f>'FS Desroches Daily'!AH12</f>
        <v>36</v>
      </c>
      <c r="U10" s="35">
        <f>'FS Desroches Daily'!AJ12</f>
        <v>930.00000000006366</v>
      </c>
      <c r="V10" s="35">
        <f>'FS Desroches Daily'!AL12</f>
        <v>219.99999999999886</v>
      </c>
      <c r="W10" s="35">
        <f>'FS Desroches Daily'!AN12</f>
        <v>219.99999999999886</v>
      </c>
      <c r="X10" s="35">
        <f>'FS Desroches Daily'!AP12</f>
        <v>189.99999999999773</v>
      </c>
      <c r="Y10" s="35">
        <f>'FS Desroches Daily'!AR12</f>
        <v>149.99999999997726</v>
      </c>
      <c r="Z10" s="35">
        <f>'FS Desroches Daily'!AT12</f>
        <v>149.99999999997726</v>
      </c>
      <c r="AA10" s="35">
        <f>'FS Desroches Daily'!AT12</f>
        <v>149.99999999997726</v>
      </c>
      <c r="AB10" s="35">
        <f>'FS Desroches Daily'!AV12</f>
        <v>189.99999999999773</v>
      </c>
      <c r="AC10" s="35">
        <f>'FS Desroches Daily'!AZ12</f>
        <v>199.99999999998863</v>
      </c>
      <c r="AD10" s="35">
        <f>'FS Desroches Daily'!BB12</f>
        <v>159.99999999996817</v>
      </c>
      <c r="AE10" s="35">
        <f>'FS Desroches Daily'!BD12</f>
        <v>99.999999999994316</v>
      </c>
      <c r="AF10" s="31">
        <f>'FS Desroches Daily'!BF12</f>
        <v>28</v>
      </c>
      <c r="AG10" s="32">
        <f>'FS Desroches Daily'!BH12</f>
        <v>60.000000000002274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50.000000000011369</v>
      </c>
      <c r="AK10" s="32">
        <f>'FS Desroches Daily'!BP12</f>
        <v>60.000000000002274</v>
      </c>
      <c r="AL10" s="32">
        <f>'FS Desroches Daily'!BR12</f>
        <v>30</v>
      </c>
      <c r="AM10" s="32">
        <f>'FS Desroches Daily'!BT12</f>
        <v>39.999999999992042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53.69999999999709</v>
      </c>
      <c r="AR10" s="31">
        <f>'FS Desroches Daily'!CD12</f>
        <v>10.100000000000364</v>
      </c>
      <c r="AS10" s="31">
        <f>'FS Desroches Daily'!CF12</f>
        <v>7.0999999999994543</v>
      </c>
      <c r="AT10" s="31">
        <f>'FS Desroches Daily'!CH12</f>
        <v>29.700000000011642</v>
      </c>
      <c r="AU10" s="31">
        <f>'FS Desroches Daily'!CJ12</f>
        <v>292</v>
      </c>
      <c r="AV10" s="31">
        <f>'FS Desroches Daily'!CL12</f>
        <v>689.99999999994088</v>
      </c>
      <c r="AW10" s="31">
        <f>'FS Desroches Daily'!CM12</f>
        <v>101.5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2699.9999999999245</v>
      </c>
      <c r="F11" s="32">
        <f>'FS Desroches Daily'!F13</f>
        <v>3499.9999999998367</v>
      </c>
      <c r="G11" s="31">
        <f>'FS Desroches Daily'!H13</f>
        <v>2999.9999999996694</v>
      </c>
      <c r="H11" s="32">
        <f>'FS Desroches Daily'!J13</f>
        <v>1600.0000000000459</v>
      </c>
      <c r="I11" s="31">
        <f>'FS Desroches Daily'!L13</f>
        <v>2299.9999999999686</v>
      </c>
      <c r="J11" s="32">
        <f>'FS Desroches Daily'!N13</f>
        <v>1700.0000000000348</v>
      </c>
      <c r="K11" s="13">
        <f>'FS Desroches Daily'!P13</f>
        <v>8</v>
      </c>
      <c r="L11" s="31">
        <f>'FS Desroches Daily'!R13</f>
        <v>5</v>
      </c>
      <c r="M11" s="31">
        <f>'FS Desroches Daily'!T13</f>
        <v>1.0999999999999091</v>
      </c>
      <c r="N11" s="31">
        <f>'FS Desroches Daily'!V13</f>
        <v>421.60000000003492</v>
      </c>
      <c r="O11" s="31">
        <f>'FS Desroches Daily'!X13</f>
        <v>419.99999999995907</v>
      </c>
      <c r="P11" s="31">
        <f>'FS Desroches Daily'!Z13</f>
        <v>3299.9999999998586</v>
      </c>
      <c r="Q11" s="31">
        <f>'FS Desroches Daily'!AB13</f>
        <v>469.99999999997044</v>
      </c>
      <c r="R11" s="31">
        <f>'FS Desroches Daily'!AD13</f>
        <v>600.00000000002274</v>
      </c>
      <c r="S11" s="31">
        <f>'FS Desroches Daily'!AF13</f>
        <v>629.99999999999545</v>
      </c>
      <c r="T11" s="31">
        <f>'FS Desroches Daily'!AH13</f>
        <v>33</v>
      </c>
      <c r="U11" s="35">
        <f>'FS Desroches Daily'!AJ13</f>
        <v>809.99999999994543</v>
      </c>
      <c r="V11" s="35">
        <f>'FS Desroches Daily'!AL13</f>
        <v>210.00000000000796</v>
      </c>
      <c r="W11" s="35">
        <f>'FS Desroches Daily'!AN13</f>
        <v>210.00000000000796</v>
      </c>
      <c r="X11" s="35">
        <f>'FS Desroches Daily'!AP13</f>
        <v>219.99999999999886</v>
      </c>
      <c r="Y11" s="35">
        <f>'FS Desroches Daily'!AR13</f>
        <v>139.99999999998636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180.00000000000682</v>
      </c>
      <c r="AC11" s="35">
        <f>'FS Desroches Daily'!AZ13</f>
        <v>189.99999999999773</v>
      </c>
      <c r="AD11" s="35">
        <f>'FS Desroches Daily'!BB13</f>
        <v>140.0000000000432</v>
      </c>
      <c r="AE11" s="35">
        <f>'FS Desroches Daily'!BD13</f>
        <v>110.00000000001364</v>
      </c>
      <c r="AF11" s="31">
        <f>'FS Desroches Daily'!BF13</f>
        <v>44</v>
      </c>
      <c r="AG11" s="32">
        <f>'FS Desroches Daily'!BH13</f>
        <v>39.999999999992042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37</v>
      </c>
      <c r="AM11" s="32">
        <f>'FS Desroches Daily'!BT13</f>
        <v>39.999999999992042</v>
      </c>
      <c r="AN11" s="32">
        <f>'FS Desroches Daily'!BV13</f>
        <v>34</v>
      </c>
      <c r="AO11" s="32">
        <f>'FS Desroches Daily'!BX13</f>
        <v>30.000000000001137</v>
      </c>
      <c r="AP11" s="32">
        <f>'FS Desroches Daily'!BZ13</f>
        <v>45</v>
      </c>
      <c r="AQ11" s="31">
        <f>'FS Desroches Daily'!CB13</f>
        <v>68.700000000004366</v>
      </c>
      <c r="AR11" s="31">
        <f>'FS Desroches Daily'!CD13</f>
        <v>12.100000000000364</v>
      </c>
      <c r="AS11" s="31">
        <f>'FS Desroches Daily'!CF13</f>
        <v>1</v>
      </c>
      <c r="AT11" s="31">
        <f>'FS Desroches Daily'!CH13</f>
        <v>37.19999999999709</v>
      </c>
      <c r="AU11" s="31">
        <f>'FS Desroches Daily'!CJ13</f>
        <v>282</v>
      </c>
      <c r="AV11" s="31">
        <f>'FS Desroches Daily'!CL13</f>
        <v>700.00000000004547</v>
      </c>
      <c r="AW11" s="31">
        <f>'FS Desroches Daily'!CM13</f>
        <v>89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9.1574999999999989</v>
      </c>
      <c r="BC11" s="13">
        <f>'FS Desroches Daily'!CN13</f>
        <v>20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2899.9999999999027</v>
      </c>
      <c r="F12" s="32">
        <f>'FS Desroches Daily'!F14</f>
        <v>3600.0000000000477</v>
      </c>
      <c r="G12" s="31">
        <f>'FS Desroches Daily'!H14</f>
        <v>2900.0000000003465</v>
      </c>
      <c r="H12" s="32">
        <f>'FS Desroches Daily'!J14</f>
        <v>1600.0000000000459</v>
      </c>
      <c r="I12" s="31">
        <f>'FS Desroches Daily'!L14</f>
        <v>2299.9999999999686</v>
      </c>
      <c r="J12" s="32">
        <f>'FS Desroches Daily'!N14</f>
        <v>1600.0000000000459</v>
      </c>
      <c r="K12" s="13">
        <f>'FS Desroches Daily'!P14</f>
        <v>5</v>
      </c>
      <c r="L12" s="31">
        <f>'FS Desroches Daily'!R14</f>
        <v>6</v>
      </c>
      <c r="M12" s="31">
        <f>'FS Desroches Daily'!T14</f>
        <v>1.2000000000000455</v>
      </c>
      <c r="N12" s="31">
        <f>'FS Desroches Daily'!V14</f>
        <v>432.29999999998836</v>
      </c>
      <c r="O12" s="31">
        <f>'FS Desroches Daily'!X14</f>
        <v>370.00000000000455</v>
      </c>
      <c r="P12" s="31">
        <f>'FS Desroches Daily'!Z14</f>
        <v>2900.0000000003465</v>
      </c>
      <c r="Q12" s="31">
        <f>'FS Desroches Daily'!AB14</f>
        <v>240.00000000000909</v>
      </c>
      <c r="R12" s="31">
        <f>'FS Desroches Daily'!AD14</f>
        <v>639.99999999998636</v>
      </c>
      <c r="S12" s="31">
        <f>'FS Desroches Daily'!AF14</f>
        <v>569.99999999993634</v>
      </c>
      <c r="T12" s="31">
        <f>'FS Desroches Daily'!AH14</f>
        <v>37</v>
      </c>
      <c r="U12" s="35">
        <f>'FS Desroches Daily'!AJ14</f>
        <v>790.00000000007731</v>
      </c>
      <c r="V12" s="35">
        <f>'FS Desroches Daily'!AL14</f>
        <v>219.99999999999886</v>
      </c>
      <c r="W12" s="35">
        <f>'FS Desroches Daily'!AN14</f>
        <v>209.99999999997954</v>
      </c>
      <c r="X12" s="35">
        <f>'FS Desroches Daily'!AP14</f>
        <v>210.00000000000796</v>
      </c>
      <c r="Y12" s="35">
        <f>'FS Desroches Daily'!AR14</f>
        <v>199.99999999998863</v>
      </c>
      <c r="Z12" s="35">
        <f>'FS Desroches Daily'!AT14</f>
        <v>160.00000000002501</v>
      </c>
      <c r="AA12" s="35">
        <f>'FS Desroches Daily'!AT14</f>
        <v>160.00000000002501</v>
      </c>
      <c r="AB12" s="35">
        <f>'FS Desroches Daily'!AV14</f>
        <v>189.99999999999773</v>
      </c>
      <c r="AC12" s="35">
        <f>'FS Desroches Daily'!AZ14</f>
        <v>189.99999999999773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32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39.999999999992042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60.799999999995634</v>
      </c>
      <c r="AR12" s="31">
        <f>'FS Desroches Daily'!CD14</f>
        <v>15.5</v>
      </c>
      <c r="AS12" s="31">
        <f>'FS Desroches Daily'!CF14</f>
        <v>0</v>
      </c>
      <c r="AT12" s="31">
        <f>'FS Desroches Daily'!CH14</f>
        <v>38.5</v>
      </c>
      <c r="AU12" s="31">
        <f>'FS Desroches Daily'!CJ14</f>
        <v>287</v>
      </c>
      <c r="AV12" s="31">
        <f>'FS Desroches Daily'!CL14</f>
        <v>649.99999999997726</v>
      </c>
      <c r="AW12" s="31">
        <f>'FS Desroches Daily'!CM14</f>
        <v>90.100000000000364</v>
      </c>
      <c r="AX12" s="31">
        <f>IF(LPG!F19-LPG!F18&lt;0,"0",(LPG!F19-LPG!F18)*1.8315)</f>
        <v>7.3259999999999996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3.6629999999999998</v>
      </c>
      <c r="BB12" s="31">
        <f>IF(LPG!Q20-LPG!Q18&lt;0,"0",(LPG!Q20-LPG!Q18)*1.8315)</f>
        <v>12.820499999999999</v>
      </c>
      <c r="BC12" s="13">
        <f>'FS Desroches Daily'!CN14</f>
        <v>20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3200.0000000000919</v>
      </c>
      <c r="F13" s="32">
        <f>'FS Desroches Daily'!F15</f>
        <v>3400.0000000000696</v>
      </c>
      <c r="G13" s="31">
        <f>'FS Desroches Daily'!H15</f>
        <v>2899.9999999999027</v>
      </c>
      <c r="H13" s="32">
        <f>'FS Desroches Daily'!J15</f>
        <v>1499.9999999998347</v>
      </c>
      <c r="I13" s="31">
        <f>'FS Desroches Daily'!L15</f>
        <v>2400.0000000001796</v>
      </c>
      <c r="J13" s="32">
        <f>'FS Desroches Daily'!N15</f>
        <v>1800.0000000000239</v>
      </c>
      <c r="K13" s="13">
        <f>'FS Desroches Daily'!P15</f>
        <v>12</v>
      </c>
      <c r="L13" s="31">
        <f>'FS Desroches Daily'!R15</f>
        <v>7</v>
      </c>
      <c r="M13" s="31">
        <f>'FS Desroches Daily'!T15</f>
        <v>1.1000000000001364</v>
      </c>
      <c r="N13" s="31">
        <f>'FS Desroches Daily'!V15</f>
        <v>429.40000000002328</v>
      </c>
      <c r="O13" s="31">
        <f>'FS Desroches Daily'!X15</f>
        <v>410.00000000002501</v>
      </c>
      <c r="P13" s="31">
        <f>'FS Desroches Daily'!Z15</f>
        <v>2999.9999999996694</v>
      </c>
      <c r="Q13" s="31">
        <f>'FS Desroches Daily'!AB15</f>
        <v>420.00000000001592</v>
      </c>
      <c r="R13" s="31">
        <f>'FS Desroches Daily'!AD15</f>
        <v>670.00000000001592</v>
      </c>
      <c r="S13" s="31">
        <f>'FS Desroches Daily'!AF15</f>
        <v>670.00000000007276</v>
      </c>
      <c r="T13" s="31">
        <f>'FS Desroches Daily'!AH15</f>
        <v>38</v>
      </c>
      <c r="U13" s="35">
        <f>'FS Desroches Daily'!AJ15</f>
        <v>849.99999999990905</v>
      </c>
      <c r="V13" s="35">
        <f>'FS Desroches Daily'!AL15</f>
        <v>209.99999999997954</v>
      </c>
      <c r="W13" s="35">
        <f>'FS Desroches Daily'!AN15</f>
        <v>250</v>
      </c>
      <c r="X13" s="35">
        <f>'FS Desroches Daily'!AP15</f>
        <v>189.99999999999773</v>
      </c>
      <c r="Y13" s="35">
        <f>'FS Desroches Daily'!AR15</f>
        <v>170.00000000001592</v>
      </c>
      <c r="Z13" s="35">
        <f>'FS Desroches Daily'!AT15</f>
        <v>189.99999999999773</v>
      </c>
      <c r="AA13" s="35">
        <f>'FS Desroches Daily'!AT15</f>
        <v>189.99999999999773</v>
      </c>
      <c r="AB13" s="35">
        <f>'FS Desroches Daily'!AV15</f>
        <v>259.99999999999091</v>
      </c>
      <c r="AC13" s="35">
        <f>'FS Desroches Daily'!AZ15</f>
        <v>210.00000000003638</v>
      </c>
      <c r="AD13" s="35">
        <f>'FS Desroches Daily'!BB15</f>
        <v>160.00000000002501</v>
      </c>
      <c r="AE13" s="35">
        <f>'FS Desroches Daily'!BD15</f>
        <v>120.00000000000455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29.999999999972715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60.000000000002274</v>
      </c>
      <c r="AL13" s="32">
        <f>'FS Desroches Daily'!BR15</f>
        <v>47</v>
      </c>
      <c r="AM13" s="32">
        <f>'FS Desroches Daily'!BT15</f>
        <v>49.999999999982947</v>
      </c>
      <c r="AN13" s="32">
        <f>'FS Desroches Daily'!BV15</f>
        <v>46</v>
      </c>
      <c r="AO13" s="32">
        <f>'FS Desroches Daily'!BX15</f>
        <v>39.999999999992042</v>
      </c>
      <c r="AP13" s="32">
        <f>'FS Desroches Daily'!BZ15</f>
        <v>50</v>
      </c>
      <c r="AQ13" s="31">
        <f>'FS Desroches Daily'!CB15</f>
        <v>62.700000000004366</v>
      </c>
      <c r="AR13" s="31">
        <f>'FS Desroches Daily'!CD15</f>
        <v>13.199999999998909</v>
      </c>
      <c r="AS13" s="31">
        <f>'FS Desroches Daily'!CF15</f>
        <v>0</v>
      </c>
      <c r="AT13" s="31">
        <f>'FS Desroches Daily'!CH15</f>
        <v>50.80000000000291</v>
      </c>
      <c r="AU13" s="31">
        <f>'FS Desroches Daily'!CJ15</f>
        <v>319</v>
      </c>
      <c r="AV13" s="31">
        <f>'FS Desroches Daily'!CL15</f>
        <v>740.00000000000909</v>
      </c>
      <c r="AW13" s="31">
        <f>'FS Desroches Daily'!CM15</f>
        <v>75.199999999998909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3099.9999999998809</v>
      </c>
      <c r="F14" s="32">
        <f>'FS Desroches Daily'!F16</f>
        <v>3299.9999999998586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2199.9999999997576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0.89999999999986358</v>
      </c>
      <c r="N14" s="31">
        <f>'FS Desroches Daily'!V16</f>
        <v>356.19999999995343</v>
      </c>
      <c r="O14" s="31">
        <f>'FS Desroches Daily'!X16</f>
        <v>349.99999999996589</v>
      </c>
      <c r="P14" s="31">
        <f>'FS Desroches Daily'!Z16</f>
        <v>3100.0000000003247</v>
      </c>
      <c r="Q14" s="31">
        <f>'FS Desroches Daily'!AB16</f>
        <v>310.00000000000227</v>
      </c>
      <c r="R14" s="31">
        <f>'FS Desroches Daily'!AD16</f>
        <v>589.99999999997499</v>
      </c>
      <c r="S14" s="31">
        <f>'FS Desroches Daily'!AF16</f>
        <v>549.99999999995453</v>
      </c>
      <c r="T14" s="31">
        <f>'FS Desroches Daily'!AH16</f>
        <v>42</v>
      </c>
      <c r="U14" s="35">
        <f>'FS Desroches Daily'!AJ16</f>
        <v>830.00000000004093</v>
      </c>
      <c r="V14" s="35">
        <f>'FS Desroches Daily'!AL16</f>
        <v>250</v>
      </c>
      <c r="W14" s="35">
        <f>'FS Desroches Daily'!AN16</f>
        <v>300.00000000001137</v>
      </c>
      <c r="X14" s="35">
        <f>'FS Desroches Daily'!AP16</f>
        <v>319.99999999999318</v>
      </c>
      <c r="Y14" s="35">
        <f>'FS Desroches Daily'!AR16</f>
        <v>350.00000000002274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219.99999999997044</v>
      </c>
      <c r="AD14" s="35">
        <f>'FS Desroches Daily'!BB16</f>
        <v>149.99999999997726</v>
      </c>
      <c r="AE14" s="35">
        <f>'FS Desroches Daily'!BD16</f>
        <v>129.99999999999545</v>
      </c>
      <c r="AF14" s="31">
        <f>'FS Desroches Daily'!BF16</f>
        <v>19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40</v>
      </c>
      <c r="AM14" s="32">
        <f>'FS Desroches Daily'!BT16</f>
        <v>50.000000000011369</v>
      </c>
      <c r="AN14" s="32">
        <f>'FS Desroches Daily'!BV16</f>
        <v>35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67.5</v>
      </c>
      <c r="AR14" s="31">
        <f>'FS Desroches Daily'!CD16</f>
        <v>12.200000000000728</v>
      </c>
      <c r="AS14" s="31">
        <f>'FS Desroches Daily'!CF16</f>
        <v>20.300000000000182</v>
      </c>
      <c r="AT14" s="31">
        <f>'FS Desroches Daily'!CH16</f>
        <v>32.69999999999709</v>
      </c>
      <c r="AU14" s="31">
        <f>'FS Desroches Daily'!CJ16</f>
        <v>280</v>
      </c>
      <c r="AV14" s="31">
        <f>'FS Desroches Daily'!CL16</f>
        <v>669.99999999995907</v>
      </c>
      <c r="AW14" s="31">
        <f>'FS Desroches Daily'!CM16</f>
        <v>69.900000000001455</v>
      </c>
      <c r="AX14" s="31">
        <f>IF(LPG!F21-LPG!F20&lt;0,"0",(LPG!F21-LPG!F20)*1.8315)</f>
        <v>7.3259999999999996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3200.0000000000919</v>
      </c>
      <c r="F15" s="32">
        <f>'FS Desroches Daily'!F17</f>
        <v>3099.9999999998809</v>
      </c>
      <c r="G15" s="31">
        <f>'FS Desroches Daily'!H17</f>
        <v>2800.0000000001355</v>
      </c>
      <c r="H15" s="32">
        <f>'FS Desroches Daily'!J17</f>
        <v>1500.0000000000568</v>
      </c>
      <c r="I15" s="31">
        <f>'FS Desroches Daily'!L17</f>
        <v>2000.0000000002237</v>
      </c>
      <c r="J15" s="32">
        <f>'FS Desroches Daily'!N17</f>
        <v>1500.0000000000568</v>
      </c>
      <c r="K15" s="13">
        <f>'FS Desroches Daily'!P17</f>
        <v>3</v>
      </c>
      <c r="L15" s="31">
        <f>'FS Desroches Daily'!R17</f>
        <v>6</v>
      </c>
      <c r="M15" s="31">
        <f>'FS Desroches Daily'!T17</f>
        <v>1.2999999999999545</v>
      </c>
      <c r="N15" s="31">
        <f>'FS Desroches Daily'!V17</f>
        <v>441.90000000002328</v>
      </c>
      <c r="O15" s="31">
        <f>'FS Desroches Daily'!X17</f>
        <v>340.00000000003183</v>
      </c>
      <c r="P15" s="31">
        <f>'FS Desroches Daily'!Z17</f>
        <v>3600.0000000000477</v>
      </c>
      <c r="Q15" s="31">
        <f>'FS Desroches Daily'!AB17</f>
        <v>419.99999999995907</v>
      </c>
      <c r="R15" s="31">
        <f>'FS Desroches Daily'!AD17</f>
        <v>520.00000000003865</v>
      </c>
      <c r="S15" s="31">
        <f>'FS Desroches Daily'!AF17</f>
        <v>480.00000000001819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250</v>
      </c>
      <c r="Y15" s="35">
        <f>'FS Desroches Daily'!AR17</f>
        <v>289.99999999996362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259.99999999999091</v>
      </c>
      <c r="AC15" s="35">
        <f>'FS Desroches Daily'!AZ17</f>
        <v>200.00000000004547</v>
      </c>
      <c r="AD15" s="35">
        <f>'FS Desroches Daily'!BB17</f>
        <v>140.0000000000432</v>
      </c>
      <c r="AE15" s="35">
        <f>'FS Desroches Daily'!BD17</f>
        <v>99.999999999994316</v>
      </c>
      <c r="AF15" s="31">
        <f>'FS Desroches Daily'!BF17</f>
        <v>31</v>
      </c>
      <c r="AG15" s="32">
        <f>'FS Desroches Daily'!BH17</f>
        <v>49.999999999982947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40.000000000020464</v>
      </c>
      <c r="AK15" s="32">
        <f>'FS Desroches Daily'!BP17</f>
        <v>49.999999999954525</v>
      </c>
      <c r="AL15" s="32">
        <f>'FS Desroches Daily'!BR17</f>
        <v>35</v>
      </c>
      <c r="AM15" s="32">
        <f>'FS Desroches Daily'!BT17</f>
        <v>50.000000000011369</v>
      </c>
      <c r="AN15" s="32">
        <f>'FS Desroches Daily'!BV17</f>
        <v>47</v>
      </c>
      <c r="AO15" s="32">
        <f>'FS Desroches Daily'!BX17</f>
        <v>39.999999999992042</v>
      </c>
      <c r="AP15" s="32">
        <f>'FS Desroches Daily'!BZ17</f>
        <v>55</v>
      </c>
      <c r="AQ15" s="31">
        <f>'FS Desroches Daily'!CB17</f>
        <v>63.299999999995634</v>
      </c>
      <c r="AR15" s="31">
        <f>'FS Desroches Daily'!CD17</f>
        <v>9.6999999999989086</v>
      </c>
      <c r="AS15" s="31">
        <f>'FS Desroches Daily'!CF17</f>
        <v>10.899999999999636</v>
      </c>
      <c r="AT15" s="31">
        <f>'FS Desroches Daily'!CH17</f>
        <v>60.099999999991269</v>
      </c>
      <c r="AU15" s="31">
        <f>'FS Desroches Daily'!CJ17</f>
        <v>299</v>
      </c>
      <c r="AV15" s="31">
        <f>'FS Desroches Daily'!CL17</f>
        <v>700.00000000004547</v>
      </c>
      <c r="AW15" s="31">
        <f>'FS Desroches Daily'!CM17</f>
        <v>72.799999999999272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2799.9999999996917</v>
      </c>
      <c r="F16" s="32">
        <f>'FS Desroches Daily'!F18</f>
        <v>3200.0000000000919</v>
      </c>
      <c r="G16" s="31">
        <f>'FS Desroches Daily'!H18</f>
        <v>2800.0000000001355</v>
      </c>
      <c r="H16" s="32">
        <f>'FS Desroches Daily'!J18</f>
        <v>1400.0000000000678</v>
      </c>
      <c r="I16" s="31">
        <f>'FS Desroches Daily'!L18</f>
        <v>1999.9999999997797</v>
      </c>
      <c r="J16" s="32">
        <f>'FS Desroches Daily'!N18</f>
        <v>1500.0000000000568</v>
      </c>
      <c r="K16" s="13">
        <f>'FS Desroches Daily'!P18</f>
        <v>7</v>
      </c>
      <c r="L16" s="31">
        <f>'FS Desroches Daily'!R18</f>
        <v>3</v>
      </c>
      <c r="M16" s="31">
        <f>'FS Desroches Daily'!T18</f>
        <v>0.70000000000004547</v>
      </c>
      <c r="N16" s="31">
        <f>'FS Desroches Daily'!V18</f>
        <v>283</v>
      </c>
      <c r="O16" s="31">
        <f>'FS Desroches Daily'!X18</f>
        <v>310.00000000000227</v>
      </c>
      <c r="P16" s="31">
        <f>'FS Desroches Daily'!Z18</f>
        <v>1900.0000000000127</v>
      </c>
      <c r="Q16" s="31">
        <f>'FS Desroches Daily'!AB18</f>
        <v>400.00000000003411</v>
      </c>
      <c r="R16" s="31">
        <f>'FS Desroches Daily'!AD18</f>
        <v>439.99999999999773</v>
      </c>
      <c r="S16" s="31">
        <f>'FS Desroches Daily'!AF18</f>
        <v>559.99999999994543</v>
      </c>
      <c r="T16" s="31">
        <f>'FS Desroches Daily'!AH18</f>
        <v>34</v>
      </c>
      <c r="U16" s="35">
        <f>'FS Desroches Daily'!AJ18</f>
        <v>699.99999999993179</v>
      </c>
      <c r="V16" s="35">
        <f>'FS Desroches Daily'!AL18</f>
        <v>170.00000000001592</v>
      </c>
      <c r="W16" s="35">
        <f>'FS Desroches Daily'!AN18</f>
        <v>219.99999999999886</v>
      </c>
      <c r="X16" s="35">
        <f>'FS Desroches Daily'!AP18</f>
        <v>199.99999999998863</v>
      </c>
      <c r="Y16" s="35">
        <f>'FS Desroches Daily'!AR18</f>
        <v>250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230.00000000001819</v>
      </c>
      <c r="AC16" s="35">
        <f>'FS Desroches Daily'!AZ18</f>
        <v>159.99999999996817</v>
      </c>
      <c r="AD16" s="35">
        <f>'FS Desroches Daily'!BB18</f>
        <v>119.9999999999477</v>
      </c>
      <c r="AE16" s="35">
        <f>'FS Desroches Daily'!BD18</f>
        <v>69.999999999993179</v>
      </c>
      <c r="AF16" s="31">
        <f>'FS Desroches Daily'!BF18</f>
        <v>37</v>
      </c>
      <c r="AG16" s="32">
        <f>'FS Desroches Daily'!BH18</f>
        <v>50.000000000011369</v>
      </c>
      <c r="AH16" s="32">
        <f>'FS Desroches Daily'!BJ18</f>
        <v>30.000000000029559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31</v>
      </c>
      <c r="AM16" s="32">
        <f>'FS Desroches Daily'!BT18</f>
        <v>39.999999999992042</v>
      </c>
      <c r="AN16" s="32">
        <f>'FS Desroches Daily'!BV18</f>
        <v>34</v>
      </c>
      <c r="AO16" s="32">
        <f>'FS Desroches Daily'!BX18</f>
        <v>20.000000000010232</v>
      </c>
      <c r="AP16" s="32">
        <f>'FS Desroches Daily'!BZ18</f>
        <v>37</v>
      </c>
      <c r="AQ16" s="31">
        <f>'FS Desroches Daily'!CB18</f>
        <v>64.30000000000291</v>
      </c>
      <c r="AR16" s="31">
        <f>'FS Desroches Daily'!CD18</f>
        <v>12.400000000001455</v>
      </c>
      <c r="AS16" s="31">
        <f>'FS Desroches Daily'!CF18</f>
        <v>2.6000000000003638</v>
      </c>
      <c r="AT16" s="31">
        <f>'FS Desroches Daily'!CH18</f>
        <v>21.400000000008731</v>
      </c>
      <c r="AU16" s="31">
        <f>'FS Desroches Daily'!CJ18</f>
        <v>244</v>
      </c>
      <c r="AV16" s="31">
        <f>'FS Desroches Daily'!CL18</f>
        <v>699.99999999993179</v>
      </c>
      <c r="AW16" s="31">
        <f>'FS Desroches Daily'!CM18</f>
        <v>104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2700.0000000003688</v>
      </c>
      <c r="F17" s="32">
        <f>'FS Desroches Daily'!F19</f>
        <v>3099.9999999998809</v>
      </c>
      <c r="G17" s="31">
        <f>'FS Desroches Daily'!H19</f>
        <v>2799.9999999996917</v>
      </c>
      <c r="H17" s="32">
        <f>'FS Desroches Daily'!J19</f>
        <v>1399.9999999998458</v>
      </c>
      <c r="I17" s="31">
        <f>'FS Desroches Daily'!L19</f>
        <v>2000.0000000002237</v>
      </c>
      <c r="J17" s="32">
        <f>'FS Desroches Daily'!N19</f>
        <v>1400.0000000000678</v>
      </c>
      <c r="K17" s="13">
        <f>'FS Desroches Daily'!P19</f>
        <v>1</v>
      </c>
      <c r="L17" s="31">
        <f>'FS Desroches Daily'!R19</f>
        <v>5</v>
      </c>
      <c r="M17" s="31">
        <f>'FS Desroches Daily'!T19</f>
        <v>1.2999999999999545</v>
      </c>
      <c r="N17" s="31">
        <f>'FS Desroches Daily'!V19</f>
        <v>414.70000000001164</v>
      </c>
      <c r="O17" s="31">
        <f>'FS Desroches Daily'!X19</f>
        <v>300.00000000001137</v>
      </c>
      <c r="P17" s="31">
        <f>'FS Desroches Daily'!Z19</f>
        <v>2799.9999999996917</v>
      </c>
      <c r="Q17" s="31">
        <f>'FS Desroches Daily'!AB19</f>
        <v>250</v>
      </c>
      <c r="R17" s="31">
        <f>'FS Desroches Daily'!AD19</f>
        <v>420.00000000001592</v>
      </c>
      <c r="S17" s="31">
        <f>'FS Desroches Daily'!AF19</f>
        <v>540.00000000007731</v>
      </c>
      <c r="T17" s="31">
        <f>'FS Desroches Daily'!AH19</f>
        <v>38</v>
      </c>
      <c r="U17" s="35">
        <f>'FS Desroches Daily'!AJ19</f>
        <v>750</v>
      </c>
      <c r="V17" s="35">
        <f>'FS Desroches Daily'!AL19</f>
        <v>169.99999999998749</v>
      </c>
      <c r="W17" s="35">
        <f>'FS Desroches Daily'!AN19</f>
        <v>240.00000000000909</v>
      </c>
      <c r="X17" s="35">
        <f>'FS Desroches Daily'!AP19</f>
        <v>190.00000000002615</v>
      </c>
      <c r="Y17" s="35">
        <f>'FS Desroches Daily'!AR19</f>
        <v>230.00000000001819</v>
      </c>
      <c r="Z17" s="35">
        <f>'FS Desroches Daily'!AU20</f>
        <v>306.36</v>
      </c>
      <c r="AA17" s="35">
        <f>'FS Desroches Daily'!AU20</f>
        <v>306.36</v>
      </c>
      <c r="AB17" s="35">
        <f>'FS Desroches Daily'!AV19</f>
        <v>189.99999999999773</v>
      </c>
      <c r="AC17" s="35">
        <f>'FS Desroches Daily'!AZ19</f>
        <v>160.00000000002501</v>
      </c>
      <c r="AD17" s="35">
        <f>'FS Desroches Daily'!BB19</f>
        <v>110.00000000001364</v>
      </c>
      <c r="AE17" s="35">
        <f>'FS Desroches Daily'!BD19</f>
        <v>80.000000000012506</v>
      </c>
      <c r="AF17" s="31">
        <f>'FS Desroches Daily'!BF19</f>
        <v>36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31</v>
      </c>
      <c r="AM17" s="32">
        <f>'FS Desroches Daily'!BT19</f>
        <v>50.000000000011369</v>
      </c>
      <c r="AN17" s="32">
        <f>'FS Desroches Daily'!BV19</f>
        <v>36</v>
      </c>
      <c r="AO17" s="32">
        <f>'FS Desroches Daily'!BX19</f>
        <v>30.000000000001137</v>
      </c>
      <c r="AP17" s="32">
        <f>'FS Desroches Daily'!BZ19</f>
        <v>21</v>
      </c>
      <c r="AQ17" s="31">
        <f>'FS Desroches Daily'!CB19</f>
        <v>49.69999999999709</v>
      </c>
      <c r="AR17" s="31">
        <f>'FS Desroches Daily'!CD19</f>
        <v>13.099999999998545</v>
      </c>
      <c r="AS17" s="31">
        <f>'FS Desroches Daily'!CF19</f>
        <v>4</v>
      </c>
      <c r="AT17" s="31">
        <f>'FS Desroches Daily'!CH19</f>
        <v>41.19999999999709</v>
      </c>
      <c r="AU17" s="31">
        <f>'FS Desroches Daily'!CJ19</f>
        <v>292</v>
      </c>
      <c r="AV17" s="31">
        <f>'FS Desroches Daily'!CL19</f>
        <v>660.00000000008185</v>
      </c>
      <c r="AW17" s="31">
        <f>'FS Desroches Daily'!CM19</f>
        <v>96.599999999998545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3.6629999999999998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21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3099.9999999998809</v>
      </c>
      <c r="F18" s="32">
        <f>'FS Desroches Daily'!F20</f>
        <v>3300.0000000003029</v>
      </c>
      <c r="G18" s="31">
        <f>'FS Desroches Daily'!H20</f>
        <v>2899.9999999999027</v>
      </c>
      <c r="H18" s="32">
        <f>'FS Desroches Daily'!J20</f>
        <v>1400.0000000000678</v>
      </c>
      <c r="I18" s="31">
        <f>'FS Desroches Daily'!L20</f>
        <v>1999.9999999997797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5</v>
      </c>
      <c r="M18" s="31">
        <f>'FS Desroches Daily'!T20</f>
        <v>1.1000000000001364</v>
      </c>
      <c r="N18" s="31">
        <f>'FS Desroches Daily'!V20</f>
        <v>441.59999999997672</v>
      </c>
      <c r="O18" s="31">
        <f>'FS Desroches Daily'!X20</f>
        <v>339.99999999997499</v>
      </c>
      <c r="P18" s="31">
        <f>'FS Desroches Daily'!Z20</f>
        <v>3000.0000000001137</v>
      </c>
      <c r="Q18" s="31">
        <f>'FS Desroches Daily'!AB20</f>
        <v>439.99999999999773</v>
      </c>
      <c r="R18" s="31">
        <f>'FS Desroches Daily'!AD20</f>
        <v>509.99999999999091</v>
      </c>
      <c r="S18" s="31">
        <f>'FS Desroches Daily'!AF20</f>
        <v>579.99999999992724</v>
      </c>
      <c r="T18" s="31">
        <f>'FS Desroches Daily'!AH20</f>
        <v>39</v>
      </c>
      <c r="U18" s="35">
        <f>'FS Desroches Daily'!AJ20</f>
        <v>870.00000000000455</v>
      </c>
      <c r="V18" s="35">
        <f>'FS Desroches Daily'!AL20</f>
        <v>229.99999999998977</v>
      </c>
      <c r="W18" s="35">
        <f>'FS Desroches Daily'!AN20</f>
        <v>289.99999999999204</v>
      </c>
      <c r="X18" s="35">
        <f>'FS Desroches Daily'!AP20</f>
        <v>239.99999999998067</v>
      </c>
      <c r="Y18" s="35">
        <f>'FS Desroches Daily'!AR20</f>
        <v>290.00000000002046</v>
      </c>
      <c r="Z18" s="35">
        <f>'FS Desroches Daily'!AT20</f>
        <v>160.00000000002501</v>
      </c>
      <c r="AA18" s="35">
        <f>'FS Desroches Daily'!AT20</f>
        <v>160.00000000002501</v>
      </c>
      <c r="AB18" s="35">
        <f>'FS Desroches Daily'!AV20</f>
        <v>199.99999999998863</v>
      </c>
      <c r="AC18" s="35">
        <f>'FS Desroches Daily'!AZ20</f>
        <v>209.99999999997954</v>
      </c>
      <c r="AD18" s="35">
        <f>'FS Desroches Daily'!BB20</f>
        <v>160.00000000002501</v>
      </c>
      <c r="AE18" s="35">
        <f>'FS Desroches Daily'!BD20</f>
        <v>99.999999999994316</v>
      </c>
      <c r="AF18" s="31">
        <f>'FS Desroches Daily'!BF20</f>
        <v>24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49.999999999982947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32</v>
      </c>
      <c r="AM18" s="32">
        <f>'FS Desroches Daily'!BT20</f>
        <v>49.999999999982947</v>
      </c>
      <c r="AN18" s="32">
        <f>'FS Desroches Daily'!BV20</f>
        <v>47</v>
      </c>
      <c r="AO18" s="32">
        <f>'FS Desroches Daily'!BX20</f>
        <v>39.999999999992042</v>
      </c>
      <c r="AP18" s="32">
        <f>'FS Desroches Daily'!BZ20</f>
        <v>44</v>
      </c>
      <c r="AQ18" s="31">
        <f>'FS Desroches Daily'!CB20</f>
        <v>48.700000000004366</v>
      </c>
      <c r="AR18" s="31">
        <f>'FS Desroches Daily'!CD20</f>
        <v>10.900000000001455</v>
      </c>
      <c r="AS18" s="31">
        <f>'FS Desroches Daily'!CF20</f>
        <v>4</v>
      </c>
      <c r="AT18" s="31">
        <f>'FS Desroches Daily'!CH20</f>
        <v>35</v>
      </c>
      <c r="AU18" s="31">
        <f>'FS Desroches Daily'!CJ20</f>
        <v>267</v>
      </c>
      <c r="AV18" s="31">
        <f>'FS Desroches Daily'!CL20</f>
        <v>689.99999999994088</v>
      </c>
      <c r="AW18" s="31">
        <f>'FS Desroches Daily'!CM20</f>
        <v>82.900000000001455</v>
      </c>
      <c r="AX18" s="31">
        <f>IF(LPG!F25-LPG!F24&lt;0,"0",(LPG!F25-LPG!F24)*1.8315)</f>
        <v>7.3259999999999996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21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2699.9999999999245</v>
      </c>
      <c r="F19" s="32">
        <f>'FS Desroches Daily'!F21</f>
        <v>3200.0000000000919</v>
      </c>
      <c r="G19" s="31">
        <f>'FS Desroches Daily'!H21</f>
        <v>2700.0000000003688</v>
      </c>
      <c r="H19" s="32">
        <f>'FS Desroches Daily'!J21</f>
        <v>1500.0000000000568</v>
      </c>
      <c r="I19" s="31">
        <f>'FS Desroches Daily'!L21</f>
        <v>1900.0000000000127</v>
      </c>
      <c r="J19" s="32">
        <f>'FS Desroches Daily'!N21</f>
        <v>1300.0000000000789</v>
      </c>
      <c r="K19" s="13">
        <f>'FS Desroches Daily'!P21</f>
        <v>10</v>
      </c>
      <c r="L19" s="31">
        <f>'FS Desroches Daily'!R21</f>
        <v>5</v>
      </c>
      <c r="M19" s="31">
        <f>'FS Desroches Daily'!T21</f>
        <v>0.89999999999986358</v>
      </c>
      <c r="N19" s="31">
        <f>'FS Desroches Daily'!V21</f>
        <v>322.29999999998836</v>
      </c>
      <c r="O19" s="31">
        <f>'FS Desroches Daily'!X21</f>
        <v>319.99999999999318</v>
      </c>
      <c r="P19" s="31">
        <f>'FS Desroches Daily'!Z21</f>
        <v>3000.0000000001137</v>
      </c>
      <c r="Q19" s="31">
        <f>'FS Desroches Daily'!AB21</f>
        <v>290.00000000002046</v>
      </c>
      <c r="R19" s="31">
        <f>'FS Desroches Daily'!AD21</f>
        <v>439.99999999999773</v>
      </c>
      <c r="S19" s="31">
        <f>'FS Desroches Daily'!AF21</f>
        <v>470.00000000002728</v>
      </c>
      <c r="T19" s="31">
        <f>'FS Desroches Daily'!AH21</f>
        <v>37</v>
      </c>
      <c r="U19" s="35">
        <f>'FS Desroches Daily'!AJ21</f>
        <v>680.00000000006366</v>
      </c>
      <c r="V19" s="35">
        <f>'FS Desroches Daily'!AL21</f>
        <v>189.99999999999773</v>
      </c>
      <c r="W19" s="35">
        <f>'FS Desroches Daily'!AN21</f>
        <v>259.99999999999091</v>
      </c>
      <c r="X19" s="35">
        <f>'FS Desroches Daily'!AP21</f>
        <v>230.00000000001819</v>
      </c>
      <c r="Y19" s="35">
        <f>'FS Desroches Daily'!AR21</f>
        <v>240.00000000000909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180.00000000000682</v>
      </c>
      <c r="AC19" s="35">
        <f>'FS Desroches Daily'!AZ21</f>
        <v>160.00000000002501</v>
      </c>
      <c r="AD19" s="35">
        <f>'FS Desroches Daily'!BB21</f>
        <v>110.00000000001364</v>
      </c>
      <c r="AE19" s="35">
        <f>'FS Desroches Daily'!BD21</f>
        <v>90.000000000003411</v>
      </c>
      <c r="AF19" s="31">
        <f>'FS Desroches Daily'!BF21</f>
        <v>29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30.000000000001137</v>
      </c>
      <c r="AK19" s="32">
        <f>'FS Desroches Daily'!BP21</f>
        <v>39.99999999996362</v>
      </c>
      <c r="AL19" s="32">
        <f>'FS Desroches Daily'!BR21</f>
        <v>29</v>
      </c>
      <c r="AM19" s="32">
        <f>'FS Desroches Daily'!BT21</f>
        <v>39.999999999992042</v>
      </c>
      <c r="AN19" s="32">
        <f>'FS Desroches Daily'!BV21</f>
        <v>30</v>
      </c>
      <c r="AO19" s="32">
        <f>'FS Desroches Daily'!BX21</f>
        <v>20.000000000010232</v>
      </c>
      <c r="AP19" s="32">
        <f>'FS Desroches Daily'!BZ21</f>
        <v>42</v>
      </c>
      <c r="AQ19" s="31">
        <f>'FS Desroches Daily'!CB21</f>
        <v>66.599999999998545</v>
      </c>
      <c r="AR19" s="31">
        <f>'FS Desroches Daily'!CD21</f>
        <v>11</v>
      </c>
      <c r="AS19" s="31">
        <f>'FS Desroches Daily'!CF21</f>
        <v>11.399999999999636</v>
      </c>
      <c r="AT19" s="31">
        <f>'FS Desroches Daily'!CH21</f>
        <v>35.69999999999709</v>
      </c>
      <c r="AU19" s="31">
        <f>'FS Desroches Daily'!CJ21</f>
        <v>277</v>
      </c>
      <c r="AV19" s="31">
        <f>'FS Desroches Daily'!CL21</f>
        <v>669.99999999995907</v>
      </c>
      <c r="AW19" s="31">
        <f>'FS Desroches Daily'!CM21</f>
        <v>74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1.8314999999999999</v>
      </c>
      <c r="BB19" s="31">
        <f>IF(LPG!Q26-LPG!Q25&lt;0,"0",(LPG!Q26-LPG!Q25)*1.8315)</f>
        <v>5.4944999999999995</v>
      </c>
      <c r="BC19" s="13">
        <f>'FS Desroches Daily'!CN21</f>
        <v>20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2699.9999999999245</v>
      </c>
      <c r="F20" s="32">
        <f>'FS Desroches Daily'!F22</f>
        <v>3299.9999999998586</v>
      </c>
      <c r="G20" s="31">
        <f>'FS Desroches Daily'!H22</f>
        <v>2999.9999999996694</v>
      </c>
      <c r="H20" s="32">
        <f>'FS Desroches Daily'!J22</f>
        <v>1399.9999999998458</v>
      </c>
      <c r="I20" s="31">
        <f>'FS Desroches Daily'!L22</f>
        <v>2000.0000000002237</v>
      </c>
      <c r="J20" s="32">
        <f>'FS Desroches Daily'!N22</f>
        <v>1500.0000000000568</v>
      </c>
      <c r="K20" s="13">
        <f>'FS Desroches Daily'!P22</f>
        <v>4</v>
      </c>
      <c r="L20" s="31">
        <f>'FS Desroches Daily'!R22</f>
        <v>4</v>
      </c>
      <c r="M20" s="31">
        <f>'FS Desroches Daily'!T22</f>
        <v>1.1000000000001364</v>
      </c>
      <c r="N20" s="31">
        <f>'FS Desroches Daily'!V22</f>
        <v>447.30000000004657</v>
      </c>
      <c r="O20" s="31">
        <f>'FS Desroches Daily'!X22</f>
        <v>300.00000000001137</v>
      </c>
      <c r="P20" s="31">
        <f>'FS Desroches Daily'!Z22</f>
        <v>2699.9999999999245</v>
      </c>
      <c r="Q20" s="31">
        <f>'FS Desroches Daily'!AB22</f>
        <v>399.99999999997726</v>
      </c>
      <c r="R20" s="31">
        <f>'FS Desroches Daily'!AD22</f>
        <v>419.99999999995907</v>
      </c>
      <c r="S20" s="31">
        <f>'FS Desroches Daily'!AF22</f>
        <v>509.99999999999091</v>
      </c>
      <c r="T20" s="31">
        <f>'FS Desroches Daily'!AH22</f>
        <v>35</v>
      </c>
      <c r="U20" s="35">
        <f>'FS Desroches Daily'!AJ22</f>
        <v>569.99999999993634</v>
      </c>
      <c r="V20" s="35">
        <f>'FS Desroches Daily'!AL22</f>
        <v>210.00000000000796</v>
      </c>
      <c r="W20" s="35">
        <f>'FS Desroches Daily'!AN22</f>
        <v>230.00000000001819</v>
      </c>
      <c r="X20" s="35">
        <f>'FS Desroches Daily'!AP22</f>
        <v>199.99999999998863</v>
      </c>
      <c r="Y20" s="35">
        <f>'FS Desroches Daily'!AR22</f>
        <v>219.99999999997044</v>
      </c>
      <c r="Z20" s="35">
        <f>'FS Desroches Daily'!AT22</f>
        <v>159.99999999996817</v>
      </c>
      <c r="AA20" s="35">
        <f>'FS Desroches Daily'!AT22</f>
        <v>159.99999999996817</v>
      </c>
      <c r="AB20" s="35">
        <f>'FS Desroches Daily'!AV22</f>
        <v>149.99999999997726</v>
      </c>
      <c r="AC20" s="35">
        <f>'FS Desroches Daily'!AZ22</f>
        <v>129.99999999999545</v>
      </c>
      <c r="AD20" s="35">
        <f>'FS Desroches Daily'!BB22</f>
        <v>99.999999999965894</v>
      </c>
      <c r="AE20" s="35">
        <f>'FS Desroches Daily'!BD22</f>
        <v>69.999999999993179</v>
      </c>
      <c r="AF20" s="31">
        <f>'FS Desroches Daily'!BF22</f>
        <v>23</v>
      </c>
      <c r="AG20" s="32">
        <f>'FS Desroches Daily'!BH22</f>
        <v>39.999999999992042</v>
      </c>
      <c r="AH20" s="32">
        <f>'FS Desroches Daily'!BJ22</f>
        <v>19.99999999998181</v>
      </c>
      <c r="AI20" s="32">
        <f>'FS Desroches Daily'!BL22</f>
        <v>50.000000000011369</v>
      </c>
      <c r="AJ20" s="32">
        <f>'FS Desroches Daily'!BN22</f>
        <v>40.000000000020464</v>
      </c>
      <c r="AK20" s="32">
        <f>'FS Desroches Daily'!BP22</f>
        <v>50.000000000011369</v>
      </c>
      <c r="AL20" s="32">
        <f>'FS Desroches Daily'!BR22</f>
        <v>29</v>
      </c>
      <c r="AM20" s="32">
        <f>'FS Desroches Daily'!BT22</f>
        <v>50.000000000011369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65.799999999995634</v>
      </c>
      <c r="AR20" s="31">
        <f>'FS Desroches Daily'!CD22</f>
        <v>8.0999999999985448</v>
      </c>
      <c r="AS20" s="31">
        <f>'FS Desroches Daily'!CF22</f>
        <v>7.7000000000007276</v>
      </c>
      <c r="AT20" s="31">
        <f>'FS Desroches Daily'!CH22</f>
        <v>26.400000000008731</v>
      </c>
      <c r="AU20" s="31">
        <f>'FS Desroches Daily'!CJ22</f>
        <v>281</v>
      </c>
      <c r="AV20" s="31">
        <f>'FS Desroches Daily'!CL22</f>
        <v>650.00000000009095</v>
      </c>
      <c r="AW20" s="31">
        <f>'FS Desroches Daily'!CM22</f>
        <v>54</v>
      </c>
      <c r="AX20" s="31">
        <f>IF(LPG!F27-LPG!F26&lt;0,"0",(LPG!F27-LPG!F26)*1.8315)</f>
        <v>7.3259999999999996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21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2800.0000000001355</v>
      </c>
      <c r="F21" s="32">
        <f>'FS Desroches Daily'!F23</f>
        <v>3400.0000000000696</v>
      </c>
      <c r="G21" s="31">
        <f>'FS Desroches Daily'!H23</f>
        <v>2700.0000000003688</v>
      </c>
      <c r="H21" s="32">
        <f>'FS Desroches Daily'!J23</f>
        <v>1400.0000000000678</v>
      </c>
      <c r="I21" s="31">
        <f>'FS Desroches Daily'!L23</f>
        <v>1999.9999999997797</v>
      </c>
      <c r="J21" s="32">
        <f>'FS Desroches Daily'!N23</f>
        <v>1299.9999999998568</v>
      </c>
      <c r="K21" s="13">
        <f>'FS Desroches Daily'!P23</f>
        <v>10</v>
      </c>
      <c r="L21" s="31">
        <f>'FS Desroches Daily'!R23</f>
        <v>5</v>
      </c>
      <c r="M21" s="31">
        <f>'FS Desroches Daily'!T23</f>
        <v>1.0999999999999091</v>
      </c>
      <c r="N21" s="31">
        <f>'FS Desroches Daily'!V23</f>
        <v>457.09999999997672</v>
      </c>
      <c r="O21" s="31">
        <f>'FS Desroches Daily'!X23</f>
        <v>349.99999999996589</v>
      </c>
      <c r="P21" s="31">
        <f>'FS Desroches Daily'!Z23</f>
        <v>3099.9999999998809</v>
      </c>
      <c r="Q21" s="31">
        <f>'FS Desroches Daily'!AB23</f>
        <v>240.00000000000909</v>
      </c>
      <c r="R21" s="31">
        <f>'FS Desroches Daily'!AD23</f>
        <v>460.00000000003638</v>
      </c>
      <c r="S21" s="31">
        <f>'FS Desroches Daily'!AF23</f>
        <v>540.00000000007731</v>
      </c>
      <c r="T21" s="31">
        <f>'FS Desroches Daily'!AH23</f>
        <v>39</v>
      </c>
      <c r="U21" s="35">
        <f>'FS Desroches Daily'!AJ23</f>
        <v>639.99999999998636</v>
      </c>
      <c r="V21" s="35">
        <f>'FS Desroches Daily'!AL23</f>
        <v>180.00000000000682</v>
      </c>
      <c r="W21" s="35">
        <f>'FS Desroches Daily'!AN23</f>
        <v>239.99999999998067</v>
      </c>
      <c r="X21" s="35">
        <f>'FS Desroches Daily'!AP23</f>
        <v>219.99999999999886</v>
      </c>
      <c r="Y21" s="35">
        <f>'FS Desroches Daily'!AR23</f>
        <v>259.99999999999091</v>
      </c>
      <c r="Z21" s="35">
        <f>'FS Desroches Daily'!AT23</f>
        <v>189.99999999999773</v>
      </c>
      <c r="AA21" s="35">
        <f>'FS Desroches Daily'!AT23</f>
        <v>189.99999999999773</v>
      </c>
      <c r="AB21" s="35">
        <f>'FS Desroches Daily'!AV23</f>
        <v>209.99999999997954</v>
      </c>
      <c r="AC21" s="35">
        <f>'FS Desroches Daily'!AZ23</f>
        <v>169.99999999995907</v>
      </c>
      <c r="AD21" s="35">
        <f>'FS Desroches Daily'!BB23</f>
        <v>110.00000000001364</v>
      </c>
      <c r="AE21" s="35">
        <f>'FS Desroches Daily'!BD23</f>
        <v>90.000000000003411</v>
      </c>
      <c r="AF21" s="31">
        <f>'FS Desroches Daily'!BF23</f>
        <v>31</v>
      </c>
      <c r="AG21" s="32">
        <f>'FS Desroches Daily'!BH23</f>
        <v>30.000000000001137</v>
      </c>
      <c r="AH21" s="32">
        <f>'FS Desroches Daily'!BJ23</f>
        <v>30.000000000029559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60.000000000002274</v>
      </c>
      <c r="AL21" s="32">
        <f>'FS Desroches Daily'!BR23</f>
        <v>31</v>
      </c>
      <c r="AM21" s="32">
        <f>'FS Desroches Daily'!BT23</f>
        <v>50.000000000011369</v>
      </c>
      <c r="AN21" s="32">
        <f>'FS Desroches Daily'!BV23</f>
        <v>38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65.30000000000291</v>
      </c>
      <c r="AR21" s="31">
        <f>'FS Desroches Daily'!CD23</f>
        <v>10.5</v>
      </c>
      <c r="AS21" s="31">
        <f>'FS Desroches Daily'!CF23</f>
        <v>0.8999999999996362</v>
      </c>
      <c r="AT21" s="31">
        <f>'FS Desroches Daily'!CH23</f>
        <v>32.299999999988358</v>
      </c>
      <c r="AU21" s="31">
        <f>'FS Desroches Daily'!CJ23</f>
        <v>278</v>
      </c>
      <c r="AV21" s="31">
        <f>'FS Desroches Daily'!CL23</f>
        <v>589.99999999991815</v>
      </c>
      <c r="AW21" s="31">
        <f>'FS Desroches Daily'!CM23</f>
        <v>65.599999999998545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1.8314999999999999</v>
      </c>
      <c r="BA21" s="31">
        <f>IF(LPG!M28-LPG!M27&lt;0,"0",(LPG!M28-LPG!M27)*1.8315)</f>
        <v>3.6629999999999998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2499.9999999999468</v>
      </c>
      <c r="F22" s="32">
        <f>'FS Desroches Daily'!F24</f>
        <v>3200.0000000000919</v>
      </c>
      <c r="G22" s="31">
        <f>'FS Desroches Daily'!H24</f>
        <v>2499.9999999999468</v>
      </c>
      <c r="H22" s="32">
        <f>'FS Desroches Daily'!J24</f>
        <v>1300.0000000000789</v>
      </c>
      <c r="I22" s="31">
        <f>'FS Desroches Daily'!L24</f>
        <v>1799.9999999998017</v>
      </c>
      <c r="J22" s="32">
        <f>'FS Desroches Daily'!N24</f>
        <v>1500.0000000000568</v>
      </c>
      <c r="K22" s="13">
        <f>'FS Desroches Daily'!P24</f>
        <v>17</v>
      </c>
      <c r="L22" s="31">
        <f>'FS Desroches Daily'!R24</f>
        <v>5</v>
      </c>
      <c r="M22" s="31">
        <f>'FS Desroches Daily'!T24</f>
        <v>1</v>
      </c>
      <c r="N22" s="31">
        <f>'FS Desroches Daily'!V24</f>
        <v>311.29999999998836</v>
      </c>
      <c r="O22" s="31">
        <f>'FS Desroches Daily'!X24</f>
        <v>400.00000000003411</v>
      </c>
      <c r="P22" s="31">
        <f>'FS Desroches Daily'!Z24</f>
        <v>3000.0000000001137</v>
      </c>
      <c r="Q22" s="31">
        <f>'FS Desroches Daily'!AB24</f>
        <v>439.99999999999773</v>
      </c>
      <c r="R22" s="31">
        <f>'FS Desroches Daily'!AD24</f>
        <v>469.99999999997044</v>
      </c>
      <c r="S22" s="31">
        <f>'FS Desroches Daily'!AF24</f>
        <v>549.99999999995453</v>
      </c>
      <c r="T22" s="31">
        <f>'FS Desroches Daily'!AH24</f>
        <v>36</v>
      </c>
      <c r="U22" s="35">
        <f>'FS Desroches Daily'!AJ24</f>
        <v>639.99999999998636</v>
      </c>
      <c r="V22" s="35">
        <f>'FS Desroches Daily'!AL24</f>
        <v>189.99999999999773</v>
      </c>
      <c r="W22" s="35">
        <f>'FS Desroches Daily'!AN24</f>
        <v>200.00000000001705</v>
      </c>
      <c r="X22" s="35">
        <f>'FS Desroches Daily'!AP24</f>
        <v>199.99999999998863</v>
      </c>
      <c r="Y22" s="35">
        <f>'FS Desroches Daily'!AR24</f>
        <v>250</v>
      </c>
      <c r="Z22" s="35">
        <f>'FS Desroches Daily'!AT24</f>
        <v>240.00000000000909</v>
      </c>
      <c r="AA22" s="35">
        <f>'FS Desroches Daily'!AT24</f>
        <v>240.00000000000909</v>
      </c>
      <c r="AB22" s="35">
        <f>'FS Desroches Daily'!AV24</f>
        <v>220.00000000002728</v>
      </c>
      <c r="AC22" s="35">
        <f>'FS Desroches Daily'!AZ24</f>
        <v>210.00000000003638</v>
      </c>
      <c r="AD22" s="35">
        <f>'FS Desroches Daily'!BB24</f>
        <v>120.00000000000455</v>
      </c>
      <c r="AE22" s="35">
        <f>'FS Desroches Daily'!BD24</f>
        <v>90.000000000003411</v>
      </c>
      <c r="AF22" s="31">
        <f>'FS Desroches Daily'!BF24</f>
        <v>23</v>
      </c>
      <c r="AG22" s="32">
        <f>'FS Desroches Daily'!BH24</f>
        <v>30.000000000001137</v>
      </c>
      <c r="AH22" s="32">
        <f>'FS Desroches Daily'!BJ24</f>
        <v>19.99999999998181</v>
      </c>
      <c r="AI22" s="32">
        <f>'FS Desroches Daily'!BL24</f>
        <v>50.000000000011369</v>
      </c>
      <c r="AJ22" s="32">
        <f>'FS Desroches Daily'!BN24</f>
        <v>30.000000000001137</v>
      </c>
      <c r="AK22" s="32">
        <f>'FS Desroches Daily'!BP24</f>
        <v>60.000000000002274</v>
      </c>
      <c r="AL22" s="32">
        <f>'FS Desroches Daily'!BR24</f>
        <v>26</v>
      </c>
      <c r="AM22" s="32">
        <f>'FS Desroches Daily'!BT24</f>
        <v>39.999999999992042</v>
      </c>
      <c r="AN22" s="32">
        <f>'FS Desroches Daily'!BV24</f>
        <v>31</v>
      </c>
      <c r="AO22" s="32">
        <f>'FS Desroches Daily'!BX24</f>
        <v>30.000000000001137</v>
      </c>
      <c r="AP22" s="32">
        <f>'FS Desroches Daily'!BZ24</f>
        <v>34</v>
      </c>
      <c r="AQ22" s="31">
        <f>'FS Desroches Daily'!CB24</f>
        <v>69.19999999999709</v>
      </c>
      <c r="AR22" s="31">
        <f>'FS Desroches Daily'!CD24</f>
        <v>9.5</v>
      </c>
      <c r="AS22" s="31">
        <f>'FS Desroches Daily'!CF24</f>
        <v>11.699999999999818</v>
      </c>
      <c r="AT22" s="31">
        <f>'FS Desroches Daily'!CH24</f>
        <v>27.600000000005821</v>
      </c>
      <c r="AU22" s="31">
        <f>'FS Desroches Daily'!CJ24</f>
        <v>293</v>
      </c>
      <c r="AV22" s="31">
        <f>'FS Desroches Daily'!CL24</f>
        <v>530.0000000000864</v>
      </c>
      <c r="AW22" s="31">
        <f>'FS Desroches Daily'!CM24</f>
        <v>78.900000000001455</v>
      </c>
      <c r="AX22" s="31">
        <f>IF(LPG!F29-LPG!F28&lt;0,"0",(LPG!F29-LPG!F28)*1.8315)</f>
        <v>7.3259999999999996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1.8314999999999999</v>
      </c>
      <c r="BB22" s="31">
        <f>IF(LPG!Q29-LPG!Q28&lt;0,"0",(LPG!Q29-LPG!Q28)*1.8315)</f>
        <v>3.6629999999999998</v>
      </c>
      <c r="BC22" s="13">
        <f>'FS Desroches Daily'!CN24</f>
        <v>20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3000.0000000001137</v>
      </c>
      <c r="F23" s="32">
        <f>'FS Desroches Daily'!F25</f>
        <v>3399.9999999996257</v>
      </c>
      <c r="G23" s="31">
        <f>'FS Desroches Daily'!H25</f>
        <v>2799.9999999996917</v>
      </c>
      <c r="H23" s="32">
        <f>'FS Desroches Daily'!J25</f>
        <v>1499.9999999998347</v>
      </c>
      <c r="I23" s="31">
        <f>'FS Desroches Daily'!L25</f>
        <v>2099.9999999999909</v>
      </c>
      <c r="J23" s="32">
        <f>'FS Desroches Daily'!N25</f>
        <v>1700.0000000000348</v>
      </c>
      <c r="K23" s="13">
        <f>'FS Desroches Daily'!P25</f>
        <v>12</v>
      </c>
      <c r="L23" s="31">
        <f>'FS Desroches Daily'!R25</f>
        <v>5</v>
      </c>
      <c r="M23" s="31">
        <f>'FS Desroches Daily'!T25</f>
        <v>0.90000000000009095</v>
      </c>
      <c r="N23" s="31">
        <f>'FS Desroches Daily'!V25</f>
        <v>324.70000000001164</v>
      </c>
      <c r="O23" s="31">
        <f>'FS Desroches Daily'!X25</f>
        <v>379.99999999999545</v>
      </c>
      <c r="P23" s="31">
        <f>'FS Desroches Daily'!Z25</f>
        <v>2899.9999999999027</v>
      </c>
      <c r="Q23" s="31">
        <f>'FS Desroches Daily'!AB25</f>
        <v>469.99999999997044</v>
      </c>
      <c r="R23" s="31">
        <f>'FS Desroches Daily'!AD25</f>
        <v>470.00000000002728</v>
      </c>
      <c r="S23" s="31">
        <f>'FS Desroches Daily'!AF25</f>
        <v>620.00000000000455</v>
      </c>
      <c r="T23" s="31">
        <f>'FS Desroches Daily'!AH25</f>
        <v>40</v>
      </c>
      <c r="U23" s="35">
        <f>'FS Desroches Daily'!AJ25</f>
        <v>650.00000000009095</v>
      </c>
      <c r="V23" s="35">
        <f>'FS Desroches Daily'!AL25</f>
        <v>219.99999999999886</v>
      </c>
      <c r="W23" s="35">
        <f>'FS Desroches Daily'!AN25</f>
        <v>139.99999999998636</v>
      </c>
      <c r="X23" s="35">
        <f>'FS Desroches Daily'!AP25</f>
        <v>250</v>
      </c>
      <c r="Y23" s="35">
        <f>'FS Desroches Daily'!AR25</f>
        <v>300.00000000001137</v>
      </c>
      <c r="Z23" s="35">
        <f>'FS Desroches Daily'!AT25</f>
        <v>230.00000000001819</v>
      </c>
      <c r="AA23" s="35">
        <f>'FS Desroches Daily'!AT25</f>
        <v>230.00000000001819</v>
      </c>
      <c r="AB23" s="35">
        <f>'FS Desroches Daily'!AV25</f>
        <v>199.99999999998863</v>
      </c>
      <c r="AC23" s="35">
        <f>'FS Desroches Daily'!AZ25</f>
        <v>189.99999999999773</v>
      </c>
      <c r="AD23" s="35">
        <f>'FS Desroches Daily'!BB25</f>
        <v>129.99999999999545</v>
      </c>
      <c r="AE23" s="35">
        <f>'FS Desroches Daily'!BD25</f>
        <v>69.999999999993179</v>
      </c>
      <c r="AF23" s="31">
        <f>'FS Desroches Daily'!BF25</f>
        <v>29</v>
      </c>
      <c r="AG23" s="32">
        <f>'FS Desroches Daily'!BH25</f>
        <v>39.999999999992042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50.000000000011369</v>
      </c>
      <c r="AL23" s="32">
        <f>'FS Desroches Daily'!BR25</f>
        <v>39</v>
      </c>
      <c r="AM23" s="32">
        <f>'FS Desroches Daily'!BT25</f>
        <v>39.999999999992042</v>
      </c>
      <c r="AN23" s="32">
        <f>'FS Desroches Daily'!BV25</f>
        <v>41</v>
      </c>
      <c r="AO23" s="32">
        <f>'FS Desroches Daily'!BX25</f>
        <v>30.000000000001137</v>
      </c>
      <c r="AP23" s="32">
        <f>'FS Desroches Daily'!BZ25</f>
        <v>38</v>
      </c>
      <c r="AQ23" s="31">
        <f>'FS Desroches Daily'!CB25</f>
        <v>69.200000000004366</v>
      </c>
      <c r="AR23" s="31">
        <f>'FS Desroches Daily'!CD25</f>
        <v>11.900000000001455</v>
      </c>
      <c r="AS23" s="31">
        <f>'FS Desroches Daily'!CF25</f>
        <v>0.3000000000001819</v>
      </c>
      <c r="AT23" s="31">
        <f>'FS Desroches Daily'!CH25</f>
        <v>24.19999999999709</v>
      </c>
      <c r="AU23" s="31">
        <f>'FS Desroches Daily'!CJ25</f>
        <v>269</v>
      </c>
      <c r="AV23" s="31">
        <f>'FS Desroches Daily'!CL25</f>
        <v>699.99999999993179</v>
      </c>
      <c r="AW23" s="31">
        <f>'FS Desroches Daily'!CM25</f>
        <v>87.299999999999272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25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64799.999999999993</v>
      </c>
      <c r="F33" s="17">
        <f t="shared" ref="F33:BC33" si="1">SUM(F2:F32)</f>
        <v>72600.000000000015</v>
      </c>
      <c r="G33" s="17">
        <f t="shared" si="1"/>
        <v>63099.999999999956</v>
      </c>
      <c r="H33" s="17">
        <f t="shared" si="1"/>
        <v>32599.999999999975</v>
      </c>
      <c r="I33" s="17">
        <f t="shared" si="1"/>
        <v>46199.999999999804</v>
      </c>
      <c r="J33" s="17">
        <f t="shared" si="1"/>
        <v>33700.000000000073</v>
      </c>
      <c r="K33" s="17">
        <f t="shared" si="1"/>
        <v>202</v>
      </c>
      <c r="L33" s="17">
        <f t="shared" si="1"/>
        <v>112</v>
      </c>
      <c r="M33" s="17">
        <f t="shared" si="1"/>
        <v>23.799999999999955</v>
      </c>
      <c r="N33" s="17">
        <f t="shared" si="1"/>
        <v>8327.2000000000116</v>
      </c>
      <c r="O33" s="17">
        <f t="shared" si="1"/>
        <v>8000.0000000000555</v>
      </c>
      <c r="P33" s="17">
        <f t="shared" si="1"/>
        <v>64699.999999999782</v>
      </c>
      <c r="Q33" s="17">
        <f t="shared" si="1"/>
        <v>8250</v>
      </c>
      <c r="R33" s="17">
        <f t="shared" si="1"/>
        <v>11470.000000000027</v>
      </c>
      <c r="S33" s="17">
        <f t="shared" si="1"/>
        <v>11769.999999999982</v>
      </c>
      <c r="T33" s="17">
        <f t="shared" si="1"/>
        <v>812</v>
      </c>
      <c r="U33" s="35">
        <f t="shared" si="1"/>
        <v>16379.999999999989</v>
      </c>
      <c r="V33" s="35">
        <f t="shared" si="1"/>
        <v>4879.9999999999955</v>
      </c>
      <c r="W33" s="35">
        <f t="shared" si="1"/>
        <v>5199.9999999999891</v>
      </c>
      <c r="X33" s="35">
        <f t="shared" si="1"/>
        <v>4949.9999999999891</v>
      </c>
      <c r="Y33" s="35">
        <f t="shared" si="1"/>
        <v>4990.0000000000091</v>
      </c>
      <c r="Z33" s="35">
        <f t="shared" si="1"/>
        <v>4566.3600000000479</v>
      </c>
      <c r="AA33" s="35">
        <f t="shared" si="1"/>
        <v>4566.3600000000479</v>
      </c>
      <c r="AB33" s="35">
        <f t="shared" si="1"/>
        <v>4860.0000000000146</v>
      </c>
      <c r="AC33" s="35">
        <f t="shared" si="1"/>
        <v>4160.0000000000255</v>
      </c>
      <c r="AD33" s="35">
        <f t="shared" si="1"/>
        <v>3420.0000000000159</v>
      </c>
      <c r="AE33" s="35">
        <f t="shared" si="1"/>
        <v>2240.0000000000095</v>
      </c>
      <c r="AF33" s="17">
        <f t="shared" si="1"/>
        <v>643</v>
      </c>
      <c r="AG33" s="32">
        <f t="shared" si="1"/>
        <v>919.99999999998749</v>
      </c>
      <c r="AH33" s="32">
        <f t="shared" si="1"/>
        <v>600.00000000002274</v>
      </c>
      <c r="AI33" s="32">
        <f t="shared" si="1"/>
        <v>1030.0000000000011</v>
      </c>
      <c r="AJ33" s="32">
        <f t="shared" si="1"/>
        <v>849.99999999999432</v>
      </c>
      <c r="AK33" s="32">
        <f t="shared" si="1"/>
        <v>1170.0000000000159</v>
      </c>
      <c r="AL33" s="32">
        <f t="shared" si="1"/>
        <v>728</v>
      </c>
      <c r="AM33" s="32">
        <f t="shared" si="1"/>
        <v>930.00000000000682</v>
      </c>
      <c r="AN33" s="32">
        <f t="shared" si="1"/>
        <v>804</v>
      </c>
      <c r="AO33" s="32">
        <f t="shared" si="1"/>
        <v>730.00000000001819</v>
      </c>
      <c r="AP33" s="32">
        <f t="shared" si="1"/>
        <v>874</v>
      </c>
      <c r="AQ33" s="17">
        <f t="shared" si="1"/>
        <v>1343.9000000000015</v>
      </c>
      <c r="AR33" s="17">
        <f t="shared" si="1"/>
        <v>251.40000000000146</v>
      </c>
      <c r="AS33" s="17">
        <f t="shared" si="1"/>
        <v>130.60000000000036</v>
      </c>
      <c r="AT33" s="17">
        <f t="shared" si="1"/>
        <v>803</v>
      </c>
      <c r="AU33" s="17">
        <f t="shared" si="1"/>
        <v>6284</v>
      </c>
      <c r="AV33" s="17">
        <f t="shared" si="1"/>
        <v>14809.999999999945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131.86799999999999</v>
      </c>
      <c r="BC33" s="17">
        <f t="shared" si="1"/>
        <v>509</v>
      </c>
    </row>
    <row r="35" spans="5:55" x14ac:dyDescent="0.25">
      <c r="E35" s="38">
        <f>E33/E37</f>
        <v>0.25122316215524659</v>
      </c>
      <c r="G35" s="29">
        <f>G33-M36</f>
        <v>54748.999999999942</v>
      </c>
      <c r="AE35" s="35">
        <f>SUM(U33:AE33)</f>
        <v>60212.720000000125</v>
      </c>
      <c r="AG35" s="32">
        <f>SUM(AG33:AP33)</f>
        <v>8636.0000000000473</v>
      </c>
    </row>
    <row r="36" spans="5:55" x14ac:dyDescent="0.25">
      <c r="G36" s="29">
        <f>G35-633*14</f>
        <v>45886.999999999942</v>
      </c>
      <c r="M36" s="29">
        <f>M33+N33</f>
        <v>8351.0000000000109</v>
      </c>
    </row>
    <row r="37" spans="5:55" x14ac:dyDescent="0.25">
      <c r="E37" s="17">
        <f>E33+F33+G33+H33+J33-633*14</f>
        <v>257938</v>
      </c>
      <c r="G37" s="37">
        <f>M36/E37</f>
        <v>3.2375997332692398E-2</v>
      </c>
      <c r="M37" s="35">
        <f>AE35</f>
        <v>60212.720000000125</v>
      </c>
    </row>
    <row r="38" spans="5:55" x14ac:dyDescent="0.25">
      <c r="L38" s="27">
        <f>M38/E37</f>
        <v>3.3480914018097559E-2</v>
      </c>
      <c r="M38" s="29">
        <f>AG35</f>
        <v>8636.0000000000473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CK1" zoomScale="90" zoomScaleNormal="90" workbookViewId="0">
      <pane ySplit="1" topLeftCell="A17" activePane="bottomLeft" state="frozen"/>
      <selection pane="bottomLeft" activeCell="CX25" sqref="CX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>
        <v>15389</v>
      </c>
      <c r="P11" s="67">
        <f t="shared" si="6"/>
        <v>9</v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>
        <v>20</v>
      </c>
      <c r="CO11" s="62">
        <v>45</v>
      </c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>
        <v>2.5988000000000002</v>
      </c>
      <c r="D12" s="64">
        <f t="shared" si="0"/>
        <v>2900.0000000003465</v>
      </c>
      <c r="E12" s="58">
        <v>3.6440000000000001</v>
      </c>
      <c r="F12" s="64">
        <f t="shared" si="1"/>
        <v>3400.0000000000696</v>
      </c>
      <c r="G12" s="58">
        <v>3.6764000000000001</v>
      </c>
      <c r="H12" s="64">
        <f t="shared" si="2"/>
        <v>2800.0000000001355</v>
      </c>
      <c r="I12" s="58">
        <v>1.8225</v>
      </c>
      <c r="J12" s="64">
        <f t="shared" si="3"/>
        <v>1400.0000000000678</v>
      </c>
      <c r="K12" s="58">
        <v>2.9104000000000001</v>
      </c>
      <c r="L12" s="64">
        <f t="shared" si="4"/>
        <v>2200.0000000002019</v>
      </c>
      <c r="M12" s="58">
        <v>1.6011</v>
      </c>
      <c r="N12" s="64">
        <f t="shared" si="5"/>
        <v>1500.0000000000568</v>
      </c>
      <c r="O12" s="58">
        <v>15392</v>
      </c>
      <c r="P12" s="67">
        <f t="shared" si="6"/>
        <v>3</v>
      </c>
      <c r="Q12" s="58">
        <v>1506</v>
      </c>
      <c r="R12" s="67">
        <f t="shared" si="7"/>
        <v>5</v>
      </c>
      <c r="S12" s="58">
        <v>1114.5</v>
      </c>
      <c r="T12" s="67">
        <f t="shared" si="8"/>
        <v>1</v>
      </c>
      <c r="U12" s="58">
        <v>463405.6</v>
      </c>
      <c r="V12" s="67">
        <f t="shared" si="9"/>
        <v>377.89999999996508</v>
      </c>
      <c r="W12" s="58">
        <v>436.72</v>
      </c>
      <c r="X12" s="65">
        <f t="shared" si="10"/>
        <v>260.00000000004775</v>
      </c>
      <c r="Y12" s="58">
        <v>3.1941999999999999</v>
      </c>
      <c r="Z12" s="65">
        <f t="shared" si="11"/>
        <v>3000.0000000001137</v>
      </c>
      <c r="AA12" s="58">
        <v>437.67</v>
      </c>
      <c r="AB12" s="65">
        <f t="shared" si="12"/>
        <v>270.00000000003865</v>
      </c>
      <c r="AC12" s="58">
        <v>415.28</v>
      </c>
      <c r="AD12" s="65">
        <f t="shared" si="13"/>
        <v>549.99999999995453</v>
      </c>
      <c r="AE12" s="58">
        <v>609.22</v>
      </c>
      <c r="AF12" s="65">
        <f t="shared" si="14"/>
        <v>570.00000000005002</v>
      </c>
      <c r="AG12" s="58">
        <v>9279</v>
      </c>
      <c r="AH12" s="67">
        <f t="shared" si="15"/>
        <v>36</v>
      </c>
      <c r="AI12" s="58">
        <v>699.35</v>
      </c>
      <c r="AJ12" s="65">
        <f t="shared" si="16"/>
        <v>930.00000000006366</v>
      </c>
      <c r="AK12" s="58">
        <v>233.25</v>
      </c>
      <c r="AL12" s="65">
        <f t="shared" si="17"/>
        <v>219.99999999999886</v>
      </c>
      <c r="AM12" s="58">
        <v>218</v>
      </c>
      <c r="AN12" s="65">
        <f t="shared" si="18"/>
        <v>219.99999999999886</v>
      </c>
      <c r="AO12" s="58">
        <v>211.5</v>
      </c>
      <c r="AP12" s="65">
        <f t="shared" si="19"/>
        <v>189.99999999999773</v>
      </c>
      <c r="AQ12" s="58">
        <v>268.69</v>
      </c>
      <c r="AR12" s="65">
        <f t="shared" si="20"/>
        <v>149.99999999997726</v>
      </c>
      <c r="AS12" s="58">
        <v>397.62</v>
      </c>
      <c r="AT12" s="65">
        <f t="shared" si="21"/>
        <v>149.99999999997726</v>
      </c>
      <c r="AU12" s="58">
        <v>304.61</v>
      </c>
      <c r="AV12" s="65">
        <f t="shared" si="22"/>
        <v>189.99999999999773</v>
      </c>
      <c r="AW12" s="58">
        <v>336.32</v>
      </c>
      <c r="AX12" s="65">
        <f t="shared" si="23"/>
        <v>139.99999999998636</v>
      </c>
      <c r="AY12" s="58">
        <v>374.46</v>
      </c>
      <c r="AZ12" s="65">
        <f t="shared" si="24"/>
        <v>199.99999999998863</v>
      </c>
      <c r="BA12" s="58">
        <v>391.9</v>
      </c>
      <c r="BB12" s="65">
        <f t="shared" si="25"/>
        <v>159.99999999996817</v>
      </c>
      <c r="BC12" s="58">
        <v>251.39</v>
      </c>
      <c r="BD12" s="65">
        <f t="shared" si="26"/>
        <v>99.999999999994316</v>
      </c>
      <c r="BE12" s="59">
        <v>44474</v>
      </c>
      <c r="BF12" s="67">
        <f t="shared" si="27"/>
        <v>28</v>
      </c>
      <c r="BG12" s="60">
        <v>239.46</v>
      </c>
      <c r="BH12" s="65">
        <f t="shared" si="28"/>
        <v>60.000000000002274</v>
      </c>
      <c r="BI12" s="60">
        <v>296.54000000000002</v>
      </c>
      <c r="BJ12" s="65">
        <f t="shared" si="29"/>
        <v>30.000000000029559</v>
      </c>
      <c r="BK12" s="60">
        <v>242.03</v>
      </c>
      <c r="BL12" s="65">
        <f t="shared" si="30"/>
        <v>50.000000000011369</v>
      </c>
      <c r="BM12" s="60">
        <v>229.37</v>
      </c>
      <c r="BN12" s="65">
        <f t="shared" si="48"/>
        <v>50.000000000011369</v>
      </c>
      <c r="BO12" s="60">
        <v>293.82</v>
      </c>
      <c r="BP12" s="65">
        <f t="shared" si="31"/>
        <v>60.000000000002274</v>
      </c>
      <c r="BQ12" s="60">
        <v>49148</v>
      </c>
      <c r="BR12" s="65">
        <f t="shared" si="32"/>
        <v>30</v>
      </c>
      <c r="BS12" s="60">
        <v>205.25</v>
      </c>
      <c r="BT12" s="65">
        <f t="shared" si="33"/>
        <v>39.999999999992042</v>
      </c>
      <c r="BU12" s="60">
        <v>45730</v>
      </c>
      <c r="BV12" s="65">
        <f t="shared" si="34"/>
        <v>30</v>
      </c>
      <c r="BW12" s="60">
        <v>235.75</v>
      </c>
      <c r="BX12" s="65">
        <f t="shared" si="35"/>
        <v>30.000000000001137</v>
      </c>
      <c r="BY12" s="60">
        <v>65333</v>
      </c>
      <c r="BZ12" s="67">
        <f t="shared" si="36"/>
        <v>36</v>
      </c>
      <c r="CA12" s="60">
        <v>37383.599999999999</v>
      </c>
      <c r="CB12" s="67">
        <f t="shared" si="37"/>
        <v>53.69999999999709</v>
      </c>
      <c r="CC12" s="60">
        <v>13407.1</v>
      </c>
      <c r="CD12" s="67">
        <f t="shared" si="38"/>
        <v>10.100000000000364</v>
      </c>
      <c r="CE12" s="60">
        <v>7077.2</v>
      </c>
      <c r="CF12" s="67">
        <f t="shared" si="39"/>
        <v>7.0999999999994543</v>
      </c>
      <c r="CG12" s="60">
        <v>65776.600000000006</v>
      </c>
      <c r="CH12" s="67">
        <f t="shared" si="40"/>
        <v>29.700000000011642</v>
      </c>
      <c r="CI12" s="60">
        <v>986375</v>
      </c>
      <c r="CJ12" s="67">
        <f t="shared" si="41"/>
        <v>292</v>
      </c>
      <c r="CK12" s="60">
        <v>851.13</v>
      </c>
      <c r="CL12" s="64">
        <f t="shared" si="42"/>
        <v>689.99999999994088</v>
      </c>
      <c r="CM12" s="65">
        <f t="shared" si="43"/>
        <v>101.5</v>
      </c>
      <c r="CN12" s="62">
        <v>20</v>
      </c>
      <c r="CO12" s="62">
        <v>45</v>
      </c>
      <c r="CP12" s="68">
        <v>16134</v>
      </c>
      <c r="CQ12" s="67">
        <f t="shared" si="44"/>
        <v>75.5</v>
      </c>
      <c r="CR12" s="68">
        <v>17025</v>
      </c>
      <c r="CS12" s="67">
        <f t="shared" si="45"/>
        <v>26</v>
      </c>
      <c r="CT12" s="75">
        <v>7966</v>
      </c>
      <c r="CU12" s="67">
        <f t="shared" si="46"/>
        <v>17</v>
      </c>
      <c r="CV12" s="68">
        <v>18899</v>
      </c>
      <c r="CW12" s="67">
        <f t="shared" si="47"/>
        <v>54</v>
      </c>
    </row>
    <row r="13" spans="1:101" ht="25.5" customHeight="1" thickBot="1" x14ac:dyDescent="0.45">
      <c r="A13" s="63">
        <v>44510</v>
      </c>
      <c r="B13" s="44"/>
      <c r="C13" s="58">
        <v>2.6015000000000001</v>
      </c>
      <c r="D13" s="64">
        <f t="shared" si="0"/>
        <v>2699.9999999999245</v>
      </c>
      <c r="E13" s="58">
        <v>3.6475</v>
      </c>
      <c r="F13" s="64">
        <f t="shared" si="1"/>
        <v>3499.9999999998367</v>
      </c>
      <c r="G13" s="58">
        <v>3.6793999999999998</v>
      </c>
      <c r="H13" s="64">
        <f t="shared" si="2"/>
        <v>2999.9999999996694</v>
      </c>
      <c r="I13" s="58">
        <v>1.8241000000000001</v>
      </c>
      <c r="J13" s="64">
        <f t="shared" si="3"/>
        <v>1600.0000000000459</v>
      </c>
      <c r="K13" s="58">
        <v>2.9127000000000001</v>
      </c>
      <c r="L13" s="64">
        <f t="shared" si="4"/>
        <v>2299.9999999999686</v>
      </c>
      <c r="M13" s="58">
        <v>1.6028</v>
      </c>
      <c r="N13" s="64">
        <f t="shared" si="5"/>
        <v>1700.0000000000348</v>
      </c>
      <c r="O13" s="58">
        <v>15400</v>
      </c>
      <c r="P13" s="67">
        <f t="shared" si="6"/>
        <v>8</v>
      </c>
      <c r="Q13" s="58">
        <v>1511</v>
      </c>
      <c r="R13" s="67">
        <f t="shared" si="7"/>
        <v>5</v>
      </c>
      <c r="S13" s="58">
        <v>1115.5999999999999</v>
      </c>
      <c r="T13" s="67">
        <f t="shared" si="8"/>
        <v>1.0999999999999091</v>
      </c>
      <c r="U13" s="58">
        <v>463827.20000000001</v>
      </c>
      <c r="V13" s="67">
        <f t="shared" si="9"/>
        <v>421.60000000003492</v>
      </c>
      <c r="W13" s="58">
        <v>437.14</v>
      </c>
      <c r="X13" s="65">
        <f t="shared" si="10"/>
        <v>419.99999999995907</v>
      </c>
      <c r="Y13" s="58">
        <v>3.1974999999999998</v>
      </c>
      <c r="Z13" s="65">
        <f t="shared" si="11"/>
        <v>3299.9999999998586</v>
      </c>
      <c r="AA13" s="58">
        <v>438.14</v>
      </c>
      <c r="AB13" s="65">
        <f t="shared" si="12"/>
        <v>469.99999999997044</v>
      </c>
      <c r="AC13" s="58">
        <v>415.88</v>
      </c>
      <c r="AD13" s="65">
        <f t="shared" si="13"/>
        <v>600.00000000002274</v>
      </c>
      <c r="AE13" s="58">
        <v>609.85</v>
      </c>
      <c r="AF13" s="65">
        <f t="shared" si="14"/>
        <v>629.99999999999545</v>
      </c>
      <c r="AG13" s="58">
        <v>9312</v>
      </c>
      <c r="AH13" s="67">
        <f t="shared" si="15"/>
        <v>33</v>
      </c>
      <c r="AI13" s="58">
        <v>700.16</v>
      </c>
      <c r="AJ13" s="65">
        <f t="shared" si="16"/>
        <v>809.99999999994543</v>
      </c>
      <c r="AK13" s="58">
        <v>233.46</v>
      </c>
      <c r="AL13" s="65">
        <f t="shared" si="17"/>
        <v>210.00000000000796</v>
      </c>
      <c r="AM13" s="58">
        <v>218.21</v>
      </c>
      <c r="AN13" s="65">
        <f t="shared" si="18"/>
        <v>210.00000000000796</v>
      </c>
      <c r="AO13" s="58">
        <v>211.72</v>
      </c>
      <c r="AP13" s="65">
        <f t="shared" si="19"/>
        <v>219.99999999999886</v>
      </c>
      <c r="AQ13" s="58">
        <v>268.83</v>
      </c>
      <c r="AR13" s="65">
        <f t="shared" si="20"/>
        <v>139.99999999998636</v>
      </c>
      <c r="AS13" s="58">
        <v>397.77</v>
      </c>
      <c r="AT13" s="65">
        <f t="shared" si="21"/>
        <v>149.99999999997726</v>
      </c>
      <c r="AU13" s="58">
        <v>304.79000000000002</v>
      </c>
      <c r="AV13" s="65">
        <f t="shared" si="22"/>
        <v>180.00000000000682</v>
      </c>
      <c r="AW13" s="58">
        <v>336.46</v>
      </c>
      <c r="AX13" s="65">
        <f t="shared" si="23"/>
        <v>139.99999999998636</v>
      </c>
      <c r="AY13" s="58">
        <v>374.65</v>
      </c>
      <c r="AZ13" s="65">
        <f t="shared" si="24"/>
        <v>189.99999999999773</v>
      </c>
      <c r="BA13" s="58">
        <v>392.04</v>
      </c>
      <c r="BB13" s="65">
        <f t="shared" si="25"/>
        <v>140.0000000000432</v>
      </c>
      <c r="BC13" s="58">
        <v>251.5</v>
      </c>
      <c r="BD13" s="65">
        <f t="shared" si="26"/>
        <v>110.00000000001364</v>
      </c>
      <c r="BE13" s="59">
        <v>44518</v>
      </c>
      <c r="BF13" s="67">
        <f t="shared" si="27"/>
        <v>44</v>
      </c>
      <c r="BG13" s="60">
        <v>239.5</v>
      </c>
      <c r="BH13" s="65">
        <f t="shared" si="28"/>
        <v>39.999999999992042</v>
      </c>
      <c r="BI13" s="60">
        <v>296.57</v>
      </c>
      <c r="BJ13" s="65">
        <f t="shared" si="29"/>
        <v>29.999999999972715</v>
      </c>
      <c r="BK13" s="60">
        <v>242.09</v>
      </c>
      <c r="BL13" s="65">
        <f t="shared" si="30"/>
        <v>60.000000000002274</v>
      </c>
      <c r="BM13" s="60">
        <v>229.41</v>
      </c>
      <c r="BN13" s="65">
        <f t="shared" si="48"/>
        <v>39.999999999992042</v>
      </c>
      <c r="BO13" s="60">
        <v>293.88</v>
      </c>
      <c r="BP13" s="65">
        <f t="shared" si="31"/>
        <v>60.000000000002274</v>
      </c>
      <c r="BQ13" s="60">
        <v>49185</v>
      </c>
      <c r="BR13" s="65">
        <f t="shared" si="32"/>
        <v>37</v>
      </c>
      <c r="BS13" s="60">
        <v>205.29</v>
      </c>
      <c r="BT13" s="65">
        <f t="shared" si="33"/>
        <v>39.999999999992042</v>
      </c>
      <c r="BU13" s="60">
        <v>45764</v>
      </c>
      <c r="BV13" s="65">
        <f t="shared" si="34"/>
        <v>34</v>
      </c>
      <c r="BW13" s="60">
        <v>235.78</v>
      </c>
      <c r="BX13" s="65">
        <f t="shared" si="35"/>
        <v>30.000000000001137</v>
      </c>
      <c r="BY13" s="60">
        <v>65378</v>
      </c>
      <c r="BZ13" s="67">
        <f t="shared" si="36"/>
        <v>45</v>
      </c>
      <c r="CA13" s="60">
        <v>37452.300000000003</v>
      </c>
      <c r="CB13" s="67">
        <f t="shared" si="37"/>
        <v>68.700000000004366</v>
      </c>
      <c r="CC13" s="60">
        <v>13419.2</v>
      </c>
      <c r="CD13" s="67">
        <f t="shared" si="38"/>
        <v>12.100000000000364</v>
      </c>
      <c r="CE13" s="60">
        <v>7078.2</v>
      </c>
      <c r="CF13" s="67">
        <f t="shared" si="39"/>
        <v>1</v>
      </c>
      <c r="CG13" s="60">
        <v>65813.8</v>
      </c>
      <c r="CH13" s="67">
        <f t="shared" si="40"/>
        <v>37.19999999999709</v>
      </c>
      <c r="CI13" s="60">
        <v>986657</v>
      </c>
      <c r="CJ13" s="67">
        <f t="shared" si="41"/>
        <v>282</v>
      </c>
      <c r="CK13" s="60">
        <v>851.83</v>
      </c>
      <c r="CL13" s="64">
        <f t="shared" si="42"/>
        <v>700.00000000004547</v>
      </c>
      <c r="CM13" s="65">
        <f t="shared" si="43"/>
        <v>89</v>
      </c>
      <c r="CN13" s="62">
        <v>20</v>
      </c>
      <c r="CO13" s="62">
        <v>45</v>
      </c>
      <c r="CP13" s="68">
        <v>16199</v>
      </c>
      <c r="CQ13" s="67">
        <f t="shared" si="44"/>
        <v>65</v>
      </c>
      <c r="CR13" s="68">
        <v>17049</v>
      </c>
      <c r="CS13" s="67">
        <f t="shared" si="45"/>
        <v>24</v>
      </c>
      <c r="CT13" s="75">
        <v>7985</v>
      </c>
      <c r="CU13" s="67">
        <f t="shared" si="46"/>
        <v>19</v>
      </c>
      <c r="CV13" s="68">
        <v>18946</v>
      </c>
      <c r="CW13" s="67">
        <f t="shared" si="47"/>
        <v>47</v>
      </c>
    </row>
    <row r="14" spans="1:101" ht="25.5" customHeight="1" thickBot="1" x14ac:dyDescent="0.45">
      <c r="A14" s="63">
        <v>44511</v>
      </c>
      <c r="B14" s="44"/>
      <c r="C14" s="58">
        <v>2.6044</v>
      </c>
      <c r="D14" s="64">
        <f t="shared" si="0"/>
        <v>2899.9999999999027</v>
      </c>
      <c r="E14" s="58">
        <v>3.6511</v>
      </c>
      <c r="F14" s="64">
        <f t="shared" si="1"/>
        <v>3600.0000000000477</v>
      </c>
      <c r="G14" s="58">
        <v>3.6823000000000001</v>
      </c>
      <c r="H14" s="64">
        <f t="shared" si="2"/>
        <v>2900.0000000003465</v>
      </c>
      <c r="I14" s="58">
        <v>1.8257000000000001</v>
      </c>
      <c r="J14" s="64">
        <f t="shared" si="3"/>
        <v>1600.0000000000459</v>
      </c>
      <c r="K14" s="58">
        <v>2.915</v>
      </c>
      <c r="L14" s="64">
        <f t="shared" si="4"/>
        <v>2299.9999999999686</v>
      </c>
      <c r="M14" s="58">
        <v>1.6044</v>
      </c>
      <c r="N14" s="64">
        <f t="shared" si="5"/>
        <v>1600.0000000000459</v>
      </c>
      <c r="O14" s="58">
        <v>15405</v>
      </c>
      <c r="P14" s="67">
        <f t="shared" si="6"/>
        <v>5</v>
      </c>
      <c r="Q14" s="58">
        <v>1517</v>
      </c>
      <c r="R14" s="67">
        <f t="shared" si="7"/>
        <v>6</v>
      </c>
      <c r="S14" s="58">
        <v>1116.8</v>
      </c>
      <c r="T14" s="67">
        <f t="shared" si="8"/>
        <v>1.2000000000000455</v>
      </c>
      <c r="U14" s="58">
        <v>464259.5</v>
      </c>
      <c r="V14" s="67">
        <f t="shared" si="9"/>
        <v>432.29999999998836</v>
      </c>
      <c r="W14" s="58">
        <v>437.51</v>
      </c>
      <c r="X14" s="65">
        <f t="shared" si="10"/>
        <v>370.00000000000455</v>
      </c>
      <c r="Y14" s="58">
        <v>3.2004000000000001</v>
      </c>
      <c r="Z14" s="65">
        <f t="shared" si="11"/>
        <v>2900.0000000003465</v>
      </c>
      <c r="AA14" s="58">
        <v>438.38</v>
      </c>
      <c r="AB14" s="65">
        <f t="shared" si="12"/>
        <v>240.00000000000909</v>
      </c>
      <c r="AC14" s="58">
        <v>416.52</v>
      </c>
      <c r="AD14" s="65">
        <f t="shared" si="13"/>
        <v>639.99999999998636</v>
      </c>
      <c r="AE14" s="58">
        <v>610.41999999999996</v>
      </c>
      <c r="AF14" s="65">
        <f t="shared" si="14"/>
        <v>569.99999999993634</v>
      </c>
      <c r="AG14" s="58">
        <v>9349</v>
      </c>
      <c r="AH14" s="67">
        <f t="shared" si="15"/>
        <v>37</v>
      </c>
      <c r="AI14" s="58">
        <v>700.95</v>
      </c>
      <c r="AJ14" s="65">
        <f t="shared" si="16"/>
        <v>790.00000000007731</v>
      </c>
      <c r="AK14" s="58">
        <v>233.68</v>
      </c>
      <c r="AL14" s="65">
        <f t="shared" si="17"/>
        <v>219.99999999999886</v>
      </c>
      <c r="AM14" s="58">
        <v>218.42</v>
      </c>
      <c r="AN14" s="65">
        <f t="shared" si="18"/>
        <v>209.99999999997954</v>
      </c>
      <c r="AO14" s="58">
        <v>211.93</v>
      </c>
      <c r="AP14" s="65">
        <f t="shared" si="19"/>
        <v>210.00000000000796</v>
      </c>
      <c r="AQ14" s="58">
        <v>269.02999999999997</v>
      </c>
      <c r="AR14" s="65">
        <f t="shared" si="20"/>
        <v>199.99999999998863</v>
      </c>
      <c r="AS14" s="58">
        <v>397.93</v>
      </c>
      <c r="AT14" s="65">
        <f t="shared" si="21"/>
        <v>160.00000000002501</v>
      </c>
      <c r="AU14" s="58">
        <v>304.98</v>
      </c>
      <c r="AV14" s="65">
        <f t="shared" si="22"/>
        <v>189.99999999999773</v>
      </c>
      <c r="AW14" s="58">
        <v>336.61</v>
      </c>
      <c r="AX14" s="65">
        <f t="shared" si="23"/>
        <v>150.00000000003411</v>
      </c>
      <c r="AY14" s="58">
        <v>374.84</v>
      </c>
      <c r="AZ14" s="65">
        <f t="shared" si="24"/>
        <v>189.99999999999773</v>
      </c>
      <c r="BA14" s="58">
        <v>392.21</v>
      </c>
      <c r="BB14" s="65">
        <f t="shared" si="25"/>
        <v>169.99999999995907</v>
      </c>
      <c r="BC14" s="58">
        <v>251.62</v>
      </c>
      <c r="BD14" s="65">
        <f t="shared" si="26"/>
        <v>120.00000000000455</v>
      </c>
      <c r="BE14" s="59">
        <v>44550</v>
      </c>
      <c r="BF14" s="67">
        <f t="shared" si="27"/>
        <v>32</v>
      </c>
      <c r="BG14" s="60">
        <v>239.55</v>
      </c>
      <c r="BH14" s="65">
        <f t="shared" si="28"/>
        <v>50.000000000011369</v>
      </c>
      <c r="BI14" s="60">
        <v>296.61</v>
      </c>
      <c r="BJ14" s="65">
        <f t="shared" si="29"/>
        <v>40.000000000020464</v>
      </c>
      <c r="BK14" s="60">
        <v>242.13</v>
      </c>
      <c r="BL14" s="65">
        <f t="shared" si="30"/>
        <v>39.999999999992042</v>
      </c>
      <c r="BM14" s="60">
        <v>229.45</v>
      </c>
      <c r="BN14" s="65">
        <f t="shared" si="48"/>
        <v>39.999999999992042</v>
      </c>
      <c r="BO14" s="60">
        <v>293.93</v>
      </c>
      <c r="BP14" s="65">
        <f t="shared" si="31"/>
        <v>50.000000000011369</v>
      </c>
      <c r="BQ14" s="60">
        <v>49220</v>
      </c>
      <c r="BR14" s="65">
        <f t="shared" si="32"/>
        <v>35</v>
      </c>
      <c r="BS14" s="60">
        <v>205.34</v>
      </c>
      <c r="BT14" s="65">
        <f t="shared" si="33"/>
        <v>50.000000000011369</v>
      </c>
      <c r="BU14" s="60">
        <v>45803</v>
      </c>
      <c r="BV14" s="65">
        <f t="shared" si="34"/>
        <v>39</v>
      </c>
      <c r="BW14" s="60">
        <v>235.81</v>
      </c>
      <c r="BX14" s="65">
        <f t="shared" si="35"/>
        <v>30.000000000001137</v>
      </c>
      <c r="BY14" s="60">
        <v>65419</v>
      </c>
      <c r="BZ14" s="67">
        <f t="shared" si="36"/>
        <v>41</v>
      </c>
      <c r="CA14" s="60">
        <v>37513.1</v>
      </c>
      <c r="CB14" s="67">
        <f t="shared" si="37"/>
        <v>60.799999999995634</v>
      </c>
      <c r="CC14" s="60">
        <v>13434.7</v>
      </c>
      <c r="CD14" s="67">
        <f t="shared" si="38"/>
        <v>15.5</v>
      </c>
      <c r="CE14" s="60">
        <v>7078.2</v>
      </c>
      <c r="CF14" s="67">
        <f t="shared" si="39"/>
        <v>0</v>
      </c>
      <c r="CG14" s="60">
        <v>65852.3</v>
      </c>
      <c r="CH14" s="67">
        <f t="shared" si="40"/>
        <v>38.5</v>
      </c>
      <c r="CI14" s="60">
        <v>986944</v>
      </c>
      <c r="CJ14" s="67">
        <f t="shared" si="41"/>
        <v>287</v>
      </c>
      <c r="CK14" s="60">
        <v>852.48</v>
      </c>
      <c r="CL14" s="64">
        <f t="shared" si="42"/>
        <v>649.99999999997726</v>
      </c>
      <c r="CM14" s="65">
        <f t="shared" si="43"/>
        <v>90.100000000000364</v>
      </c>
      <c r="CN14" s="62">
        <v>20</v>
      </c>
      <c r="CO14" s="62">
        <v>45</v>
      </c>
      <c r="CP14" s="68">
        <v>16269.1</v>
      </c>
      <c r="CQ14" s="67">
        <f t="shared" si="44"/>
        <v>70.100000000000364</v>
      </c>
      <c r="CR14" s="68">
        <v>17069</v>
      </c>
      <c r="CS14" s="67">
        <f t="shared" si="45"/>
        <v>20</v>
      </c>
      <c r="CT14" s="75">
        <v>7997</v>
      </c>
      <c r="CU14" s="67">
        <f t="shared" si="46"/>
        <v>12</v>
      </c>
      <c r="CV14" s="68">
        <v>18995</v>
      </c>
      <c r="CW14" s="67">
        <f t="shared" si="47"/>
        <v>49</v>
      </c>
    </row>
    <row r="15" spans="1:101" ht="25.5" customHeight="1" thickBot="1" x14ac:dyDescent="0.45">
      <c r="A15" s="63">
        <v>44512</v>
      </c>
      <c r="B15" s="44"/>
      <c r="C15" s="58">
        <v>2.6076000000000001</v>
      </c>
      <c r="D15" s="64">
        <f t="shared" si="0"/>
        <v>3200.0000000000919</v>
      </c>
      <c r="E15" s="58">
        <v>3.6545000000000001</v>
      </c>
      <c r="F15" s="64">
        <f t="shared" si="1"/>
        <v>3400.0000000000696</v>
      </c>
      <c r="G15" s="58">
        <v>3.6852</v>
      </c>
      <c r="H15" s="64">
        <f t="shared" si="2"/>
        <v>2899.9999999999027</v>
      </c>
      <c r="I15" s="58">
        <v>1.8271999999999999</v>
      </c>
      <c r="J15" s="64">
        <f t="shared" si="3"/>
        <v>1499.9999999998347</v>
      </c>
      <c r="K15" s="58">
        <v>2.9174000000000002</v>
      </c>
      <c r="L15" s="64">
        <f t="shared" si="4"/>
        <v>2400.0000000001796</v>
      </c>
      <c r="M15" s="58">
        <v>1.6062000000000001</v>
      </c>
      <c r="N15" s="64">
        <f t="shared" si="5"/>
        <v>1800.0000000000239</v>
      </c>
      <c r="O15" s="58">
        <v>15417</v>
      </c>
      <c r="P15" s="67">
        <f t="shared" si="6"/>
        <v>12</v>
      </c>
      <c r="Q15" s="58">
        <v>1524</v>
      </c>
      <c r="R15" s="67">
        <f t="shared" si="7"/>
        <v>7</v>
      </c>
      <c r="S15" s="58">
        <v>1117.9000000000001</v>
      </c>
      <c r="T15" s="67">
        <f t="shared" si="8"/>
        <v>1.1000000000001364</v>
      </c>
      <c r="U15" s="58">
        <v>464688.9</v>
      </c>
      <c r="V15" s="67">
        <f t="shared" si="9"/>
        <v>429.40000000002328</v>
      </c>
      <c r="W15" s="58">
        <v>437.92</v>
      </c>
      <c r="X15" s="65">
        <f t="shared" si="10"/>
        <v>410.00000000002501</v>
      </c>
      <c r="Y15" s="58">
        <v>3.2033999999999998</v>
      </c>
      <c r="Z15" s="65">
        <f t="shared" si="11"/>
        <v>2999.9999999996694</v>
      </c>
      <c r="AA15" s="58">
        <v>438.8</v>
      </c>
      <c r="AB15" s="65">
        <f t="shared" si="12"/>
        <v>420.00000000001592</v>
      </c>
      <c r="AC15" s="58">
        <v>417.19</v>
      </c>
      <c r="AD15" s="65">
        <f t="shared" si="13"/>
        <v>670.00000000001592</v>
      </c>
      <c r="AE15" s="58">
        <v>611.09</v>
      </c>
      <c r="AF15" s="65">
        <f t="shared" si="14"/>
        <v>670.00000000007276</v>
      </c>
      <c r="AG15" s="58">
        <v>9387</v>
      </c>
      <c r="AH15" s="67">
        <f t="shared" si="15"/>
        <v>38</v>
      </c>
      <c r="AI15" s="58">
        <v>701.8</v>
      </c>
      <c r="AJ15" s="65">
        <f t="shared" si="16"/>
        <v>849.99999999990905</v>
      </c>
      <c r="AK15" s="58">
        <v>233.89</v>
      </c>
      <c r="AL15" s="65">
        <f t="shared" si="17"/>
        <v>209.99999999997954</v>
      </c>
      <c r="AM15" s="58">
        <v>218.67</v>
      </c>
      <c r="AN15" s="65">
        <f t="shared" si="18"/>
        <v>250</v>
      </c>
      <c r="AO15" s="58">
        <v>212.12</v>
      </c>
      <c r="AP15" s="65">
        <f t="shared" si="19"/>
        <v>189.99999999999773</v>
      </c>
      <c r="AQ15" s="58">
        <v>269.2</v>
      </c>
      <c r="AR15" s="65">
        <f t="shared" si="20"/>
        <v>170.00000000001592</v>
      </c>
      <c r="AS15" s="58">
        <v>398.12</v>
      </c>
      <c r="AT15" s="65">
        <f t="shared" si="21"/>
        <v>189.99999999999773</v>
      </c>
      <c r="AU15" s="58">
        <v>305.24</v>
      </c>
      <c r="AV15" s="65">
        <f t="shared" si="22"/>
        <v>259.99999999999091</v>
      </c>
      <c r="AW15" s="58">
        <v>336.76</v>
      </c>
      <c r="AX15" s="65">
        <f t="shared" si="23"/>
        <v>149.99999999997726</v>
      </c>
      <c r="AY15" s="58">
        <v>375.05</v>
      </c>
      <c r="AZ15" s="65">
        <f t="shared" si="24"/>
        <v>210.00000000003638</v>
      </c>
      <c r="BA15" s="58">
        <v>392.37</v>
      </c>
      <c r="BB15" s="65">
        <f t="shared" si="25"/>
        <v>160.00000000002501</v>
      </c>
      <c r="BC15" s="58">
        <v>251.74</v>
      </c>
      <c r="BD15" s="65">
        <f t="shared" si="26"/>
        <v>120.00000000000455</v>
      </c>
      <c r="BE15" s="59">
        <v>44582</v>
      </c>
      <c r="BF15" s="67">
        <f t="shared" si="27"/>
        <v>32</v>
      </c>
      <c r="BG15" s="60">
        <v>239.6</v>
      </c>
      <c r="BH15" s="65">
        <f t="shared" si="28"/>
        <v>49.999999999982947</v>
      </c>
      <c r="BI15" s="60">
        <v>296.64</v>
      </c>
      <c r="BJ15" s="65">
        <f t="shared" si="29"/>
        <v>29.999999999972715</v>
      </c>
      <c r="BK15" s="60">
        <v>242.19</v>
      </c>
      <c r="BL15" s="65">
        <f t="shared" si="30"/>
        <v>60.000000000002274</v>
      </c>
      <c r="BM15" s="60">
        <v>229.5</v>
      </c>
      <c r="BN15" s="65">
        <f t="shared" si="48"/>
        <v>50.000000000011369</v>
      </c>
      <c r="BO15" s="60">
        <v>293.99</v>
      </c>
      <c r="BP15" s="65">
        <f t="shared" si="31"/>
        <v>60.000000000002274</v>
      </c>
      <c r="BQ15" s="60">
        <v>49267</v>
      </c>
      <c r="BR15" s="65">
        <f t="shared" si="32"/>
        <v>47</v>
      </c>
      <c r="BS15" s="60">
        <v>205.39</v>
      </c>
      <c r="BT15" s="65">
        <f t="shared" si="33"/>
        <v>49.999999999982947</v>
      </c>
      <c r="BU15" s="60">
        <v>45849</v>
      </c>
      <c r="BV15" s="65">
        <f t="shared" si="34"/>
        <v>46</v>
      </c>
      <c r="BW15" s="60">
        <v>235.85</v>
      </c>
      <c r="BX15" s="65">
        <f t="shared" si="35"/>
        <v>39.999999999992042</v>
      </c>
      <c r="BY15" s="60">
        <v>65469</v>
      </c>
      <c r="BZ15" s="67">
        <f t="shared" si="36"/>
        <v>50</v>
      </c>
      <c r="CA15" s="60">
        <v>37575.800000000003</v>
      </c>
      <c r="CB15" s="67">
        <f t="shared" si="37"/>
        <v>62.700000000004366</v>
      </c>
      <c r="CC15" s="60">
        <v>13447.9</v>
      </c>
      <c r="CD15" s="67">
        <f t="shared" si="38"/>
        <v>13.199999999998909</v>
      </c>
      <c r="CE15" s="60">
        <v>7078.2</v>
      </c>
      <c r="CF15" s="67">
        <f t="shared" si="39"/>
        <v>0</v>
      </c>
      <c r="CG15" s="60">
        <v>65903.100000000006</v>
      </c>
      <c r="CH15" s="67">
        <f t="shared" si="40"/>
        <v>50.80000000000291</v>
      </c>
      <c r="CI15" s="60">
        <v>987263</v>
      </c>
      <c r="CJ15" s="67">
        <f t="shared" si="41"/>
        <v>319</v>
      </c>
      <c r="CK15" s="60">
        <v>853.22</v>
      </c>
      <c r="CL15" s="64">
        <f t="shared" si="42"/>
        <v>740.00000000000909</v>
      </c>
      <c r="CM15" s="65">
        <f t="shared" si="43"/>
        <v>75.199999999998909</v>
      </c>
      <c r="CN15" s="62">
        <v>20</v>
      </c>
      <c r="CO15" s="62">
        <v>45</v>
      </c>
      <c r="CP15" s="68">
        <v>16325.3</v>
      </c>
      <c r="CQ15" s="67">
        <f t="shared" si="44"/>
        <v>56.199999999998909</v>
      </c>
      <c r="CR15" s="68">
        <v>17088</v>
      </c>
      <c r="CS15" s="67">
        <f t="shared" si="45"/>
        <v>19</v>
      </c>
      <c r="CT15" s="75">
        <v>8009</v>
      </c>
      <c r="CU15" s="67">
        <f t="shared" si="46"/>
        <v>12</v>
      </c>
      <c r="CV15" s="68">
        <v>19054</v>
      </c>
      <c r="CW15" s="67">
        <f t="shared" si="47"/>
        <v>59</v>
      </c>
    </row>
    <row r="16" spans="1:101" ht="25.5" customHeight="1" thickBot="1" x14ac:dyDescent="0.45">
      <c r="A16" s="63">
        <v>44513</v>
      </c>
      <c r="B16" s="44"/>
      <c r="C16" s="58">
        <v>2.6107</v>
      </c>
      <c r="D16" s="64">
        <f t="shared" si="0"/>
        <v>3099.9999999998809</v>
      </c>
      <c r="E16" s="58">
        <v>3.6577999999999999</v>
      </c>
      <c r="F16" s="64">
        <f t="shared" si="1"/>
        <v>3299.9999999998586</v>
      </c>
      <c r="G16" s="58">
        <v>3.6880999999999999</v>
      </c>
      <c r="H16" s="64">
        <f t="shared" si="2"/>
        <v>2899.9999999999027</v>
      </c>
      <c r="I16" s="58">
        <v>1.8288</v>
      </c>
      <c r="J16" s="64">
        <f t="shared" si="3"/>
        <v>1600.0000000000459</v>
      </c>
      <c r="K16" s="58">
        <v>2.9196</v>
      </c>
      <c r="L16" s="64">
        <f t="shared" si="4"/>
        <v>2199.9999999997576</v>
      </c>
      <c r="M16" s="58">
        <v>1.6077999999999999</v>
      </c>
      <c r="N16" s="64">
        <f t="shared" si="5"/>
        <v>1599.9999999998238</v>
      </c>
      <c r="O16" s="58">
        <v>15439</v>
      </c>
      <c r="P16" s="67">
        <f t="shared" si="6"/>
        <v>22</v>
      </c>
      <c r="Q16" s="58">
        <v>1530</v>
      </c>
      <c r="R16" s="67">
        <f t="shared" si="7"/>
        <v>6</v>
      </c>
      <c r="S16" s="58">
        <v>1118.8</v>
      </c>
      <c r="T16" s="67">
        <f t="shared" si="8"/>
        <v>0.89999999999986358</v>
      </c>
      <c r="U16" s="58">
        <v>465045.1</v>
      </c>
      <c r="V16" s="67">
        <f t="shared" si="9"/>
        <v>356.19999999995343</v>
      </c>
      <c r="W16" s="58">
        <v>438.27</v>
      </c>
      <c r="X16" s="65">
        <f t="shared" si="10"/>
        <v>349.99999999996589</v>
      </c>
      <c r="Y16" s="58">
        <v>3.2065000000000001</v>
      </c>
      <c r="Z16" s="65">
        <f t="shared" si="11"/>
        <v>3100.0000000003247</v>
      </c>
      <c r="AA16" s="58">
        <v>439.11</v>
      </c>
      <c r="AB16" s="65">
        <f t="shared" si="12"/>
        <v>310.00000000000227</v>
      </c>
      <c r="AC16" s="58">
        <v>417.78</v>
      </c>
      <c r="AD16" s="65">
        <f t="shared" si="13"/>
        <v>589.99999999997499</v>
      </c>
      <c r="AE16" s="58">
        <v>611.64</v>
      </c>
      <c r="AF16" s="65">
        <f t="shared" si="14"/>
        <v>549.99999999995453</v>
      </c>
      <c r="AG16" s="58">
        <v>9429</v>
      </c>
      <c r="AH16" s="67">
        <f t="shared" si="15"/>
        <v>42</v>
      </c>
      <c r="AI16" s="58">
        <v>702.63</v>
      </c>
      <c r="AJ16" s="65">
        <f t="shared" si="16"/>
        <v>830.00000000004093</v>
      </c>
      <c r="AK16" s="58">
        <v>234.14</v>
      </c>
      <c r="AL16" s="65">
        <f t="shared" si="17"/>
        <v>250</v>
      </c>
      <c r="AM16" s="58">
        <v>218.97</v>
      </c>
      <c r="AN16" s="65">
        <f t="shared" si="18"/>
        <v>300.00000000001137</v>
      </c>
      <c r="AO16" s="58">
        <v>212.44</v>
      </c>
      <c r="AP16" s="65">
        <f t="shared" si="19"/>
        <v>319.99999999999318</v>
      </c>
      <c r="AQ16" s="58">
        <v>269.55</v>
      </c>
      <c r="AR16" s="65">
        <f t="shared" si="20"/>
        <v>350.00000000002274</v>
      </c>
      <c r="AS16" s="58">
        <v>398.32</v>
      </c>
      <c r="AT16" s="65">
        <f t="shared" si="21"/>
        <v>199.99999999998863</v>
      </c>
      <c r="AU16" s="58">
        <v>305.48</v>
      </c>
      <c r="AV16" s="65">
        <f t="shared" si="22"/>
        <v>240.00000000000909</v>
      </c>
      <c r="AW16" s="58">
        <v>336.91</v>
      </c>
      <c r="AX16" s="65">
        <f t="shared" si="23"/>
        <v>150.00000000003411</v>
      </c>
      <c r="AY16" s="58">
        <v>375.27</v>
      </c>
      <c r="AZ16" s="65">
        <f t="shared" si="24"/>
        <v>219.99999999997044</v>
      </c>
      <c r="BA16" s="58">
        <v>392.52</v>
      </c>
      <c r="BB16" s="65">
        <f t="shared" si="25"/>
        <v>149.99999999997726</v>
      </c>
      <c r="BC16" s="58">
        <v>251.87</v>
      </c>
      <c r="BD16" s="65">
        <f t="shared" si="26"/>
        <v>129.99999999999545</v>
      </c>
      <c r="BE16" s="59">
        <v>44601</v>
      </c>
      <c r="BF16" s="67">
        <f t="shared" si="27"/>
        <v>19</v>
      </c>
      <c r="BG16" s="60">
        <v>239.65</v>
      </c>
      <c r="BH16" s="65">
        <f t="shared" si="28"/>
        <v>50.000000000011369</v>
      </c>
      <c r="BI16" s="60">
        <v>296.68</v>
      </c>
      <c r="BJ16" s="65">
        <f t="shared" si="29"/>
        <v>40.000000000020464</v>
      </c>
      <c r="BK16" s="60">
        <v>242.24</v>
      </c>
      <c r="BL16" s="65">
        <f t="shared" si="30"/>
        <v>50.000000000011369</v>
      </c>
      <c r="BM16" s="60">
        <v>229.54</v>
      </c>
      <c r="BN16" s="65">
        <f t="shared" si="48"/>
        <v>39.999999999992042</v>
      </c>
      <c r="BO16" s="60">
        <v>294.04000000000002</v>
      </c>
      <c r="BP16" s="65">
        <f t="shared" si="31"/>
        <v>50.000000000011369</v>
      </c>
      <c r="BQ16" s="60">
        <v>49307</v>
      </c>
      <c r="BR16" s="65">
        <f t="shared" si="32"/>
        <v>40</v>
      </c>
      <c r="BS16" s="60">
        <v>205.44</v>
      </c>
      <c r="BT16" s="65">
        <f t="shared" si="33"/>
        <v>50.000000000011369</v>
      </c>
      <c r="BU16" s="60">
        <v>45884</v>
      </c>
      <c r="BV16" s="65">
        <f t="shared" si="34"/>
        <v>35</v>
      </c>
      <c r="BW16" s="60">
        <v>235.88</v>
      </c>
      <c r="BX16" s="65">
        <f t="shared" si="35"/>
        <v>30.000000000001137</v>
      </c>
      <c r="BY16" s="60">
        <v>65508</v>
      </c>
      <c r="BZ16" s="67">
        <f t="shared" si="36"/>
        <v>39</v>
      </c>
      <c r="CA16" s="60">
        <v>37643.300000000003</v>
      </c>
      <c r="CB16" s="67">
        <f t="shared" si="37"/>
        <v>67.5</v>
      </c>
      <c r="CC16" s="60">
        <v>13460.1</v>
      </c>
      <c r="CD16" s="67">
        <f t="shared" si="38"/>
        <v>12.200000000000728</v>
      </c>
      <c r="CE16" s="60">
        <v>7098.5</v>
      </c>
      <c r="CF16" s="67">
        <f t="shared" si="39"/>
        <v>20.300000000000182</v>
      </c>
      <c r="CG16" s="60">
        <v>65935.8</v>
      </c>
      <c r="CH16" s="67">
        <f t="shared" si="40"/>
        <v>32.69999999999709</v>
      </c>
      <c r="CI16" s="60">
        <v>987543</v>
      </c>
      <c r="CJ16" s="67">
        <f t="shared" si="41"/>
        <v>280</v>
      </c>
      <c r="CK16" s="60">
        <v>853.89</v>
      </c>
      <c r="CL16" s="64">
        <f t="shared" si="42"/>
        <v>669.99999999995907</v>
      </c>
      <c r="CM16" s="65">
        <f t="shared" si="43"/>
        <v>69.900000000001455</v>
      </c>
      <c r="CN16" s="62">
        <v>22</v>
      </c>
      <c r="CO16" s="62">
        <v>50</v>
      </c>
      <c r="CP16" s="68">
        <v>16374.2</v>
      </c>
      <c r="CQ16" s="67">
        <f t="shared" si="44"/>
        <v>48.900000000001455</v>
      </c>
      <c r="CR16" s="68">
        <v>17109</v>
      </c>
      <c r="CS16" s="67">
        <f t="shared" si="45"/>
        <v>21</v>
      </c>
      <c r="CT16" s="75">
        <v>8020</v>
      </c>
      <c r="CU16" s="67">
        <f t="shared" si="46"/>
        <v>11</v>
      </c>
      <c r="CV16" s="68">
        <v>19104</v>
      </c>
      <c r="CW16" s="67">
        <f t="shared" si="47"/>
        <v>50</v>
      </c>
    </row>
    <row r="17" spans="1:101" ht="25.5" customHeight="1" thickBot="1" x14ac:dyDescent="0.45">
      <c r="A17" s="63">
        <v>44514</v>
      </c>
      <c r="B17" s="44"/>
      <c r="C17" s="58">
        <v>2.6139000000000001</v>
      </c>
      <c r="D17" s="64">
        <f t="shared" si="0"/>
        <v>3200.0000000000919</v>
      </c>
      <c r="E17" s="58">
        <v>3.6608999999999998</v>
      </c>
      <c r="F17" s="64">
        <f t="shared" si="1"/>
        <v>3099.9999999998809</v>
      </c>
      <c r="G17" s="58">
        <v>3.6909000000000001</v>
      </c>
      <c r="H17" s="64">
        <f t="shared" si="2"/>
        <v>2800.0000000001355</v>
      </c>
      <c r="I17" s="58">
        <v>1.8303</v>
      </c>
      <c r="J17" s="64">
        <f t="shared" si="3"/>
        <v>1500.0000000000568</v>
      </c>
      <c r="K17" s="58">
        <v>2.9216000000000002</v>
      </c>
      <c r="L17" s="64">
        <f t="shared" si="4"/>
        <v>2000.0000000002237</v>
      </c>
      <c r="M17" s="58">
        <v>1.6093</v>
      </c>
      <c r="N17" s="64">
        <f t="shared" si="5"/>
        <v>1500.0000000000568</v>
      </c>
      <c r="O17" s="58">
        <v>15442</v>
      </c>
      <c r="P17" s="67">
        <f t="shared" si="6"/>
        <v>3</v>
      </c>
      <c r="Q17" s="58">
        <v>1536</v>
      </c>
      <c r="R17" s="67">
        <f t="shared" si="7"/>
        <v>6</v>
      </c>
      <c r="S17" s="58">
        <v>1120.0999999999999</v>
      </c>
      <c r="T17" s="67">
        <f t="shared" si="8"/>
        <v>1.2999999999999545</v>
      </c>
      <c r="U17" s="58">
        <v>465487</v>
      </c>
      <c r="V17" s="67">
        <f t="shared" si="9"/>
        <v>441.90000000002328</v>
      </c>
      <c r="W17" s="58">
        <v>438.61</v>
      </c>
      <c r="X17" s="65">
        <f t="shared" si="10"/>
        <v>340.00000000003183</v>
      </c>
      <c r="Y17" s="58">
        <v>3.2101000000000002</v>
      </c>
      <c r="Z17" s="65">
        <f t="shared" si="11"/>
        <v>3600.0000000000477</v>
      </c>
      <c r="AA17" s="58">
        <v>439.53</v>
      </c>
      <c r="AB17" s="65">
        <f t="shared" si="12"/>
        <v>419.99999999995907</v>
      </c>
      <c r="AC17" s="58">
        <v>418.3</v>
      </c>
      <c r="AD17" s="65">
        <f t="shared" si="13"/>
        <v>520.00000000003865</v>
      </c>
      <c r="AE17" s="58">
        <v>612.12</v>
      </c>
      <c r="AF17" s="65">
        <f t="shared" si="14"/>
        <v>480.00000000001819</v>
      </c>
      <c r="AG17" s="58">
        <v>9470</v>
      </c>
      <c r="AH17" s="67">
        <f t="shared" si="15"/>
        <v>41</v>
      </c>
      <c r="AI17" s="58">
        <v>703.46</v>
      </c>
      <c r="AJ17" s="65">
        <f t="shared" si="16"/>
        <v>830.00000000004093</v>
      </c>
      <c r="AK17" s="58">
        <v>234.38</v>
      </c>
      <c r="AL17" s="65">
        <f t="shared" si="17"/>
        <v>240.00000000000909</v>
      </c>
      <c r="AM17" s="58">
        <v>219.22</v>
      </c>
      <c r="AN17" s="65">
        <f t="shared" si="18"/>
        <v>250</v>
      </c>
      <c r="AO17" s="58">
        <v>212.69</v>
      </c>
      <c r="AP17" s="65">
        <f t="shared" si="19"/>
        <v>250</v>
      </c>
      <c r="AQ17" s="58">
        <v>269.83999999999997</v>
      </c>
      <c r="AR17" s="65">
        <f t="shared" si="20"/>
        <v>289.99999999996362</v>
      </c>
      <c r="AS17" s="58">
        <v>398.51</v>
      </c>
      <c r="AT17" s="65">
        <f t="shared" si="21"/>
        <v>189.99999999999773</v>
      </c>
      <c r="AU17" s="58">
        <v>305.74</v>
      </c>
      <c r="AV17" s="65">
        <f t="shared" si="22"/>
        <v>259.99999999999091</v>
      </c>
      <c r="AW17" s="58">
        <v>337.08</v>
      </c>
      <c r="AX17" s="65">
        <f t="shared" si="23"/>
        <v>169.99999999995907</v>
      </c>
      <c r="AY17" s="58">
        <v>375.47</v>
      </c>
      <c r="AZ17" s="65">
        <f t="shared" si="24"/>
        <v>200.00000000004547</v>
      </c>
      <c r="BA17" s="58">
        <v>392.66</v>
      </c>
      <c r="BB17" s="65">
        <f t="shared" si="25"/>
        <v>140.0000000000432</v>
      </c>
      <c r="BC17" s="58">
        <v>251.97</v>
      </c>
      <c r="BD17" s="65">
        <f t="shared" si="26"/>
        <v>99.999999999994316</v>
      </c>
      <c r="BE17" s="59">
        <v>44632</v>
      </c>
      <c r="BF17" s="67">
        <f t="shared" si="27"/>
        <v>31</v>
      </c>
      <c r="BG17" s="60">
        <v>239.7</v>
      </c>
      <c r="BH17" s="65">
        <f t="shared" si="28"/>
        <v>49.999999999982947</v>
      </c>
      <c r="BI17" s="60">
        <v>296.70999999999998</v>
      </c>
      <c r="BJ17" s="65">
        <f t="shared" si="29"/>
        <v>29.999999999972715</v>
      </c>
      <c r="BK17" s="60">
        <v>242.28</v>
      </c>
      <c r="BL17" s="65">
        <f t="shared" si="30"/>
        <v>39.999999999992042</v>
      </c>
      <c r="BM17" s="60">
        <v>229.58</v>
      </c>
      <c r="BN17" s="65">
        <f t="shared" si="48"/>
        <v>40.000000000020464</v>
      </c>
      <c r="BO17" s="60">
        <v>294.08999999999997</v>
      </c>
      <c r="BP17" s="65">
        <f t="shared" si="31"/>
        <v>49.999999999954525</v>
      </c>
      <c r="BQ17" s="60">
        <v>49342</v>
      </c>
      <c r="BR17" s="65">
        <f t="shared" si="32"/>
        <v>35</v>
      </c>
      <c r="BS17" s="60">
        <v>205.49</v>
      </c>
      <c r="BT17" s="65">
        <f t="shared" si="33"/>
        <v>50.000000000011369</v>
      </c>
      <c r="BU17" s="60">
        <v>45931</v>
      </c>
      <c r="BV17" s="65">
        <f t="shared" si="34"/>
        <v>47</v>
      </c>
      <c r="BW17" s="60">
        <v>235.92</v>
      </c>
      <c r="BX17" s="65">
        <f t="shared" si="35"/>
        <v>39.999999999992042</v>
      </c>
      <c r="BY17" s="60">
        <v>65563</v>
      </c>
      <c r="BZ17" s="67">
        <f t="shared" si="36"/>
        <v>55</v>
      </c>
      <c r="CA17" s="60">
        <v>37706.6</v>
      </c>
      <c r="CB17" s="67">
        <f t="shared" si="37"/>
        <v>63.299999999995634</v>
      </c>
      <c r="CC17" s="60">
        <v>13469.8</v>
      </c>
      <c r="CD17" s="67">
        <f t="shared" si="38"/>
        <v>9.6999999999989086</v>
      </c>
      <c r="CE17" s="60">
        <v>7109.4</v>
      </c>
      <c r="CF17" s="67">
        <f t="shared" si="39"/>
        <v>10.899999999999636</v>
      </c>
      <c r="CG17" s="60">
        <v>65995.899999999994</v>
      </c>
      <c r="CH17" s="67">
        <f t="shared" si="40"/>
        <v>60.099999999991269</v>
      </c>
      <c r="CI17" s="60">
        <v>987842</v>
      </c>
      <c r="CJ17" s="67">
        <f t="shared" si="41"/>
        <v>299</v>
      </c>
      <c r="CK17" s="60">
        <v>854.59</v>
      </c>
      <c r="CL17" s="64">
        <f t="shared" si="42"/>
        <v>700.00000000004547</v>
      </c>
      <c r="CM17" s="65">
        <f t="shared" si="43"/>
        <v>72.799999999999272</v>
      </c>
      <c r="CN17" s="62">
        <v>22</v>
      </c>
      <c r="CO17" s="62">
        <v>50</v>
      </c>
      <c r="CP17" s="68">
        <v>16428</v>
      </c>
      <c r="CQ17" s="67">
        <f t="shared" si="44"/>
        <v>53.799999999999272</v>
      </c>
      <c r="CR17" s="68">
        <v>17128</v>
      </c>
      <c r="CS17" s="67">
        <f t="shared" si="45"/>
        <v>19</v>
      </c>
      <c r="CT17" s="75">
        <v>8030</v>
      </c>
      <c r="CU17" s="67">
        <f t="shared" si="46"/>
        <v>10</v>
      </c>
      <c r="CV17" s="68">
        <v>19136</v>
      </c>
      <c r="CW17" s="67">
        <f t="shared" si="47"/>
        <v>32</v>
      </c>
    </row>
    <row r="18" spans="1:101" ht="25.5" customHeight="1" thickBot="1" x14ac:dyDescent="0.45">
      <c r="A18" s="63">
        <v>44515</v>
      </c>
      <c r="B18" s="44"/>
      <c r="C18" s="58">
        <v>2.6166999999999998</v>
      </c>
      <c r="D18" s="64">
        <f t="shared" si="0"/>
        <v>2799.9999999996917</v>
      </c>
      <c r="E18" s="58">
        <v>3.6640999999999999</v>
      </c>
      <c r="F18" s="64">
        <f t="shared" si="1"/>
        <v>3200.0000000000919</v>
      </c>
      <c r="G18" s="58">
        <v>3.6937000000000002</v>
      </c>
      <c r="H18" s="64">
        <f t="shared" si="2"/>
        <v>2800.0000000001355</v>
      </c>
      <c r="I18" s="58">
        <v>1.8317000000000001</v>
      </c>
      <c r="J18" s="64">
        <f t="shared" si="3"/>
        <v>1400.0000000000678</v>
      </c>
      <c r="K18" s="58">
        <v>2.9236</v>
      </c>
      <c r="L18" s="64">
        <f t="shared" si="4"/>
        <v>1999.9999999997797</v>
      </c>
      <c r="M18" s="58">
        <v>1.6108</v>
      </c>
      <c r="N18" s="64">
        <f t="shared" si="5"/>
        <v>1500.0000000000568</v>
      </c>
      <c r="O18" s="58">
        <v>15449</v>
      </c>
      <c r="P18" s="67">
        <f t="shared" si="6"/>
        <v>7</v>
      </c>
      <c r="Q18" s="58">
        <v>1539</v>
      </c>
      <c r="R18" s="67">
        <f t="shared" si="7"/>
        <v>3</v>
      </c>
      <c r="S18" s="58">
        <v>1120.8</v>
      </c>
      <c r="T18" s="67">
        <f t="shared" si="8"/>
        <v>0.70000000000004547</v>
      </c>
      <c r="U18" s="58">
        <v>465770</v>
      </c>
      <c r="V18" s="67">
        <f t="shared" si="9"/>
        <v>283</v>
      </c>
      <c r="W18" s="58">
        <v>438.92</v>
      </c>
      <c r="X18" s="65">
        <f t="shared" si="10"/>
        <v>310.00000000000227</v>
      </c>
      <c r="Y18" s="58">
        <v>3.2120000000000002</v>
      </c>
      <c r="Z18" s="65">
        <f t="shared" si="11"/>
        <v>1900.0000000000127</v>
      </c>
      <c r="AA18" s="58">
        <v>439.93</v>
      </c>
      <c r="AB18" s="65">
        <f t="shared" si="12"/>
        <v>400.00000000003411</v>
      </c>
      <c r="AC18" s="58">
        <v>418.74</v>
      </c>
      <c r="AD18" s="65">
        <f t="shared" si="13"/>
        <v>439.99999999999773</v>
      </c>
      <c r="AE18" s="58">
        <v>612.67999999999995</v>
      </c>
      <c r="AF18" s="65">
        <f t="shared" si="14"/>
        <v>559.99999999994543</v>
      </c>
      <c r="AG18" s="58">
        <v>9504</v>
      </c>
      <c r="AH18" s="67">
        <f t="shared" si="15"/>
        <v>34</v>
      </c>
      <c r="AI18" s="58">
        <v>704.16</v>
      </c>
      <c r="AJ18" s="65">
        <f t="shared" si="16"/>
        <v>699.99999999993179</v>
      </c>
      <c r="AK18" s="58">
        <v>234.55</v>
      </c>
      <c r="AL18" s="65">
        <f t="shared" si="17"/>
        <v>170.00000000001592</v>
      </c>
      <c r="AM18" s="58">
        <v>219.44</v>
      </c>
      <c r="AN18" s="65">
        <f t="shared" si="18"/>
        <v>219.99999999999886</v>
      </c>
      <c r="AO18" s="58">
        <v>212.89</v>
      </c>
      <c r="AP18" s="65">
        <f t="shared" si="19"/>
        <v>199.99999999998863</v>
      </c>
      <c r="AQ18" s="58">
        <v>270.08999999999997</v>
      </c>
      <c r="AR18" s="65">
        <f t="shared" si="20"/>
        <v>250</v>
      </c>
      <c r="AS18" s="58">
        <v>398.64</v>
      </c>
      <c r="AT18" s="65">
        <f t="shared" si="21"/>
        <v>129.99999999999545</v>
      </c>
      <c r="AU18" s="58">
        <v>305.97000000000003</v>
      </c>
      <c r="AV18" s="65">
        <f t="shared" si="22"/>
        <v>230.00000000001819</v>
      </c>
      <c r="AW18" s="58">
        <v>337.23</v>
      </c>
      <c r="AX18" s="65">
        <f t="shared" si="23"/>
        <v>150.00000000003411</v>
      </c>
      <c r="AY18" s="58">
        <v>375.63</v>
      </c>
      <c r="AZ18" s="65">
        <f t="shared" si="24"/>
        <v>159.99999999996817</v>
      </c>
      <c r="BA18" s="58">
        <v>392.78</v>
      </c>
      <c r="BB18" s="65">
        <f t="shared" si="25"/>
        <v>119.9999999999477</v>
      </c>
      <c r="BC18" s="58">
        <v>252.04</v>
      </c>
      <c r="BD18" s="65">
        <f t="shared" si="26"/>
        <v>69.999999999993179</v>
      </c>
      <c r="BE18" s="59">
        <v>44669</v>
      </c>
      <c r="BF18" s="67">
        <f t="shared" si="27"/>
        <v>37</v>
      </c>
      <c r="BG18" s="60">
        <v>239.75</v>
      </c>
      <c r="BH18" s="65">
        <f t="shared" si="28"/>
        <v>50.000000000011369</v>
      </c>
      <c r="BI18" s="60">
        <v>296.74</v>
      </c>
      <c r="BJ18" s="65">
        <f t="shared" si="29"/>
        <v>30.000000000029559</v>
      </c>
      <c r="BK18" s="60">
        <v>242.31</v>
      </c>
      <c r="BL18" s="65">
        <f t="shared" si="30"/>
        <v>30.000000000001137</v>
      </c>
      <c r="BM18" s="60">
        <v>229.62</v>
      </c>
      <c r="BN18" s="65">
        <f t="shared" si="48"/>
        <v>39.999999999992042</v>
      </c>
      <c r="BO18" s="60">
        <v>294.14</v>
      </c>
      <c r="BP18" s="65">
        <f t="shared" si="31"/>
        <v>50.000000000011369</v>
      </c>
      <c r="BQ18" s="60">
        <v>49373</v>
      </c>
      <c r="BR18" s="65">
        <f t="shared" si="32"/>
        <v>31</v>
      </c>
      <c r="BS18" s="60">
        <v>205.53</v>
      </c>
      <c r="BT18" s="65">
        <f t="shared" si="33"/>
        <v>39.999999999992042</v>
      </c>
      <c r="BU18" s="60">
        <v>45965</v>
      </c>
      <c r="BV18" s="65">
        <f t="shared" si="34"/>
        <v>34</v>
      </c>
      <c r="BW18" s="60">
        <v>235.94</v>
      </c>
      <c r="BX18" s="65">
        <f t="shared" si="35"/>
        <v>20.000000000010232</v>
      </c>
      <c r="BY18" s="60">
        <v>65600</v>
      </c>
      <c r="BZ18" s="67">
        <f t="shared" si="36"/>
        <v>37</v>
      </c>
      <c r="CA18" s="60">
        <v>37770.9</v>
      </c>
      <c r="CB18" s="67">
        <f t="shared" si="37"/>
        <v>64.30000000000291</v>
      </c>
      <c r="CC18" s="60">
        <v>13482.2</v>
      </c>
      <c r="CD18" s="67">
        <f t="shared" si="38"/>
        <v>12.400000000001455</v>
      </c>
      <c r="CE18" s="60">
        <v>7112</v>
      </c>
      <c r="CF18" s="67">
        <f t="shared" si="39"/>
        <v>2.6000000000003638</v>
      </c>
      <c r="CG18" s="60">
        <v>66017.3</v>
      </c>
      <c r="CH18" s="67">
        <f t="shared" si="40"/>
        <v>21.400000000008731</v>
      </c>
      <c r="CI18" s="60">
        <v>988086</v>
      </c>
      <c r="CJ18" s="67">
        <f t="shared" si="41"/>
        <v>244</v>
      </c>
      <c r="CK18" s="60">
        <v>855.29</v>
      </c>
      <c r="CL18" s="64">
        <f t="shared" si="42"/>
        <v>699.99999999993179</v>
      </c>
      <c r="CM18" s="65">
        <f t="shared" si="43"/>
        <v>104</v>
      </c>
      <c r="CN18" s="62">
        <v>22</v>
      </c>
      <c r="CO18" s="62">
        <v>50</v>
      </c>
      <c r="CP18" s="68">
        <v>16484</v>
      </c>
      <c r="CQ18" s="67">
        <f t="shared" si="44"/>
        <v>56</v>
      </c>
      <c r="CR18" s="68">
        <v>17176</v>
      </c>
      <c r="CS18" s="67">
        <f t="shared" si="45"/>
        <v>48</v>
      </c>
      <c r="CT18" s="75">
        <v>8038</v>
      </c>
      <c r="CU18" s="67">
        <f t="shared" si="46"/>
        <v>8</v>
      </c>
      <c r="CV18" s="68">
        <v>19157</v>
      </c>
      <c r="CW18" s="67">
        <f t="shared" si="47"/>
        <v>21</v>
      </c>
    </row>
    <row r="19" spans="1:101" ht="25.5" customHeight="1" thickBot="1" x14ac:dyDescent="0.45">
      <c r="A19" s="63">
        <v>44516</v>
      </c>
      <c r="B19" s="44"/>
      <c r="C19" s="58">
        <v>2.6194000000000002</v>
      </c>
      <c r="D19" s="64">
        <f t="shared" si="0"/>
        <v>2700.0000000003688</v>
      </c>
      <c r="E19" s="58">
        <v>3.6671999999999998</v>
      </c>
      <c r="F19" s="64">
        <f t="shared" si="1"/>
        <v>3099.9999999998809</v>
      </c>
      <c r="G19" s="58">
        <v>3.6964999999999999</v>
      </c>
      <c r="H19" s="64">
        <f t="shared" si="2"/>
        <v>2799.9999999996917</v>
      </c>
      <c r="I19" s="58">
        <v>1.8331</v>
      </c>
      <c r="J19" s="64">
        <f t="shared" si="3"/>
        <v>1399.9999999998458</v>
      </c>
      <c r="K19" s="58">
        <v>2.9256000000000002</v>
      </c>
      <c r="L19" s="64">
        <f t="shared" si="4"/>
        <v>2000.0000000002237</v>
      </c>
      <c r="M19" s="58">
        <v>1.6122000000000001</v>
      </c>
      <c r="N19" s="64">
        <f t="shared" si="5"/>
        <v>1400.0000000000678</v>
      </c>
      <c r="O19" s="58">
        <v>15450</v>
      </c>
      <c r="P19" s="67">
        <f t="shared" si="6"/>
        <v>1</v>
      </c>
      <c r="Q19" s="58">
        <v>1544</v>
      </c>
      <c r="R19" s="67">
        <f t="shared" si="7"/>
        <v>5</v>
      </c>
      <c r="S19" s="58">
        <v>1122.0999999999999</v>
      </c>
      <c r="T19" s="67">
        <f t="shared" si="8"/>
        <v>1.2999999999999545</v>
      </c>
      <c r="U19" s="58">
        <v>466184.7</v>
      </c>
      <c r="V19" s="67">
        <f t="shared" si="9"/>
        <v>414.70000000001164</v>
      </c>
      <c r="W19" s="58">
        <v>439.22</v>
      </c>
      <c r="X19" s="65">
        <f t="shared" si="10"/>
        <v>300.00000000001137</v>
      </c>
      <c r="Y19" s="58">
        <v>3.2147999999999999</v>
      </c>
      <c r="Z19" s="65">
        <f t="shared" si="11"/>
        <v>2799.9999999996917</v>
      </c>
      <c r="AA19" s="58">
        <v>440.18</v>
      </c>
      <c r="AB19" s="65">
        <f t="shared" si="12"/>
        <v>250</v>
      </c>
      <c r="AC19" s="58">
        <v>419.16</v>
      </c>
      <c r="AD19" s="65">
        <f t="shared" si="13"/>
        <v>420.00000000001592</v>
      </c>
      <c r="AE19" s="58">
        <v>613.22</v>
      </c>
      <c r="AF19" s="65">
        <f t="shared" si="14"/>
        <v>540.00000000007731</v>
      </c>
      <c r="AG19" s="58">
        <v>9542</v>
      </c>
      <c r="AH19" s="67">
        <f t="shared" si="15"/>
        <v>38</v>
      </c>
      <c r="AI19" s="58">
        <v>704.91</v>
      </c>
      <c r="AJ19" s="65">
        <f t="shared" si="16"/>
        <v>750</v>
      </c>
      <c r="AK19" s="58">
        <v>234.72</v>
      </c>
      <c r="AL19" s="65">
        <f t="shared" si="17"/>
        <v>169.99999999998749</v>
      </c>
      <c r="AM19" s="58">
        <v>219.68</v>
      </c>
      <c r="AN19" s="65">
        <f t="shared" si="18"/>
        <v>240.00000000000909</v>
      </c>
      <c r="AO19" s="58">
        <v>213.08</v>
      </c>
      <c r="AP19" s="65">
        <f t="shared" si="19"/>
        <v>190.00000000002615</v>
      </c>
      <c r="AQ19" s="58">
        <v>270.32</v>
      </c>
      <c r="AR19" s="65">
        <f t="shared" si="20"/>
        <v>230.00000000001819</v>
      </c>
      <c r="AS19" s="58">
        <v>398.77</v>
      </c>
      <c r="AT19" s="65">
        <f t="shared" si="21"/>
        <v>129.99999999999545</v>
      </c>
      <c r="AU19" s="58">
        <v>306.16000000000003</v>
      </c>
      <c r="AV19" s="65">
        <f t="shared" si="22"/>
        <v>189.99999999999773</v>
      </c>
      <c r="AW19" s="58">
        <v>337.39</v>
      </c>
      <c r="AX19" s="65">
        <f t="shared" si="23"/>
        <v>159.99999999996817</v>
      </c>
      <c r="AY19" s="58">
        <v>375.79</v>
      </c>
      <c r="AZ19" s="65">
        <f t="shared" si="24"/>
        <v>160.00000000002501</v>
      </c>
      <c r="BA19" s="58">
        <v>392.89</v>
      </c>
      <c r="BB19" s="65">
        <f t="shared" si="25"/>
        <v>110.00000000001364</v>
      </c>
      <c r="BC19" s="58">
        <v>252.12</v>
      </c>
      <c r="BD19" s="65">
        <f t="shared" si="26"/>
        <v>80.000000000012506</v>
      </c>
      <c r="BE19" s="59">
        <v>44705</v>
      </c>
      <c r="BF19" s="67">
        <f t="shared" si="27"/>
        <v>36</v>
      </c>
      <c r="BG19" s="60">
        <v>239.78</v>
      </c>
      <c r="BH19" s="65">
        <f t="shared" si="28"/>
        <v>30.000000000001137</v>
      </c>
      <c r="BI19" s="60">
        <v>296.76</v>
      </c>
      <c r="BJ19" s="65">
        <f t="shared" si="29"/>
        <v>19.99999999998181</v>
      </c>
      <c r="BK19" s="60">
        <v>242.36</v>
      </c>
      <c r="BL19" s="65">
        <f t="shared" si="30"/>
        <v>50.000000000011369</v>
      </c>
      <c r="BM19" s="60">
        <v>229.65</v>
      </c>
      <c r="BN19" s="65">
        <f t="shared" si="48"/>
        <v>30.000000000001137</v>
      </c>
      <c r="BO19" s="60">
        <v>294.19</v>
      </c>
      <c r="BP19" s="65">
        <f t="shared" si="31"/>
        <v>50.000000000011369</v>
      </c>
      <c r="BQ19" s="60">
        <v>49404</v>
      </c>
      <c r="BR19" s="65">
        <f t="shared" si="32"/>
        <v>31</v>
      </c>
      <c r="BS19" s="60">
        <v>205.58</v>
      </c>
      <c r="BT19" s="65">
        <f t="shared" si="33"/>
        <v>50.000000000011369</v>
      </c>
      <c r="BU19" s="60">
        <v>46001</v>
      </c>
      <c r="BV19" s="65">
        <f t="shared" si="34"/>
        <v>36</v>
      </c>
      <c r="BW19" s="60">
        <v>235.97</v>
      </c>
      <c r="BX19" s="65">
        <f t="shared" si="35"/>
        <v>30.000000000001137</v>
      </c>
      <c r="BY19" s="60">
        <v>65621</v>
      </c>
      <c r="BZ19" s="67">
        <f t="shared" si="36"/>
        <v>21</v>
      </c>
      <c r="CA19" s="60">
        <v>37820.6</v>
      </c>
      <c r="CB19" s="67">
        <f t="shared" si="37"/>
        <v>49.69999999999709</v>
      </c>
      <c r="CC19" s="60">
        <v>13495.3</v>
      </c>
      <c r="CD19" s="67">
        <f t="shared" si="38"/>
        <v>13.099999999998545</v>
      </c>
      <c r="CE19" s="60">
        <v>7116</v>
      </c>
      <c r="CF19" s="67">
        <f t="shared" si="39"/>
        <v>4</v>
      </c>
      <c r="CG19" s="60">
        <v>66058.5</v>
      </c>
      <c r="CH19" s="67">
        <f t="shared" si="40"/>
        <v>41.19999999999709</v>
      </c>
      <c r="CI19" s="60">
        <v>988378</v>
      </c>
      <c r="CJ19" s="67">
        <f t="shared" si="41"/>
        <v>292</v>
      </c>
      <c r="CK19" s="60">
        <v>855.95</v>
      </c>
      <c r="CL19" s="64">
        <f t="shared" si="42"/>
        <v>660.00000000008185</v>
      </c>
      <c r="CM19" s="65">
        <f t="shared" si="43"/>
        <v>96.599999999998545</v>
      </c>
      <c r="CN19" s="62">
        <v>21</v>
      </c>
      <c r="CO19" s="62">
        <v>48</v>
      </c>
      <c r="CP19" s="68">
        <v>16554.599999999999</v>
      </c>
      <c r="CQ19" s="67">
        <f t="shared" si="44"/>
        <v>70.599999999998545</v>
      </c>
      <c r="CR19" s="68">
        <v>17202</v>
      </c>
      <c r="CS19" s="67">
        <f t="shared" si="45"/>
        <v>26</v>
      </c>
      <c r="CT19" s="75">
        <v>8048</v>
      </c>
      <c r="CU19" s="67">
        <f t="shared" si="46"/>
        <v>10</v>
      </c>
      <c r="CV19" s="68">
        <v>19192</v>
      </c>
      <c r="CW19" s="67">
        <f t="shared" si="47"/>
        <v>35</v>
      </c>
    </row>
    <row r="20" spans="1:101" ht="25.5" customHeight="1" thickBot="1" x14ac:dyDescent="0.45">
      <c r="A20" s="63">
        <v>44517</v>
      </c>
      <c r="B20" s="44"/>
      <c r="C20" s="58">
        <v>2.6225000000000001</v>
      </c>
      <c r="D20" s="64">
        <f t="shared" si="0"/>
        <v>3099.9999999998809</v>
      </c>
      <c r="E20" s="58">
        <v>3.6705000000000001</v>
      </c>
      <c r="F20" s="64">
        <f t="shared" si="1"/>
        <v>3300.0000000003029</v>
      </c>
      <c r="G20" s="58">
        <v>3.6993999999999998</v>
      </c>
      <c r="H20" s="64">
        <f t="shared" si="2"/>
        <v>2899.9999999999027</v>
      </c>
      <c r="I20" s="58">
        <v>1.8345</v>
      </c>
      <c r="J20" s="64">
        <f t="shared" si="3"/>
        <v>1400.0000000000678</v>
      </c>
      <c r="K20" s="58">
        <v>2.9276</v>
      </c>
      <c r="L20" s="64">
        <f t="shared" si="4"/>
        <v>1999.9999999997797</v>
      </c>
      <c r="M20" s="58">
        <v>1.6137999999999999</v>
      </c>
      <c r="N20" s="64">
        <f t="shared" si="5"/>
        <v>1599.9999999998238</v>
      </c>
      <c r="O20" s="58">
        <v>15466</v>
      </c>
      <c r="P20" s="67">
        <f t="shared" si="6"/>
        <v>16</v>
      </c>
      <c r="Q20" s="58">
        <v>1549</v>
      </c>
      <c r="R20" s="67">
        <f t="shared" si="7"/>
        <v>5</v>
      </c>
      <c r="S20" s="58">
        <v>1123.2</v>
      </c>
      <c r="T20" s="67">
        <f t="shared" si="8"/>
        <v>1.1000000000001364</v>
      </c>
      <c r="U20" s="58">
        <v>466626.3</v>
      </c>
      <c r="V20" s="67">
        <f t="shared" si="9"/>
        <v>441.59999999997672</v>
      </c>
      <c r="W20" s="58">
        <v>439.56</v>
      </c>
      <c r="X20" s="65">
        <f t="shared" si="10"/>
        <v>339.99999999997499</v>
      </c>
      <c r="Y20" s="58">
        <v>3.2178</v>
      </c>
      <c r="Z20" s="65">
        <f t="shared" si="11"/>
        <v>3000.0000000001137</v>
      </c>
      <c r="AA20" s="58">
        <v>440.62</v>
      </c>
      <c r="AB20" s="65">
        <f t="shared" si="12"/>
        <v>439.99999999999773</v>
      </c>
      <c r="AC20" s="58">
        <v>419.67</v>
      </c>
      <c r="AD20" s="65">
        <f t="shared" si="13"/>
        <v>509.99999999999091</v>
      </c>
      <c r="AE20" s="58">
        <v>613.79999999999995</v>
      </c>
      <c r="AF20" s="65">
        <f t="shared" si="14"/>
        <v>579.99999999992724</v>
      </c>
      <c r="AG20" s="58">
        <v>9581</v>
      </c>
      <c r="AH20" s="67">
        <f t="shared" si="15"/>
        <v>39</v>
      </c>
      <c r="AI20" s="58">
        <v>705.78</v>
      </c>
      <c r="AJ20" s="65">
        <f t="shared" si="16"/>
        <v>870.00000000000455</v>
      </c>
      <c r="AK20" s="58">
        <v>234.95</v>
      </c>
      <c r="AL20" s="65">
        <f t="shared" si="17"/>
        <v>229.99999999998977</v>
      </c>
      <c r="AM20" s="58">
        <v>219.97</v>
      </c>
      <c r="AN20" s="65">
        <f t="shared" si="18"/>
        <v>289.99999999999204</v>
      </c>
      <c r="AO20" s="58">
        <v>213.32</v>
      </c>
      <c r="AP20" s="65">
        <f t="shared" si="19"/>
        <v>239.99999999998067</v>
      </c>
      <c r="AQ20" s="58">
        <v>270.61</v>
      </c>
      <c r="AR20" s="65">
        <f t="shared" si="20"/>
        <v>290.00000000002046</v>
      </c>
      <c r="AS20" s="58">
        <v>398.93</v>
      </c>
      <c r="AT20" s="65">
        <f t="shared" si="21"/>
        <v>160.00000000002501</v>
      </c>
      <c r="AU20" s="58">
        <v>306.36</v>
      </c>
      <c r="AV20" s="65">
        <f t="shared" si="22"/>
        <v>199.99999999998863</v>
      </c>
      <c r="AW20" s="58">
        <v>337.62</v>
      </c>
      <c r="AX20" s="65">
        <f t="shared" si="23"/>
        <v>230.00000000001819</v>
      </c>
      <c r="AY20" s="58">
        <v>376</v>
      </c>
      <c r="AZ20" s="65">
        <f t="shared" si="24"/>
        <v>209.99999999997954</v>
      </c>
      <c r="BA20" s="58">
        <v>393.05</v>
      </c>
      <c r="BB20" s="65">
        <f t="shared" si="25"/>
        <v>160.00000000002501</v>
      </c>
      <c r="BC20" s="58">
        <v>252.22</v>
      </c>
      <c r="BD20" s="65">
        <f t="shared" si="26"/>
        <v>99.999999999994316</v>
      </c>
      <c r="BE20" s="59">
        <v>44729</v>
      </c>
      <c r="BF20" s="67">
        <f t="shared" si="27"/>
        <v>24</v>
      </c>
      <c r="BG20" s="60">
        <v>239.82</v>
      </c>
      <c r="BH20" s="65">
        <f t="shared" si="28"/>
        <v>39.999999999992042</v>
      </c>
      <c r="BI20" s="60">
        <v>296.79000000000002</v>
      </c>
      <c r="BJ20" s="65">
        <f t="shared" si="29"/>
        <v>30.000000000029559</v>
      </c>
      <c r="BK20" s="60">
        <v>242.41</v>
      </c>
      <c r="BL20" s="65">
        <f t="shared" si="30"/>
        <v>49.999999999982947</v>
      </c>
      <c r="BM20" s="60">
        <v>229.7</v>
      </c>
      <c r="BN20" s="65">
        <f t="shared" si="48"/>
        <v>49.999999999982947</v>
      </c>
      <c r="BO20" s="60">
        <v>294.23</v>
      </c>
      <c r="BP20" s="65">
        <f t="shared" si="31"/>
        <v>40.000000000020464</v>
      </c>
      <c r="BQ20" s="60">
        <v>49436</v>
      </c>
      <c r="BR20" s="65">
        <f t="shared" si="32"/>
        <v>32</v>
      </c>
      <c r="BS20" s="60">
        <v>205.63</v>
      </c>
      <c r="BT20" s="65">
        <f t="shared" si="33"/>
        <v>49.999999999982947</v>
      </c>
      <c r="BU20" s="60">
        <v>46048</v>
      </c>
      <c r="BV20" s="65">
        <f t="shared" si="34"/>
        <v>47</v>
      </c>
      <c r="BW20" s="60">
        <v>236.01</v>
      </c>
      <c r="BX20" s="65">
        <f t="shared" si="35"/>
        <v>39.999999999992042</v>
      </c>
      <c r="BY20" s="60">
        <v>65665</v>
      </c>
      <c r="BZ20" s="67">
        <f t="shared" si="36"/>
        <v>44</v>
      </c>
      <c r="CA20" s="60">
        <v>37869.300000000003</v>
      </c>
      <c r="CB20" s="67">
        <f t="shared" si="37"/>
        <v>48.700000000004366</v>
      </c>
      <c r="CC20" s="60">
        <v>13506.2</v>
      </c>
      <c r="CD20" s="67">
        <f t="shared" si="38"/>
        <v>10.900000000001455</v>
      </c>
      <c r="CE20" s="60">
        <v>7120</v>
      </c>
      <c r="CF20" s="67">
        <f t="shared" si="39"/>
        <v>4</v>
      </c>
      <c r="CG20" s="60">
        <v>66093.5</v>
      </c>
      <c r="CH20" s="67">
        <f t="shared" si="40"/>
        <v>35</v>
      </c>
      <c r="CI20" s="60">
        <v>988645</v>
      </c>
      <c r="CJ20" s="67">
        <f t="shared" si="41"/>
        <v>267</v>
      </c>
      <c r="CK20" s="60">
        <v>856.64</v>
      </c>
      <c r="CL20" s="64">
        <f t="shared" si="42"/>
        <v>689.99999999994088</v>
      </c>
      <c r="CM20" s="65">
        <f t="shared" si="43"/>
        <v>82.900000000001455</v>
      </c>
      <c r="CN20" s="62">
        <v>21</v>
      </c>
      <c r="CO20" s="62">
        <v>48</v>
      </c>
      <c r="CP20" s="68">
        <v>16607.5</v>
      </c>
      <c r="CQ20" s="67">
        <f t="shared" si="44"/>
        <v>52.900000000001455</v>
      </c>
      <c r="CR20" s="68">
        <v>17232</v>
      </c>
      <c r="CS20" s="67">
        <f t="shared" si="45"/>
        <v>30</v>
      </c>
      <c r="CT20" s="75">
        <v>8058</v>
      </c>
      <c r="CU20" s="67">
        <f t="shared" si="46"/>
        <v>10</v>
      </c>
      <c r="CV20" s="68">
        <v>19216</v>
      </c>
      <c r="CW20" s="67">
        <f t="shared" si="47"/>
        <v>24</v>
      </c>
    </row>
    <row r="21" spans="1:101" ht="25.5" customHeight="1" thickBot="1" x14ac:dyDescent="0.45">
      <c r="A21" s="63">
        <v>44518</v>
      </c>
      <c r="B21" s="44"/>
      <c r="C21" s="58">
        <v>2.6252</v>
      </c>
      <c r="D21" s="64">
        <f t="shared" si="0"/>
        <v>2699.9999999999245</v>
      </c>
      <c r="E21" s="58">
        <v>3.6737000000000002</v>
      </c>
      <c r="F21" s="64">
        <f t="shared" si="1"/>
        <v>3200.0000000000919</v>
      </c>
      <c r="G21" s="58">
        <v>3.7021000000000002</v>
      </c>
      <c r="H21" s="64">
        <f t="shared" si="2"/>
        <v>2700.0000000003688</v>
      </c>
      <c r="I21" s="58">
        <v>1.8360000000000001</v>
      </c>
      <c r="J21" s="64">
        <f t="shared" si="3"/>
        <v>1500.0000000000568</v>
      </c>
      <c r="K21" s="58">
        <v>2.9295</v>
      </c>
      <c r="L21" s="64">
        <f t="shared" si="4"/>
        <v>1900.0000000000127</v>
      </c>
      <c r="M21" s="58">
        <v>1.6151</v>
      </c>
      <c r="N21" s="64">
        <f t="shared" si="5"/>
        <v>1300.0000000000789</v>
      </c>
      <c r="O21" s="58">
        <v>15476</v>
      </c>
      <c r="P21" s="67">
        <f t="shared" si="6"/>
        <v>10</v>
      </c>
      <c r="Q21" s="58">
        <v>1554</v>
      </c>
      <c r="R21" s="67">
        <f t="shared" si="7"/>
        <v>5</v>
      </c>
      <c r="S21" s="58">
        <v>1124.0999999999999</v>
      </c>
      <c r="T21" s="67">
        <f t="shared" si="8"/>
        <v>0.89999999999986358</v>
      </c>
      <c r="U21" s="58">
        <v>466948.6</v>
      </c>
      <c r="V21" s="67">
        <f t="shared" si="9"/>
        <v>322.29999999998836</v>
      </c>
      <c r="W21" s="58">
        <v>439.88</v>
      </c>
      <c r="X21" s="65">
        <f t="shared" si="10"/>
        <v>319.99999999999318</v>
      </c>
      <c r="Y21" s="58">
        <v>3.2208000000000001</v>
      </c>
      <c r="Z21" s="65">
        <f t="shared" si="11"/>
        <v>3000.0000000001137</v>
      </c>
      <c r="AA21" s="58">
        <v>440.91</v>
      </c>
      <c r="AB21" s="65">
        <f t="shared" si="12"/>
        <v>290.00000000002046</v>
      </c>
      <c r="AC21" s="58">
        <v>420.11</v>
      </c>
      <c r="AD21" s="65">
        <f t="shared" si="13"/>
        <v>439.99999999999773</v>
      </c>
      <c r="AE21" s="58">
        <v>614.27</v>
      </c>
      <c r="AF21" s="65">
        <f t="shared" si="14"/>
        <v>470.00000000002728</v>
      </c>
      <c r="AG21" s="58">
        <v>9618</v>
      </c>
      <c r="AH21" s="67">
        <f t="shared" si="15"/>
        <v>37</v>
      </c>
      <c r="AI21" s="58">
        <v>706.46</v>
      </c>
      <c r="AJ21" s="65">
        <f t="shared" si="16"/>
        <v>680.00000000006366</v>
      </c>
      <c r="AK21" s="58">
        <v>235.14</v>
      </c>
      <c r="AL21" s="65">
        <f t="shared" si="17"/>
        <v>189.99999999999773</v>
      </c>
      <c r="AM21" s="58">
        <v>220.23</v>
      </c>
      <c r="AN21" s="65">
        <f t="shared" si="18"/>
        <v>259.99999999999091</v>
      </c>
      <c r="AO21" s="58">
        <v>213.55</v>
      </c>
      <c r="AP21" s="65">
        <f t="shared" si="19"/>
        <v>230.00000000001819</v>
      </c>
      <c r="AQ21" s="58">
        <v>270.85000000000002</v>
      </c>
      <c r="AR21" s="65">
        <f t="shared" si="20"/>
        <v>240.00000000000909</v>
      </c>
      <c r="AS21" s="58">
        <v>399.1</v>
      </c>
      <c r="AT21" s="65">
        <f t="shared" si="21"/>
        <v>170.00000000001592</v>
      </c>
      <c r="AU21" s="58">
        <v>306.54000000000002</v>
      </c>
      <c r="AV21" s="65">
        <f t="shared" si="22"/>
        <v>180.00000000000682</v>
      </c>
      <c r="AW21" s="58">
        <v>337.84</v>
      </c>
      <c r="AX21" s="65">
        <f t="shared" si="23"/>
        <v>219.99999999997044</v>
      </c>
      <c r="AY21" s="58">
        <v>376.16</v>
      </c>
      <c r="AZ21" s="65">
        <f t="shared" si="24"/>
        <v>160.00000000002501</v>
      </c>
      <c r="BA21" s="58">
        <v>393.16</v>
      </c>
      <c r="BB21" s="65">
        <f t="shared" si="25"/>
        <v>110.00000000001364</v>
      </c>
      <c r="BC21" s="58">
        <v>252.31</v>
      </c>
      <c r="BD21" s="65">
        <f t="shared" si="26"/>
        <v>90.000000000003411</v>
      </c>
      <c r="BE21" s="59">
        <v>44758</v>
      </c>
      <c r="BF21" s="67">
        <f t="shared" si="27"/>
        <v>29</v>
      </c>
      <c r="BG21" s="60">
        <v>239.86</v>
      </c>
      <c r="BH21" s="65">
        <f t="shared" si="28"/>
        <v>40.000000000020464</v>
      </c>
      <c r="BI21" s="60">
        <v>296.82</v>
      </c>
      <c r="BJ21" s="65">
        <f t="shared" si="29"/>
        <v>29.999999999972715</v>
      </c>
      <c r="BK21" s="60">
        <v>242.45</v>
      </c>
      <c r="BL21" s="65">
        <f t="shared" si="30"/>
        <v>39.999999999992042</v>
      </c>
      <c r="BM21" s="60">
        <v>229.73</v>
      </c>
      <c r="BN21" s="65">
        <f t="shared" si="48"/>
        <v>30.000000000001137</v>
      </c>
      <c r="BO21" s="60">
        <v>294.27</v>
      </c>
      <c r="BP21" s="65">
        <f t="shared" si="31"/>
        <v>39.99999999996362</v>
      </c>
      <c r="BQ21" s="60">
        <v>49465</v>
      </c>
      <c r="BR21" s="65">
        <f t="shared" si="32"/>
        <v>29</v>
      </c>
      <c r="BS21" s="60">
        <v>205.67</v>
      </c>
      <c r="BT21" s="65">
        <f t="shared" si="33"/>
        <v>39.999999999992042</v>
      </c>
      <c r="BU21" s="60">
        <v>46078</v>
      </c>
      <c r="BV21" s="65">
        <f t="shared" si="34"/>
        <v>30</v>
      </c>
      <c r="BW21" s="60">
        <v>236.03</v>
      </c>
      <c r="BX21" s="65">
        <f t="shared" si="35"/>
        <v>20.000000000010232</v>
      </c>
      <c r="BY21" s="60">
        <v>65707</v>
      </c>
      <c r="BZ21" s="67">
        <f t="shared" si="36"/>
        <v>42</v>
      </c>
      <c r="CA21" s="60">
        <v>37935.9</v>
      </c>
      <c r="CB21" s="67">
        <f t="shared" si="37"/>
        <v>66.599999999998545</v>
      </c>
      <c r="CC21" s="60">
        <v>13517.2</v>
      </c>
      <c r="CD21" s="67">
        <f t="shared" si="38"/>
        <v>11</v>
      </c>
      <c r="CE21" s="60">
        <v>7131.4</v>
      </c>
      <c r="CF21" s="67">
        <f t="shared" si="39"/>
        <v>11.399999999999636</v>
      </c>
      <c r="CG21" s="60">
        <v>66129.2</v>
      </c>
      <c r="CH21" s="67">
        <f t="shared" si="40"/>
        <v>35.69999999999709</v>
      </c>
      <c r="CI21" s="60">
        <v>988922</v>
      </c>
      <c r="CJ21" s="67">
        <f t="shared" si="41"/>
        <v>277</v>
      </c>
      <c r="CK21" s="60">
        <v>857.31</v>
      </c>
      <c r="CL21" s="64">
        <f t="shared" si="42"/>
        <v>669.99999999995907</v>
      </c>
      <c r="CM21" s="65">
        <f t="shared" si="43"/>
        <v>74</v>
      </c>
      <c r="CN21" s="62">
        <v>20</v>
      </c>
      <c r="CO21" s="62">
        <v>49</v>
      </c>
      <c r="CP21" s="68">
        <v>16653.5</v>
      </c>
      <c r="CQ21" s="67">
        <f t="shared" si="44"/>
        <v>46</v>
      </c>
      <c r="CR21" s="68">
        <v>17260</v>
      </c>
      <c r="CS21" s="67">
        <f t="shared" si="45"/>
        <v>28</v>
      </c>
      <c r="CT21" s="75">
        <v>8068</v>
      </c>
      <c r="CU21" s="67">
        <f t="shared" si="46"/>
        <v>10</v>
      </c>
      <c r="CV21" s="68">
        <v>19234</v>
      </c>
      <c r="CW21" s="67">
        <f t="shared" si="47"/>
        <v>18</v>
      </c>
    </row>
    <row r="22" spans="1:101" ht="25.5" customHeight="1" thickBot="1" x14ac:dyDescent="0.45">
      <c r="A22" s="63">
        <v>44519</v>
      </c>
      <c r="B22" s="44"/>
      <c r="C22" s="58">
        <v>2.6278999999999999</v>
      </c>
      <c r="D22" s="64">
        <f t="shared" si="0"/>
        <v>2699.9999999999245</v>
      </c>
      <c r="E22" s="58">
        <v>3.677</v>
      </c>
      <c r="F22" s="64">
        <f t="shared" si="1"/>
        <v>3299.9999999998586</v>
      </c>
      <c r="G22" s="58">
        <v>3.7050999999999998</v>
      </c>
      <c r="H22" s="64">
        <f t="shared" si="2"/>
        <v>2999.9999999996694</v>
      </c>
      <c r="I22" s="58">
        <v>1.8373999999999999</v>
      </c>
      <c r="J22" s="64">
        <f t="shared" si="3"/>
        <v>1399.9999999998458</v>
      </c>
      <c r="K22" s="58">
        <v>2.9315000000000002</v>
      </c>
      <c r="L22" s="64">
        <f t="shared" si="4"/>
        <v>2000.0000000002237</v>
      </c>
      <c r="M22" s="58">
        <v>1.6166</v>
      </c>
      <c r="N22" s="64">
        <f t="shared" si="5"/>
        <v>1500.0000000000568</v>
      </c>
      <c r="O22" s="58">
        <v>15480</v>
      </c>
      <c r="P22" s="67">
        <f t="shared" si="6"/>
        <v>4</v>
      </c>
      <c r="Q22" s="58">
        <v>1558</v>
      </c>
      <c r="R22" s="67">
        <f t="shared" si="7"/>
        <v>4</v>
      </c>
      <c r="S22" s="58">
        <v>1125.2</v>
      </c>
      <c r="T22" s="67">
        <f t="shared" si="8"/>
        <v>1.1000000000001364</v>
      </c>
      <c r="U22" s="58">
        <v>467395.9</v>
      </c>
      <c r="V22" s="67">
        <f t="shared" si="9"/>
        <v>447.30000000004657</v>
      </c>
      <c r="W22" s="58">
        <v>440.18</v>
      </c>
      <c r="X22" s="65">
        <f t="shared" si="10"/>
        <v>300.00000000001137</v>
      </c>
      <c r="Y22" s="58">
        <v>3.2235</v>
      </c>
      <c r="Z22" s="65">
        <f t="shared" si="11"/>
        <v>2699.9999999999245</v>
      </c>
      <c r="AA22" s="58">
        <v>441.31</v>
      </c>
      <c r="AB22" s="65">
        <f t="shared" si="12"/>
        <v>399.99999999997726</v>
      </c>
      <c r="AC22" s="58">
        <v>420.53</v>
      </c>
      <c r="AD22" s="65">
        <f t="shared" si="13"/>
        <v>419.99999999995907</v>
      </c>
      <c r="AE22" s="58">
        <v>614.78</v>
      </c>
      <c r="AF22" s="65">
        <f t="shared" si="14"/>
        <v>509.99999999999091</v>
      </c>
      <c r="AG22" s="58">
        <v>9653</v>
      </c>
      <c r="AH22" s="67">
        <f t="shared" si="15"/>
        <v>35</v>
      </c>
      <c r="AI22" s="58">
        <v>707.03</v>
      </c>
      <c r="AJ22" s="65">
        <f t="shared" si="16"/>
        <v>569.99999999993634</v>
      </c>
      <c r="AK22" s="58">
        <v>235.35</v>
      </c>
      <c r="AL22" s="65">
        <f t="shared" si="17"/>
        <v>210.00000000000796</v>
      </c>
      <c r="AM22" s="58">
        <v>220.46</v>
      </c>
      <c r="AN22" s="65">
        <f t="shared" si="18"/>
        <v>230.00000000001819</v>
      </c>
      <c r="AO22" s="58">
        <v>213.75</v>
      </c>
      <c r="AP22" s="65">
        <f t="shared" si="19"/>
        <v>199.99999999998863</v>
      </c>
      <c r="AQ22" s="58">
        <v>271.07</v>
      </c>
      <c r="AR22" s="65">
        <f t="shared" si="20"/>
        <v>219.99999999997044</v>
      </c>
      <c r="AS22" s="58">
        <v>399.26</v>
      </c>
      <c r="AT22" s="65">
        <f t="shared" si="21"/>
        <v>159.99999999996817</v>
      </c>
      <c r="AU22" s="58">
        <v>306.69</v>
      </c>
      <c r="AV22" s="65">
        <f t="shared" si="22"/>
        <v>149.99999999997726</v>
      </c>
      <c r="AW22" s="58">
        <v>338</v>
      </c>
      <c r="AX22" s="65">
        <f t="shared" si="23"/>
        <v>160.00000000002501</v>
      </c>
      <c r="AY22" s="58">
        <v>376.29</v>
      </c>
      <c r="AZ22" s="65">
        <f t="shared" si="24"/>
        <v>129.99999999999545</v>
      </c>
      <c r="BA22" s="58">
        <v>393.26</v>
      </c>
      <c r="BB22" s="65">
        <f t="shared" si="25"/>
        <v>99.999999999965894</v>
      </c>
      <c r="BC22" s="58">
        <v>252.38</v>
      </c>
      <c r="BD22" s="65">
        <f t="shared" si="26"/>
        <v>69.999999999993179</v>
      </c>
      <c r="BE22" s="59">
        <v>44781</v>
      </c>
      <c r="BF22" s="67">
        <f t="shared" si="27"/>
        <v>23</v>
      </c>
      <c r="BG22" s="60">
        <v>239.9</v>
      </c>
      <c r="BH22" s="65">
        <f t="shared" si="28"/>
        <v>39.999999999992042</v>
      </c>
      <c r="BI22" s="60">
        <v>296.83999999999997</v>
      </c>
      <c r="BJ22" s="65">
        <f t="shared" si="29"/>
        <v>19.99999999998181</v>
      </c>
      <c r="BK22" s="60">
        <v>242.5</v>
      </c>
      <c r="BL22" s="65">
        <f t="shared" si="30"/>
        <v>50.000000000011369</v>
      </c>
      <c r="BM22" s="60">
        <v>229.77</v>
      </c>
      <c r="BN22" s="65">
        <f t="shared" si="48"/>
        <v>40.000000000020464</v>
      </c>
      <c r="BO22" s="60">
        <v>294.32</v>
      </c>
      <c r="BP22" s="65">
        <f t="shared" si="31"/>
        <v>50.000000000011369</v>
      </c>
      <c r="BQ22" s="60">
        <v>49494</v>
      </c>
      <c r="BR22" s="65">
        <f t="shared" si="32"/>
        <v>29</v>
      </c>
      <c r="BS22" s="60">
        <v>205.72</v>
      </c>
      <c r="BT22" s="65">
        <f t="shared" si="33"/>
        <v>50.000000000011369</v>
      </c>
      <c r="BU22" s="60">
        <v>46115</v>
      </c>
      <c r="BV22" s="65">
        <f t="shared" si="34"/>
        <v>37</v>
      </c>
      <c r="BW22" s="60">
        <v>236.06</v>
      </c>
      <c r="BX22" s="65">
        <f t="shared" si="35"/>
        <v>30.000000000001137</v>
      </c>
      <c r="BY22" s="60">
        <v>65745</v>
      </c>
      <c r="BZ22" s="67">
        <f t="shared" si="36"/>
        <v>38</v>
      </c>
      <c r="CA22" s="60">
        <v>38001.699999999997</v>
      </c>
      <c r="CB22" s="67">
        <f t="shared" si="37"/>
        <v>65.799999999995634</v>
      </c>
      <c r="CC22" s="60">
        <v>13525.3</v>
      </c>
      <c r="CD22" s="67">
        <f t="shared" si="38"/>
        <v>8.0999999999985448</v>
      </c>
      <c r="CE22" s="60">
        <v>7139.1</v>
      </c>
      <c r="CF22" s="67">
        <f t="shared" si="39"/>
        <v>7.7000000000007276</v>
      </c>
      <c r="CG22" s="60">
        <v>66155.600000000006</v>
      </c>
      <c r="CH22" s="67">
        <f t="shared" si="40"/>
        <v>26.400000000008731</v>
      </c>
      <c r="CI22" s="60">
        <v>989203</v>
      </c>
      <c r="CJ22" s="67">
        <f t="shared" si="41"/>
        <v>281</v>
      </c>
      <c r="CK22" s="60">
        <v>857.96</v>
      </c>
      <c r="CL22" s="64">
        <f t="shared" si="42"/>
        <v>650.00000000009095</v>
      </c>
      <c r="CM22" s="65">
        <f t="shared" si="43"/>
        <v>54</v>
      </c>
      <c r="CN22" s="62">
        <v>21</v>
      </c>
      <c r="CO22" s="62">
        <v>53</v>
      </c>
      <c r="CP22" s="68">
        <v>16696.5</v>
      </c>
      <c r="CQ22" s="67">
        <f t="shared" si="44"/>
        <v>43</v>
      </c>
      <c r="CR22" s="68">
        <v>17271</v>
      </c>
      <c r="CS22" s="67">
        <f t="shared" si="45"/>
        <v>11</v>
      </c>
      <c r="CT22" s="75">
        <v>8082</v>
      </c>
      <c r="CU22" s="67">
        <f t="shared" si="46"/>
        <v>14</v>
      </c>
      <c r="CV22" s="68">
        <v>19258</v>
      </c>
      <c r="CW22" s="67">
        <f t="shared" si="47"/>
        <v>24</v>
      </c>
    </row>
    <row r="23" spans="1:101" ht="25.5" customHeight="1" thickBot="1" x14ac:dyDescent="0.45">
      <c r="A23" s="63">
        <v>44520</v>
      </c>
      <c r="B23" s="44"/>
      <c r="C23" s="58">
        <v>2.6307</v>
      </c>
      <c r="D23" s="64">
        <f t="shared" si="0"/>
        <v>2800.0000000001355</v>
      </c>
      <c r="E23" s="58">
        <v>3.6804000000000001</v>
      </c>
      <c r="F23" s="64">
        <f t="shared" si="1"/>
        <v>3400.0000000000696</v>
      </c>
      <c r="G23" s="58">
        <v>3.7078000000000002</v>
      </c>
      <c r="H23" s="64">
        <f t="shared" si="2"/>
        <v>2700.0000000003688</v>
      </c>
      <c r="I23" s="58">
        <v>1.8388</v>
      </c>
      <c r="J23" s="64">
        <f t="shared" si="3"/>
        <v>1400.0000000000678</v>
      </c>
      <c r="K23" s="58">
        <v>2.9335</v>
      </c>
      <c r="L23" s="64">
        <f t="shared" si="4"/>
        <v>1999.9999999997797</v>
      </c>
      <c r="M23" s="58">
        <v>1.6178999999999999</v>
      </c>
      <c r="N23" s="64">
        <f t="shared" si="5"/>
        <v>1299.9999999998568</v>
      </c>
      <c r="O23" s="58">
        <v>15490</v>
      </c>
      <c r="P23" s="67">
        <f t="shared" si="6"/>
        <v>10</v>
      </c>
      <c r="Q23" s="58">
        <v>1563</v>
      </c>
      <c r="R23" s="67">
        <f t="shared" si="7"/>
        <v>5</v>
      </c>
      <c r="S23" s="58">
        <v>1126.3</v>
      </c>
      <c r="T23" s="67">
        <f t="shared" si="8"/>
        <v>1.0999999999999091</v>
      </c>
      <c r="U23" s="58">
        <v>467853</v>
      </c>
      <c r="V23" s="67">
        <f t="shared" si="9"/>
        <v>457.09999999997672</v>
      </c>
      <c r="W23" s="58">
        <v>440.53</v>
      </c>
      <c r="X23" s="65">
        <f t="shared" si="10"/>
        <v>349.99999999996589</v>
      </c>
      <c r="Y23" s="58">
        <v>3.2265999999999999</v>
      </c>
      <c r="Z23" s="65">
        <f t="shared" si="11"/>
        <v>3099.9999999998809</v>
      </c>
      <c r="AA23" s="58">
        <v>441.55</v>
      </c>
      <c r="AB23" s="65">
        <f t="shared" si="12"/>
        <v>240.00000000000909</v>
      </c>
      <c r="AC23" s="58">
        <v>420.99</v>
      </c>
      <c r="AD23" s="65">
        <f t="shared" si="13"/>
        <v>460.00000000003638</v>
      </c>
      <c r="AE23" s="58">
        <v>615.32000000000005</v>
      </c>
      <c r="AF23" s="65">
        <f t="shared" si="14"/>
        <v>540.00000000007731</v>
      </c>
      <c r="AG23" s="58">
        <v>9692</v>
      </c>
      <c r="AH23" s="67">
        <f t="shared" si="15"/>
        <v>39</v>
      </c>
      <c r="AI23" s="58">
        <v>707.67</v>
      </c>
      <c r="AJ23" s="65">
        <f t="shared" si="16"/>
        <v>639.99999999998636</v>
      </c>
      <c r="AK23" s="58">
        <v>235.53</v>
      </c>
      <c r="AL23" s="65">
        <f t="shared" si="17"/>
        <v>180.00000000000682</v>
      </c>
      <c r="AM23" s="58">
        <v>220.7</v>
      </c>
      <c r="AN23" s="65">
        <f t="shared" si="18"/>
        <v>239.99999999998067</v>
      </c>
      <c r="AO23" s="58">
        <v>213.97</v>
      </c>
      <c r="AP23" s="65">
        <f t="shared" si="19"/>
        <v>219.99999999999886</v>
      </c>
      <c r="AQ23" s="58">
        <v>271.33</v>
      </c>
      <c r="AR23" s="65">
        <f t="shared" si="20"/>
        <v>259.99999999999091</v>
      </c>
      <c r="AS23" s="58">
        <v>399.45</v>
      </c>
      <c r="AT23" s="65">
        <f t="shared" si="21"/>
        <v>189.99999999999773</v>
      </c>
      <c r="AU23" s="58">
        <v>306.89999999999998</v>
      </c>
      <c r="AV23" s="65">
        <f t="shared" si="22"/>
        <v>209.99999999997954</v>
      </c>
      <c r="AW23" s="58">
        <v>338.22</v>
      </c>
      <c r="AX23" s="65">
        <f t="shared" si="23"/>
        <v>220.00000000002728</v>
      </c>
      <c r="AY23" s="58">
        <v>376.46</v>
      </c>
      <c r="AZ23" s="65">
        <f t="shared" si="24"/>
        <v>169.99999999995907</v>
      </c>
      <c r="BA23" s="58">
        <v>393.37</v>
      </c>
      <c r="BB23" s="65">
        <f t="shared" si="25"/>
        <v>110.00000000001364</v>
      </c>
      <c r="BC23" s="58">
        <v>252.47</v>
      </c>
      <c r="BD23" s="65">
        <f t="shared" si="26"/>
        <v>90.000000000003411</v>
      </c>
      <c r="BE23" s="59">
        <v>44812</v>
      </c>
      <c r="BF23" s="67">
        <f t="shared" si="27"/>
        <v>31</v>
      </c>
      <c r="BG23" s="60">
        <v>239.93</v>
      </c>
      <c r="BH23" s="65">
        <f t="shared" si="28"/>
        <v>30.000000000001137</v>
      </c>
      <c r="BI23" s="60">
        <v>296.87</v>
      </c>
      <c r="BJ23" s="65">
        <f t="shared" si="29"/>
        <v>30.000000000029559</v>
      </c>
      <c r="BK23" s="60">
        <v>242.54</v>
      </c>
      <c r="BL23" s="65">
        <f t="shared" si="30"/>
        <v>39.999999999992042</v>
      </c>
      <c r="BM23" s="60">
        <v>229.81</v>
      </c>
      <c r="BN23" s="65">
        <f t="shared" si="48"/>
        <v>39.999999999992042</v>
      </c>
      <c r="BO23" s="60">
        <v>294.38</v>
      </c>
      <c r="BP23" s="65">
        <f t="shared" si="31"/>
        <v>60.000000000002274</v>
      </c>
      <c r="BQ23" s="60">
        <v>49525</v>
      </c>
      <c r="BR23" s="65">
        <f t="shared" si="32"/>
        <v>31</v>
      </c>
      <c r="BS23" s="60">
        <v>205.77</v>
      </c>
      <c r="BT23" s="65">
        <f t="shared" si="33"/>
        <v>50.000000000011369</v>
      </c>
      <c r="BU23" s="60">
        <v>46153</v>
      </c>
      <c r="BV23" s="65">
        <f t="shared" si="34"/>
        <v>38</v>
      </c>
      <c r="BW23" s="60">
        <v>236.09</v>
      </c>
      <c r="BX23" s="65">
        <f t="shared" si="35"/>
        <v>30.000000000001137</v>
      </c>
      <c r="BY23" s="60">
        <v>65784</v>
      </c>
      <c r="BZ23" s="67">
        <f t="shared" si="36"/>
        <v>39</v>
      </c>
      <c r="CA23" s="60">
        <v>38067</v>
      </c>
      <c r="CB23" s="67">
        <f t="shared" si="37"/>
        <v>65.30000000000291</v>
      </c>
      <c r="CC23" s="60">
        <v>13535.8</v>
      </c>
      <c r="CD23" s="67">
        <f t="shared" si="38"/>
        <v>10.5</v>
      </c>
      <c r="CE23" s="60">
        <v>7140</v>
      </c>
      <c r="CF23" s="67">
        <f t="shared" si="39"/>
        <v>0.8999999999996362</v>
      </c>
      <c r="CG23" s="60">
        <v>66187.899999999994</v>
      </c>
      <c r="CH23" s="67">
        <f t="shared" si="40"/>
        <v>32.299999999988358</v>
      </c>
      <c r="CI23" s="60">
        <v>989481</v>
      </c>
      <c r="CJ23" s="67">
        <f t="shared" si="41"/>
        <v>278</v>
      </c>
      <c r="CK23" s="60">
        <v>858.55</v>
      </c>
      <c r="CL23" s="64">
        <f t="shared" si="42"/>
        <v>589.99999999991815</v>
      </c>
      <c r="CM23" s="65">
        <f t="shared" si="43"/>
        <v>65.599999999998545</v>
      </c>
      <c r="CN23" s="62"/>
      <c r="CO23" s="62"/>
      <c r="CP23" s="68">
        <v>16743.099999999999</v>
      </c>
      <c r="CQ23" s="67">
        <f t="shared" si="44"/>
        <v>46.599999999998545</v>
      </c>
      <c r="CR23" s="68">
        <v>17290</v>
      </c>
      <c r="CS23" s="67">
        <f t="shared" si="45"/>
        <v>19</v>
      </c>
      <c r="CT23" s="75">
        <v>8098</v>
      </c>
      <c r="CU23" s="67">
        <f t="shared" si="46"/>
        <v>16</v>
      </c>
      <c r="CV23" s="68">
        <v>19288</v>
      </c>
      <c r="CW23" s="67">
        <f t="shared" si="47"/>
        <v>30</v>
      </c>
    </row>
    <row r="24" spans="1:101" ht="25.5" customHeight="1" thickBot="1" x14ac:dyDescent="0.45">
      <c r="A24" s="63">
        <v>44521</v>
      </c>
      <c r="B24" s="44"/>
      <c r="C24" s="58">
        <v>2.6332</v>
      </c>
      <c r="D24" s="64">
        <f t="shared" si="0"/>
        <v>2499.9999999999468</v>
      </c>
      <c r="E24" s="58">
        <v>3.6836000000000002</v>
      </c>
      <c r="F24" s="64">
        <f t="shared" si="1"/>
        <v>3200.0000000000919</v>
      </c>
      <c r="G24" s="58">
        <v>3.7103000000000002</v>
      </c>
      <c r="H24" s="64">
        <f t="shared" si="2"/>
        <v>2499.9999999999468</v>
      </c>
      <c r="I24" s="58">
        <v>1.8401000000000001</v>
      </c>
      <c r="J24" s="64">
        <f t="shared" si="3"/>
        <v>1300.0000000000789</v>
      </c>
      <c r="K24" s="58">
        <v>2.9352999999999998</v>
      </c>
      <c r="L24" s="64">
        <f t="shared" si="4"/>
        <v>1799.9999999998017</v>
      </c>
      <c r="M24" s="58">
        <v>1.6194</v>
      </c>
      <c r="N24" s="64">
        <f t="shared" si="5"/>
        <v>1500.0000000000568</v>
      </c>
      <c r="O24" s="58">
        <v>15507</v>
      </c>
      <c r="P24" s="67">
        <f t="shared" si="6"/>
        <v>17</v>
      </c>
      <c r="Q24" s="58">
        <v>1568</v>
      </c>
      <c r="R24" s="67">
        <f t="shared" si="7"/>
        <v>5</v>
      </c>
      <c r="S24" s="58">
        <v>1127.3</v>
      </c>
      <c r="T24" s="67">
        <f t="shared" si="8"/>
        <v>1</v>
      </c>
      <c r="U24" s="58">
        <v>468164.3</v>
      </c>
      <c r="V24" s="67">
        <f t="shared" si="9"/>
        <v>311.29999999998836</v>
      </c>
      <c r="W24" s="58">
        <v>440.93</v>
      </c>
      <c r="X24" s="65">
        <f t="shared" si="10"/>
        <v>400.00000000003411</v>
      </c>
      <c r="Y24" s="58">
        <v>3.2296</v>
      </c>
      <c r="Z24" s="65">
        <f t="shared" si="11"/>
        <v>3000.0000000001137</v>
      </c>
      <c r="AA24" s="58">
        <v>441.99</v>
      </c>
      <c r="AB24" s="65">
        <f t="shared" si="12"/>
        <v>439.99999999999773</v>
      </c>
      <c r="AC24" s="58">
        <v>421.46</v>
      </c>
      <c r="AD24" s="65">
        <f t="shared" si="13"/>
        <v>469.99999999997044</v>
      </c>
      <c r="AE24" s="58">
        <v>615.87</v>
      </c>
      <c r="AF24" s="65">
        <f t="shared" si="14"/>
        <v>549.99999999995453</v>
      </c>
      <c r="AG24" s="58">
        <v>9728</v>
      </c>
      <c r="AH24" s="67">
        <f t="shared" si="15"/>
        <v>36</v>
      </c>
      <c r="AI24" s="58">
        <v>708.31</v>
      </c>
      <c r="AJ24" s="65">
        <f t="shared" si="16"/>
        <v>639.99999999998636</v>
      </c>
      <c r="AK24" s="58">
        <v>235.72</v>
      </c>
      <c r="AL24" s="65">
        <f t="shared" si="17"/>
        <v>189.99999999999773</v>
      </c>
      <c r="AM24" s="58">
        <v>220.9</v>
      </c>
      <c r="AN24" s="65">
        <f t="shared" si="18"/>
        <v>200.00000000001705</v>
      </c>
      <c r="AO24" s="58">
        <v>214.17</v>
      </c>
      <c r="AP24" s="65">
        <f t="shared" si="19"/>
        <v>199.99999999998863</v>
      </c>
      <c r="AQ24" s="58">
        <v>271.58</v>
      </c>
      <c r="AR24" s="65">
        <f t="shared" si="20"/>
        <v>250</v>
      </c>
      <c r="AS24" s="58">
        <v>399.69</v>
      </c>
      <c r="AT24" s="65">
        <f t="shared" si="21"/>
        <v>240.00000000000909</v>
      </c>
      <c r="AU24" s="58">
        <v>307.12</v>
      </c>
      <c r="AV24" s="65">
        <f t="shared" si="22"/>
        <v>220.00000000002728</v>
      </c>
      <c r="AW24" s="58">
        <v>338.38</v>
      </c>
      <c r="AX24" s="65">
        <f t="shared" si="23"/>
        <v>159.99999999996817</v>
      </c>
      <c r="AY24" s="58">
        <v>376.67</v>
      </c>
      <c r="AZ24" s="65">
        <f t="shared" si="24"/>
        <v>210.00000000003638</v>
      </c>
      <c r="BA24" s="58">
        <v>393.49</v>
      </c>
      <c r="BB24" s="65">
        <f t="shared" si="25"/>
        <v>120.00000000000455</v>
      </c>
      <c r="BC24" s="58">
        <v>252.56</v>
      </c>
      <c r="BD24" s="65">
        <f t="shared" si="26"/>
        <v>90.000000000003411</v>
      </c>
      <c r="BE24" s="59">
        <v>44835</v>
      </c>
      <c r="BF24" s="67">
        <f t="shared" si="27"/>
        <v>23</v>
      </c>
      <c r="BG24" s="60">
        <v>239.96</v>
      </c>
      <c r="BH24" s="65">
        <f t="shared" si="28"/>
        <v>30.000000000001137</v>
      </c>
      <c r="BI24" s="60">
        <v>296.89</v>
      </c>
      <c r="BJ24" s="65">
        <f t="shared" si="29"/>
        <v>19.99999999998181</v>
      </c>
      <c r="BK24" s="60">
        <v>242.59</v>
      </c>
      <c r="BL24" s="65">
        <f t="shared" si="30"/>
        <v>50.000000000011369</v>
      </c>
      <c r="BM24" s="60">
        <v>229.84</v>
      </c>
      <c r="BN24" s="65">
        <f t="shared" si="48"/>
        <v>30.000000000001137</v>
      </c>
      <c r="BO24" s="60">
        <v>294.44</v>
      </c>
      <c r="BP24" s="65">
        <f t="shared" si="31"/>
        <v>60.000000000002274</v>
      </c>
      <c r="BQ24" s="60">
        <v>49551</v>
      </c>
      <c r="BR24" s="65">
        <f t="shared" si="32"/>
        <v>26</v>
      </c>
      <c r="BS24" s="60">
        <v>205.81</v>
      </c>
      <c r="BT24" s="65">
        <f t="shared" si="33"/>
        <v>39.999999999992042</v>
      </c>
      <c r="BU24" s="60">
        <v>46184</v>
      </c>
      <c r="BV24" s="65">
        <f t="shared" si="34"/>
        <v>31</v>
      </c>
      <c r="BW24" s="60">
        <v>236.12</v>
      </c>
      <c r="BX24" s="65">
        <f t="shared" si="35"/>
        <v>30.000000000001137</v>
      </c>
      <c r="BY24" s="60">
        <v>65818</v>
      </c>
      <c r="BZ24" s="67">
        <f t="shared" si="36"/>
        <v>34</v>
      </c>
      <c r="CA24" s="60">
        <v>38136.199999999997</v>
      </c>
      <c r="CB24" s="67">
        <f t="shared" si="37"/>
        <v>69.19999999999709</v>
      </c>
      <c r="CC24" s="60">
        <v>13545.3</v>
      </c>
      <c r="CD24" s="67">
        <f t="shared" si="38"/>
        <v>9.5</v>
      </c>
      <c r="CE24" s="60">
        <v>7151.7</v>
      </c>
      <c r="CF24" s="67">
        <f t="shared" si="39"/>
        <v>11.699999999999818</v>
      </c>
      <c r="CG24" s="60">
        <v>66215.5</v>
      </c>
      <c r="CH24" s="67">
        <f t="shared" si="40"/>
        <v>27.600000000005821</v>
      </c>
      <c r="CI24" s="60">
        <v>989774</v>
      </c>
      <c r="CJ24" s="67">
        <f t="shared" si="41"/>
        <v>293</v>
      </c>
      <c r="CK24" s="60">
        <v>859.08</v>
      </c>
      <c r="CL24" s="64">
        <f t="shared" si="42"/>
        <v>530.0000000000864</v>
      </c>
      <c r="CM24" s="65">
        <f t="shared" si="43"/>
        <v>78.900000000001455</v>
      </c>
      <c r="CN24" s="62">
        <v>20</v>
      </c>
      <c r="CO24" s="62">
        <v>44</v>
      </c>
      <c r="CP24" s="68">
        <v>16800</v>
      </c>
      <c r="CQ24" s="67">
        <f t="shared" si="44"/>
        <v>56.900000000001455</v>
      </c>
      <c r="CR24" s="68">
        <v>17312</v>
      </c>
      <c r="CS24" s="67">
        <f t="shared" si="45"/>
        <v>22</v>
      </c>
      <c r="CT24" s="75">
        <v>8115</v>
      </c>
      <c r="CU24" s="67">
        <f t="shared" si="46"/>
        <v>17</v>
      </c>
      <c r="CV24" s="68">
        <v>19326</v>
      </c>
      <c r="CW24" s="67">
        <f t="shared" si="47"/>
        <v>38</v>
      </c>
    </row>
    <row r="25" spans="1:101" ht="25.5" customHeight="1" thickBot="1" x14ac:dyDescent="0.45">
      <c r="A25" s="63">
        <v>44522</v>
      </c>
      <c r="B25" s="44"/>
      <c r="C25" s="58">
        <v>2.6362000000000001</v>
      </c>
      <c r="D25" s="64">
        <f t="shared" si="0"/>
        <v>3000.0000000001137</v>
      </c>
      <c r="E25" s="58">
        <v>3.6869999999999998</v>
      </c>
      <c r="F25" s="64">
        <f t="shared" si="1"/>
        <v>3399.9999999996257</v>
      </c>
      <c r="G25" s="58">
        <v>3.7130999999999998</v>
      </c>
      <c r="H25" s="64">
        <f t="shared" si="2"/>
        <v>2799.9999999996917</v>
      </c>
      <c r="I25" s="58">
        <v>1.8415999999999999</v>
      </c>
      <c r="J25" s="64">
        <f t="shared" si="3"/>
        <v>1499.9999999998347</v>
      </c>
      <c r="K25" s="58">
        <v>2.9373999999999998</v>
      </c>
      <c r="L25" s="64">
        <f t="shared" si="4"/>
        <v>2099.9999999999909</v>
      </c>
      <c r="M25" s="58">
        <v>1.6211</v>
      </c>
      <c r="N25" s="64">
        <f t="shared" si="5"/>
        <v>1700.0000000000348</v>
      </c>
      <c r="O25" s="58">
        <v>15519</v>
      </c>
      <c r="P25" s="67">
        <f t="shared" si="6"/>
        <v>12</v>
      </c>
      <c r="Q25" s="58">
        <v>1573</v>
      </c>
      <c r="R25" s="67">
        <f t="shared" si="7"/>
        <v>5</v>
      </c>
      <c r="S25" s="58">
        <v>1128.2</v>
      </c>
      <c r="T25" s="67">
        <f t="shared" si="8"/>
        <v>0.90000000000009095</v>
      </c>
      <c r="U25" s="58">
        <v>468489</v>
      </c>
      <c r="V25" s="67">
        <f t="shared" si="9"/>
        <v>324.70000000001164</v>
      </c>
      <c r="W25" s="58">
        <v>441.31</v>
      </c>
      <c r="X25" s="65">
        <f t="shared" si="10"/>
        <v>379.99999999999545</v>
      </c>
      <c r="Y25" s="58">
        <v>3.2324999999999999</v>
      </c>
      <c r="Z25" s="65">
        <f t="shared" si="11"/>
        <v>2899.9999999999027</v>
      </c>
      <c r="AA25" s="58">
        <v>442.46</v>
      </c>
      <c r="AB25" s="65">
        <f t="shared" si="12"/>
        <v>469.99999999997044</v>
      </c>
      <c r="AC25" s="58">
        <v>421.93</v>
      </c>
      <c r="AD25" s="65">
        <f t="shared" si="13"/>
        <v>470.00000000002728</v>
      </c>
      <c r="AE25" s="58">
        <v>616.49</v>
      </c>
      <c r="AF25" s="65">
        <f t="shared" si="14"/>
        <v>620.00000000000455</v>
      </c>
      <c r="AG25" s="58">
        <v>9768</v>
      </c>
      <c r="AH25" s="67">
        <f t="shared" si="15"/>
        <v>40</v>
      </c>
      <c r="AI25" s="58">
        <v>708.96</v>
      </c>
      <c r="AJ25" s="65">
        <f t="shared" si="16"/>
        <v>650.00000000009095</v>
      </c>
      <c r="AK25" s="58">
        <v>235.94</v>
      </c>
      <c r="AL25" s="65">
        <f t="shared" si="17"/>
        <v>219.99999999999886</v>
      </c>
      <c r="AM25" s="58">
        <v>221.04</v>
      </c>
      <c r="AN25" s="65">
        <f t="shared" si="18"/>
        <v>139.99999999998636</v>
      </c>
      <c r="AO25" s="58">
        <v>214.42</v>
      </c>
      <c r="AP25" s="65">
        <f t="shared" si="19"/>
        <v>250</v>
      </c>
      <c r="AQ25" s="58">
        <v>271.88</v>
      </c>
      <c r="AR25" s="65">
        <f t="shared" si="20"/>
        <v>300.00000000001137</v>
      </c>
      <c r="AS25" s="58">
        <v>399.92</v>
      </c>
      <c r="AT25" s="65">
        <f t="shared" si="21"/>
        <v>230.00000000001819</v>
      </c>
      <c r="AU25" s="58">
        <v>307.32</v>
      </c>
      <c r="AV25" s="65">
        <f t="shared" si="22"/>
        <v>199.99999999998863</v>
      </c>
      <c r="AW25" s="58">
        <v>338.62</v>
      </c>
      <c r="AX25" s="65">
        <f t="shared" si="23"/>
        <v>240.00000000000909</v>
      </c>
      <c r="AY25" s="58">
        <v>376.86</v>
      </c>
      <c r="AZ25" s="65">
        <f t="shared" si="24"/>
        <v>189.99999999999773</v>
      </c>
      <c r="BA25" s="58">
        <v>393.62</v>
      </c>
      <c r="BB25" s="65">
        <f t="shared" si="25"/>
        <v>129.99999999999545</v>
      </c>
      <c r="BC25" s="58">
        <v>252.63</v>
      </c>
      <c r="BD25" s="65">
        <f t="shared" si="26"/>
        <v>69.999999999993179</v>
      </c>
      <c r="BE25" s="59">
        <v>44864</v>
      </c>
      <c r="BF25" s="67">
        <f t="shared" si="27"/>
        <v>29</v>
      </c>
      <c r="BG25" s="60">
        <v>240</v>
      </c>
      <c r="BH25" s="65">
        <f t="shared" si="28"/>
        <v>39.999999999992042</v>
      </c>
      <c r="BI25" s="60">
        <v>296.92</v>
      </c>
      <c r="BJ25" s="65">
        <f t="shared" si="29"/>
        <v>30.000000000029559</v>
      </c>
      <c r="BK25" s="60">
        <v>242.63</v>
      </c>
      <c r="BL25" s="65">
        <f t="shared" si="30"/>
        <v>39.999999999992042</v>
      </c>
      <c r="BM25" s="60">
        <v>229.88</v>
      </c>
      <c r="BN25" s="65">
        <f t="shared" si="48"/>
        <v>39.999999999992042</v>
      </c>
      <c r="BO25" s="60">
        <v>294.49</v>
      </c>
      <c r="BP25" s="65">
        <f t="shared" si="31"/>
        <v>50.000000000011369</v>
      </c>
      <c r="BQ25" s="60">
        <v>49590</v>
      </c>
      <c r="BR25" s="65">
        <f t="shared" si="32"/>
        <v>39</v>
      </c>
      <c r="BS25" s="60">
        <v>205.85</v>
      </c>
      <c r="BT25" s="65">
        <f t="shared" si="33"/>
        <v>39.999999999992042</v>
      </c>
      <c r="BU25" s="60">
        <v>46225</v>
      </c>
      <c r="BV25" s="65">
        <f t="shared" si="34"/>
        <v>41</v>
      </c>
      <c r="BW25" s="60">
        <v>236.15</v>
      </c>
      <c r="BX25" s="65">
        <f t="shared" si="35"/>
        <v>30.000000000001137</v>
      </c>
      <c r="BY25" s="60">
        <v>65856</v>
      </c>
      <c r="BZ25" s="67">
        <f t="shared" si="36"/>
        <v>38</v>
      </c>
      <c r="CA25" s="60">
        <v>38205.4</v>
      </c>
      <c r="CB25" s="67">
        <f t="shared" si="37"/>
        <v>69.200000000004366</v>
      </c>
      <c r="CC25" s="60">
        <v>13557.2</v>
      </c>
      <c r="CD25" s="67">
        <f t="shared" si="38"/>
        <v>11.900000000001455</v>
      </c>
      <c r="CE25" s="60">
        <v>7152</v>
      </c>
      <c r="CF25" s="67">
        <f t="shared" si="39"/>
        <v>0.3000000000001819</v>
      </c>
      <c r="CG25" s="60">
        <v>66239.7</v>
      </c>
      <c r="CH25" s="67">
        <f t="shared" si="40"/>
        <v>24.19999999999709</v>
      </c>
      <c r="CI25" s="60">
        <v>990043</v>
      </c>
      <c r="CJ25" s="67">
        <f t="shared" si="41"/>
        <v>269</v>
      </c>
      <c r="CK25" s="60">
        <v>859.78</v>
      </c>
      <c r="CL25" s="64">
        <f t="shared" si="42"/>
        <v>699.99999999993179</v>
      </c>
      <c r="CM25" s="65">
        <f t="shared" si="43"/>
        <v>87.299999999999272</v>
      </c>
      <c r="CN25" s="62">
        <v>25</v>
      </c>
      <c r="CO25" s="62">
        <v>59</v>
      </c>
      <c r="CP25" s="68">
        <v>16853.3</v>
      </c>
      <c r="CQ25" s="67">
        <f t="shared" si="44"/>
        <v>53.299999999999272</v>
      </c>
      <c r="CR25" s="68">
        <v>17346</v>
      </c>
      <c r="CS25" s="67">
        <f t="shared" si="45"/>
        <v>34</v>
      </c>
      <c r="CT25" s="75">
        <v>8129</v>
      </c>
      <c r="CU25" s="67">
        <f t="shared" si="46"/>
        <v>14</v>
      </c>
      <c r="CV25" s="68">
        <v>19354</v>
      </c>
      <c r="CW25" s="67">
        <f t="shared" si="47"/>
        <v>28</v>
      </c>
    </row>
    <row r="26" spans="1:101" ht="25.5" customHeight="1" thickBot="1" x14ac:dyDescent="0.45">
      <c r="A26" s="63">
        <v>44523</v>
      </c>
      <c r="B26" s="44"/>
      <c r="C26" s="58"/>
      <c r="D26" s="64" t="str">
        <f t="shared" si="0"/>
        <v>0</v>
      </c>
      <c r="E26" s="58"/>
      <c r="F26" s="64" t="str">
        <f t="shared" si="1"/>
        <v>0</v>
      </c>
      <c r="G26" s="58"/>
      <c r="H26" s="64" t="str">
        <f t="shared" si="2"/>
        <v>0</v>
      </c>
      <c r="I26" s="58"/>
      <c r="J26" s="64" t="str">
        <f t="shared" si="3"/>
        <v>0</v>
      </c>
      <c r="K26" s="58"/>
      <c r="L26" s="64" t="str">
        <f t="shared" si="4"/>
        <v>0</v>
      </c>
      <c r="M26" s="58"/>
      <c r="N26" s="64" t="str">
        <f t="shared" si="5"/>
        <v/>
      </c>
      <c r="O26" s="58"/>
      <c r="P26" s="67" t="str">
        <f t="shared" si="6"/>
        <v/>
      </c>
      <c r="Q26" s="58"/>
      <c r="R26" s="67" t="str">
        <f t="shared" si="7"/>
        <v/>
      </c>
      <c r="S26" s="58"/>
      <c r="T26" s="67" t="str">
        <f t="shared" si="8"/>
        <v/>
      </c>
      <c r="U26" s="58"/>
      <c r="V26" s="67" t="str">
        <f t="shared" si="9"/>
        <v/>
      </c>
      <c r="W26" s="58"/>
      <c r="X26" s="65" t="str">
        <f t="shared" si="10"/>
        <v/>
      </c>
      <c r="Y26" s="58"/>
      <c r="Z26" s="65" t="str">
        <f t="shared" si="11"/>
        <v/>
      </c>
      <c r="AA26" s="58"/>
      <c r="AB26" s="65" t="str">
        <f t="shared" si="12"/>
        <v/>
      </c>
      <c r="AC26" s="58"/>
      <c r="AD26" s="65" t="str">
        <f t="shared" si="13"/>
        <v/>
      </c>
      <c r="AE26" s="58"/>
      <c r="AF26" s="65" t="str">
        <f t="shared" si="14"/>
        <v/>
      </c>
      <c r="AG26" s="58"/>
      <c r="AH26" s="67" t="str">
        <f t="shared" si="15"/>
        <v/>
      </c>
      <c r="AI26" s="58"/>
      <c r="AJ26" s="65" t="str">
        <f t="shared" si="16"/>
        <v/>
      </c>
      <c r="AK26" s="58"/>
      <c r="AL26" s="65" t="str">
        <f t="shared" si="17"/>
        <v/>
      </c>
      <c r="AM26" s="58"/>
      <c r="AN26" s="65" t="str">
        <f t="shared" si="18"/>
        <v/>
      </c>
      <c r="AO26" s="58"/>
      <c r="AP26" s="65" t="str">
        <f t="shared" si="19"/>
        <v/>
      </c>
      <c r="AQ26" s="58"/>
      <c r="AR26" s="65" t="str">
        <f t="shared" si="20"/>
        <v/>
      </c>
      <c r="AS26" s="58"/>
      <c r="AT26" s="65" t="str">
        <f t="shared" si="21"/>
        <v/>
      </c>
      <c r="AU26" s="58"/>
      <c r="AV26" s="65" t="str">
        <f t="shared" si="22"/>
        <v/>
      </c>
      <c r="AW26" s="58"/>
      <c r="AX26" s="65" t="str">
        <f t="shared" si="23"/>
        <v/>
      </c>
      <c r="AY26" s="58"/>
      <c r="AZ26" s="65" t="str">
        <f t="shared" si="24"/>
        <v/>
      </c>
      <c r="BA26" s="58"/>
      <c r="BB26" s="65" t="str">
        <f t="shared" si="25"/>
        <v/>
      </c>
      <c r="BC26" s="58"/>
      <c r="BD26" s="65" t="str">
        <f t="shared" si="26"/>
        <v/>
      </c>
      <c r="BE26" s="59"/>
      <c r="BF26" s="67" t="str">
        <f t="shared" si="27"/>
        <v/>
      </c>
      <c r="BG26" s="60"/>
      <c r="BH26" s="65" t="str">
        <f t="shared" si="28"/>
        <v/>
      </c>
      <c r="BI26" s="60"/>
      <c r="BJ26" s="65" t="str">
        <f t="shared" si="29"/>
        <v/>
      </c>
      <c r="BK26" s="60"/>
      <c r="BL26" s="65" t="str">
        <f t="shared" si="30"/>
        <v/>
      </c>
      <c r="BM26" s="60"/>
      <c r="BN26" s="65" t="str">
        <f t="shared" si="48"/>
        <v/>
      </c>
      <c r="BO26" s="60"/>
      <c r="BP26" s="65" t="str">
        <f t="shared" si="31"/>
        <v/>
      </c>
      <c r="BQ26" s="60"/>
      <c r="BR26" s="65" t="str">
        <f t="shared" si="32"/>
        <v/>
      </c>
      <c r="BS26" s="60"/>
      <c r="BT26" s="65" t="str">
        <f t="shared" si="33"/>
        <v/>
      </c>
      <c r="BU26" s="60"/>
      <c r="BV26" s="65" t="str">
        <f t="shared" si="34"/>
        <v/>
      </c>
      <c r="BW26" s="60"/>
      <c r="BX26" s="65" t="str">
        <f t="shared" si="35"/>
        <v/>
      </c>
      <c r="BY26" s="60"/>
      <c r="BZ26" s="67" t="str">
        <f t="shared" si="36"/>
        <v/>
      </c>
      <c r="CA26" s="60"/>
      <c r="CB26" s="67" t="str">
        <f t="shared" si="37"/>
        <v/>
      </c>
      <c r="CC26" s="60"/>
      <c r="CD26" s="67" t="str">
        <f t="shared" si="38"/>
        <v/>
      </c>
      <c r="CE26" s="60"/>
      <c r="CF26" s="67" t="str">
        <f t="shared" si="39"/>
        <v/>
      </c>
      <c r="CG26" s="60"/>
      <c r="CH26" s="67" t="str">
        <f t="shared" si="40"/>
        <v/>
      </c>
      <c r="CI26" s="60"/>
      <c r="CJ26" s="67" t="str">
        <f t="shared" si="41"/>
        <v/>
      </c>
      <c r="CK26" s="60"/>
      <c r="CL26" s="64" t="str">
        <f t="shared" si="42"/>
        <v/>
      </c>
      <c r="CM26" s="65" t="e">
        <f t="shared" si="43"/>
        <v>#VALUE!</v>
      </c>
      <c r="CN26" s="62"/>
      <c r="CO26" s="62"/>
      <c r="CP26" s="68"/>
      <c r="CQ26" s="67" t="str">
        <f t="shared" si="44"/>
        <v/>
      </c>
      <c r="CR26" s="68"/>
      <c r="CS26" s="67" t="str">
        <f t="shared" si="45"/>
        <v/>
      </c>
      <c r="CT26" s="75"/>
      <c r="CU26" s="67" t="str">
        <f t="shared" si="46"/>
        <v/>
      </c>
      <c r="CV26" s="68"/>
      <c r="CW26" s="67" t="str">
        <f t="shared" si="47"/>
        <v/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Z41" sqref="Z4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>
        <v>0</v>
      </c>
      <c r="C15" s="40">
        <v>20</v>
      </c>
      <c r="D15" s="40">
        <v>45</v>
      </c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>
        <v>0</v>
      </c>
      <c r="C16" s="40">
        <v>20</v>
      </c>
      <c r="D16" s="40">
        <v>45</v>
      </c>
      <c r="E16" s="41">
        <v>0</v>
      </c>
      <c r="F16" s="41">
        <v>6035</v>
      </c>
      <c r="G16" s="41">
        <v>75</v>
      </c>
      <c r="H16" s="41">
        <v>1835</v>
      </c>
      <c r="I16" s="41">
        <v>85</v>
      </c>
      <c r="J16" s="41">
        <v>490</v>
      </c>
      <c r="K16" s="42">
        <v>85</v>
      </c>
      <c r="L16" s="42">
        <v>50</v>
      </c>
      <c r="M16" s="42">
        <v>1470</v>
      </c>
      <c r="N16" s="39">
        <v>85</v>
      </c>
      <c r="O16" s="39">
        <v>0</v>
      </c>
      <c r="P16" s="39">
        <v>60</v>
      </c>
      <c r="Q16" s="39">
        <v>4362</v>
      </c>
      <c r="R16" s="77">
        <v>85</v>
      </c>
      <c r="S16" s="77">
        <v>218</v>
      </c>
      <c r="T16">
        <f t="shared" si="0"/>
        <v>0</v>
      </c>
    </row>
    <row r="17" spans="1:20" x14ac:dyDescent="0.25">
      <c r="A17" s="73">
        <v>44510</v>
      </c>
      <c r="B17" s="40">
        <v>0</v>
      </c>
      <c r="C17" s="40">
        <v>20</v>
      </c>
      <c r="D17" s="40">
        <v>45</v>
      </c>
      <c r="E17" s="41">
        <v>0</v>
      </c>
      <c r="F17" s="41">
        <v>6040</v>
      </c>
      <c r="G17" s="41">
        <v>65</v>
      </c>
      <c r="H17" s="41">
        <v>1837</v>
      </c>
      <c r="I17" s="41">
        <v>85</v>
      </c>
      <c r="J17" s="41">
        <v>491</v>
      </c>
      <c r="K17" s="42">
        <v>85</v>
      </c>
      <c r="L17" s="42">
        <v>48</v>
      </c>
      <c r="M17" s="42">
        <v>1471</v>
      </c>
      <c r="N17" s="39">
        <v>85</v>
      </c>
      <c r="O17" s="39">
        <v>0</v>
      </c>
      <c r="P17" s="39">
        <v>60</v>
      </c>
      <c r="Q17" s="39">
        <v>4364</v>
      </c>
      <c r="R17" s="77">
        <v>85</v>
      </c>
      <c r="S17" s="77">
        <v>218</v>
      </c>
      <c r="T17">
        <f t="shared" si="0"/>
        <v>0</v>
      </c>
    </row>
    <row r="18" spans="1:20" x14ac:dyDescent="0.25">
      <c r="A18" s="73">
        <v>44511</v>
      </c>
      <c r="B18" s="40">
        <v>0</v>
      </c>
      <c r="C18" s="40">
        <v>20</v>
      </c>
      <c r="D18" s="40">
        <v>45</v>
      </c>
      <c r="E18" s="41">
        <v>0</v>
      </c>
      <c r="F18" s="41">
        <v>6045</v>
      </c>
      <c r="G18" s="41">
        <v>55</v>
      </c>
      <c r="H18" s="41">
        <v>1839</v>
      </c>
      <c r="I18" s="41">
        <v>85</v>
      </c>
      <c r="J18" s="41">
        <v>492</v>
      </c>
      <c r="K18" s="42">
        <v>85</v>
      </c>
      <c r="L18" s="42">
        <v>48</v>
      </c>
      <c r="M18" s="42">
        <v>1471</v>
      </c>
      <c r="N18" s="39">
        <v>85</v>
      </c>
      <c r="O18" s="39">
        <v>0</v>
      </c>
      <c r="P18" s="39">
        <v>60</v>
      </c>
      <c r="Q18" s="39">
        <v>4369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44512</v>
      </c>
      <c r="B19" s="40">
        <v>0</v>
      </c>
      <c r="C19" s="40">
        <v>20</v>
      </c>
      <c r="D19" s="40">
        <v>45</v>
      </c>
      <c r="E19" s="41">
        <v>0</v>
      </c>
      <c r="F19" s="41">
        <v>6049</v>
      </c>
      <c r="G19" s="41">
        <v>46</v>
      </c>
      <c r="H19" s="41">
        <v>1842</v>
      </c>
      <c r="I19" s="41">
        <v>85</v>
      </c>
      <c r="J19" s="41">
        <v>493</v>
      </c>
      <c r="K19" s="42">
        <v>85</v>
      </c>
      <c r="L19" s="42">
        <v>47</v>
      </c>
      <c r="M19" s="42">
        <v>1473</v>
      </c>
      <c r="N19" s="39">
        <v>85</v>
      </c>
      <c r="O19" s="39">
        <v>0</v>
      </c>
      <c r="P19" s="39">
        <v>50</v>
      </c>
      <c r="Q19" s="39">
        <v>4373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44513</v>
      </c>
      <c r="B20" s="40">
        <v>0</v>
      </c>
      <c r="C20" s="40">
        <v>22</v>
      </c>
      <c r="D20" s="40">
        <v>50</v>
      </c>
      <c r="E20" s="41">
        <v>0</v>
      </c>
      <c r="F20" s="41">
        <v>6054</v>
      </c>
      <c r="G20" s="41">
        <v>35</v>
      </c>
      <c r="H20" s="41">
        <v>1844</v>
      </c>
      <c r="I20" s="41">
        <v>85</v>
      </c>
      <c r="J20" s="41">
        <v>494</v>
      </c>
      <c r="K20" s="42">
        <v>85</v>
      </c>
      <c r="L20" s="42">
        <v>45</v>
      </c>
      <c r="M20" s="42">
        <v>1473</v>
      </c>
      <c r="N20" s="39">
        <v>85</v>
      </c>
      <c r="O20" s="39">
        <v>0</v>
      </c>
      <c r="P20" s="39">
        <v>45</v>
      </c>
      <c r="Q20" s="39">
        <v>4376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44514</v>
      </c>
      <c r="B21" s="40">
        <v>0</v>
      </c>
      <c r="C21" s="40">
        <v>22</v>
      </c>
      <c r="D21" s="40">
        <v>50</v>
      </c>
      <c r="E21" s="41">
        <v>0</v>
      </c>
      <c r="F21" s="41">
        <v>6058</v>
      </c>
      <c r="G21" s="41">
        <v>25</v>
      </c>
      <c r="H21" s="41">
        <v>1846</v>
      </c>
      <c r="I21" s="41">
        <v>85</v>
      </c>
      <c r="J21" s="41">
        <v>495</v>
      </c>
      <c r="K21" s="42">
        <v>85</v>
      </c>
      <c r="L21" s="42">
        <v>45</v>
      </c>
      <c r="M21" s="42">
        <v>1474</v>
      </c>
      <c r="N21" s="39">
        <v>85</v>
      </c>
      <c r="O21" s="39">
        <v>0</v>
      </c>
      <c r="P21" s="39">
        <v>40</v>
      </c>
      <c r="Q21" s="39">
        <v>4381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44515</v>
      </c>
      <c r="B22" s="40">
        <v>0</v>
      </c>
      <c r="C22" s="40">
        <v>22</v>
      </c>
      <c r="D22" s="40">
        <v>50</v>
      </c>
      <c r="E22" s="41">
        <v>0</v>
      </c>
      <c r="F22" s="41">
        <v>6063</v>
      </c>
      <c r="G22" s="41">
        <v>20</v>
      </c>
      <c r="H22" s="41">
        <v>1848</v>
      </c>
      <c r="I22" s="41">
        <v>85</v>
      </c>
      <c r="J22" s="41">
        <v>496</v>
      </c>
      <c r="K22" s="42">
        <v>85</v>
      </c>
      <c r="L22" s="42">
        <v>42</v>
      </c>
      <c r="M22" s="42">
        <v>1475</v>
      </c>
      <c r="N22" s="39">
        <v>85</v>
      </c>
      <c r="O22" s="39">
        <v>0</v>
      </c>
      <c r="P22" s="39">
        <v>38</v>
      </c>
      <c r="Q22" s="39">
        <v>4384</v>
      </c>
      <c r="R22" s="77">
        <v>85</v>
      </c>
      <c r="S22" s="77">
        <v>218</v>
      </c>
      <c r="T22">
        <f t="shared" si="0"/>
        <v>0</v>
      </c>
    </row>
    <row r="23" spans="1:20" x14ac:dyDescent="0.25">
      <c r="A23" s="73">
        <v>44516</v>
      </c>
      <c r="B23" s="40">
        <v>0</v>
      </c>
      <c r="C23" s="40">
        <v>21</v>
      </c>
      <c r="D23" s="40">
        <v>48</v>
      </c>
      <c r="E23" s="41">
        <v>0</v>
      </c>
      <c r="F23" s="41">
        <v>6068</v>
      </c>
      <c r="G23" s="41">
        <v>11</v>
      </c>
      <c r="H23" s="41">
        <v>1850</v>
      </c>
      <c r="I23" s="41">
        <v>85</v>
      </c>
      <c r="J23" s="41">
        <v>497</v>
      </c>
      <c r="K23" s="42">
        <v>85</v>
      </c>
      <c r="L23" s="42">
        <v>42</v>
      </c>
      <c r="M23" s="42">
        <v>1475</v>
      </c>
      <c r="N23" s="39">
        <v>85</v>
      </c>
      <c r="O23" s="39">
        <v>0</v>
      </c>
      <c r="P23" s="39">
        <v>30</v>
      </c>
      <c r="Q23" s="39">
        <v>4388</v>
      </c>
      <c r="R23" s="77">
        <v>85</v>
      </c>
      <c r="S23" s="77">
        <v>218</v>
      </c>
      <c r="T23">
        <f t="shared" si="0"/>
        <v>0</v>
      </c>
    </row>
    <row r="24" spans="1:20" x14ac:dyDescent="0.25">
      <c r="A24" s="73">
        <v>44517</v>
      </c>
      <c r="B24" s="40">
        <v>0</v>
      </c>
      <c r="C24" s="40">
        <v>21</v>
      </c>
      <c r="D24" s="40">
        <v>48</v>
      </c>
      <c r="E24" s="41">
        <v>0</v>
      </c>
      <c r="F24" s="41">
        <v>6073</v>
      </c>
      <c r="G24" s="41">
        <v>5</v>
      </c>
      <c r="H24" s="41">
        <v>1852</v>
      </c>
      <c r="I24" s="41">
        <v>85</v>
      </c>
      <c r="J24" s="41">
        <v>499</v>
      </c>
      <c r="K24" s="42">
        <v>85</v>
      </c>
      <c r="L24" s="42">
        <v>40</v>
      </c>
      <c r="M24" s="42">
        <v>1477</v>
      </c>
      <c r="N24" s="39">
        <v>85</v>
      </c>
      <c r="O24" s="39">
        <v>0</v>
      </c>
      <c r="P24" s="39">
        <v>30</v>
      </c>
      <c r="Q24" s="39">
        <v>4392</v>
      </c>
      <c r="R24" s="77">
        <v>85</v>
      </c>
      <c r="S24" s="77">
        <v>218</v>
      </c>
      <c r="T24">
        <f t="shared" si="0"/>
        <v>0</v>
      </c>
    </row>
    <row r="25" spans="1:20" x14ac:dyDescent="0.25">
      <c r="A25" s="73">
        <v>44518</v>
      </c>
      <c r="B25" s="40">
        <v>0</v>
      </c>
      <c r="C25" s="40">
        <v>20</v>
      </c>
      <c r="D25" s="40">
        <v>49</v>
      </c>
      <c r="E25" s="41">
        <v>0</v>
      </c>
      <c r="F25" s="41">
        <v>6077</v>
      </c>
      <c r="G25" s="41">
        <v>0</v>
      </c>
      <c r="H25" s="41">
        <v>1855</v>
      </c>
      <c r="I25" s="41">
        <v>80</v>
      </c>
      <c r="J25" s="41">
        <v>500</v>
      </c>
      <c r="K25" s="42">
        <v>85</v>
      </c>
      <c r="L25" s="42">
        <v>40</v>
      </c>
      <c r="M25" s="42">
        <v>1477</v>
      </c>
      <c r="N25" s="39">
        <v>85</v>
      </c>
      <c r="O25" s="39">
        <v>0</v>
      </c>
      <c r="P25" s="39">
        <v>25</v>
      </c>
      <c r="Q25" s="39">
        <v>4395</v>
      </c>
      <c r="R25" s="77">
        <v>85</v>
      </c>
      <c r="S25" s="77">
        <v>218</v>
      </c>
      <c r="T25">
        <f t="shared" si="0"/>
        <v>0</v>
      </c>
    </row>
    <row r="26" spans="1:20" x14ac:dyDescent="0.25">
      <c r="A26" s="73">
        <v>44519</v>
      </c>
      <c r="B26" s="40">
        <v>0</v>
      </c>
      <c r="C26" s="40">
        <v>22</v>
      </c>
      <c r="D26" s="40">
        <v>53</v>
      </c>
      <c r="E26" s="41">
        <v>0</v>
      </c>
      <c r="F26" s="41">
        <v>6082</v>
      </c>
      <c r="G26" s="41">
        <v>0</v>
      </c>
      <c r="H26" s="41">
        <v>1856</v>
      </c>
      <c r="I26" s="41">
        <v>71</v>
      </c>
      <c r="J26" s="41">
        <v>501</v>
      </c>
      <c r="K26" s="42">
        <v>85</v>
      </c>
      <c r="L26" s="42">
        <v>39</v>
      </c>
      <c r="M26" s="42">
        <v>1478</v>
      </c>
      <c r="N26" s="39">
        <v>85</v>
      </c>
      <c r="O26" s="39">
        <v>0</v>
      </c>
      <c r="P26" s="39">
        <v>20</v>
      </c>
      <c r="Q26" s="39">
        <v>4398</v>
      </c>
      <c r="R26" s="77">
        <v>85</v>
      </c>
      <c r="S26" s="77">
        <v>218</v>
      </c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>
        <v>0</v>
      </c>
      <c r="F27" s="41">
        <v>6086</v>
      </c>
      <c r="G27" s="41">
        <v>0</v>
      </c>
      <c r="H27" s="41">
        <v>1858</v>
      </c>
      <c r="I27" s="41">
        <v>60</v>
      </c>
      <c r="J27" s="41">
        <v>502</v>
      </c>
      <c r="K27" s="42">
        <v>85</v>
      </c>
      <c r="L27" s="42">
        <v>39</v>
      </c>
      <c r="M27" s="42">
        <v>1478</v>
      </c>
      <c r="N27" s="39">
        <v>85</v>
      </c>
      <c r="O27" s="39">
        <v>0</v>
      </c>
      <c r="P27" s="39">
        <v>18</v>
      </c>
      <c r="Q27" s="39">
        <v>4402</v>
      </c>
      <c r="R27" s="77">
        <v>85</v>
      </c>
      <c r="S27" s="77">
        <v>218</v>
      </c>
      <c r="T27">
        <f t="shared" si="0"/>
        <v>0</v>
      </c>
    </row>
    <row r="28" spans="1:20" x14ac:dyDescent="0.25">
      <c r="A28" s="73">
        <v>44521</v>
      </c>
      <c r="B28" s="40">
        <v>0</v>
      </c>
      <c r="C28" s="40">
        <v>20</v>
      </c>
      <c r="D28" s="40">
        <v>47</v>
      </c>
      <c r="E28" s="41">
        <v>0</v>
      </c>
      <c r="F28" s="41">
        <v>6091</v>
      </c>
      <c r="G28" s="41">
        <v>0</v>
      </c>
      <c r="H28" s="41">
        <v>1860</v>
      </c>
      <c r="I28" s="41">
        <v>50</v>
      </c>
      <c r="J28" s="41">
        <v>503</v>
      </c>
      <c r="K28" s="42">
        <v>85</v>
      </c>
      <c r="L28" s="42">
        <v>35</v>
      </c>
      <c r="M28" s="42">
        <v>1480</v>
      </c>
      <c r="N28" s="39">
        <v>85</v>
      </c>
      <c r="O28" s="39">
        <v>0</v>
      </c>
      <c r="P28" s="39">
        <v>16</v>
      </c>
      <c r="Q28" s="39">
        <v>4404</v>
      </c>
      <c r="R28" s="77">
        <v>85</v>
      </c>
      <c r="S28" s="77">
        <v>218</v>
      </c>
      <c r="T28">
        <f t="shared" si="0"/>
        <v>0</v>
      </c>
    </row>
    <row r="29" spans="1:20" x14ac:dyDescent="0.25">
      <c r="A29" s="73">
        <v>44522</v>
      </c>
      <c r="B29" s="40"/>
      <c r="C29" s="40">
        <v>25</v>
      </c>
      <c r="D29" s="40">
        <v>59</v>
      </c>
      <c r="E29" s="41">
        <v>0</v>
      </c>
      <c r="F29" s="41">
        <v>6095</v>
      </c>
      <c r="G29" s="41">
        <v>0</v>
      </c>
      <c r="H29" s="41">
        <v>1862</v>
      </c>
      <c r="I29" s="41">
        <v>43</v>
      </c>
      <c r="J29" s="41">
        <v>504</v>
      </c>
      <c r="K29" s="42">
        <v>85</v>
      </c>
      <c r="L29" s="42">
        <v>34</v>
      </c>
      <c r="M29" s="42">
        <v>1481</v>
      </c>
      <c r="N29" s="39">
        <v>85</v>
      </c>
      <c r="O29" s="39">
        <v>0</v>
      </c>
      <c r="P29" s="39">
        <v>15</v>
      </c>
      <c r="Q29" s="39">
        <v>4406</v>
      </c>
      <c r="R29" s="77">
        <v>85</v>
      </c>
      <c r="S29" s="77">
        <v>218</v>
      </c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-218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2021-11-23T17:59:32Z</dcterms:modified>
</cp:coreProperties>
</file>