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47" documentId="8_{9B439D3B-B023-4087-B27B-CB56FE35C246}" xr6:coauthVersionLast="47" xr6:coauthVersionMax="47" xr10:uidLastSave="{DD7D8313-901C-40B9-8DF4-9A43AFFF0D91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V7" i="3"/>
  <c r="AC7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<sst xmlns="http://schemas.openxmlformats.org/spreadsheetml/2006/main" count="91" uniqueCount="53">
  <si>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</si>
  <si>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</si>
  <si>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</si>
  <si>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</si>
  <si>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</si>
  <si>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</si>
  <si>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</si>
  <si>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</si>
  <si>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</si>
  <si>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</si>
  <si>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</si>
  <si>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</si>
  <si>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</si>
  <si>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</si>
  <si>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</si>
  <si>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</si>
  <si>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2020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</si>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</sst>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Alignment="1" applyProtection="1">
      <alignment horizontal="right"/>
      <protection locked="0"/>
    </xf>
    <xf numFmtId="0" fontId="21" fillId="0" borderId="11" xfId="0" applyFont="1" applyBorder="1" applyAlignment="1">
      <alignment horizontal="right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2020</v>
      </c>
      <c r="E2" s="99">
        <f>'Localize Daily Bali Jimbaran'!P7</f>
        <v>27720.000000000255</v>
      </c>
      <c r="F2" s="100">
        <f>'Localize Daily Bali Jimbaran'!O7/'Localize Daily Bali Jimbaran'!P7</f>
        <v>1171.5299545454488</v>
      </c>
      <c r="G2" s="99">
        <f>'Localize Daily Bali Jimbaran'!AC7</f>
        <v>126.35836000003985</v>
      </c>
      <c r="H2" s="100">
        <f>'Localize Daily Bali Jimbaran'!AD7/'Localize Daily Bali Jimbaran'!AC7</f>
        <v>9196</v>
      </c>
      <c r="I2" s="99">
        <f>'Localize Daily Bali Jimbaran'!AH7</f>
        <v>435.59999999999854</v>
      </c>
      <c r="J2" s="101">
        <f>'Localize Daily Bali Jimbaran'!AI7/'Localize Daily Bali Jimbaran'!AH7</f>
        <v>10500</v>
      </c>
      <c r="K2" s="99">
        <f>'Localize Daily Bali Jimbaran'!Q7</f>
        <v>19</v>
      </c>
      <c r="L2" s="100">
        <f>'Localize Daily Bali Jimbaran'!V7/'Localize Daily Bali Jimbaran'!Q7</f>
        <v>10024.127368421054</v>
      </c>
      <c r="M2" s="99">
        <f>'Localize Daily Bali Jimbaran'!C7</f>
        <v>42</v>
      </c>
      <c r="N2" s="99">
        <v>335</v>
      </c>
    </row>
    <row r="3" spans="1:14" ht="15">
      <c r="A3" s="96" t="s">
        <v>14</v>
      </c>
      <c r="B3" s="97">
        <v>2</v>
      </c>
      <c r="C3" s="98">
        <v>1</v>
      </c>
      <c r="D3" s="97">
        <v>2020</v>
      </c>
      <c r="E3" s="99">
        <f>'Localize Daily Bali Jimbaran'!P8</f>
        <v>26640.000000000782</v>
      </c>
      <c r="F3" s="100">
        <f>'Localize Daily Bali Jimbaran'!O8/'Localize Daily Bali Jimbaran'!P8</f>
        <v>1186.7729290540537</v>
      </c>
      <c r="G3" s="99">
        <f>'Localize Daily Bali Jimbaran'!AC8</f>
        <v>182.68231999995075</v>
      </c>
      <c r="H3" s="100">
        <f>'Localize Daily Bali Jimbaran'!AD8/'Localize Daily Bali Jimbaran'!AC8</f>
        <v>9550.1667305299034</v>
      </c>
      <c r="I3" s="99">
        <f>'Localize Daily Bali Jimbaran'!AH8</f>
        <v>771.97999999997046</v>
      </c>
      <c r="J3" s="101">
        <f>'Localize Daily Bali Jimbaran'!AI8/'Localize Daily Bali Jimbaran'!AH8</f>
        <v>10500</v>
      </c>
      <c r="K3" s="99">
        <f>'Localize Daily Bali Jimbaran'!Q8</f>
        <v>22</v>
      </c>
      <c r="L3" s="100">
        <f>'Localize Daily Bali Jimbaran'!V8/'Localize Daily Bali Jimbaran'!Q8</f>
        <v>11107.68</v>
      </c>
      <c r="M3" s="99">
        <f>'Localize Daily Bali Jimbaran'!C8</f>
        <v>37</v>
      </c>
      <c r="N3" s="99">
        <v>297</v>
      </c>
    </row>
    <row r="4" spans="1:14" ht="15">
      <c r="A4" s="96" t="s">
        <v>14</v>
      </c>
      <c r="B4" s="97">
        <v>3</v>
      </c>
      <c r="C4" s="98">
        <v>1</v>
      </c>
      <c r="D4" s="97">
        <v>2020</v>
      </c>
      <c r="E4" s="99">
        <f>'Localize Daily Bali Jimbaran'!P9</f>
        <v>24839.999999999236</v>
      </c>
      <c r="F4" s="100">
        <f>'Localize Daily Bali Jimbaran'!O9/'Localize Daily Bali Jimbaran'!P9</f>
        <v>1187.8320036231901</v>
      </c>
      <c r="G4" s="99">
        <f>'Localize Daily Bali Jimbaran'!AC9</f>
        <v>351.1674000000117</v>
      </c>
      <c r="H4" s="100">
        <f>'Localize Daily Bali Jimbaran'!AD9/'Localize Daily Bali Jimbaran'!AC9</f>
        <v>10015.973608028507</v>
      </c>
      <c r="I4" s="99">
        <f>'Localize Daily Bali Jimbaran'!AH9</f>
        <v>491.36000000000058</v>
      </c>
      <c r="J4" s="101">
        <f>'Localize Daily Bali Jimbaran'!AI9/'Localize Daily Bali Jimbaran'!AH9</f>
        <v>10500</v>
      </c>
      <c r="K4" s="99">
        <f>'Localize Daily Bali Jimbaran'!Q9</f>
        <v>13</v>
      </c>
      <c r="L4" s="100">
        <f>'Localize Daily Bali Jimbaran'!V9/'Localize Daily Bali Jimbaran'!Q9</f>
        <v>6356.7184615384613</v>
      </c>
      <c r="M4" s="99">
        <f>'Localize Daily Bali Jimbaran'!C9</f>
        <v>29</v>
      </c>
      <c r="N4" s="99">
        <v>293</v>
      </c>
    </row>
    <row r="5" spans="1:14" ht="15">
      <c r="A5" s="96" t="s">
        <v>14</v>
      </c>
      <c r="B5" s="97">
        <v>4</v>
      </c>
      <c r="C5" s="98">
        <v>1</v>
      </c>
      <c r="D5" s="97">
        <v>2020</v>
      </c>
      <c r="E5" s="99">
        <f>'Localize Daily Bali Jimbaran'!P10</f>
        <v>25440.000000000509</v>
      </c>
      <c r="F5" s="100">
        <f>'Localize Daily Bali Jimbaran'!O10/'Localize Daily Bali Jimbaran'!P10</f>
        <v>1182.0472818396224</v>
      </c>
      <c r="G5" s="99">
        <f>'Localize Daily Bali Jimbaran'!AC10</f>
        <v>36</v>
      </c>
      <c r="H5" s="100">
        <f>'Localize Daily Bali Jimbaran'!AD10/'Localize Daily Bali Jimbaran'!AC10</f>
        <v>11625</v>
      </c>
      <c r="I5" s="99">
        <f>'Localize Daily Bali Jimbaran'!AH10</f>
        <v>432.86000000000058</v>
      </c>
      <c r="J5" s="101">
        <f>'Localize Daily Bali Jimbaran'!AI10/'Localize Daily Bali Jimbaran'!AH10</f>
        <v>10500.000000000002</v>
      </c>
      <c r="K5" s="99">
        <f>'Localize Daily Bali Jimbaran'!Q10</f>
        <v>160</v>
      </c>
      <c r="L5" s="100">
        <f>'Localize Daily Bali Jimbaran'!V10/'Localize Daily Bali Jimbaran'!Q10</f>
        <v>5274.5550000000003</v>
      </c>
      <c r="M5" s="99">
        <f>'Localize Daily Bali Jimbaran'!C10</f>
        <v>23</v>
      </c>
      <c r="N5" s="99">
        <v>263</v>
      </c>
    </row>
    <row r="6" spans="1:14" ht="15">
      <c r="A6" s="96" t="s">
        <v>14</v>
      </c>
      <c r="B6" s="97">
        <v>5</v>
      </c>
      <c r="C6" s="98">
        <v>1</v>
      </c>
      <c r="D6" s="97">
        <v>2020</v>
      </c>
      <c r="E6" s="99">
        <f>'Localize Daily Bali Jimbaran'!P11</f>
        <v>26119.999999999436</v>
      </c>
      <c r="F6" s="100">
        <f>'Localize Daily Bali Jimbaran'!O11/'Localize Daily Bali Jimbaran'!P11</f>
        <v>1185.8332741194467</v>
      </c>
      <c r="G6" s="99">
        <f>'Localize Daily Bali Jimbaran'!AC11</f>
        <v>319.73303999997188</v>
      </c>
      <c r="H6" s="100">
        <f>'Localize Daily Bali Jimbaran'!AD11/'Localize Daily Bali Jimbaran'!AC11</f>
        <v>9985.3960536578325</v>
      </c>
      <c r="I6" s="99">
        <f>'Localize Daily Bali Jimbaran'!AH11</f>
        <v>467.39999999999782</v>
      </c>
      <c r="J6" s="101">
        <f>'Localize Daily Bali Jimbaran'!AI11/'Localize Daily Bali Jimbaran'!AH11</f>
        <v>10500</v>
      </c>
      <c r="K6" s="99">
        <f>'Localize Daily Bali Jimbaran'!Q11</f>
        <v>83</v>
      </c>
      <c r="L6" s="100">
        <f>'Localize Daily Bali Jimbaran'!V11/'Localize Daily Bali Jimbaran'!Q11</f>
        <v>4245.18</v>
      </c>
      <c r="M6" s="99">
        <f>'Localize Daily Bali Jimbaran'!C11</f>
        <v>18</v>
      </c>
      <c r="N6" s="99">
        <v>253</v>
      </c>
    </row>
    <row r="7" spans="1:14" ht="15">
      <c r="A7" s="96" t="s">
        <v>14</v>
      </c>
      <c r="B7" s="97">
        <v>6</v>
      </c>
      <c r="C7" s="98">
        <v>1</v>
      </c>
      <c r="D7" s="97">
        <v>2020</v>
      </c>
      <c r="E7" s="99">
        <f>'Localize Daily Bali Jimbaran'!P12</f>
        <v>24600.000000000364</v>
      </c>
      <c r="F7" s="100">
        <f>'Localize Daily Bali Jimbaran'!O12/'Localize Daily Bali Jimbaran'!P12</f>
        <v>1188.368078048788</v>
      </c>
      <c r="G7" s="99">
        <f>'Localize Daily Bali Jimbaran'!AC12</f>
        <v>120.79972000002108</v>
      </c>
      <c r="H7" s="100">
        <f>'Localize Daily Bali Jimbaran'!AD12/'Localize Daily Bali Jimbaran'!AC12</f>
        <v>9196</v>
      </c>
      <c r="I7" s="99">
        <f>'Localize Daily Bali Jimbaran'!AH12</f>
        <v>387.34000000000015</v>
      </c>
      <c r="J7" s="101">
        <f>'Localize Daily Bali Jimbaran'!AI12/'Localize Daily Bali Jimbaran'!AH12</f>
        <v>10500</v>
      </c>
      <c r="K7" s="99">
        <f>'Localize Daily Bali Jimbaran'!Q12</f>
        <v>77</v>
      </c>
      <c r="L7" s="100">
        <f>'Localize Daily Bali Jimbaran'!V12/'Localize Daily Bali Jimbaran'!Q12</f>
        <v>4245.18</v>
      </c>
      <c r="M7" s="99">
        <f>'Localize Daily Bali Jimbaran'!C12</f>
        <v>14</v>
      </c>
      <c r="N7" s="99">
        <v>220</v>
      </c>
    </row>
    <row r="8" spans="1:14" ht="15">
      <c r="A8" s="96" t="s">
        <v>14</v>
      </c>
      <c r="B8" s="97">
        <v>7</v>
      </c>
      <c r="C8" s="98">
        <v>1</v>
      </c>
      <c r="D8" s="97">
        <v>2020</v>
      </c>
      <c r="E8" s="99">
        <f>'Localize Daily Bali Jimbaran'!P13</f>
        <v>25139.999999999873</v>
      </c>
      <c r="F8" s="100">
        <f>'Localize Daily Bali Jimbaran'!O13/'Localize Daily Bali Jimbaran'!P13</f>
        <v>1184.472522673032</v>
      </c>
      <c r="G8" s="99">
        <f>'Localize Daily Bali Jimbaran'!AC13</f>
        <v>160.02555999995778</v>
      </c>
      <c r="H8" s="100">
        <f>'Localize Daily Bali Jimbaran'!AD13/'Localize Daily Bali Jimbaran'!AC13</f>
        <v>9560.2918043843456</v>
      </c>
      <c r="I8" s="99">
        <f>'Localize Daily Bali Jimbaran'!AH13</f>
        <v>320.78000000000247</v>
      </c>
      <c r="J8" s="101">
        <f>'Localize Daily Bali Jimbaran'!AI13/'Localize Daily Bali Jimbaran'!AH13</f>
        <v>10500</v>
      </c>
      <c r="K8" s="99">
        <f>'Localize Daily Bali Jimbaran'!Q13</f>
        <v>19</v>
      </c>
      <c r="L8" s="100">
        <f>'Localize Daily Bali Jimbaran'!V13/'Localize Daily Bali Jimbaran'!Q13</f>
        <v>4245.18</v>
      </c>
      <c r="M8" s="99">
        <f>'Localize Daily Bali Jimbaran'!C13</f>
        <v>14</v>
      </c>
      <c r="N8" s="99">
        <v>219</v>
      </c>
    </row>
    <row r="9" spans="1:14" ht="15">
      <c r="A9" s="96" t="s">
        <v>14</v>
      </c>
      <c r="B9" s="97">
        <v>8</v>
      </c>
      <c r="C9" s="98">
        <v>1</v>
      </c>
      <c r="D9" s="97">
        <v>2020</v>
      </c>
      <c r="E9" s="99">
        <f>'Localize Daily Bali Jimbaran'!P14</f>
        <v>26079.999999999927</v>
      </c>
      <c r="F9" s="100">
        <f>'Localize Daily Bali Jimbaran'!O14/'Localize Daily Bali Jimbaran'!P14</f>
        <v>1184.7329482361936</v>
      </c>
      <c r="G9" s="99">
        <f>'Localize Daily Bali Jimbaran'!AC14</f>
        <v>715.78216000000464</v>
      </c>
      <c r="H9" s="100">
        <f>'Localize Daily Bali Jimbaran'!AD14/'Localize Daily Bali Jimbaran'!AC14</f>
        <v>10312.462584091219</v>
      </c>
      <c r="I9" s="99">
        <f>'Localize Daily Bali Jimbaran'!AH14</f>
        <v>445.09000000000015</v>
      </c>
      <c r="J9" s="101">
        <f>'Localize Daily Bali Jimbaran'!AI14/'Localize Daily Bali Jimbaran'!AH14</f>
        <v>10500</v>
      </c>
      <c r="K9" s="99">
        <f>'Localize Daily Bali Jimbaran'!Q14</f>
        <v>48</v>
      </c>
      <c r="L9" s="100">
        <f>'Localize Daily Bali Jimbaran'!V14/'Localize Daily Bali Jimbaran'!Q14</f>
        <v>4245.18</v>
      </c>
      <c r="M9" s="99">
        <f>'Localize Daily Bali Jimbaran'!C14</f>
        <v>13</v>
      </c>
      <c r="N9" s="99">
        <v>175</v>
      </c>
    </row>
    <row r="10" spans="1:14" ht="15">
      <c r="A10" s="96" t="s">
        <v>14</v>
      </c>
      <c r="B10" s="97">
        <v>9</v>
      </c>
      <c r="C10" s="98">
        <v>1</v>
      </c>
      <c r="D10" s="97">
        <v>2020</v>
      </c>
      <c r="E10" s="99">
        <f>'Localize Daily Bali Jimbaran'!P15</f>
        <v>26340.00000000151</v>
      </c>
      <c r="F10" s="100">
        <f>'Localize Daily Bali Jimbaran'!O15/'Localize Daily Bali Jimbaran'!P15</f>
        <v>1179.2319908883787</v>
      </c>
      <c r="G10" s="99">
        <f>'Localize Daily Bali Jimbaran'!AC15</f>
        <v>191.86272000002108</v>
      </c>
      <c r="H10" s="100">
        <f>'Localize Daily Bali Jimbaran'!AD15/'Localize Daily Bali Jimbaran'!AC15</f>
        <v>9685.1414027695919</v>
      </c>
      <c r="I10" s="99">
        <f>'Localize Daily Bali Jimbaran'!AH15</f>
        <v>756.49000000000888</v>
      </c>
      <c r="J10" s="101">
        <f>'Localize Daily Bali Jimbaran'!AI15/'Localize Daily Bali Jimbaran'!AH15</f>
        <v>10500</v>
      </c>
      <c r="K10" s="99">
        <f>'Localize Daily Bali Jimbaran'!Q15</f>
        <v>147</v>
      </c>
      <c r="L10" s="100">
        <f>'Localize Daily Bali Jimbaran'!V15/'Localize Daily Bali Jimbaran'!Q15</f>
        <v>4245.18</v>
      </c>
      <c r="M10" s="99">
        <f>'Localize Daily Bali Jimbaran'!C15</f>
        <v>11</v>
      </c>
      <c r="N10" s="99">
        <v>172</v>
      </c>
    </row>
    <row r="11" spans="1:14" ht="15">
      <c r="A11" s="96" t="s">
        <v>14</v>
      </c>
      <c r="B11" s="97">
        <v>10</v>
      </c>
      <c r="C11" s="98">
        <v>1</v>
      </c>
      <c r="D11" s="97">
        <v>2020</v>
      </c>
      <c r="E11" s="99">
        <f>'Localize Daily Bali Jimbaran'!P16</f>
        <v>25579.999999999018</v>
      </c>
      <c r="F11" s="100">
        <f>'Localize Daily Bali Jimbaran'!O16/'Localize Daily Bali Jimbaran'!P16</f>
        <v>1187.4824929632525</v>
      </c>
      <c r="G11" s="99">
        <f>'Localize Daily Bali Jimbaran'!AC16</f>
        <v>138.51948000001406</v>
      </c>
      <c r="H11" s="100">
        <f>'Localize Daily Bali Jimbaran'!AD16/'Localize Daily Bali Jimbaran'!AC16</f>
        <v>9406.4252773689077</v>
      </c>
      <c r="I11" s="99">
        <f>'Localize Daily Bali Jimbaran'!AH16</f>
        <v>461.10000000000218</v>
      </c>
      <c r="J11" s="101">
        <f>'Localize Daily Bali Jimbaran'!AI16/'Localize Daily Bali Jimbaran'!AH16</f>
        <v>10500</v>
      </c>
      <c r="K11" s="99">
        <f>'Localize Daily Bali Jimbaran'!Q16</f>
        <v>113</v>
      </c>
      <c r="L11" s="100">
        <f>'Localize Daily Bali Jimbaran'!V16/'Localize Daily Bali Jimbaran'!Q16</f>
        <v>4245.18</v>
      </c>
      <c r="M11" s="99">
        <f>'Localize Daily Bali Jimbaran'!C16</f>
        <v>10</v>
      </c>
      <c r="N11" s="99">
        <v>191</v>
      </c>
    </row>
    <row r="12" spans="1:14" ht="15">
      <c r="A12" s="96" t="s">
        <v>14</v>
      </c>
      <c r="B12" s="97">
        <v>11</v>
      </c>
      <c r="C12" s="98">
        <v>1</v>
      </c>
      <c r="D12" s="97">
        <v>2020</v>
      </c>
      <c r="E12" s="99">
        <f>'Localize Daily Bali Jimbaran'!P17</f>
        <v>26400.000000000546</v>
      </c>
      <c r="F12" s="100">
        <f>'Localize Daily Bali Jimbaran'!O17/'Localize Daily Bali Jimbaran'!P17</f>
        <v>1176.1399602272747</v>
      </c>
      <c r="G12" s="99">
        <f>'Localize Daily Bali Jimbaran'!AC17</f>
        <v>128.93627999997889</v>
      </c>
      <c r="H12" s="100">
        <f>'Localize Daily Bali Jimbaran'!AD17/'Localize Daily Bali Jimbaran'!AC17</f>
        <v>9196</v>
      </c>
      <c r="I12" s="99">
        <f>'Localize Daily Bali Jimbaran'!AH17</f>
        <v>412.70000000000073</v>
      </c>
      <c r="J12" s="101">
        <f>'Localize Daily Bali Jimbaran'!AI17/'Localize Daily Bali Jimbaran'!AH17</f>
        <v>10500</v>
      </c>
      <c r="K12" s="99">
        <f>'Localize Daily Bali Jimbaran'!Q17</f>
        <v>143</v>
      </c>
      <c r="L12" s="100">
        <f>'Localize Daily Bali Jimbaran'!V17/'Localize Daily Bali Jimbaran'!Q17</f>
        <v>5588.8862937062941</v>
      </c>
      <c r="M12" s="99">
        <f>'Localize Daily Bali Jimbaran'!C17</f>
        <v>11</v>
      </c>
      <c r="N12" s="99">
        <v>184</v>
      </c>
    </row>
    <row r="13" spans="1:14" ht="15">
      <c r="A13" s="96" t="s">
        <v>14</v>
      </c>
      <c r="B13" s="97">
        <v>12</v>
      </c>
      <c r="C13" s="98">
        <v>1</v>
      </c>
      <c r="D13" s="97">
        <v>2020</v>
      </c>
      <c r="E13" s="99">
        <f>'Localize Daily Bali Jimbaran'!P18</f>
        <v>24539.999999999054</v>
      </c>
      <c r="F13" s="100">
        <f>'Localize Daily Bali Jimbaran'!O18/'Localize Daily Bali Jimbaran'!P18</f>
        <v>1186.3986198044056</v>
      </c>
      <c r="G13" s="99">
        <f>'Localize Daily Bali Jimbaran'!AC18</f>
        <v>330.0204000000117</v>
      </c>
      <c r="H13" s="100">
        <f>'Localize Daily Bali Jimbaran'!AD18/'Localize Daily Bali Jimbaran'!AC18</f>
        <v>10068.515759631799</v>
      </c>
      <c r="I13" s="99">
        <f>'Localize Daily Bali Jimbaran'!AH18</f>
        <v>370</v>
      </c>
      <c r="J13" s="101">
        <f>'Localize Daily Bali Jimbaran'!AI18/'Localize Daily Bali Jimbaran'!AH18</f>
        <v>10500</v>
      </c>
      <c r="K13" s="99">
        <f>'Localize Daily Bali Jimbaran'!Q18</f>
        <v>39</v>
      </c>
      <c r="L13" s="100">
        <f>'Localize Daily Bali Jimbaran'!V18/'Localize Daily Bali Jimbaran'!Q18</f>
        <v>11283.641538461539</v>
      </c>
      <c r="M13" s="99">
        <f>'Localize Daily Bali Jimbaran'!C18</f>
        <v>10</v>
      </c>
      <c r="N13" s="99">
        <v>180</v>
      </c>
    </row>
    <row r="14" spans="1:14" ht="15">
      <c r="A14" s="96" t="s">
        <v>14</v>
      </c>
      <c r="B14" s="97">
        <v>13</v>
      </c>
      <c r="C14" s="98">
        <v>1</v>
      </c>
      <c r="D14" s="97">
        <v>2020</v>
      </c>
      <c r="E14" s="99">
        <f>'Localize Daily Bali Jimbaran'!P19</f>
        <v>24920.000000000982</v>
      </c>
      <c r="F14" s="100">
        <f>'Localize Daily Bali Jimbaran'!O19/'Localize Daily Bali Jimbaran'!P19</f>
        <v>1185.7644353932546</v>
      </c>
      <c r="G14" s="99">
        <f>'Localize Daily Bali Jimbaran'!AC19</f>
        <v>174.74716000000467</v>
      </c>
      <c r="H14" s="100">
        <f>'Localize Daily Bali Jimbaran'!AD19/'Localize Daily Bali Jimbaran'!AC19</f>
        <v>9566.249221789918</v>
      </c>
      <c r="I14" s="99">
        <f>'Localize Daily Bali Jimbaran'!AH19</f>
        <v>507</v>
      </c>
      <c r="J14" s="101">
        <f>'Localize Daily Bali Jimbaran'!AI19/'Localize Daily Bali Jimbaran'!AH19</f>
        <v>10500</v>
      </c>
      <c r="K14" s="99">
        <f>'Localize Daily Bali Jimbaran'!Q19</f>
        <v>35</v>
      </c>
      <c r="L14" s="100">
        <f>'Localize Daily Bali Jimbaran'!V19/'Localize Daily Bali Jimbaran'!Q19</f>
        <v>4245.18</v>
      </c>
      <c r="M14" s="99">
        <f>'Localize Daily Bali Jimbaran'!C19</f>
        <v>10</v>
      </c>
      <c r="N14" s="99">
        <v>177</v>
      </c>
    </row>
    <row r="15" spans="1:14" ht="15">
      <c r="A15" s="96" t="s">
        <v>14</v>
      </c>
      <c r="B15" s="97">
        <v>14</v>
      </c>
      <c r="C15" s="98">
        <v>1</v>
      </c>
      <c r="D15" s="97">
        <v>2020</v>
      </c>
      <c r="E15" s="99">
        <f>'Localize Daily Bali Jimbaran'!P20</f>
        <v>25480.000000000018</v>
      </c>
      <c r="F15" s="100">
        <f>'Localize Daily Bali Jimbaran'!O20/'Localize Daily Bali Jimbaran'!P20</f>
        <v>1184.8867912087899</v>
      </c>
      <c r="G15" s="99">
        <f>'Localize Daily Bali Jimbaran'!AC20</f>
        <v>292.70859999998822</v>
      </c>
      <c r="H15" s="100">
        <f>'Localize Daily Bali Jimbaran'!AD20/'Localize Daily Bali Jimbaran'!AC20</f>
        <v>9958.697098752853</v>
      </c>
      <c r="I15" s="99">
        <f>'Localize Daily Bali Jimbaran'!AH20</f>
        <v>313.29999999999927</v>
      </c>
      <c r="J15" s="101">
        <f>'Localize Daily Bali Jimbaran'!AI20/'Localize Daily Bali Jimbaran'!AH20</f>
        <v>10500</v>
      </c>
      <c r="K15" s="99">
        <f>'Localize Daily Bali Jimbaran'!Q20</f>
        <v>23</v>
      </c>
      <c r="L15" s="100">
        <f>'Localize Daily Bali Jimbaran'!V20/'Localize Daily Bali Jimbaran'!Q20</f>
        <v>4245.18</v>
      </c>
      <c r="M15" s="99">
        <f>'Localize Daily Bali Jimbaran'!C20</f>
        <v>9</v>
      </c>
      <c r="N15" s="99">
        <v>169</v>
      </c>
    </row>
    <row r="16" spans="1:14" ht="15">
      <c r="A16" s="96" t="s">
        <v>14</v>
      </c>
      <c r="B16" s="97">
        <v>15</v>
      </c>
      <c r="C16" s="98">
        <v>1</v>
      </c>
      <c r="D16" s="97">
        <v>2020</v>
      </c>
      <c r="E16" s="99">
        <f>'Localize Daily Bali Jimbaran'!P21</f>
        <v>25839.999999998327</v>
      </c>
      <c r="F16" s="100">
        <f>'Localize Daily Bali Jimbaran'!O21/'Localize Daily Bali Jimbaran'!P21</f>
        <v>1184.7936280959793</v>
      </c>
      <c r="G16" s="99">
        <f>'Localize Daily Bali Jimbaran'!AC21</f>
        <v>145.64904000003045</v>
      </c>
      <c r="H16" s="100">
        <f>'Localize Daily Bali Jimbaran'!AD21/'Localize Daily Bali Jimbaran'!AC21</f>
        <v>9396.12490298593</v>
      </c>
      <c r="I16" s="99">
        <f>'Localize Daily Bali Jimbaran'!AH21</f>
        <v>486.29999999999927</v>
      </c>
      <c r="J16" s="101">
        <f>'Localize Daily Bali Jimbaran'!AI21/'Localize Daily Bali Jimbaran'!AH21</f>
        <v>10500</v>
      </c>
      <c r="K16" s="99">
        <f>'Localize Daily Bali Jimbaran'!Q21</f>
        <v>27</v>
      </c>
      <c r="L16" s="100">
        <f>'Localize Daily Bali Jimbaran'!V21/'Localize Daily Bali Jimbaran'!Q21</f>
        <v>4245.18</v>
      </c>
      <c r="M16" s="99">
        <f>'Localize Daily Bali Jimbaran'!C21</f>
        <v>9</v>
      </c>
      <c r="N16" s="99">
        <v>159</v>
      </c>
    </row>
    <row r="17" spans="1:14" ht="15">
      <c r="A17" s="96" t="s">
        <v>14</v>
      </c>
      <c r="B17" s="97">
        <v>16</v>
      </c>
      <c r="C17" s="98">
        <v>1</v>
      </c>
      <c r="D17" s="97">
        <v>2020</v>
      </c>
      <c r="E17" s="99">
        <f>'Localize Daily Bali Jimbaran'!P22</f>
        <v>26879.999999999425</v>
      </c>
      <c r="F17" s="100">
        <f>'Localize Daily Bali Jimbaran'!O22/'Localize Daily Bali Jimbaran'!P22</f>
        <v>1182.2457656249942</v>
      </c>
      <c r="G17" s="99">
        <f>'Localize Daily Bali Jimbaran'!AC22</f>
        <v>145.49135999998123</v>
      </c>
      <c r="H17" s="100">
        <f>'Localize Daily Bali Jimbaran'!AD22/'Localize Daily Bali Jimbaran'!AC22</f>
        <v>9196</v>
      </c>
      <c r="I17" s="99">
        <f>'Localize Daily Bali Jimbaran'!AH22</f>
        <v>666.09999999999854</v>
      </c>
      <c r="J17" s="101">
        <f>'Localize Daily Bali Jimbaran'!AI22/'Localize Daily Bali Jimbaran'!AH22</f>
        <v>10500</v>
      </c>
      <c r="K17" s="99">
        <f>'Localize Daily Bali Jimbaran'!Q22</f>
        <v>73</v>
      </c>
      <c r="L17" s="100">
        <f>'Localize Daily Bali Jimbaran'!V22/'Localize Daily Bali Jimbaran'!Q22</f>
        <v>5937.3032876712332</v>
      </c>
      <c r="M17" s="99">
        <f>'Localize Daily Bali Jimbaran'!C22</f>
        <v>8</v>
      </c>
      <c r="N17" s="99">
        <v>215</v>
      </c>
    </row>
    <row r="18" spans="1:14" ht="15">
      <c r="A18" s="96" t="s">
        <v>14</v>
      </c>
      <c r="B18" s="97">
        <v>17</v>
      </c>
      <c r="C18" s="98">
        <v>1</v>
      </c>
      <c r="D18" s="97">
        <v>2020</v>
      </c>
      <c r="E18" s="99">
        <f>'Localize Daily Bali Jimbaran'!P23</f>
        <v>25660.000000001673</v>
      </c>
      <c r="F18" s="100">
        <f>'Localize Daily Bali Jimbaran'!O23/'Localize Daily Bali Jimbaran'!P23</f>
        <v>1182.084934138732</v>
      </c>
      <c r="G18" s="99">
        <f>'Localize Daily Bali Jimbaran'!AC23</f>
        <v>333.64903999997182</v>
      </c>
      <c r="H18" s="100">
        <f>'Localize Daily Bali Jimbaran'!AD23/'Localize Daily Bali Jimbaran'!AC23</f>
        <v>9971.66535183204</v>
      </c>
      <c r="I18" s="99">
        <f>'Localize Daily Bali Jimbaran'!AH23</f>
        <v>476.7300000000032</v>
      </c>
      <c r="J18" s="101">
        <f>'Localize Daily Bali Jimbaran'!AI23/'Localize Daily Bali Jimbaran'!AH23</f>
        <v>10500</v>
      </c>
      <c r="K18" s="99">
        <f>'Localize Daily Bali Jimbaran'!Q23</f>
        <v>20</v>
      </c>
      <c r="L18" s="100">
        <f>'Localize Daily Bali Jimbaran'!V23/'Localize Daily Bali Jimbaran'!Q23</f>
        <v>4245.18</v>
      </c>
      <c r="M18" s="99">
        <f>'Localize Daily Bali Jimbaran'!C23</f>
        <v>5</v>
      </c>
      <c r="N18" s="99">
        <v>229</v>
      </c>
    </row>
    <row r="19" spans="1:14" ht="15">
      <c r="A19" s="96" t="s">
        <v>14</v>
      </c>
      <c r="B19" s="97">
        <v>18</v>
      </c>
      <c r="C19" s="98">
        <v>1</v>
      </c>
      <c r="D19" s="97">
        <v>2020</v>
      </c>
      <c r="E19" s="99">
        <f>'Localize Daily Bali Jimbaran'!P24</f>
        <v>26099.999999999</v>
      </c>
      <c r="F19" s="100">
        <f>'Localize Daily Bali Jimbaran'!O24/'Localize Daily Bali Jimbaran'!P24</f>
        <v>1182.5750275862094</v>
      </c>
      <c r="G19" s="99">
        <f>'Localize Daily Bali Jimbaran'!AC24</f>
        <v>205.63160000004689</v>
      </c>
      <c r="H19" s="100">
        <f>'Localize Daily Bali Jimbaran'!AD24/'Localize Daily Bali Jimbaran'!AC24</f>
        <v>9935.8862820693175</v>
      </c>
      <c r="I19" s="99">
        <f>'Localize Daily Bali Jimbaran'!AH24</f>
        <v>424.60000000000582</v>
      </c>
      <c r="J19" s="101">
        <f>'Localize Daily Bali Jimbaran'!AI24/'Localize Daily Bali Jimbaran'!AH24</f>
        <v>10500</v>
      </c>
      <c r="K19" s="99">
        <f>'Localize Daily Bali Jimbaran'!Q24</f>
        <v>2</v>
      </c>
      <c r="L19" s="100">
        <f>'Localize Daily Bali Jimbaran'!V24/'Localize Daily Bali Jimbaran'!Q24</f>
        <v>4245.18</v>
      </c>
      <c r="M19" s="99">
        <f>'Localize Daily Bali Jimbaran'!C24</f>
        <v>5</v>
      </c>
      <c r="N19" s="99">
        <v>171</v>
      </c>
    </row>
    <row r="20" spans="1:14" ht="15">
      <c r="A20" s="96" t="s">
        <v>14</v>
      </c>
      <c r="B20" s="97">
        <v>19</v>
      </c>
      <c r="C20" s="98">
        <v>1</v>
      </c>
      <c r="D20" s="97">
        <v>2020</v>
      </c>
      <c r="E20" s="99">
        <f>'Localize Daily Bali Jimbaran'!P25</f>
        <v>25680.000000000746</v>
      </c>
      <c r="F20" s="100">
        <f>'Localize Daily Bali Jimbaran'!O25/'Localize Daily Bali Jimbaran'!P25</f>
        <v>1184.5523726635568</v>
      </c>
      <c r="G20" s="99">
        <f>'Localize Daily Bali Jimbaran'!AC25</f>
        <v>147.50191999999765</v>
      </c>
      <c r="H20" s="100">
        <f>'Localize Daily Bali Jimbaran'!AD25/'Localize Daily Bali Jimbaran'!AC25</f>
        <v>9393.610987029866</v>
      </c>
      <c r="I20" s="99">
        <f>'Localize Daily Bali Jimbaran'!AH25</f>
        <v>344</v>
      </c>
      <c r="J20" s="101">
        <f>'Localize Daily Bali Jimbaran'!AI25/'Localize Daily Bali Jimbaran'!AH25</f>
        <v>10500</v>
      </c>
      <c r="K20" s="99">
        <f>'Localize Daily Bali Jimbaran'!Q25</f>
        <v>3</v>
      </c>
      <c r="L20" s="100">
        <f>'Localize Daily Bali Jimbaran'!V25/'Localize Daily Bali Jimbaran'!Q25</f>
        <v>4245.18</v>
      </c>
      <c r="M20" s="99">
        <f>'Localize Daily Bali Jimbaran'!C25</f>
        <v>4</v>
      </c>
      <c r="N20" s="99">
        <v>233</v>
      </c>
    </row>
    <row r="21" spans="1:14" ht="15">
      <c r="A21" s="96" t="s">
        <v>14</v>
      </c>
      <c r="B21" s="97">
        <v>20</v>
      </c>
      <c r="C21" s="98">
        <v>1</v>
      </c>
      <c r="D21" s="97">
        <v>2020</v>
      </c>
      <c r="E21" s="99">
        <f>'Localize Daily Bali Jimbaran'!P26</f>
        <v>26040.000000000418</v>
      </c>
      <c r="F21" s="100">
        <f>'Localize Daily Bali Jimbaran'!O26/'Localize Daily Bali Jimbaran'!P26</f>
        <v>1185.2998548387045</v>
      </c>
      <c r="G21" s="99">
        <f>'Localize Daily Bali Jimbaran'!AC26</f>
        <v>159.82759999998825</v>
      </c>
      <c r="H21" s="100">
        <f>'Localize Daily Bali Jimbaran'!AD26/'Localize Daily Bali Jimbaran'!AC26</f>
        <v>9378.371505296971</v>
      </c>
      <c r="I21" s="99">
        <f>'Localize Daily Bali Jimbaran'!AH26</f>
        <v>328.36999999999534</v>
      </c>
      <c r="J21" s="101">
        <f>'Localize Daily Bali Jimbaran'!AI26/'Localize Daily Bali Jimbaran'!AH26</f>
        <v>10500</v>
      </c>
      <c r="K21" s="99">
        <f>'Localize Daily Bali Jimbaran'!Q26</f>
        <v>3</v>
      </c>
      <c r="L21" s="100">
        <f>'Localize Daily Bali Jimbaran'!V26/'Localize Daily Bali Jimbaran'!Q26</f>
        <v>4245.18</v>
      </c>
      <c r="M21" s="99">
        <f>'Localize Daily Bali Jimbaran'!C26</f>
        <v>0</v>
      </c>
      <c r="N21" s="99">
        <v>238</v>
      </c>
    </row>
    <row r="22" spans="1:14" ht="15">
      <c r="A22" s="96" t="s">
        <v>14</v>
      </c>
      <c r="B22" s="97">
        <v>21</v>
      </c>
      <c r="C22" s="98">
        <v>1</v>
      </c>
      <c r="D22" s="97">
        <v>2020</v>
      </c>
      <c r="E22" s="99">
        <f>'Localize Daily Bali Jimbaran'!P27</f>
        <v>26939.99999999869</v>
      </c>
      <c r="F22" s="100">
        <f>'Localize Daily Bali Jimbaran'!O27/'Localize Daily Bali Jimbaran'!P27</f>
        <v>1182.0349042316363</v>
      </c>
      <c r="G22" s="99">
        <f>'Localize Daily Bali Jimbaran'!AC27</f>
        <v>158.89771999996248</v>
      </c>
      <c r="H22" s="100">
        <f>'Localize Daily Bali Jimbaran'!AD27/'Localize Daily Bali Jimbaran'!AC27</f>
        <v>9562.8775108919981</v>
      </c>
      <c r="I22" s="99">
        <f>'Localize Daily Bali Jimbaran'!AH27</f>
        <v>441</v>
      </c>
      <c r="J22" s="101">
        <f>'Localize Daily Bali Jimbaran'!AI27/'Localize Daily Bali Jimbaran'!AH27</f>
        <v>10500</v>
      </c>
      <c r="K22" s="99">
        <f>'Localize Daily Bali Jimbaran'!Q27</f>
        <v>128</v>
      </c>
      <c r="L22" s="100">
        <f>'Localize Daily Bali Jimbaran'!V27/'Localize Daily Bali Jimbaran'!Q27</f>
        <v>4245.18</v>
      </c>
      <c r="M22" s="99">
        <f>'Localize Daily Bali Jimbaran'!C27</f>
        <v>2</v>
      </c>
      <c r="N22" s="99">
        <v>237</v>
      </c>
    </row>
    <row r="23" spans="1:14" ht="15">
      <c r="A23" s="96" t="s">
        <v>14</v>
      </c>
      <c r="B23" s="97">
        <v>22</v>
      </c>
      <c r="C23" s="98">
        <v>1</v>
      </c>
      <c r="D23" s="97">
        <v>2020</v>
      </c>
      <c r="E23" s="99">
        <f>'Localize Daily Bali Jimbaran'!P28</f>
        <v>27139.999999999418</v>
      </c>
      <c r="F23" s="100">
        <f>'Localize Daily Bali Jimbaran'!O28/'Localize Daily Bali Jimbaran'!P28</f>
        <v>1184.9452958732452</v>
      </c>
      <c r="G23" s="99">
        <f>'Localize Daily Bali Jimbaran'!AC28</f>
        <v>141.62448000001405</v>
      </c>
      <c r="H23" s="100">
        <f>'Localize Daily Bali Jimbaran'!AD28/'Localize Daily Bali Jimbaran'!AC28</f>
        <v>9196</v>
      </c>
      <c r="I23" s="99">
        <f>'Localize Daily Bali Jimbaran'!AH28</f>
        <v>372.20000000000437</v>
      </c>
      <c r="J23" s="101">
        <f>'Localize Daily Bali Jimbaran'!AI28/'Localize Daily Bali Jimbaran'!AH28</f>
        <v>10500</v>
      </c>
      <c r="K23" s="99">
        <f>'Localize Daily Bali Jimbaran'!Q28</f>
        <v>2</v>
      </c>
      <c r="L23" s="100">
        <f>'Localize Daily Bali Jimbaran'!V28/'Localize Daily Bali Jimbaran'!Q28</f>
        <v>4245.18</v>
      </c>
      <c r="M23" s="99">
        <f>'Localize Daily Bali Jimbaran'!C28</f>
        <v>2</v>
      </c>
      <c r="N23" s="99">
        <v>242</v>
      </c>
    </row>
    <row r="24" spans="1:14" ht="15">
      <c r="A24" s="96" t="s">
        <v>14</v>
      </c>
      <c r="B24" s="97">
        <v>23</v>
      </c>
      <c r="C24" s="98">
        <v>1</v>
      </c>
      <c r="D24" s="97">
        <v>2020</v>
      </c>
      <c r="E24" s="99">
        <f>'Localize Daily Bali Jimbaran'!P29</f>
        <v>27360.000000001946</v>
      </c>
      <c r="F24" s="100">
        <f>'Localize Daily Bali Jimbaran'!O29/'Localize Daily Bali Jimbaran'!P29</f>
        <v>1184.9573059210475</v>
      </c>
      <c r="G24" s="99">
        <f>'Localize Daily Bali Jimbaran'!AC29</f>
        <v>339.73132000000936</v>
      </c>
      <c r="H24" s="100">
        <f>'Localize Daily Bali Jimbaran'!AD29/'Localize Daily Bali Jimbaran'!AC29</f>
        <v>9957.7784548095024</v>
      </c>
      <c r="I24" s="99">
        <f>'Localize Daily Bali Jimbaran'!AH29</f>
        <v>775.5</v>
      </c>
      <c r="J24" s="101">
        <f>'Localize Daily Bali Jimbaran'!AI29/'Localize Daily Bali Jimbaran'!AH29</f>
        <v>10500</v>
      </c>
      <c r="K24" s="99">
        <f>'Localize Daily Bali Jimbaran'!Q29</f>
        <v>104</v>
      </c>
      <c r="L24" s="100">
        <f>'Localize Daily Bali Jimbaran'!V29/'Localize Daily Bali Jimbaran'!Q29</f>
        <v>17838.208846153844</v>
      </c>
      <c r="M24" s="99">
        <f>'Localize Daily Bali Jimbaran'!C29</f>
        <v>0</v>
      </c>
      <c r="N24" s="99">
        <v>260</v>
      </c>
    </row>
    <row r="25" spans="1:14" ht="15">
      <c r="A25" s="96" t="s">
        <v>14</v>
      </c>
      <c r="B25" s="97">
        <v>24</v>
      </c>
      <c r="C25" s="98">
        <v>1</v>
      </c>
      <c r="D25" s="97">
        <v>2020</v>
      </c>
      <c r="E25" s="99">
        <f>'Localize Daily Bali Jimbaran'!P30</f>
        <v>27179.999999998927</v>
      </c>
      <c r="F25" s="100">
        <f>'Localize Daily Bali Jimbaran'!O30/'Localize Daily Bali Jimbaran'!P30</f>
        <v>1184.0017185430534</v>
      </c>
      <c r="G25" s="99">
        <f>'Localize Daily Bali Jimbaran'!AC30</f>
        <v>159.86788000002576</v>
      </c>
      <c r="H25" s="100">
        <f>'Localize Daily Bali Jimbaran'!AD30/'Localize Daily Bali Jimbaran'!AC30</f>
        <v>9378.3255553272829</v>
      </c>
      <c r="I25" s="99">
        <f>'Localize Daily Bali Jimbaran'!AH30</f>
        <v>412.11999999999534</v>
      </c>
      <c r="J25" s="101">
        <f>'Localize Daily Bali Jimbaran'!AI30/'Localize Daily Bali Jimbaran'!AH30</f>
        <v>10500.000000000002</v>
      </c>
      <c r="K25" s="99">
        <f>'Localize Daily Bali Jimbaran'!Q30</f>
        <v>141</v>
      </c>
      <c r="L25" s="100">
        <f>'Localize Daily Bali Jimbaran'!V30/'Localize Daily Bali Jimbaran'!Q30</f>
        <v>4245.18</v>
      </c>
      <c r="M25" s="99">
        <f>'Localize Daily Bali Jimbaran'!C30</f>
        <v>1</v>
      </c>
      <c r="N25" s="99">
        <v>303</v>
      </c>
    </row>
    <row r="26" spans="1:14" ht="15">
      <c r="A26" s="96" t="s">
        <v>14</v>
      </c>
      <c r="B26" s="97">
        <v>25</v>
      </c>
      <c r="C26" s="98">
        <v>1</v>
      </c>
      <c r="D26" s="97">
        <v>2020</v>
      </c>
      <c r="E26" s="99">
        <f>'Localize Daily Bali Jimbaran'!P31</f>
        <v>27740.000000000691</v>
      </c>
      <c r="F26" s="100">
        <f>'Localize Daily Bali Jimbaran'!O31/'Localize Daily Bali Jimbaran'!P31</f>
        <v>1183.2311614996393</v>
      </c>
      <c r="G26" s="99">
        <f>'Localize Daily Bali Jimbaran'!AC31</f>
        <v>139.24451999998593</v>
      </c>
      <c r="H26" s="100">
        <f>'Localize Daily Bali Jimbaran'!AD31/'Localize Daily Bali Jimbaran'!AC31</f>
        <v>9405.3296023427192</v>
      </c>
      <c r="I26" s="99">
        <f>'Localize Daily Bali Jimbaran'!AH31</f>
        <v>457.93000000000029</v>
      </c>
      <c r="J26" s="101">
        <f>'Localize Daily Bali Jimbaran'!AI31/'Localize Daily Bali Jimbaran'!AH31</f>
        <v>10500</v>
      </c>
      <c r="K26" s="99">
        <f>'Localize Daily Bali Jimbaran'!Q31</f>
        <v>189</v>
      </c>
      <c r="L26" s="100">
        <f>'Localize Daily Bali Jimbaran'!V31/'Localize Daily Bali Jimbaran'!Q31</f>
        <v>7513.0371428571434</v>
      </c>
      <c r="M26" s="99">
        <f>'Localize Daily Bali Jimbaran'!C31</f>
        <v>3</v>
      </c>
      <c r="N26" s="99">
        <v>345</v>
      </c>
    </row>
    <row r="27" spans="1:14" ht="15">
      <c r="A27" s="96" t="s">
        <v>14</v>
      </c>
      <c r="B27" s="97">
        <v>26</v>
      </c>
      <c r="C27" s="98">
        <v>1</v>
      </c>
      <c r="D27" s="97">
        <v>2020</v>
      </c>
      <c r="E27" s="99">
        <f>'Localize Daily Bali Jimbaran'!P32</f>
        <v>27019.999999999753</v>
      </c>
      <c r="F27" s="100">
        <f>'Localize Daily Bali Jimbaran'!O32/'Localize Daily Bali Jimbaran'!P32</f>
        <v>1184.1702435233071</v>
      </c>
      <c r="G27" s="99">
        <f>'Localize Daily Bali Jimbaran'!AC32</f>
        <v>184.90483999999532</v>
      </c>
      <c r="H27" s="100">
        <f>'Localize Daily Bali Jimbaran'!AD32/'Localize Daily Bali Jimbaran'!AC32</f>
        <v>10141.827053526582</v>
      </c>
      <c r="I27" s="99">
        <f>'Localize Daily Bali Jimbaran'!AH32</f>
        <v>467.75</v>
      </c>
      <c r="J27" s="101">
        <f>'Localize Daily Bali Jimbaran'!AI32/'Localize Daily Bali Jimbaran'!AH32</f>
        <v>10500</v>
      </c>
      <c r="K27" s="99">
        <f>'Localize Daily Bali Jimbaran'!Q32</f>
        <v>125</v>
      </c>
      <c r="L27" s="100">
        <f>'Localize Daily Bali Jimbaran'!V32/'Localize Daily Bali Jimbaran'!Q32</f>
        <v>9076.3799999999992</v>
      </c>
      <c r="M27" s="99">
        <f>'Localize Daily Bali Jimbaran'!C32</f>
        <v>3</v>
      </c>
      <c r="N27" s="99">
        <v>325</v>
      </c>
    </row>
    <row r="28" spans="1:14" ht="15">
      <c r="A28" s="96" t="s">
        <v>14</v>
      </c>
      <c r="B28" s="97">
        <v>27</v>
      </c>
      <c r="C28" s="98">
        <v>1</v>
      </c>
      <c r="D28" s="97">
        <v>2020</v>
      </c>
      <c r="E28" s="99">
        <f>'Localize Daily Bali Jimbaran'!P33</f>
        <v>26580.000000000382</v>
      </c>
      <c r="F28" s="100">
        <f>'Localize Daily Bali Jimbaran'!O33/'Localize Daily Bali Jimbaran'!P33</f>
        <v>1186.1785293453743</v>
      </c>
      <c r="G28" s="99">
        <f>'Localize Daily Bali Jimbaran'!AC33</f>
        <v>131.23224000000701</v>
      </c>
      <c r="H28" s="100">
        <f>'Localize Daily Bali Jimbaran'!AD33/'Localize Daily Bali Jimbaran'!AC33</f>
        <v>9196</v>
      </c>
      <c r="I28" s="99">
        <f>'Localize Daily Bali Jimbaran'!AH33</f>
        <v>488</v>
      </c>
      <c r="J28" s="101">
        <f>'Localize Daily Bali Jimbaran'!AI33/'Localize Daily Bali Jimbaran'!AH33</f>
        <v>10500</v>
      </c>
      <c r="K28" s="99">
        <f>'Localize Daily Bali Jimbaran'!Q33</f>
        <v>162</v>
      </c>
      <c r="L28" s="100">
        <f>'Localize Daily Bali Jimbaran'!V33/'Localize Daily Bali Jimbaran'!Q33</f>
        <v>13649.346666666668</v>
      </c>
      <c r="M28" s="99">
        <f>'Localize Daily Bali Jimbaran'!C33</f>
        <v>3</v>
      </c>
      <c r="N28" s="99">
        <v>248</v>
      </c>
    </row>
    <row r="29" spans="1:14" ht="15">
      <c r="A29" s="96" t="s">
        <v>14</v>
      </c>
      <c r="B29" s="97">
        <v>28</v>
      </c>
      <c r="C29" s="98">
        <v>1</v>
      </c>
      <c r="D29" s="97">
        <v>2020</v>
      </c>
      <c r="E29" s="99">
        <f>'Localize Daily Bali Jimbaran'!P34</f>
        <v>26959.999999999127</v>
      </c>
      <c r="F29" s="100">
        <f>'Localize Daily Bali Jimbaran'!O34/'Localize Daily Bali Jimbaran'!P34</f>
        <v>1186.8056372403607</v>
      </c>
      <c r="G29" s="99">
        <f>'Localize Daily Bali Jimbaran'!AC34</f>
        <v>126.19724000000701</v>
      </c>
      <c r="H29" s="100">
        <f>'Localize Daily Bali Jimbaran'!AD34/'Localize Daily Bali Jimbaran'!AC34</f>
        <v>9196</v>
      </c>
      <c r="I29" s="99">
        <f>'Localize Daily Bali Jimbaran'!AH34</f>
        <v>300.4800000000032</v>
      </c>
      <c r="J29" s="101">
        <f>'Localize Daily Bali Jimbaran'!AI34/'Localize Daily Bali Jimbaran'!AH34</f>
        <v>10500</v>
      </c>
      <c r="K29" s="99">
        <f>'Localize Daily Bali Jimbaran'!Q34</f>
        <v>72</v>
      </c>
      <c r="L29" s="100">
        <f>'Localize Daily Bali Jimbaran'!V34/'Localize Daily Bali Jimbaran'!Q34</f>
        <v>4245.18</v>
      </c>
      <c r="M29" s="99">
        <f>'Localize Daily Bali Jimbaran'!C34</f>
        <v>3</v>
      </c>
      <c r="N29" s="99">
        <v>245</v>
      </c>
    </row>
    <row r="30" spans="1:14" ht="15">
      <c r="A30" s="96" t="s">
        <v>14</v>
      </c>
      <c r="B30" s="97">
        <v>29</v>
      </c>
      <c r="C30" s="98">
        <v>1</v>
      </c>
      <c r="D30" s="97">
        <v>2020</v>
      </c>
      <c r="E30" s="99">
        <f>'Localize Daily Bali Jimbaran'!P35</f>
        <v>27600.000000000364</v>
      </c>
      <c r="F30" s="100">
        <f>'Localize Daily Bali Jimbaran'!O35/'Localize Daily Bali Jimbaran'!P35</f>
        <v>1188.4449652173878</v>
      </c>
      <c r="G30" s="99">
        <f>'Localize Daily Bali Jimbaran'!AC35</f>
        <v>187.1131199999742</v>
      </c>
      <c r="H30" s="100">
        <f>'Localize Daily Bali Jimbaran'!AD35/'Localize Daily Bali Jimbaran'!AC35</f>
        <v>9541.7801355672382</v>
      </c>
      <c r="I30" s="99">
        <f>'Localize Daily Bali Jimbaran'!AH35</f>
        <v>526.61999999999534</v>
      </c>
      <c r="J30" s="101">
        <f>'Localize Daily Bali Jimbaran'!AI35/'Localize Daily Bali Jimbaran'!AH35</f>
        <v>10500</v>
      </c>
      <c r="K30" s="99">
        <f>'Localize Daily Bali Jimbaran'!Q35</f>
        <v>88</v>
      </c>
      <c r="L30" s="100">
        <f>'Localize Daily Bali Jimbaran'!V35/'Localize Daily Bali Jimbaran'!Q35</f>
        <v>4245.18</v>
      </c>
      <c r="M30" s="99">
        <f>'Localize Daily Bali Jimbaran'!C35</f>
        <v>5</v>
      </c>
      <c r="N30" s="99">
        <v>252</v>
      </c>
    </row>
    <row r="31" spans="1:14" ht="15">
      <c r="A31" s="96" t="s">
        <v>14</v>
      </c>
      <c r="B31" s="97">
        <v>30</v>
      </c>
      <c r="C31" s="98">
        <v>1</v>
      </c>
      <c r="D31" s="97">
        <v>2020</v>
      </c>
      <c r="E31" s="99">
        <f>'Localize Daily Bali Jimbaran'!P36</f>
        <v>25920.000000000073</v>
      </c>
      <c r="F31" s="100">
        <f>'Localize Daily Bali Jimbaran'!O36/'Localize Daily Bali Jimbaran'!P36</f>
        <v>1173.1647083333316</v>
      </c>
      <c r="G31" s="99">
        <f>'Localize Daily Bali Jimbaran'!AC36</f>
        <v>389.21824000000703</v>
      </c>
      <c r="H31" s="100">
        <f>'Localize Daily Bali Jimbaran'!AD36/'Localize Daily Bali Jimbaran'!AC36</f>
        <v>10235.365472697253</v>
      </c>
      <c r="I31" s="99">
        <f>'Localize Daily Bali Jimbaran'!AH36</f>
        <v>503.09999999999854</v>
      </c>
      <c r="J31" s="101">
        <f>'Localize Daily Bali Jimbaran'!AI36/'Localize Daily Bali Jimbaran'!AH36</f>
        <v>10500</v>
      </c>
      <c r="K31" s="99">
        <f>'Localize Daily Bali Jimbaran'!Q36</f>
        <v>1</v>
      </c>
      <c r="L31" s="100">
        <f>'Localize Daily Bali Jimbaran'!V36/'Localize Daily Bali Jimbaran'!Q36</f>
        <v>4245.18</v>
      </c>
      <c r="M31" s="99">
        <f>'Localize Daily Bali Jimbaran'!C36</f>
        <v>5</v>
      </c>
      <c r="N31" s="99">
        <v>259</v>
      </c>
    </row>
    <row r="32" spans="1:14" ht="15">
      <c r="A32" s="96" t="s">
        <v>14</v>
      </c>
      <c r="B32" s="97">
        <v>31</v>
      </c>
      <c r="C32" s="98">
        <v>1</v>
      </c>
      <c r="D32" s="97">
        <v>2020</v>
      </c>
      <c r="E32" s="99">
        <f>'Localize Daily Bali Jimbaran'!P37</f>
        <v>22440.000000000964</v>
      </c>
      <c r="F32" s="100">
        <f>'Localize Daily Bali Jimbaran'!O37/'Localize Daily Bali Jimbaran'!P37</f>
        <v>1196.132037433151</v>
      </c>
      <c r="G32" s="99">
        <f>'Localize Daily Bali Jimbaran'!AC37</f>
        <v>149.75416000000467</v>
      </c>
      <c r="H32" s="100">
        <f>'Localize Daily Bali Jimbaran'!AD37/'Localize Daily Bali Jimbaran'!AC37</f>
        <v>9585.2780006912544</v>
      </c>
      <c r="I32" s="99">
        <f>'Localize Daily Bali Jimbaran'!AH37</f>
        <v>424.69999999999709</v>
      </c>
      <c r="J32" s="101">
        <f>'Localize Daily Bali Jimbaran'!AI37/'Localize Daily Bali Jimbaran'!AH37</f>
        <v>10500</v>
      </c>
      <c r="K32" s="99">
        <f>'Localize Daily Bali Jimbaran'!Q37</f>
        <v>1</v>
      </c>
      <c r="L32" s="100">
        <f>'Localize Daily Bali Jimbaran'!V37/'Localize Daily Bali Jimbaran'!Q37</f>
        <v>4245.18</v>
      </c>
      <c r="M32" s="99">
        <f>'Localize Daily Bali Jimbaran'!C37</f>
        <v>4</v>
      </c>
      <c r="N32" s="99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N4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1" t="s">
        <v>16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"/>
    </row>
    <row r="4" spans="1:36" s="83" customFormat="1" ht="15.75" customHeight="1">
      <c r="A4" s="16"/>
      <c r="B4" s="162" t="s">
        <v>17</v>
      </c>
      <c r="C4" s="163" t="s">
        <v>18</v>
      </c>
      <c r="D4" s="164" t="s">
        <v>19</v>
      </c>
      <c r="E4" s="165" t="s">
        <v>20</v>
      </c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6" t="s">
        <v>21</v>
      </c>
      <c r="R4" s="166"/>
      <c r="S4" s="166"/>
      <c r="T4" s="166"/>
      <c r="U4" s="166"/>
      <c r="V4" s="166"/>
      <c r="W4" s="167" t="s">
        <v>22</v>
      </c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7"/>
    </row>
    <row r="5" spans="1:36" s="1" customFormat="1" ht="27" customHeight="1">
      <c r="A5" s="83"/>
      <c r="B5" s="162"/>
      <c r="C5" s="163"/>
      <c r="D5" s="164"/>
      <c r="E5" s="168" t="s">
        <v>23</v>
      </c>
      <c r="F5" s="168"/>
      <c r="G5" s="168"/>
      <c r="H5" s="168"/>
      <c r="I5" s="168"/>
      <c r="J5" s="169" t="s">
        <v>24</v>
      </c>
      <c r="K5" s="169"/>
      <c r="L5" s="169"/>
      <c r="M5" s="169"/>
      <c r="N5" s="169"/>
      <c r="O5" s="170" t="s">
        <v>25</v>
      </c>
      <c r="P5" s="172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7" t="s">
        <v>29</v>
      </c>
      <c r="X5" s="167"/>
      <c r="Y5" s="167"/>
      <c r="Z5" s="167"/>
      <c r="AA5" s="167"/>
      <c r="AB5" s="167"/>
      <c r="AC5" s="167"/>
      <c r="AD5" s="167"/>
      <c r="AE5" s="171" t="s">
        <v>30</v>
      </c>
      <c r="AF5" s="171"/>
      <c r="AG5" s="171"/>
      <c r="AH5" s="171"/>
      <c r="AI5" s="171"/>
      <c r="AJ5" s="83"/>
    </row>
    <row r="6" spans="1:36" s="1" customFormat="1" ht="58.5" customHeight="1">
      <c r="A6" s="86"/>
      <c r="B6" s="162"/>
      <c r="C6" s="163"/>
      <c r="D6" s="164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70"/>
      <c r="P6" s="172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42</v>
      </c>
      <c r="D7" s="103">
        <v>423</v>
      </c>
      <c r="E7" s="156">
        <v>19319.999999999709</v>
      </c>
      <c r="F7" s="156">
        <v>21011833.079999685</v>
      </c>
      <c r="G7" s="116">
        <v>3799.9999999997272</v>
      </c>
      <c r="H7" s="157">
        <v>6199143.2999995556</v>
      </c>
      <c r="I7" s="105">
        <f>F7+H7</f>
        <v>27210976.379999243</v>
      </c>
      <c r="J7" s="115">
        <v>4120.0000000008004</v>
      </c>
      <c r="K7" s="115">
        <v>4480784.2800008701</v>
      </c>
      <c r="L7" s="119">
        <v>480.00000000001819</v>
      </c>
      <c r="M7" s="121">
        <v>783049.68000002974</v>
      </c>
      <c r="N7" s="107">
        <f>K7+M7</f>
        <v>5263833.9600008996</v>
      </c>
      <c r="O7" s="105">
        <f>I7+N7</f>
        <v>32474810.340000141</v>
      </c>
      <c r="P7" s="107">
        <f>E7+G7+J7+L7</f>
        <v>27720.000000000255</v>
      </c>
      <c r="Q7" s="123">
        <f>R7+T7</f>
        <v>19</v>
      </c>
      <c r="R7" s="115">
        <v>8</v>
      </c>
      <c r="S7" s="115">
        <v>143761.44</v>
      </c>
      <c r="T7" s="115">
        <v>11</v>
      </c>
      <c r="U7" s="115">
        <v>46696.98</v>
      </c>
      <c r="V7" s="115">
        <f>S7+U7</f>
        <v>190458.42</v>
      </c>
      <c r="W7" s="115">
        <v>126.35836000003985</v>
      </c>
      <c r="X7" s="106"/>
      <c r="Y7" s="110">
        <v>0</v>
      </c>
      <c r="Z7" s="108"/>
      <c r="AA7" s="108"/>
      <c r="AB7" s="112">
        <v>0</v>
      </c>
      <c r="AC7" s="123">
        <f>W7+X7+Y7+Z7+AA7+AB7</f>
        <v>126.35836000003985</v>
      </c>
      <c r="AD7" s="104">
        <v>1161991.4785603664</v>
      </c>
      <c r="AE7" s="109"/>
      <c r="AF7" s="128">
        <v>435.59999999999854</v>
      </c>
      <c r="AG7" s="130">
        <v>0</v>
      </c>
      <c r="AH7" s="130">
        <f>AF7+AG7</f>
        <v>435.59999999999854</v>
      </c>
      <c r="AI7" s="132">
        <v>4573799.9999999851</v>
      </c>
      <c r="AJ7" s="18"/>
    </row>
    <row r="8" spans="1:36" ht="15">
      <c r="A8" s="19"/>
      <c r="B8" s="64">
        <v>2</v>
      </c>
      <c r="C8" s="159">
        <v>37</v>
      </c>
      <c r="D8" s="159">
        <v>341</v>
      </c>
      <c r="E8" s="124">
        <v>19640.000000001237</v>
      </c>
      <c r="F8" s="124">
        <v>21359855.160001345</v>
      </c>
      <c r="G8" s="111">
        <v>4360.0000000001273</v>
      </c>
      <c r="H8" s="111">
        <v>7112701.2600002084</v>
      </c>
      <c r="I8" s="105">
        <f>F8+H8</f>
        <v>28472556.420001552</v>
      </c>
      <c r="J8" s="158">
        <v>2139.9999999994179</v>
      </c>
      <c r="K8" s="158">
        <v>2327397.6599993673</v>
      </c>
      <c r="L8" s="120">
        <v>500</v>
      </c>
      <c r="M8" s="122">
        <v>815676.75</v>
      </c>
      <c r="N8" s="107">
        <f>K8+M8</f>
        <v>3143074.4099993673</v>
      </c>
      <c r="O8" s="105">
        <f>I8+N8</f>
        <v>31615630.830000918</v>
      </c>
      <c r="P8" s="107">
        <f>E8+G8+J8+L8</f>
        <v>26640.000000000782</v>
      </c>
      <c r="Q8" s="123">
        <f>R8+T8</f>
        <v>22</v>
      </c>
      <c r="R8" s="124">
        <v>11</v>
      </c>
      <c r="S8" s="124">
        <v>197671.98</v>
      </c>
      <c r="T8" s="117">
        <v>11</v>
      </c>
      <c r="U8" s="117">
        <v>46696.98</v>
      </c>
      <c r="V8" s="115">
        <f>S8+U8</f>
        <v>244368.96000000002</v>
      </c>
      <c r="W8" s="126">
        <v>132.68231999995075</v>
      </c>
      <c r="X8" s="112"/>
      <c r="Y8" s="110">
        <v>0</v>
      </c>
      <c r="Z8" s="112">
        <v>50</v>
      </c>
      <c r="AA8" s="112"/>
      <c r="AB8" s="112">
        <v>0</v>
      </c>
      <c r="AC8" s="123">
        <f>W8+X8+Y8+Z8+AA8+AB8</f>
        <v>182.68231999995075</v>
      </c>
      <c r="AD8" s="110">
        <v>1744646.6147195471</v>
      </c>
      <c r="AE8" s="113"/>
      <c r="AF8" s="129">
        <v>511.47999999999956</v>
      </c>
      <c r="AG8" s="131">
        <v>260.4999999999709</v>
      </c>
      <c r="AH8" s="130">
        <f>AF8+AG8</f>
        <v>771.97999999997046</v>
      </c>
      <c r="AI8" s="133">
        <v>8105789.9999996899</v>
      </c>
      <c r="AJ8" s="21"/>
    </row>
    <row r="9" spans="1:36" ht="15">
      <c r="A9" s="19"/>
      <c r="B9" s="81">
        <v>3</v>
      </c>
      <c r="C9" s="159">
        <v>29</v>
      </c>
      <c r="D9" s="159">
        <v>252</v>
      </c>
      <c r="E9" s="124">
        <v>18279.999999998836</v>
      </c>
      <c r="F9" s="124">
        <v>19880761.319998737</v>
      </c>
      <c r="G9" s="111">
        <v>4079.9999999999272</v>
      </c>
      <c r="H9" s="111">
        <v>6655922.279999882</v>
      </c>
      <c r="I9" s="105">
        <f>F9+H9</f>
        <v>26536683.599998619</v>
      </c>
      <c r="J9" s="158">
        <v>1980.0000000004729</v>
      </c>
      <c r="K9" s="158">
        <v>2153386.6200005142</v>
      </c>
      <c r="L9" s="120">
        <v>500</v>
      </c>
      <c r="M9" s="122">
        <v>815676.75</v>
      </c>
      <c r="N9" s="107">
        <f>K9+M9</f>
        <v>2969063.3700005142</v>
      </c>
      <c r="O9" s="105">
        <f>I9+N9</f>
        <v>29505746.969999135</v>
      </c>
      <c r="P9" s="107">
        <f>E9+G9+J9+L9</f>
        <v>24839.999999999236</v>
      </c>
      <c r="Q9" s="123">
        <f>R9+T9</f>
        <v>13</v>
      </c>
      <c r="R9" s="124">
        <v>2</v>
      </c>
      <c r="S9" s="124">
        <v>35940.36</v>
      </c>
      <c r="T9" s="117">
        <v>11</v>
      </c>
      <c r="U9" s="117">
        <v>46696.98</v>
      </c>
      <c r="V9" s="115">
        <f>S9+U9</f>
        <v>82637.34</v>
      </c>
      <c r="W9" s="126">
        <v>139.1674000000117</v>
      </c>
      <c r="X9" s="112"/>
      <c r="Y9" s="110">
        <v>200</v>
      </c>
      <c r="Z9" s="112"/>
      <c r="AA9" s="112"/>
      <c r="AB9" s="112">
        <v>12</v>
      </c>
      <c r="AC9" s="123">
        <f>W9+X9+Y9+Z9+AA9+AB9</f>
        <v>351.1674000000117</v>
      </c>
      <c r="AD9" s="110">
        <v>3517283.4104001075</v>
      </c>
      <c r="AE9" s="113"/>
      <c r="AF9" s="129">
        <v>491.36000000000058</v>
      </c>
      <c r="AG9" s="131">
        <v>0</v>
      </c>
      <c r="AH9" s="130">
        <f>AF9+AG9</f>
        <v>491.36000000000058</v>
      </c>
      <c r="AI9" s="133">
        <v>5159280.0000000065</v>
      </c>
      <c r="AJ9" s="21"/>
    </row>
    <row r="10" spans="1:36" ht="15">
      <c r="A10" s="19"/>
      <c r="B10" s="64">
        <v>4</v>
      </c>
      <c r="C10" s="159">
        <v>23</v>
      </c>
      <c r="D10" s="159">
        <v>199</v>
      </c>
      <c r="E10" s="124">
        <v>19040.000000000873</v>
      </c>
      <c r="F10" s="124">
        <v>20707313.760000952</v>
      </c>
      <c r="G10" s="111">
        <v>3920.0000000000728</v>
      </c>
      <c r="H10" s="111">
        <v>6394905.7200001189</v>
      </c>
      <c r="I10" s="105">
        <f>F10+H10</f>
        <v>27102219.48000107</v>
      </c>
      <c r="J10" s="158">
        <v>1979.9999999995634</v>
      </c>
      <c r="K10" s="158">
        <v>2153386.6199995251</v>
      </c>
      <c r="L10" s="120">
        <v>500</v>
      </c>
      <c r="M10" s="122">
        <v>815676.75</v>
      </c>
      <c r="N10" s="107">
        <f>K10+M10</f>
        <v>2969063.3699995251</v>
      </c>
      <c r="O10" s="105">
        <f>I10+N10</f>
        <v>30071282.850000594</v>
      </c>
      <c r="P10" s="107">
        <f>E10+G10+J10+L10</f>
        <v>25440.000000000509</v>
      </c>
      <c r="Q10" s="123">
        <f>R10+T10</f>
        <v>160</v>
      </c>
      <c r="R10" s="124">
        <v>12</v>
      </c>
      <c r="S10" s="124">
        <v>215642.16</v>
      </c>
      <c r="T10" s="117">
        <v>148</v>
      </c>
      <c r="U10" s="117">
        <v>628286.64</v>
      </c>
      <c r="V10" s="115">
        <f>S10+U10</f>
        <v>843928.8</v>
      </c>
      <c r="W10" s="126">
        <v>0</v>
      </c>
      <c r="X10" s="112"/>
      <c r="Y10" s="110">
        <v>0</v>
      </c>
      <c r="Z10" s="112"/>
      <c r="AA10" s="112"/>
      <c r="AB10" s="112">
        <v>36</v>
      </c>
      <c r="AC10" s="123">
        <f>W10+X10+Y10+Z10+AA10+AB10</f>
        <v>36</v>
      </c>
      <c r="AD10" s="110">
        <v>418500</v>
      </c>
      <c r="AE10" s="113"/>
      <c r="AF10" s="129">
        <v>432.86000000000058</v>
      </c>
      <c r="AG10" s="131">
        <v>0</v>
      </c>
      <c r="AH10" s="130">
        <f>AF10+AG10</f>
        <v>432.86000000000058</v>
      </c>
      <c r="AI10" s="133">
        <v>4545030.0000000065</v>
      </c>
      <c r="AJ10" s="21"/>
    </row>
    <row r="11" spans="1:36" ht="15">
      <c r="A11" s="19"/>
      <c r="B11" s="81">
        <v>5</v>
      </c>
      <c r="C11" s="159">
        <v>18</v>
      </c>
      <c r="D11" s="159">
        <v>137</v>
      </c>
      <c r="E11" s="124">
        <v>19399.999999999636</v>
      </c>
      <c r="F11" s="124">
        <v>21098838.599999607</v>
      </c>
      <c r="G11" s="111">
        <v>4239.9999999997817</v>
      </c>
      <c r="H11" s="111">
        <v>6916938.8399996441</v>
      </c>
      <c r="I11" s="105">
        <f>F11+H11</f>
        <v>28015777.439999253</v>
      </c>
      <c r="J11" s="158">
        <v>2000</v>
      </c>
      <c r="K11" s="158">
        <v>2175138</v>
      </c>
      <c r="L11" s="120">
        <v>480.00000000001819</v>
      </c>
      <c r="M11" s="122">
        <v>783049.68000002974</v>
      </c>
      <c r="N11" s="107">
        <f>K11+M11</f>
        <v>2958187.6800000295</v>
      </c>
      <c r="O11" s="105">
        <f>I11+N11</f>
        <v>30973965.119999282</v>
      </c>
      <c r="P11" s="107">
        <f>E11+G11+J11+L11</f>
        <v>26119.999999999436</v>
      </c>
      <c r="Q11" s="123">
        <f>R11+T11</f>
        <v>83</v>
      </c>
      <c r="R11" s="124">
        <v>0</v>
      </c>
      <c r="S11" s="124">
        <v>0</v>
      </c>
      <c r="T11" s="117">
        <v>83</v>
      </c>
      <c r="U11" s="117">
        <v>352349.94</v>
      </c>
      <c r="V11" s="115">
        <f>S11+U11</f>
        <v>352349.94</v>
      </c>
      <c r="W11" s="126">
        <v>145.73303999997185</v>
      </c>
      <c r="X11" s="112"/>
      <c r="Y11" s="110">
        <v>150</v>
      </c>
      <c r="Z11" s="112"/>
      <c r="AA11" s="112"/>
      <c r="AB11" s="112">
        <v>24</v>
      </c>
      <c r="AC11" s="123">
        <f>W11+X11+Y11+Z11+AA11+AB11</f>
        <v>319.73303999997188</v>
      </c>
      <c r="AD11" s="110">
        <v>3192661.0358397411</v>
      </c>
      <c r="AE11" s="113"/>
      <c r="AF11" s="129">
        <v>467.39999999999782</v>
      </c>
      <c r="AG11" s="131">
        <v>0</v>
      </c>
      <c r="AH11" s="130">
        <f>AF11+AG11</f>
        <v>467.39999999999782</v>
      </c>
      <c r="AI11" s="133">
        <v>4907699.9999999767</v>
      </c>
      <c r="AJ11" s="21"/>
    </row>
    <row r="12" spans="1:36" ht="15">
      <c r="A12" s="19"/>
      <c r="B12" s="64">
        <v>6</v>
      </c>
      <c r="C12" s="159">
        <v>14</v>
      </c>
      <c r="D12" s="159">
        <v>168</v>
      </c>
      <c r="E12" s="124">
        <v>18319.999999999709</v>
      </c>
      <c r="F12" s="124">
        <v>19924264.079999685</v>
      </c>
      <c r="G12" s="111">
        <v>4080.000000000382</v>
      </c>
      <c r="H12" s="111">
        <v>6655922.2800006242</v>
      </c>
      <c r="I12" s="105">
        <f>F12+H12</f>
        <v>26580186.360000309</v>
      </c>
      <c r="J12" s="158">
        <v>1720.0000000002547</v>
      </c>
      <c r="K12" s="158">
        <v>1870618.680000277</v>
      </c>
      <c r="L12" s="120">
        <v>480.00000000001819</v>
      </c>
      <c r="M12" s="122">
        <v>783049.68000002974</v>
      </c>
      <c r="N12" s="107">
        <f>K12+M12</f>
        <v>2653668.3600003067</v>
      </c>
      <c r="O12" s="105">
        <f>I12+N12</f>
        <v>29233854.720000617</v>
      </c>
      <c r="P12" s="107">
        <f>E12+G12+J12+L12</f>
        <v>24600.000000000364</v>
      </c>
      <c r="Q12" s="123">
        <f>R12+T12</f>
        <v>77</v>
      </c>
      <c r="R12" s="124">
        <v>0</v>
      </c>
      <c r="S12" s="124">
        <v>0</v>
      </c>
      <c r="T12" s="117">
        <v>77</v>
      </c>
      <c r="U12" s="117">
        <v>326878.86000000004</v>
      </c>
      <c r="V12" s="115">
        <f>S12+U12</f>
        <v>326878.86000000004</v>
      </c>
      <c r="W12" s="126">
        <v>120.79972000002108</v>
      </c>
      <c r="X12" s="112"/>
      <c r="Y12" s="110">
        <v>0</v>
      </c>
      <c r="Z12" s="112"/>
      <c r="AA12" s="112"/>
      <c r="AB12" s="112">
        <v>0</v>
      </c>
      <c r="AC12" s="123">
        <f>W12+X12+Y12+Z12+AA12+AB12</f>
        <v>120.79972000002108</v>
      </c>
      <c r="AD12" s="110">
        <v>1110874.2251201938</v>
      </c>
      <c r="AE12" s="113"/>
      <c r="AF12" s="129">
        <v>387.34000000000015</v>
      </c>
      <c r="AG12" s="131">
        <v>0</v>
      </c>
      <c r="AH12" s="130">
        <f>AF12+AG12</f>
        <v>387.34000000000015</v>
      </c>
      <c r="AI12" s="133">
        <v>4067070.0000000014</v>
      </c>
      <c r="AJ12" s="21"/>
    </row>
    <row r="13" spans="1:36" ht="15">
      <c r="A13" s="19"/>
      <c r="B13" s="81">
        <v>7</v>
      </c>
      <c r="C13" s="159">
        <v>14</v>
      </c>
      <c r="D13" s="159">
        <v>131</v>
      </c>
      <c r="E13" s="124">
        <v>18520.000000000437</v>
      </c>
      <c r="F13" s="124">
        <v>20141777.880000476</v>
      </c>
      <c r="G13" s="111">
        <v>4000</v>
      </c>
      <c r="H13" s="111">
        <v>6525414</v>
      </c>
      <c r="I13" s="105">
        <f>F13+H13</f>
        <v>26667191.880000476</v>
      </c>
      <c r="J13" s="158">
        <v>2139.9999999994179</v>
      </c>
      <c r="K13" s="158">
        <v>2327397.6599993673</v>
      </c>
      <c r="L13" s="120">
        <v>480.00000000001819</v>
      </c>
      <c r="M13" s="122">
        <v>783049.68000002974</v>
      </c>
      <c r="N13" s="107">
        <f>K13+M13</f>
        <v>3110447.3399993973</v>
      </c>
      <c r="O13" s="105">
        <f>I13+N13</f>
        <v>29777639.219999872</v>
      </c>
      <c r="P13" s="107">
        <f>E13+G13+J13+L13</f>
        <v>25139.999999999873</v>
      </c>
      <c r="Q13" s="123">
        <f>R13+T13</f>
        <v>19</v>
      </c>
      <c r="R13" s="124">
        <v>0</v>
      </c>
      <c r="S13" s="124">
        <v>0</v>
      </c>
      <c r="T13" s="117">
        <v>19</v>
      </c>
      <c r="U13" s="117">
        <v>80658.420000000013</v>
      </c>
      <c r="V13" s="115">
        <f>S13+U13</f>
        <v>80658.420000000013</v>
      </c>
      <c r="W13" s="126">
        <v>136.02555999995778</v>
      </c>
      <c r="X13" s="112"/>
      <c r="Y13" s="110">
        <v>0</v>
      </c>
      <c r="Z13" s="112"/>
      <c r="AA13" s="112"/>
      <c r="AB13" s="112">
        <v>24</v>
      </c>
      <c r="AC13" s="123">
        <f>W13+X13+Y13+Z13+AA13+AB13</f>
        <v>160.02555999995778</v>
      </c>
      <c r="AD13" s="110">
        <v>1529891.0497596117</v>
      </c>
      <c r="AE13" s="113"/>
      <c r="AF13" s="129">
        <v>320.78000000000247</v>
      </c>
      <c r="AG13" s="131">
        <v>0</v>
      </c>
      <c r="AH13" s="130">
        <f>AF13+AG13</f>
        <v>320.78000000000247</v>
      </c>
      <c r="AI13" s="133">
        <v>3368190.0000000261</v>
      </c>
      <c r="AJ13" s="21"/>
    </row>
    <row r="14" spans="1:36" ht="15">
      <c r="A14" s="19"/>
      <c r="B14" s="64">
        <v>8</v>
      </c>
      <c r="C14" s="159">
        <v>13</v>
      </c>
      <c r="D14" s="159">
        <v>125</v>
      </c>
      <c r="E14" s="124">
        <v>19319.999999999709</v>
      </c>
      <c r="F14" s="124">
        <v>21011833.079999685</v>
      </c>
      <c r="G14" s="111">
        <v>4119.9999999998909</v>
      </c>
      <c r="H14" s="111">
        <v>6721176.419999823</v>
      </c>
      <c r="I14" s="105">
        <f>F14+H14</f>
        <v>27733009.499999508</v>
      </c>
      <c r="J14" s="158">
        <v>2100.0000000003638</v>
      </c>
      <c r="K14" s="158">
        <v>2283894.9000003957</v>
      </c>
      <c r="L14" s="120">
        <v>539.99999999996362</v>
      </c>
      <c r="M14" s="122">
        <v>880930.88999994064</v>
      </c>
      <c r="N14" s="107">
        <f>K14+M14</f>
        <v>3164825.7900003362</v>
      </c>
      <c r="O14" s="105">
        <f>I14+N14</f>
        <v>30897835.289999843</v>
      </c>
      <c r="P14" s="107">
        <f>E14+G14+J14+L14</f>
        <v>26079.999999999927</v>
      </c>
      <c r="Q14" s="123">
        <f>R14+T14</f>
        <v>48</v>
      </c>
      <c r="R14" s="124">
        <v>0</v>
      </c>
      <c r="S14" s="124">
        <v>0</v>
      </c>
      <c r="T14" s="117">
        <v>48</v>
      </c>
      <c r="U14" s="117">
        <v>203768.64</v>
      </c>
      <c r="V14" s="115">
        <f>S14+U14</f>
        <v>203768.64</v>
      </c>
      <c r="W14" s="126">
        <v>129.78216000000467</v>
      </c>
      <c r="X14" s="112"/>
      <c r="Y14" s="110">
        <v>500</v>
      </c>
      <c r="Z14" s="112">
        <v>50</v>
      </c>
      <c r="AA14" s="112"/>
      <c r="AB14" s="112">
        <v>36</v>
      </c>
      <c r="AC14" s="123">
        <f>W14+X14+Y14+Z14+AA14+AB14</f>
        <v>715.78216000000464</v>
      </c>
      <c r="AD14" s="110">
        <v>7381476.7433600426</v>
      </c>
      <c r="AE14" s="113"/>
      <c r="AF14" s="129">
        <v>445.09000000000015</v>
      </c>
      <c r="AG14" s="131">
        <v>0</v>
      </c>
      <c r="AH14" s="130">
        <f>AF14+AG14</f>
        <v>445.09000000000015</v>
      </c>
      <c r="AI14" s="133">
        <v>4673445.0000000019</v>
      </c>
      <c r="AJ14" s="21"/>
    </row>
    <row r="15" spans="1:36" ht="15">
      <c r="A15" s="19"/>
      <c r="B15" s="81">
        <v>9</v>
      </c>
      <c r="C15" s="159">
        <v>11</v>
      </c>
      <c r="D15" s="159">
        <v>146</v>
      </c>
      <c r="E15" s="124">
        <v>19800.000000001091</v>
      </c>
      <c r="F15" s="124">
        <v>21533866.200001188</v>
      </c>
      <c r="G15" s="111">
        <v>3920.0000000000728</v>
      </c>
      <c r="H15" s="111">
        <v>6394905.7200001189</v>
      </c>
      <c r="I15" s="105">
        <f>F15+H15</f>
        <v>27928771.920001306</v>
      </c>
      <c r="J15" s="158">
        <v>2100.0000000003638</v>
      </c>
      <c r="K15" s="158">
        <v>2283894.9000003957</v>
      </c>
      <c r="L15" s="120">
        <v>519.99999999998181</v>
      </c>
      <c r="M15" s="122">
        <v>848303.81999997038</v>
      </c>
      <c r="N15" s="107">
        <f>K15+M15</f>
        <v>3132198.7200003662</v>
      </c>
      <c r="O15" s="105">
        <f>I15+N15</f>
        <v>31060970.640001673</v>
      </c>
      <c r="P15" s="107">
        <f>E15+G15+J15+L15</f>
        <v>26340.00000000151</v>
      </c>
      <c r="Q15" s="123">
        <f>R15+T15</f>
        <v>147</v>
      </c>
      <c r="R15" s="124">
        <v>0</v>
      </c>
      <c r="S15" s="124">
        <v>0</v>
      </c>
      <c r="T15" s="117">
        <v>147</v>
      </c>
      <c r="U15" s="117">
        <v>624041.46000000008</v>
      </c>
      <c r="V15" s="115">
        <f>S15+U15</f>
        <v>624041.46000000008</v>
      </c>
      <c r="W15" s="126">
        <v>129.86272000002108</v>
      </c>
      <c r="X15" s="112"/>
      <c r="Y15" s="110">
        <v>50</v>
      </c>
      <c r="Z15" s="112"/>
      <c r="AA15" s="112"/>
      <c r="AB15" s="112">
        <v>12</v>
      </c>
      <c r="AC15" s="123">
        <f>W15+X15+Y15+Z15+AA15+AB15</f>
        <v>191.86272000002108</v>
      </c>
      <c r="AD15" s="110">
        <v>1858217.5731201938</v>
      </c>
      <c r="AE15" s="113"/>
      <c r="AF15" s="129">
        <v>716.28999999999724</v>
      </c>
      <c r="AG15" s="131">
        <v>40.200000000011642</v>
      </c>
      <c r="AH15" s="130">
        <f>AF15+AG15</f>
        <v>756.49000000000888</v>
      </c>
      <c r="AI15" s="133">
        <v>7943145.0000000931</v>
      </c>
      <c r="AJ15" s="21"/>
    </row>
    <row r="16" spans="1:36" ht="15">
      <c r="A16" s="19"/>
      <c r="B16" s="64">
        <v>10</v>
      </c>
      <c r="C16" s="159">
        <v>10</v>
      </c>
      <c r="D16" s="159">
        <v>116</v>
      </c>
      <c r="E16" s="124">
        <v>18959.999999999127</v>
      </c>
      <c r="F16" s="124">
        <v>20620308.239999052</v>
      </c>
      <c r="G16" s="111">
        <v>4199.9999999998181</v>
      </c>
      <c r="H16" s="111">
        <v>6851684.699999704</v>
      </c>
      <c r="I16" s="105">
        <f>F16+H16</f>
        <v>27471992.939998757</v>
      </c>
      <c r="J16" s="158">
        <v>1920.0000000000728</v>
      </c>
      <c r="K16" s="158">
        <v>2088132.4800000791</v>
      </c>
      <c r="L16" s="120">
        <v>500</v>
      </c>
      <c r="M16" s="122">
        <v>815676.75</v>
      </c>
      <c r="N16" s="107">
        <f>K16+M16</f>
        <v>2903809.2300000791</v>
      </c>
      <c r="O16" s="105">
        <f>I16+N16</f>
        <v>30375802.169998836</v>
      </c>
      <c r="P16" s="107">
        <f>E16+G16+J16+L16</f>
        <v>25579.999999999018</v>
      </c>
      <c r="Q16" s="123">
        <f>R16+T16</f>
        <v>113</v>
      </c>
      <c r="R16" s="124">
        <v>0</v>
      </c>
      <c r="S16" s="124">
        <v>0</v>
      </c>
      <c r="T16" s="117">
        <v>113</v>
      </c>
      <c r="U16" s="117">
        <v>479705.34</v>
      </c>
      <c r="V16" s="115">
        <f>S16+U16</f>
        <v>479705.34</v>
      </c>
      <c r="W16" s="126">
        <v>126.51948000001406</v>
      </c>
      <c r="X16" s="112"/>
      <c r="Y16" s="110">
        <v>0</v>
      </c>
      <c r="Z16" s="112"/>
      <c r="AA16" s="112"/>
      <c r="AB16" s="112">
        <v>12</v>
      </c>
      <c r="AC16" s="123">
        <f>W16+X16+Y16+Z16+AA16+AB16</f>
        <v>138.51948000001406</v>
      </c>
      <c r="AD16" s="110">
        <v>1302973.1380801292</v>
      </c>
      <c r="AE16" s="113"/>
      <c r="AF16" s="129">
        <v>461.10000000000218</v>
      </c>
      <c r="AG16" s="131">
        <v>0</v>
      </c>
      <c r="AH16" s="130">
        <f>AF16+AG16</f>
        <v>461.10000000000218</v>
      </c>
      <c r="AI16" s="133">
        <v>4841550.0000000233</v>
      </c>
      <c r="AJ16" s="21"/>
    </row>
    <row r="17" spans="1:36" ht="15">
      <c r="A17" s="19"/>
      <c r="B17" s="81">
        <v>11</v>
      </c>
      <c r="C17" s="159">
        <v>11</v>
      </c>
      <c r="D17" s="159">
        <v>79</v>
      </c>
      <c r="E17" s="124">
        <v>19960.000000000946</v>
      </c>
      <c r="F17" s="124">
        <v>21707877.24000103</v>
      </c>
      <c r="G17" s="111">
        <v>3840.0000000001455</v>
      </c>
      <c r="H17" s="111">
        <v>6264397.4400002379</v>
      </c>
      <c r="I17" s="105">
        <f>F17+H17</f>
        <v>27972274.680001266</v>
      </c>
      <c r="J17" s="158">
        <v>2139.9999999994179</v>
      </c>
      <c r="K17" s="158">
        <v>2327397.6599993673</v>
      </c>
      <c r="L17" s="120">
        <v>460.00000000003638</v>
      </c>
      <c r="M17" s="122">
        <v>750422.61000005936</v>
      </c>
      <c r="N17" s="107">
        <f>K17+M17</f>
        <v>3077820.2699994268</v>
      </c>
      <c r="O17" s="105">
        <f>I17+N17</f>
        <v>31050094.950000692</v>
      </c>
      <c r="P17" s="107">
        <f>E17+G17+J17+L17</f>
        <v>26400.000000000546</v>
      </c>
      <c r="Q17" s="123">
        <f>R17+T17</f>
        <v>143</v>
      </c>
      <c r="R17" s="124">
        <v>14</v>
      </c>
      <c r="S17" s="124">
        <v>251582.52000000002</v>
      </c>
      <c r="T17" s="117">
        <v>129</v>
      </c>
      <c r="U17" s="117">
        <v>547628.22000000009</v>
      </c>
      <c r="V17" s="115">
        <f>S17+U17</f>
        <v>799210.74000000011</v>
      </c>
      <c r="W17" s="126">
        <v>128.93627999997889</v>
      </c>
      <c r="X17" s="112"/>
      <c r="Y17" s="110">
        <v>0</v>
      </c>
      <c r="Z17" s="112"/>
      <c r="AA17" s="112"/>
      <c r="AB17" s="112">
        <v>0</v>
      </c>
      <c r="AC17" s="123">
        <f>W17+X17+Y17+Z17+AA17+AB17</f>
        <v>128.93627999997889</v>
      </c>
      <c r="AD17" s="110">
        <v>1185698.0308798058</v>
      </c>
      <c r="AE17" s="113"/>
      <c r="AF17" s="129">
        <v>412.70000000000073</v>
      </c>
      <c r="AG17" s="131">
        <v>0</v>
      </c>
      <c r="AH17" s="130">
        <f>AF17+AG17</f>
        <v>412.70000000000073</v>
      </c>
      <c r="AI17" s="133">
        <v>4333350.0000000075</v>
      </c>
      <c r="AJ17" s="21"/>
    </row>
    <row r="18" spans="1:36" ht="15">
      <c r="A18" s="19"/>
      <c r="B18" s="64">
        <v>12</v>
      </c>
      <c r="C18" s="159">
        <v>10</v>
      </c>
      <c r="D18" s="159">
        <v>85</v>
      </c>
      <c r="E18" s="124">
        <v>18039.999999999054</v>
      </c>
      <c r="F18" s="124">
        <v>19619744.75999897</v>
      </c>
      <c r="G18" s="111">
        <v>3960.0000000000364</v>
      </c>
      <c r="H18" s="111">
        <v>6460159.8600000599</v>
      </c>
      <c r="I18" s="105">
        <f>F18+H18</f>
        <v>26079904.619999029</v>
      </c>
      <c r="J18" s="158">
        <v>2039.9999999999636</v>
      </c>
      <c r="K18" s="158">
        <v>2218640.7599999607</v>
      </c>
      <c r="L18" s="120">
        <v>500</v>
      </c>
      <c r="M18" s="122">
        <v>815676.75</v>
      </c>
      <c r="N18" s="107">
        <f>K18+M18</f>
        <v>3034317.5099999607</v>
      </c>
      <c r="O18" s="105">
        <f>I18+N18</f>
        <v>29114222.129998989</v>
      </c>
      <c r="P18" s="107">
        <f>E18+G18+J18+L18</f>
        <v>24539.999999999054</v>
      </c>
      <c r="Q18" s="123">
        <f>R18+T18</f>
        <v>39</v>
      </c>
      <c r="R18" s="124">
        <v>20</v>
      </c>
      <c r="S18" s="124">
        <v>359403.6</v>
      </c>
      <c r="T18" s="117">
        <v>19</v>
      </c>
      <c r="U18" s="117">
        <v>80658.420000000013</v>
      </c>
      <c r="V18" s="115">
        <f>S18+U18</f>
        <v>440062.02</v>
      </c>
      <c r="W18" s="126">
        <v>118.0204000000117</v>
      </c>
      <c r="X18" s="112"/>
      <c r="Y18" s="110">
        <v>200</v>
      </c>
      <c r="Z18" s="112"/>
      <c r="AA18" s="112"/>
      <c r="AB18" s="112">
        <v>12</v>
      </c>
      <c r="AC18" s="123">
        <f>W18+X18+Y18+Z18+AA18+AB18</f>
        <v>330.0204000000117</v>
      </c>
      <c r="AD18" s="110">
        <v>3322815.5984001076</v>
      </c>
      <c r="AE18" s="113"/>
      <c r="AF18" s="129">
        <v>370</v>
      </c>
      <c r="AG18" s="131">
        <v>0</v>
      </c>
      <c r="AH18" s="130">
        <f>AF18+AG18</f>
        <v>370</v>
      </c>
      <c r="AI18" s="133">
        <v>3885000</v>
      </c>
      <c r="AJ18" s="21"/>
    </row>
    <row r="19" spans="1:36" ht="15">
      <c r="A19" s="19"/>
      <c r="B19" s="81">
        <v>13</v>
      </c>
      <c r="C19" s="159">
        <v>10</v>
      </c>
      <c r="D19" s="159">
        <v>81</v>
      </c>
      <c r="E19" s="124">
        <v>18440.000000000509</v>
      </c>
      <c r="F19" s="124">
        <v>20054772.360000554</v>
      </c>
      <c r="G19" s="111">
        <v>4000</v>
      </c>
      <c r="H19" s="111">
        <v>6525414</v>
      </c>
      <c r="I19" s="105">
        <f>F19+H19</f>
        <v>26580186.360000554</v>
      </c>
      <c r="J19" s="158">
        <v>1980.0000000004729</v>
      </c>
      <c r="K19" s="158">
        <v>2153386.6200005142</v>
      </c>
      <c r="L19" s="120">
        <v>500</v>
      </c>
      <c r="M19" s="122">
        <v>815676.75</v>
      </c>
      <c r="N19" s="107">
        <f>K19+M19</f>
        <v>2969063.3700005142</v>
      </c>
      <c r="O19" s="105">
        <f>I19+N19</f>
        <v>29549249.73000107</v>
      </c>
      <c r="P19" s="107">
        <f>E19+G19+J19+L19</f>
        <v>24920.000000000982</v>
      </c>
      <c r="Q19" s="123">
        <f>R19+T19</f>
        <v>35</v>
      </c>
      <c r="R19" s="124">
        <v>0</v>
      </c>
      <c r="S19" s="124">
        <v>0</v>
      </c>
      <c r="T19" s="117">
        <v>35</v>
      </c>
      <c r="U19" s="117">
        <v>148581.30000000002</v>
      </c>
      <c r="V19" s="115">
        <f>S19+U19</f>
        <v>148581.30000000002</v>
      </c>
      <c r="W19" s="126">
        <v>124.74716000000467</v>
      </c>
      <c r="X19" s="112"/>
      <c r="Y19" s="110">
        <v>0</v>
      </c>
      <c r="Z19" s="112">
        <v>50</v>
      </c>
      <c r="AA19" s="112"/>
      <c r="AB19" s="112">
        <v>0</v>
      </c>
      <c r="AC19" s="123">
        <f>W19+X19+Y19+Z19+AA19+AB19</f>
        <v>174.74716000000467</v>
      </c>
      <c r="AD19" s="110">
        <v>1671674.8833600429</v>
      </c>
      <c r="AE19" s="113"/>
      <c r="AF19" s="129">
        <v>507</v>
      </c>
      <c r="AG19" s="131">
        <v>0</v>
      </c>
      <c r="AH19" s="130">
        <f>AF19+AG19</f>
        <v>507</v>
      </c>
      <c r="AI19" s="133">
        <v>5323500</v>
      </c>
      <c r="AJ19" s="21"/>
    </row>
    <row r="20" spans="1:36" ht="15">
      <c r="A20" s="19"/>
      <c r="B20" s="64">
        <v>14</v>
      </c>
      <c r="C20" s="159">
        <v>9</v>
      </c>
      <c r="D20" s="159">
        <v>82</v>
      </c>
      <c r="E20" s="124">
        <v>19000</v>
      </c>
      <c r="F20" s="124">
        <v>20663811</v>
      </c>
      <c r="G20" s="111">
        <v>4079.9999999999272</v>
      </c>
      <c r="H20" s="111">
        <v>6655922.279999882</v>
      </c>
      <c r="I20" s="105">
        <f>F20+H20</f>
        <v>27319733.279999882</v>
      </c>
      <c r="J20" s="158">
        <v>1920.0000000000728</v>
      </c>
      <c r="K20" s="158">
        <v>2088132.4800000791</v>
      </c>
      <c r="L20" s="120">
        <v>480.00000000001819</v>
      </c>
      <c r="M20" s="122">
        <v>783049.68000002974</v>
      </c>
      <c r="N20" s="107">
        <f>K20+M20</f>
        <v>2871182.1600001091</v>
      </c>
      <c r="O20" s="105">
        <f>I20+N20</f>
        <v>30190915.43999999</v>
      </c>
      <c r="P20" s="107">
        <f>E20+G20+J20+L20</f>
        <v>25480.000000000018</v>
      </c>
      <c r="Q20" s="123">
        <f>R20+T20</f>
        <v>23</v>
      </c>
      <c r="R20" s="124">
        <v>0</v>
      </c>
      <c r="S20" s="124">
        <v>0</v>
      </c>
      <c r="T20" s="117">
        <v>23</v>
      </c>
      <c r="U20" s="117">
        <v>97639.140000000014</v>
      </c>
      <c r="V20" s="115">
        <f>S20+U20</f>
        <v>97639.140000000014</v>
      </c>
      <c r="W20" s="126">
        <v>130.70859999998825</v>
      </c>
      <c r="X20" s="112"/>
      <c r="Y20" s="110">
        <v>150</v>
      </c>
      <c r="Z20" s="112"/>
      <c r="AA20" s="112"/>
      <c r="AB20" s="112">
        <v>12</v>
      </c>
      <c r="AC20" s="123">
        <f>W20+X20+Y20+Z20+AA20+AB20</f>
        <v>292.70859999998822</v>
      </c>
      <c r="AD20" s="110">
        <v>2914996.285599892</v>
      </c>
      <c r="AE20" s="113"/>
      <c r="AF20" s="129">
        <v>313.29999999999927</v>
      </c>
      <c r="AG20" s="131">
        <v>0</v>
      </c>
      <c r="AH20" s="130">
        <f>AF20+AG20</f>
        <v>313.29999999999927</v>
      </c>
      <c r="AI20" s="133">
        <v>3289649.9999999925</v>
      </c>
      <c r="AJ20" s="21"/>
    </row>
    <row r="21" spans="1:36" ht="15">
      <c r="A21" s="19"/>
      <c r="B21" s="81">
        <v>15</v>
      </c>
      <c r="C21" s="160">
        <v>9</v>
      </c>
      <c r="D21" s="160">
        <v>52</v>
      </c>
      <c r="E21" s="117">
        <v>19279.999999998836</v>
      </c>
      <c r="F21" s="117">
        <v>20968330.319998737</v>
      </c>
      <c r="G21" s="114">
        <v>4119.9999999998909</v>
      </c>
      <c r="H21" s="114">
        <v>6721176.419999823</v>
      </c>
      <c r="I21" s="105">
        <f>F21+H21</f>
        <v>27689506.73999856</v>
      </c>
      <c r="J21" s="114">
        <v>1939.9999999995998</v>
      </c>
      <c r="K21" s="114">
        <v>2109883.8599995649</v>
      </c>
      <c r="L21" s="114">
        <v>500</v>
      </c>
      <c r="M21" s="117">
        <v>815676.75</v>
      </c>
      <c r="N21" s="107">
        <f>K21+M21</f>
        <v>2925560.6099995649</v>
      </c>
      <c r="O21" s="105">
        <f>I21+N21</f>
        <v>30615067.349998124</v>
      </c>
      <c r="P21" s="107">
        <f>E21+G21+J21+L21</f>
        <v>25839.999999998327</v>
      </c>
      <c r="Q21" s="123">
        <f>R21+T21</f>
        <v>27</v>
      </c>
      <c r="R21" s="124">
        <v>0</v>
      </c>
      <c r="S21" s="124">
        <v>0</v>
      </c>
      <c r="T21" s="117">
        <v>27</v>
      </c>
      <c r="U21" s="117">
        <v>114619.86000000002</v>
      </c>
      <c r="V21" s="115">
        <f>S21+U21</f>
        <v>114619.86000000002</v>
      </c>
      <c r="W21" s="126">
        <v>133.64904000003045</v>
      </c>
      <c r="X21" s="112"/>
      <c r="Y21" s="110">
        <v>0</v>
      </c>
      <c r="Z21" s="112"/>
      <c r="AA21" s="112"/>
      <c r="AB21" s="112">
        <v>12</v>
      </c>
      <c r="AC21" s="123">
        <f>W21+X21+Y21+Z21+AA21+AB21</f>
        <v>145.64904000003045</v>
      </c>
      <c r="AD21" s="110">
        <v>1368536.57184028</v>
      </c>
      <c r="AE21" s="113"/>
      <c r="AF21" s="129">
        <v>486.29999999999927</v>
      </c>
      <c r="AG21" s="131">
        <v>0</v>
      </c>
      <c r="AH21" s="130">
        <f>AF21+AG21</f>
        <v>486.29999999999927</v>
      </c>
      <c r="AI21" s="133">
        <v>5106149.9999999925</v>
      </c>
      <c r="AJ21" s="21"/>
    </row>
    <row r="22" spans="1:36" ht="15">
      <c r="A22" s="19"/>
      <c r="B22" s="64">
        <v>16</v>
      </c>
      <c r="C22" s="160">
        <v>8</v>
      </c>
      <c r="D22" s="160">
        <v>68</v>
      </c>
      <c r="E22" s="117">
        <v>20000</v>
      </c>
      <c r="F22" s="117">
        <v>21751380</v>
      </c>
      <c r="G22" s="114">
        <v>4199.9999999998181</v>
      </c>
      <c r="H22" s="114">
        <v>6851684.699999704</v>
      </c>
      <c r="I22" s="105">
        <f>F22+H22</f>
        <v>28603064.699999705</v>
      </c>
      <c r="J22" s="114">
        <v>2199.9999999998181</v>
      </c>
      <c r="K22" s="114">
        <v>2392651.7999998019</v>
      </c>
      <c r="L22" s="114">
        <v>479.99999999979082</v>
      </c>
      <c r="M22" s="117">
        <v>783049.67999965884</v>
      </c>
      <c r="N22" s="107">
        <f>K22+M22</f>
        <v>3175701.4799994607</v>
      </c>
      <c r="O22" s="105">
        <f>I22+N22</f>
        <v>31778766.179999165</v>
      </c>
      <c r="P22" s="107">
        <f>E22+G22+J22+L22</f>
        <v>26879.999999999425</v>
      </c>
      <c r="Q22" s="123">
        <f>R22+T22</f>
        <v>73</v>
      </c>
      <c r="R22" s="124">
        <v>9</v>
      </c>
      <c r="S22" s="124">
        <v>161731.62</v>
      </c>
      <c r="T22" s="117">
        <v>64</v>
      </c>
      <c r="U22" s="117">
        <v>271691.52000000002</v>
      </c>
      <c r="V22" s="115">
        <f>S22+U22</f>
        <v>433423.14</v>
      </c>
      <c r="W22" s="126">
        <v>145.49135999998123</v>
      </c>
      <c r="X22" s="112"/>
      <c r="Y22" s="110">
        <v>0</v>
      </c>
      <c r="Z22" s="112"/>
      <c r="AA22" s="112"/>
      <c r="AB22" s="112">
        <v>0</v>
      </c>
      <c r="AC22" s="123">
        <f>W22+X22+Y22+Z22+AA22+AB22</f>
        <v>145.49135999998123</v>
      </c>
      <c r="AD22" s="110">
        <v>1337938.5465598274</v>
      </c>
      <c r="AE22" s="113"/>
      <c r="AF22" s="129">
        <v>666.09999999999854</v>
      </c>
      <c r="AG22" s="131">
        <v>0</v>
      </c>
      <c r="AH22" s="130">
        <f>AF22+AG22</f>
        <v>666.09999999999854</v>
      </c>
      <c r="AI22" s="133">
        <v>6994049.9999999851</v>
      </c>
      <c r="AJ22" s="21"/>
    </row>
    <row r="23" spans="1:36" ht="15">
      <c r="A23" s="19"/>
      <c r="B23" s="81">
        <v>17</v>
      </c>
      <c r="C23" s="160">
        <v>5</v>
      </c>
      <c r="D23" s="160">
        <v>83</v>
      </c>
      <c r="E23" s="117">
        <v>19240.000000001601</v>
      </c>
      <c r="F23" s="117">
        <v>20924827.560001742</v>
      </c>
      <c r="G23" s="114">
        <v>3960.0000000000364</v>
      </c>
      <c r="H23" s="114">
        <v>6460159.8600000599</v>
      </c>
      <c r="I23" s="105">
        <f>F23+H23</f>
        <v>27384987.420001801</v>
      </c>
      <c r="J23" s="114">
        <v>1960.0000000000364</v>
      </c>
      <c r="K23" s="114">
        <v>2131635.2400000393</v>
      </c>
      <c r="L23" s="114">
        <v>500</v>
      </c>
      <c r="M23" s="117">
        <v>815676.75</v>
      </c>
      <c r="N23" s="107">
        <f>K23+M23</f>
        <v>2947311.9900000393</v>
      </c>
      <c r="O23" s="105">
        <f>I23+N23</f>
        <v>30332299.41000184</v>
      </c>
      <c r="P23" s="107">
        <f>E23+G23+J23+L23</f>
        <v>25660.000000001673</v>
      </c>
      <c r="Q23" s="123">
        <f>R23+T23</f>
        <v>20</v>
      </c>
      <c r="R23" s="124">
        <v>0</v>
      </c>
      <c r="S23" s="124">
        <v>0</v>
      </c>
      <c r="T23" s="117">
        <v>20</v>
      </c>
      <c r="U23" s="117">
        <v>84903.6</v>
      </c>
      <c r="V23" s="115">
        <f>S23+U23</f>
        <v>84903.6</v>
      </c>
      <c r="W23" s="126">
        <v>133.64903999997185</v>
      </c>
      <c r="X23" s="112"/>
      <c r="Y23" s="110">
        <v>200</v>
      </c>
      <c r="Z23" s="112"/>
      <c r="AA23" s="112"/>
      <c r="AB23" s="112">
        <v>0</v>
      </c>
      <c r="AC23" s="123">
        <f>W23+X23+Y23+Z23+AA23+AB23</f>
        <v>333.64903999997182</v>
      </c>
      <c r="AD23" s="110">
        <v>3327036.5718397414</v>
      </c>
      <c r="AE23" s="113"/>
      <c r="AF23" s="129">
        <v>476.7300000000032</v>
      </c>
      <c r="AG23" s="131">
        <v>0</v>
      </c>
      <c r="AH23" s="130">
        <f>AF23+AG23</f>
        <v>476.7300000000032</v>
      </c>
      <c r="AI23" s="133">
        <v>5005665.0000000335</v>
      </c>
      <c r="AJ23" s="21"/>
    </row>
    <row r="24" spans="1:36" ht="15">
      <c r="A24" s="19"/>
      <c r="B24" s="64">
        <v>18</v>
      </c>
      <c r="C24" s="160">
        <v>5</v>
      </c>
      <c r="D24" s="160">
        <v>63</v>
      </c>
      <c r="E24" s="117">
        <v>19599.999999998545</v>
      </c>
      <c r="F24" s="117">
        <v>21316352.399998415</v>
      </c>
      <c r="G24" s="114">
        <v>4079.9999999999272</v>
      </c>
      <c r="H24" s="114">
        <v>6655922.279999882</v>
      </c>
      <c r="I24" s="105">
        <f>F24+H24</f>
        <v>27972274.679998297</v>
      </c>
      <c r="J24" s="114">
        <v>1940.0000000005093</v>
      </c>
      <c r="K24" s="118">
        <v>2109883.860000554</v>
      </c>
      <c r="L24" s="114">
        <v>480.00000000001819</v>
      </c>
      <c r="M24" s="117">
        <v>783049.68000002974</v>
      </c>
      <c r="N24" s="107">
        <f>K24+M24</f>
        <v>2892933.540000584</v>
      </c>
      <c r="O24" s="105">
        <f>I24+N24</f>
        <v>30865208.219998881</v>
      </c>
      <c r="P24" s="107">
        <f>E24+G24+J24+L24</f>
        <v>26099.999999999</v>
      </c>
      <c r="Q24" s="123">
        <f>R24+T24</f>
        <v>2</v>
      </c>
      <c r="R24" s="124">
        <v>0</v>
      </c>
      <c r="S24" s="124">
        <v>0</v>
      </c>
      <c r="T24" s="117">
        <v>2</v>
      </c>
      <c r="U24" s="117">
        <v>8490.36</v>
      </c>
      <c r="V24" s="115">
        <f>S24+U24</f>
        <v>8490.36</v>
      </c>
      <c r="W24" s="126">
        <v>119.63160000004687</v>
      </c>
      <c r="X24" s="112"/>
      <c r="Y24" s="110">
        <v>0</v>
      </c>
      <c r="Z24" s="112">
        <v>50</v>
      </c>
      <c r="AA24" s="112"/>
      <c r="AB24" s="112">
        <v>36</v>
      </c>
      <c r="AC24" s="123">
        <f>W24+X24+Y24+Z24+AA24+AB24</f>
        <v>205.63160000004689</v>
      </c>
      <c r="AD24" s="110">
        <v>2043132.1936004311</v>
      </c>
      <c r="AE24" s="113"/>
      <c r="AF24" s="129">
        <v>382</v>
      </c>
      <c r="AG24" s="131">
        <v>42.600000000005821</v>
      </c>
      <c r="AH24" s="130">
        <f>AF24+AG24</f>
        <v>424.60000000000582</v>
      </c>
      <c r="AI24" s="133">
        <v>4458300.0000000615</v>
      </c>
      <c r="AJ24" s="21"/>
    </row>
    <row r="25" spans="1:36" ht="15">
      <c r="A25" s="19"/>
      <c r="B25" s="81">
        <v>19</v>
      </c>
      <c r="C25" s="160">
        <v>4</v>
      </c>
      <c r="D25" s="160">
        <v>26</v>
      </c>
      <c r="E25" s="117">
        <v>19200.000000000728</v>
      </c>
      <c r="F25" s="117">
        <v>20881324.800000791</v>
      </c>
      <c r="G25" s="114">
        <v>4120.0000000003456</v>
      </c>
      <c r="H25" s="114">
        <v>6721176.4200005643</v>
      </c>
      <c r="I25" s="105">
        <f>F25+H25</f>
        <v>27602501.220001355</v>
      </c>
      <c r="J25" s="114">
        <v>1899.9999999996362</v>
      </c>
      <c r="K25" s="114">
        <v>2066381.0999996043</v>
      </c>
      <c r="L25" s="114">
        <v>460.00000000003638</v>
      </c>
      <c r="M25" s="117">
        <v>750422.61000005936</v>
      </c>
      <c r="N25" s="107">
        <f>K25+M25</f>
        <v>2816803.7099996638</v>
      </c>
      <c r="O25" s="105">
        <f>I25+N25</f>
        <v>30419304.93000102</v>
      </c>
      <c r="P25" s="107">
        <f>E25+G25+J25+L25</f>
        <v>25680.000000000746</v>
      </c>
      <c r="Q25" s="123">
        <f>R25+T25</f>
        <v>3</v>
      </c>
      <c r="R25" s="124">
        <v>0</v>
      </c>
      <c r="S25" s="124">
        <v>0</v>
      </c>
      <c r="T25" s="117">
        <v>3</v>
      </c>
      <c r="U25" s="117">
        <v>12735.54</v>
      </c>
      <c r="V25" s="115">
        <f>S25+U25</f>
        <v>12735.54</v>
      </c>
      <c r="W25" s="126">
        <v>135.50191999999765</v>
      </c>
      <c r="X25" s="112"/>
      <c r="Y25" s="110">
        <v>0</v>
      </c>
      <c r="Z25" s="112"/>
      <c r="AA25" s="112"/>
      <c r="AB25" s="112">
        <v>12</v>
      </c>
      <c r="AC25" s="123">
        <f>W25+X25+Y25+Z25+AA25+AB25</f>
        <v>147.50191999999765</v>
      </c>
      <c r="AD25" s="110">
        <v>1385575.6563199784</v>
      </c>
      <c r="AE25" s="113"/>
      <c r="AF25" s="129">
        <v>344</v>
      </c>
      <c r="AG25" s="131">
        <v>0</v>
      </c>
      <c r="AH25" s="130">
        <f>AF25+AG25</f>
        <v>344</v>
      </c>
      <c r="AI25" s="133">
        <v>3612000</v>
      </c>
      <c r="AJ25" s="21"/>
    </row>
    <row r="26" spans="1:36" ht="15">
      <c r="A26" s="19"/>
      <c r="B26" s="64">
        <v>20</v>
      </c>
      <c r="C26" s="160">
        <v>0</v>
      </c>
      <c r="D26" s="160">
        <v>24</v>
      </c>
      <c r="E26" s="117">
        <v>19520.000000000437</v>
      </c>
      <c r="F26" s="117">
        <v>21229346.880000476</v>
      </c>
      <c r="G26" s="114">
        <v>4239.9999999997817</v>
      </c>
      <c r="H26" s="114">
        <v>6916938.8399996441</v>
      </c>
      <c r="I26" s="105">
        <f>F26+H26</f>
        <v>28146285.720000118</v>
      </c>
      <c r="J26" s="114">
        <v>1840.0000000001455</v>
      </c>
      <c r="K26" s="114">
        <v>2001126.9600001583</v>
      </c>
      <c r="L26" s="114">
        <v>440.00000000005457</v>
      </c>
      <c r="M26" s="117">
        <v>717795.54000008909</v>
      </c>
      <c r="N26" s="107">
        <f>K26+M26</f>
        <v>2718922.5000002473</v>
      </c>
      <c r="O26" s="105">
        <f>I26+N26</f>
        <v>30865208.220000364</v>
      </c>
      <c r="P26" s="107">
        <f>E26+G26+J26+L26</f>
        <v>26040.000000000418</v>
      </c>
      <c r="Q26" s="123">
        <f>R26+T26</f>
        <v>3</v>
      </c>
      <c r="R26" s="124">
        <v>0</v>
      </c>
      <c r="S26" s="124">
        <v>0</v>
      </c>
      <c r="T26" s="117">
        <v>3</v>
      </c>
      <c r="U26" s="117">
        <v>12735.54</v>
      </c>
      <c r="V26" s="115">
        <f>S26+U26</f>
        <v>12735.54</v>
      </c>
      <c r="W26" s="126">
        <v>147.82759999998825</v>
      </c>
      <c r="X26" s="112"/>
      <c r="Y26" s="110">
        <v>0</v>
      </c>
      <c r="Z26" s="112"/>
      <c r="AA26" s="112"/>
      <c r="AB26" s="112">
        <v>12</v>
      </c>
      <c r="AC26" s="123">
        <f>W26+X26+Y26+Z26+AA26+AB26</f>
        <v>159.82759999998825</v>
      </c>
      <c r="AD26" s="110">
        <v>1498922.6095998921</v>
      </c>
      <c r="AE26" s="113"/>
      <c r="AF26" s="129">
        <v>328.36999999999534</v>
      </c>
      <c r="AG26" s="131">
        <v>0</v>
      </c>
      <c r="AH26" s="130">
        <f>AF26+AG26</f>
        <v>328.36999999999534</v>
      </c>
      <c r="AI26" s="133">
        <v>3447884.9999999511</v>
      </c>
      <c r="AJ26" s="21"/>
    </row>
    <row r="27" spans="1:36" ht="15">
      <c r="A27" s="19"/>
      <c r="B27" s="81">
        <v>21</v>
      </c>
      <c r="C27" s="159">
        <v>2</v>
      </c>
      <c r="D27" s="159">
        <v>28</v>
      </c>
      <c r="E27" s="124">
        <v>20279.999999998836</v>
      </c>
      <c r="F27" s="124">
        <v>22055899.319998737</v>
      </c>
      <c r="G27" s="111">
        <v>4200.0000000002728</v>
      </c>
      <c r="H27" s="111">
        <v>6851684.7000004463</v>
      </c>
      <c r="I27" s="105">
        <f>F27+H27</f>
        <v>28907584.019999184</v>
      </c>
      <c r="J27" s="158">
        <v>1979.9999999995634</v>
      </c>
      <c r="K27" s="158">
        <v>2153386.6199995251</v>
      </c>
      <c r="L27" s="120">
        <v>480.00000000001819</v>
      </c>
      <c r="M27" s="122">
        <v>783049.68000002974</v>
      </c>
      <c r="N27" s="107">
        <f>K27+M27</f>
        <v>2936436.2999995546</v>
      </c>
      <c r="O27" s="105">
        <f>I27+N27</f>
        <v>31844020.319998737</v>
      </c>
      <c r="P27" s="107">
        <f>E27+G27+J27+L27</f>
        <v>26939.99999999869</v>
      </c>
      <c r="Q27" s="123">
        <f>R27+T27</f>
        <v>128</v>
      </c>
      <c r="R27" s="124">
        <v>0</v>
      </c>
      <c r="S27" s="124">
        <v>0</v>
      </c>
      <c r="T27" s="117">
        <v>128</v>
      </c>
      <c r="U27" s="117">
        <v>543383.04000000004</v>
      </c>
      <c r="V27" s="115">
        <f>S27+U27</f>
        <v>543383.04000000004</v>
      </c>
      <c r="W27" s="126">
        <v>134.89771999996248</v>
      </c>
      <c r="X27" s="112"/>
      <c r="Y27" s="110">
        <v>0</v>
      </c>
      <c r="Z27" s="112"/>
      <c r="AA27" s="112"/>
      <c r="AB27" s="112">
        <v>24</v>
      </c>
      <c r="AC27" s="123">
        <f>W27+X27+Y27+Z27+AA27+AB27</f>
        <v>158.89771999996248</v>
      </c>
      <c r="AD27" s="110">
        <v>1519519.4331196549</v>
      </c>
      <c r="AE27" s="113"/>
      <c r="AF27" s="129">
        <v>441</v>
      </c>
      <c r="AG27" s="131">
        <v>0</v>
      </c>
      <c r="AH27" s="130">
        <f>AF27+AG27</f>
        <v>441</v>
      </c>
      <c r="AI27" s="133">
        <v>4630500</v>
      </c>
      <c r="AJ27" s="21"/>
    </row>
    <row r="28" spans="1:36" ht="15">
      <c r="A28" s="19"/>
      <c r="B28" s="64">
        <v>22</v>
      </c>
      <c r="C28" s="159">
        <v>2</v>
      </c>
      <c r="D28" s="159">
        <v>28</v>
      </c>
      <c r="E28" s="124">
        <v>20239.999999999782</v>
      </c>
      <c r="F28" s="124">
        <v>22012396.55999976</v>
      </c>
      <c r="G28" s="111">
        <v>4399.9999999996362</v>
      </c>
      <c r="H28" s="111">
        <v>7177955.3999994071</v>
      </c>
      <c r="I28" s="105">
        <f>F28+H28</f>
        <v>29190351.959999166</v>
      </c>
      <c r="J28" s="158">
        <v>2039.9999999999636</v>
      </c>
      <c r="K28" s="158">
        <v>2218640.7599999607</v>
      </c>
      <c r="L28" s="120">
        <v>460.00000000003638</v>
      </c>
      <c r="M28" s="122">
        <v>750422.61000005936</v>
      </c>
      <c r="N28" s="107">
        <f>K28+M28</f>
        <v>2969063.3700000201</v>
      </c>
      <c r="O28" s="105">
        <f>I28+N28</f>
        <v>32159415.329999186</v>
      </c>
      <c r="P28" s="107">
        <f>E28+G28+J28+L28</f>
        <v>27139.999999999418</v>
      </c>
      <c r="Q28" s="123">
        <f>R28+T28</f>
        <v>2</v>
      </c>
      <c r="R28" s="124">
        <v>0</v>
      </c>
      <c r="S28" s="124">
        <v>0</v>
      </c>
      <c r="T28" s="117">
        <v>2</v>
      </c>
      <c r="U28" s="117">
        <v>8490.36</v>
      </c>
      <c r="V28" s="115">
        <f>S28+U28</f>
        <v>8490.36</v>
      </c>
      <c r="W28" s="126">
        <v>141.62448000001405</v>
      </c>
      <c r="X28" s="112"/>
      <c r="Y28" s="110">
        <v>0</v>
      </c>
      <c r="Z28" s="112"/>
      <c r="AA28" s="112"/>
      <c r="AB28" s="112">
        <v>0</v>
      </c>
      <c r="AC28" s="123">
        <f>W28+X28+Y28+Z28+AA28+AB28</f>
        <v>141.62448000001405</v>
      </c>
      <c r="AD28" s="110">
        <v>1302378.7180801292</v>
      </c>
      <c r="AE28" s="113"/>
      <c r="AF28" s="129">
        <v>372.20000000000437</v>
      </c>
      <c r="AG28" s="131">
        <v>0</v>
      </c>
      <c r="AH28" s="130">
        <f>AF28+AG28</f>
        <v>372.20000000000437</v>
      </c>
      <c r="AI28" s="133">
        <v>3908100.0000000456</v>
      </c>
      <c r="AJ28" s="21"/>
    </row>
    <row r="29" spans="1:36" ht="15">
      <c r="A29" s="19"/>
      <c r="B29" s="81">
        <v>23</v>
      </c>
      <c r="C29" s="159">
        <v>0</v>
      </c>
      <c r="D29" s="159">
        <v>28</v>
      </c>
      <c r="E29" s="124">
        <v>20640.000000001237</v>
      </c>
      <c r="F29" s="124">
        <v>22447424.160001345</v>
      </c>
      <c r="G29" s="111">
        <v>4400.0000000000909</v>
      </c>
      <c r="H29" s="111">
        <v>7177955.4000001494</v>
      </c>
      <c r="I29" s="105">
        <f>F29+H29</f>
        <v>29625379.560001493</v>
      </c>
      <c r="J29" s="158">
        <v>1820.0000000006185</v>
      </c>
      <c r="K29" s="158">
        <v>1979375.5800006727</v>
      </c>
      <c r="L29" s="120">
        <v>500</v>
      </c>
      <c r="M29" s="122">
        <v>815676.75</v>
      </c>
      <c r="N29" s="107">
        <f>K29+M29</f>
        <v>2795052.3300006725</v>
      </c>
      <c r="O29" s="105">
        <f>I29+N29</f>
        <v>32420431.890002165</v>
      </c>
      <c r="P29" s="107">
        <f>E29+G29+J29+L29</f>
        <v>27360.000000001946</v>
      </c>
      <c r="Q29" s="123">
        <f>R29+T29</f>
        <v>104</v>
      </c>
      <c r="R29" s="124">
        <v>103</v>
      </c>
      <c r="S29" s="124">
        <v>1850928.54</v>
      </c>
      <c r="T29" s="117">
        <v>1</v>
      </c>
      <c r="U29" s="117">
        <v>4245.18</v>
      </c>
      <c r="V29" s="115">
        <f>S29+U29</f>
        <v>1855173.72</v>
      </c>
      <c r="W29" s="126">
        <v>139.73132000000936</v>
      </c>
      <c r="X29" s="112"/>
      <c r="Y29" s="110">
        <v>150</v>
      </c>
      <c r="Z29" s="112">
        <v>50</v>
      </c>
      <c r="AA29" s="112"/>
      <c r="AB29" s="112">
        <v>0</v>
      </c>
      <c r="AC29" s="123">
        <f>W29+X29+Y29+Z29+AA29+AB29</f>
        <v>339.73132000000936</v>
      </c>
      <c r="AD29" s="110">
        <v>3382969.2187200859</v>
      </c>
      <c r="AE29" s="113"/>
      <c r="AF29" s="129">
        <v>775.5</v>
      </c>
      <c r="AG29" s="131">
        <v>0</v>
      </c>
      <c r="AH29" s="130">
        <f>AF29+AG29</f>
        <v>775.5</v>
      </c>
      <c r="AI29" s="133">
        <v>8142750</v>
      </c>
      <c r="AJ29" s="21"/>
    </row>
    <row r="30" spans="1:36" ht="15">
      <c r="A30" s="19"/>
      <c r="B30" s="64">
        <v>24</v>
      </c>
      <c r="C30" s="159">
        <v>1</v>
      </c>
      <c r="D30" s="159">
        <v>43</v>
      </c>
      <c r="E30" s="124">
        <v>20359.999999998763</v>
      </c>
      <c r="F30" s="124">
        <v>22142904.839998655</v>
      </c>
      <c r="G30" s="111">
        <v>4360.0000000001273</v>
      </c>
      <c r="H30" s="111">
        <v>7112701.2600002084</v>
      </c>
      <c r="I30" s="105">
        <f>F30+H30</f>
        <v>29255606.099998862</v>
      </c>
      <c r="J30" s="158">
        <v>2000</v>
      </c>
      <c r="K30" s="158">
        <v>2175138</v>
      </c>
      <c r="L30" s="120">
        <v>460.00000000003638</v>
      </c>
      <c r="M30" s="122">
        <v>750422.61000005936</v>
      </c>
      <c r="N30" s="107">
        <f>K30+M30</f>
        <v>2925560.6100000595</v>
      </c>
      <c r="O30" s="105">
        <f>I30+N30</f>
        <v>32181166.709998921</v>
      </c>
      <c r="P30" s="107">
        <f>E30+G30+J30+L30</f>
        <v>27179.999999998927</v>
      </c>
      <c r="Q30" s="123">
        <f>R30+T30</f>
        <v>141</v>
      </c>
      <c r="R30" s="124">
        <v>0</v>
      </c>
      <c r="S30" s="124">
        <v>0</v>
      </c>
      <c r="T30" s="117">
        <v>141</v>
      </c>
      <c r="U30" s="117">
        <v>598570.38</v>
      </c>
      <c r="V30" s="115">
        <f>S30+U30</f>
        <v>598570.38</v>
      </c>
      <c r="W30" s="126">
        <v>147.86788000002576</v>
      </c>
      <c r="X30" s="112"/>
      <c r="Y30" s="110">
        <v>0</v>
      </c>
      <c r="Z30" s="112"/>
      <c r="AA30" s="112"/>
      <c r="AB30" s="112">
        <v>12</v>
      </c>
      <c r="AC30" s="123">
        <f>W30+X30+Y30+Z30+AA30+AB30</f>
        <v>159.86788000002576</v>
      </c>
      <c r="AD30" s="110">
        <v>1499293.0244802369</v>
      </c>
      <c r="AE30" s="113"/>
      <c r="AF30" s="129">
        <v>412.11999999999534</v>
      </c>
      <c r="AG30" s="131">
        <v>0</v>
      </c>
      <c r="AH30" s="130">
        <f>AF30+AG30</f>
        <v>412.11999999999534</v>
      </c>
      <c r="AI30" s="133">
        <v>4327259.9999999516</v>
      </c>
      <c r="AJ30" s="21"/>
    </row>
    <row r="31" spans="1:36" ht="15">
      <c r="A31" s="19"/>
      <c r="B31" s="81">
        <v>25</v>
      </c>
      <c r="C31" s="159">
        <v>3</v>
      </c>
      <c r="D31" s="159">
        <v>25</v>
      </c>
      <c r="E31" s="124">
        <v>20520.000000000437</v>
      </c>
      <c r="F31" s="124">
        <v>22316915.880000476</v>
      </c>
      <c r="G31" s="111">
        <v>4400.0000000000909</v>
      </c>
      <c r="H31" s="111">
        <v>7177955.4000001494</v>
      </c>
      <c r="I31" s="105">
        <f>F31+H31</f>
        <v>29494871.280000627</v>
      </c>
      <c r="J31" s="158">
        <v>2340.0000000001455</v>
      </c>
      <c r="K31" s="158">
        <v>2544911.4600001583</v>
      </c>
      <c r="L31" s="120">
        <v>480.00000000001819</v>
      </c>
      <c r="M31" s="122">
        <v>783049.68000002974</v>
      </c>
      <c r="N31" s="107">
        <f>K31+M31</f>
        <v>3327961.1400001878</v>
      </c>
      <c r="O31" s="105">
        <f>I31+N31</f>
        <v>32822832.420000814</v>
      </c>
      <c r="P31" s="107">
        <f>E31+G31+J31+L31</f>
        <v>27740.000000000691</v>
      </c>
      <c r="Q31" s="123">
        <f>R31+T31</f>
        <v>189</v>
      </c>
      <c r="R31" s="124">
        <v>45</v>
      </c>
      <c r="S31" s="124">
        <v>808658.1</v>
      </c>
      <c r="T31" s="117">
        <v>144</v>
      </c>
      <c r="U31" s="117">
        <v>611305.92000000004</v>
      </c>
      <c r="V31" s="115">
        <f>S31+U31</f>
        <v>1419964.02</v>
      </c>
      <c r="W31" s="126">
        <v>127.24451999998593</v>
      </c>
      <c r="X31" s="112"/>
      <c r="Y31" s="110">
        <v>0</v>
      </c>
      <c r="Z31" s="112"/>
      <c r="AA31" s="112"/>
      <c r="AB31" s="112">
        <v>12</v>
      </c>
      <c r="AC31" s="123">
        <f>W31+X31+Y31+Z31+AA31+AB31</f>
        <v>139.24451999998593</v>
      </c>
      <c r="AD31" s="110">
        <v>1309640.6059198705</v>
      </c>
      <c r="AE31" s="113"/>
      <c r="AF31" s="129">
        <v>457.93000000000029</v>
      </c>
      <c r="AG31" s="131">
        <v>0</v>
      </c>
      <c r="AH31" s="130">
        <f>AF31+AG31</f>
        <v>457.93000000000029</v>
      </c>
      <c r="AI31" s="133">
        <v>4808265.0000000028</v>
      </c>
      <c r="AJ31" s="21"/>
    </row>
    <row r="32" spans="1:36" ht="15">
      <c r="A32" s="19"/>
      <c r="B32" s="64">
        <v>26</v>
      </c>
      <c r="C32" s="159">
        <v>3</v>
      </c>
      <c r="D32" s="159">
        <v>47</v>
      </c>
      <c r="E32" s="124">
        <v>19840.000000000146</v>
      </c>
      <c r="F32" s="124">
        <v>21577368.960000161</v>
      </c>
      <c r="G32" s="111">
        <v>4319.999999999709</v>
      </c>
      <c r="H32" s="111">
        <v>7047447.1199995251</v>
      </c>
      <c r="I32" s="105">
        <f>F32+H32</f>
        <v>28624816.079999685</v>
      </c>
      <c r="J32" s="158">
        <v>2380.0000000001091</v>
      </c>
      <c r="K32" s="158">
        <v>2588414.2200001189</v>
      </c>
      <c r="L32" s="120">
        <v>479.99999999979082</v>
      </c>
      <c r="M32" s="122">
        <v>783049.67999965884</v>
      </c>
      <c r="N32" s="107">
        <f>K32+M32</f>
        <v>3371463.8999997778</v>
      </c>
      <c r="O32" s="105">
        <f>I32+N32</f>
        <v>31996279.979999464</v>
      </c>
      <c r="P32" s="107">
        <f>E32+G32+J32+L32</f>
        <v>27019.999999999753</v>
      </c>
      <c r="Q32" s="123">
        <f>R32+T32</f>
        <v>125</v>
      </c>
      <c r="R32" s="124">
        <v>44</v>
      </c>
      <c r="S32" s="124">
        <v>790687.92</v>
      </c>
      <c r="T32" s="117">
        <v>81</v>
      </c>
      <c r="U32" s="117">
        <v>343859.58</v>
      </c>
      <c r="V32" s="115">
        <f>S32+U32</f>
        <v>1134547.5</v>
      </c>
      <c r="W32" s="126">
        <v>112.9048399999953</v>
      </c>
      <c r="X32" s="112"/>
      <c r="Y32" s="110">
        <v>0</v>
      </c>
      <c r="Z32" s="112"/>
      <c r="AA32" s="112"/>
      <c r="AB32" s="112">
        <v>72</v>
      </c>
      <c r="AC32" s="123">
        <f>W32+X32+Y32+Z32+AA32+AB32</f>
        <v>184.90483999999532</v>
      </c>
      <c r="AD32" s="110">
        <v>1875272.9086399567</v>
      </c>
      <c r="AE32" s="113"/>
      <c r="AF32" s="129">
        <v>467.75</v>
      </c>
      <c r="AG32" s="131">
        <v>0</v>
      </c>
      <c r="AH32" s="130">
        <f>AF32+AG32</f>
        <v>467.75</v>
      </c>
      <c r="AI32" s="133">
        <v>4911375</v>
      </c>
      <c r="AJ32" s="21"/>
    </row>
    <row r="33" spans="1:36" ht="15">
      <c r="A33" s="19"/>
      <c r="B33" s="81">
        <v>27</v>
      </c>
      <c r="C33" s="159">
        <v>3</v>
      </c>
      <c r="D33" s="159">
        <v>26</v>
      </c>
      <c r="E33" s="124">
        <v>19800.000000001091</v>
      </c>
      <c r="F33" s="124">
        <v>21533866.200001188</v>
      </c>
      <c r="G33" s="111">
        <v>4320.0000000001637</v>
      </c>
      <c r="H33" s="111">
        <v>7047447.1200002674</v>
      </c>
      <c r="I33" s="105">
        <f>F33+H33</f>
        <v>28581313.320001453</v>
      </c>
      <c r="J33" s="158">
        <v>1959.9999999991269</v>
      </c>
      <c r="K33" s="158">
        <v>2131635.2399990503</v>
      </c>
      <c r="L33" s="120">
        <v>500</v>
      </c>
      <c r="M33" s="122">
        <v>815676.75</v>
      </c>
      <c r="N33" s="107">
        <f>K33+M33</f>
        <v>2947311.9899990503</v>
      </c>
      <c r="O33" s="105">
        <f>I33+N33</f>
        <v>31528625.310000502</v>
      </c>
      <c r="P33" s="107">
        <f>E33+G33+J33+L33</f>
        <v>26580.000000000382</v>
      </c>
      <c r="Q33" s="123">
        <f>R33+T33</f>
        <v>162</v>
      </c>
      <c r="R33" s="124">
        <v>111</v>
      </c>
      <c r="S33" s="124">
        <v>1994689.98</v>
      </c>
      <c r="T33" s="117">
        <v>51</v>
      </c>
      <c r="U33" s="117">
        <v>216504.18000000002</v>
      </c>
      <c r="V33" s="115">
        <f>S33+U33</f>
        <v>2211194.16</v>
      </c>
      <c r="W33" s="126">
        <v>131.23224000000701</v>
      </c>
      <c r="X33" s="112"/>
      <c r="Y33" s="110">
        <v>0</v>
      </c>
      <c r="Z33" s="112"/>
      <c r="AA33" s="112"/>
      <c r="AB33" s="112">
        <v>0</v>
      </c>
      <c r="AC33" s="123">
        <f>W33+X33+Y33+Z33+AA33+AB33</f>
        <v>131.23224000000701</v>
      </c>
      <c r="AD33" s="110">
        <v>1206811.6790400646</v>
      </c>
      <c r="AE33" s="113"/>
      <c r="AF33" s="129">
        <v>488</v>
      </c>
      <c r="AG33" s="131">
        <v>0</v>
      </c>
      <c r="AH33" s="130">
        <f>AF33+AG33</f>
        <v>488</v>
      </c>
      <c r="AI33" s="133">
        <v>5124000</v>
      </c>
      <c r="AJ33" s="21"/>
    </row>
    <row r="34" spans="1:36" ht="15">
      <c r="A34" s="19"/>
      <c r="B34" s="64">
        <v>28</v>
      </c>
      <c r="C34" s="159">
        <v>3</v>
      </c>
      <c r="D34" s="159">
        <v>33</v>
      </c>
      <c r="E34" s="124">
        <v>19759.999999998399</v>
      </c>
      <c r="F34" s="124">
        <v>21490363.439998262</v>
      </c>
      <c r="G34" s="111">
        <v>4440.0000000000546</v>
      </c>
      <c r="H34" s="111">
        <v>7243209.5400000904</v>
      </c>
      <c r="I34" s="105">
        <f>F34+H34</f>
        <v>28733572.97999835</v>
      </c>
      <c r="J34" s="158">
        <v>2280.0000000006548</v>
      </c>
      <c r="K34" s="158">
        <v>2479657.3200007123</v>
      </c>
      <c r="L34" s="120">
        <v>480.00000000001819</v>
      </c>
      <c r="M34" s="122">
        <v>783049.68000002974</v>
      </c>
      <c r="N34" s="107">
        <f>K34+M34</f>
        <v>3262707.0000007423</v>
      </c>
      <c r="O34" s="105">
        <f>I34+N34</f>
        <v>31996279.979999091</v>
      </c>
      <c r="P34" s="107">
        <f>E34+G34+J34+L34</f>
        <v>26959.999999999127</v>
      </c>
      <c r="Q34" s="123">
        <f>R34+T34</f>
        <v>72</v>
      </c>
      <c r="R34" s="124">
        <v>0</v>
      </c>
      <c r="S34" s="124">
        <v>0</v>
      </c>
      <c r="T34" s="117">
        <v>72</v>
      </c>
      <c r="U34" s="117">
        <v>305652.96000000002</v>
      </c>
      <c r="V34" s="115">
        <f>S34+U34</f>
        <v>305652.96000000002</v>
      </c>
      <c r="W34" s="126">
        <v>126.19724000000701</v>
      </c>
      <c r="X34" s="112"/>
      <c r="Y34" s="110">
        <v>0</v>
      </c>
      <c r="Z34" s="112"/>
      <c r="AA34" s="112"/>
      <c r="AB34" s="112">
        <v>0</v>
      </c>
      <c r="AC34" s="123">
        <f>W34+X34+Y34+Z34+AA34+AB34</f>
        <v>126.19724000000701</v>
      </c>
      <c r="AD34" s="110">
        <v>1160509.8190400645</v>
      </c>
      <c r="AE34" s="113"/>
      <c r="AF34" s="129">
        <v>300.4800000000032</v>
      </c>
      <c r="AG34" s="131">
        <v>0</v>
      </c>
      <c r="AH34" s="130">
        <f>AF34+AG34</f>
        <v>300.4800000000032</v>
      </c>
      <c r="AI34" s="133">
        <v>3155040.0000000335</v>
      </c>
      <c r="AJ34" s="21"/>
    </row>
    <row r="35" spans="1:36" ht="15">
      <c r="A35" s="19"/>
      <c r="B35" s="81">
        <v>29</v>
      </c>
      <c r="C35" s="159">
        <v>5</v>
      </c>
      <c r="D35" s="159">
        <v>12</v>
      </c>
      <c r="E35" s="124">
        <v>20520.000000000437</v>
      </c>
      <c r="F35" s="124">
        <v>22316915.880000476</v>
      </c>
      <c r="G35" s="111">
        <v>4599.9999999999091</v>
      </c>
      <c r="H35" s="111">
        <v>7504226.0999998525</v>
      </c>
      <c r="I35" s="105">
        <f>F35+H35</f>
        <v>29821141.980000328</v>
      </c>
      <c r="J35" s="158">
        <v>1960.0000000000364</v>
      </c>
      <c r="K35" s="158">
        <v>2131635.2400000393</v>
      </c>
      <c r="L35" s="120">
        <v>519.99999999998181</v>
      </c>
      <c r="M35" s="122">
        <v>848303.81999997038</v>
      </c>
      <c r="N35" s="107">
        <f>K35+M35</f>
        <v>2979939.0600000098</v>
      </c>
      <c r="O35" s="105">
        <f>I35+N35</f>
        <v>32801081.040000338</v>
      </c>
      <c r="P35" s="107">
        <f>E35+G35+J35+L35</f>
        <v>27600.000000000364</v>
      </c>
      <c r="Q35" s="123">
        <f>R35+T35</f>
        <v>88</v>
      </c>
      <c r="R35" s="124">
        <v>0</v>
      </c>
      <c r="S35" s="124">
        <v>0</v>
      </c>
      <c r="T35" s="117">
        <v>88</v>
      </c>
      <c r="U35" s="117">
        <v>373575.84</v>
      </c>
      <c r="V35" s="115">
        <f>S35+U35</f>
        <v>373575.84</v>
      </c>
      <c r="W35" s="126">
        <v>137.1131199999742</v>
      </c>
      <c r="X35" s="112"/>
      <c r="Y35" s="110">
        <v>0</v>
      </c>
      <c r="Z35" s="112">
        <v>50</v>
      </c>
      <c r="AA35" s="112"/>
      <c r="AB35" s="112">
        <v>0</v>
      </c>
      <c r="AC35" s="123">
        <f>W35+X35+Y35+Z35+AA35+AB35</f>
        <v>187.1131199999742</v>
      </c>
      <c r="AD35" s="110">
        <v>1785392.2515197627</v>
      </c>
      <c r="AE35" s="113"/>
      <c r="AF35" s="129">
        <v>459.72000000000116</v>
      </c>
      <c r="AG35" s="131">
        <v>66.899999999994179</v>
      </c>
      <c r="AH35" s="130">
        <f>AF35+AG35</f>
        <v>526.61999999999534</v>
      </c>
      <c r="AI35" s="133">
        <v>5529509.9999999516</v>
      </c>
      <c r="AJ35" s="21"/>
    </row>
    <row r="36" spans="1:36" ht="15">
      <c r="A36" s="19"/>
      <c r="B36" s="64">
        <v>30</v>
      </c>
      <c r="C36" s="159">
        <v>5</v>
      </c>
      <c r="D36" s="159">
        <v>56</v>
      </c>
      <c r="E36" s="124">
        <v>19280.000000000655</v>
      </c>
      <c r="F36" s="124">
        <v>20968330.320000712</v>
      </c>
      <c r="G36" s="111">
        <v>3599.9999999999091</v>
      </c>
      <c r="H36" s="111">
        <v>5872872.5999998525</v>
      </c>
      <c r="I36" s="105">
        <f>F36+H36</f>
        <v>26841202.920000564</v>
      </c>
      <c r="J36" s="158">
        <v>2559.9999999994907</v>
      </c>
      <c r="K36" s="158">
        <v>2784176.639999446</v>
      </c>
      <c r="L36" s="120">
        <v>480.00000000001819</v>
      </c>
      <c r="M36" s="122">
        <v>783049.68000002974</v>
      </c>
      <c r="N36" s="107">
        <f>K36+M36</f>
        <v>3567226.319999476</v>
      </c>
      <c r="O36" s="105">
        <f>I36+N36</f>
        <v>30408429.240000039</v>
      </c>
      <c r="P36" s="107">
        <f>E36+G36+J36+L36</f>
        <v>25920.000000000073</v>
      </c>
      <c r="Q36" s="123">
        <f>R36+T36</f>
        <v>1</v>
      </c>
      <c r="R36" s="124">
        <v>0</v>
      </c>
      <c r="S36" s="124">
        <v>0</v>
      </c>
      <c r="T36" s="117">
        <v>1</v>
      </c>
      <c r="U36" s="117">
        <v>4245.18</v>
      </c>
      <c r="V36" s="115">
        <f>S36+U36</f>
        <v>4245.18</v>
      </c>
      <c r="W36" s="126">
        <v>129.21824000000703</v>
      </c>
      <c r="X36" s="112"/>
      <c r="Y36" s="110">
        <v>200</v>
      </c>
      <c r="Z36" s="112"/>
      <c r="AA36" s="112"/>
      <c r="AB36" s="112">
        <v>60</v>
      </c>
      <c r="AC36" s="123">
        <f>W36+X36+Y36+Z36+AA36+AB36</f>
        <v>389.21824000000703</v>
      </c>
      <c r="AD36" s="110">
        <v>3983790.9350400646</v>
      </c>
      <c r="AE36" s="113"/>
      <c r="AF36" s="129">
        <v>503.09999999999854</v>
      </c>
      <c r="AG36" s="131">
        <v>0</v>
      </c>
      <c r="AH36" s="130">
        <f>AF36+AG36</f>
        <v>503.09999999999854</v>
      </c>
      <c r="AI36" s="133">
        <v>5282549.9999999851</v>
      </c>
      <c r="AJ36" s="21"/>
    </row>
    <row r="37" spans="1:36" ht="15">
      <c r="A37" s="19"/>
      <c r="B37" s="81">
        <v>31</v>
      </c>
      <c r="C37" s="159">
        <v>4</v>
      </c>
      <c r="D37" s="159">
        <v>115</v>
      </c>
      <c r="E37" s="124">
        <v>17600.000000000364</v>
      </c>
      <c r="F37" s="124">
        <v>19141214.400000397</v>
      </c>
      <c r="G37" s="111">
        <v>4000</v>
      </c>
      <c r="H37" s="111">
        <v>6525414</v>
      </c>
      <c r="I37" s="105">
        <f>F37+H37</f>
        <v>25666628.400000397</v>
      </c>
      <c r="J37" s="158">
        <v>360.00000000058208</v>
      </c>
      <c r="K37" s="158">
        <v>391524.84000063309</v>
      </c>
      <c r="L37" s="120">
        <v>480.00000000001819</v>
      </c>
      <c r="M37" s="122">
        <v>783049.68000002974</v>
      </c>
      <c r="N37" s="107">
        <f>K37+M37</f>
        <v>1174574.5200006629</v>
      </c>
      <c r="O37" s="105">
        <f>I37+N37</f>
        <v>26841202.92000106</v>
      </c>
      <c r="P37" s="107">
        <f>E37+G37+J37+L37</f>
        <v>22440.000000000964</v>
      </c>
      <c r="Q37" s="123">
        <f>R37+T37</f>
        <v>1</v>
      </c>
      <c r="R37" s="124">
        <v>0</v>
      </c>
      <c r="S37" s="124">
        <v>0</v>
      </c>
      <c r="T37" s="117">
        <v>1</v>
      </c>
      <c r="U37" s="117">
        <v>4245.18</v>
      </c>
      <c r="V37" s="115">
        <f>S37+U37</f>
        <v>4245.18</v>
      </c>
      <c r="W37" s="126">
        <v>125.75416000000467</v>
      </c>
      <c r="X37" s="112"/>
      <c r="Y37" s="110">
        <v>0</v>
      </c>
      <c r="Z37" s="112"/>
      <c r="AA37" s="112"/>
      <c r="AB37" s="112">
        <v>24</v>
      </c>
      <c r="AC37" s="123">
        <f>W37+X37+Y37+Z37+AA37+AB37</f>
        <v>149.75416000000467</v>
      </c>
      <c r="AD37" s="110">
        <v>1435435.2553600429</v>
      </c>
      <c r="AE37" s="113"/>
      <c r="AF37" s="129">
        <v>424.69999999999709</v>
      </c>
      <c r="AG37" s="131">
        <v>0</v>
      </c>
      <c r="AH37" s="130">
        <f>AF37+AG37</f>
        <v>424.69999999999709</v>
      </c>
      <c r="AI37" s="133">
        <v>4459349.9999999693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5"/>
      <c r="D42" s="145"/>
      <c r="E42" s="146"/>
      <c r="F42" s="147"/>
      <c r="G42" s="148"/>
      <c r="H42" s="147"/>
      <c r="I42" s="148"/>
      <c r="J42" s="148"/>
      <c r="K42" s="148"/>
      <c r="L42" s="147"/>
      <c r="M42" s="149"/>
      <c r="N42" s="150"/>
      <c r="O42" s="148"/>
      <c r="P42" s="150"/>
      <c r="Q42" s="151"/>
      <c r="R42" s="152"/>
      <c r="S42" s="148"/>
      <c r="T42" s="148"/>
      <c r="U42" s="148"/>
      <c r="V42" s="148"/>
      <c r="W42" s="153"/>
      <c r="X42" s="147"/>
      <c r="Y42" s="153"/>
      <c r="Z42" s="153"/>
      <c r="AA42" s="153"/>
      <c r="AB42" s="153"/>
      <c r="AC42" s="153"/>
      <c r="AD42" s="147"/>
      <c r="AE42" s="154"/>
      <c r="AF42" s="154"/>
      <c r="AG42" s="154"/>
      <c r="AH42" s="154"/>
      <c r="AI42" s="155"/>
    </row>
    <row r="43" spans="1:36">
      <c r="A43" s="33"/>
      <c r="B43" s="144"/>
      <c r="C43" s="134">
        <f>SUM(C7:C37)</f>
        <v>313</v>
      </c>
      <c r="D43" s="134">
        <f>SUM(D7:D37)</f>
        <v>3122</v>
      </c>
      <c r="E43" s="135">
        <f>SUM(E7:E37)</f>
        <v>601720.00000000116</v>
      </c>
      <c r="F43" s="135">
        <f>SUM(F7:F37)</f>
        <v>654412018.6800015</v>
      </c>
      <c r="G43" s="135">
        <f>SUM(G7:G37)</f>
        <v>128359.99999999968</v>
      </c>
      <c r="H43" s="135">
        <f>SUM(H7:H37)</f>
        <v>209400535.25999948</v>
      </c>
      <c r="I43" s="135">
        <f>SUM(I7:I37)</f>
        <v>863812553.94000089</v>
      </c>
      <c r="J43" s="135">
        <f>SUM(J7:J37)</f>
        <v>63740.000000000691</v>
      </c>
      <c r="K43" s="135">
        <f>SUM(K7:K37)</f>
        <v>69321648.060000762</v>
      </c>
      <c r="L43" s="135">
        <f>SUM(L7:L37)</f>
        <v>15099.999999999909</v>
      </c>
      <c r="M43" s="135">
        <f>SUM(M7:M37)</f>
        <v>24633437.849999852</v>
      </c>
      <c r="N43" s="135">
        <f>SUM(N7:N37)</f>
        <v>93955085.910000607</v>
      </c>
      <c r="O43" s="136">
        <f>SUM(O7:O37)</f>
        <v>957767639.85000134</v>
      </c>
      <c r="P43" s="137">
        <f>SUM(P7:P37)</f>
        <v>808920.0000000014</v>
      </c>
      <c r="Q43" s="138">
        <f>SUM(Q7:Q37)</f>
        <v>2082</v>
      </c>
      <c r="R43" s="135">
        <f>SUM(R7:R37)</f>
        <v>379</v>
      </c>
      <c r="S43" s="135">
        <f>SUM(S7:S37)</f>
        <v>6810698.2200000007</v>
      </c>
      <c r="T43" s="135">
        <f>SUM(T7:T37)</f>
        <v>1703</v>
      </c>
      <c r="U43" s="135">
        <f>SUM(U7:U37)</f>
        <v>7229541.5399999982</v>
      </c>
      <c r="V43" s="139">
        <f>SUM(V7:V37)</f>
        <v>14040239.76</v>
      </c>
      <c r="W43" s="140">
        <f>SUM(W7:W37)</f>
        <v>3958.8795199999854</v>
      </c>
      <c r="X43" s="135">
        <f>SUM(X7:X37)</f>
        <v>0</v>
      </c>
      <c r="Y43" s="135">
        <f>SUM(Y7:Y37)</f>
        <v>1800</v>
      </c>
      <c r="Z43" s="135">
        <f>SUM(Z7:Z37)</f>
        <v>300</v>
      </c>
      <c r="AA43" s="135">
        <f>SUM(AA7:AA37)</f>
        <v>0</v>
      </c>
      <c r="AB43" s="135">
        <f>SUM(AB7:AB37)</f>
        <v>456</v>
      </c>
      <c r="AC43" s="141">
        <f>SUM(AC7:AC37)</f>
        <v>6514.8795199999859</v>
      </c>
      <c r="AD43" s="141">
        <f>SUM(AD7:AD37)</f>
        <v>63735856.065919861</v>
      </c>
      <c r="AE43" s="142">
        <f>SUM(AE8:AE39)</f>
        <v>0</v>
      </c>
      <c r="AF43" s="135">
        <f>SUM(AF7:AF37)</f>
        <v>14058.299999999996</v>
      </c>
      <c r="AG43" s="135">
        <f>SUM(AG7:AG37)</f>
        <v>410.19999999998254</v>
      </c>
      <c r="AH43" s="143">
        <f>SUM(AH7:AH37)</f>
        <v>14468.499999999978</v>
      </c>
      <c r="AI43" s="143">
        <f>SUM(AI7:AI37)</f>
        <v>151919249.99999979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1184.0078621495322</v>
      </c>
      <c r="Q45" s="43"/>
      <c r="R45" s="43"/>
      <c r="S45" s="43"/>
      <c r="T45" s="36"/>
      <c r="U45" s="36"/>
      <c r="V45" s="43">
        <f>V43/Q43</f>
        <v>6743.6310086455333</v>
      </c>
      <c r="W45" s="43"/>
      <c r="X45" s="36"/>
      <c r="Y45" s="43"/>
      <c r="Z45" s="43"/>
      <c r="AA45" s="43"/>
      <c r="AB45" s="43"/>
      <c r="AC45" s="36"/>
      <c r="AD45" s="36">
        <f>AD43/AC43</f>
        <v>9783.1212181679766</v>
      </c>
      <c r="AE45" s="40"/>
      <c r="AF45" s="40"/>
      <c r="AG45" s="40"/>
      <c r="AH45" s="40"/>
      <c r="AI45" s="43">
        <f>AI43/AH43</f>
        <v>10500.000000000002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