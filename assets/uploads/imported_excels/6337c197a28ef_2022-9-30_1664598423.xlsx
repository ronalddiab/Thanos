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S37" i="7"/>
  <c r="T37" i="7"/>
  <c r="U37" i="7"/>
  <c r="V37" i="7"/>
  <c r="W37" i="7"/>
  <c r="Y37" i="7"/>
  <c r="Z37" i="7"/>
  <c r="AA37" i="7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<sst xmlns="http://schemas.openxmlformats.org/spreadsheetml/2006/main" count="199" uniqueCount="122">
  <si>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</si>
  <si>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</si>
  <si>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</si>
  <si>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</si>
  <si>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</si>
  <si>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</si>
  <si>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</si>
  <si>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</si>
  <si>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</si>
  <si>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</si>
  <si>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</si>
  <si>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</si>
  <si>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</si>
  <si>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</si>
  <si>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</si>
  <si>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</si>
  <si>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</si>
  <si>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</si>
  <si>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</si>
  <si>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</si>
  <si>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</si>
  <si>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</si>
  <si>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</si>
  <si>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</si>
  <si>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</si>
  <si>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</si>
  <si>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</si>
  <si>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</si>
  <si>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</si>
  <si>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</si>
  <si>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</si>
  <si>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</si>
  <si>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</si>
  <si>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</si>
  <si>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</si>
  <si>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</si>
  <si>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</si>
  <si>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</si>
  <si>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</si>
  <si>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</si>
  <si>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</si>
  <si>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</si>
  <si>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</si>
  <si>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</si>
  <si>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</si>
  <si>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</si>
  <si>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</si>
  <si>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</si>
  <si>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</si>
  <si>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</si>
  <si>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</si>
  <si>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</si>
  <si>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</si>
  <si>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</si>
  <si>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</si>
  <si>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</si>
  <si>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</si>
  <si>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</si>
  <si>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</si>
  <si>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</si>
  <si>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</si>
  <si>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</si>
  <si>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</si>
  <si>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</si>
  <si>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</si>
  <si>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</si>
  <si>
    <t>8468120</t>
  </si>
  <si>
    <t>20520810</t>
  </si>
  <si>
    <t>3619290</t>
  </si>
  <si>
    <t>4270640</t>
  </si>
  <si>
    <t>12581240</t>
  </si>
  <si>
    <t>7386740</t>
  </si>
  <si>
    <t>6411150</t>
  </si>
  <si>
    <t>7967890</t>
  </si>
  <si>
    <t>11635650</t>
  </si>
  <si>
    <t>5065540</t>
  </si>
  <si>
    <t>9363330</t>
  </si>
  <si>
    <t>15408750</t>
  </si>
  <si>
    <t>21543960</t>
  </si>
  <si>
    <t>8467110</t>
  </si>
  <si>
    <t>20507050</t>
  </si>
  <si>
    <t>3615850</t>
  </si>
  <si>
    <t>4268950</t>
  </si>
  <si>
    <t>12576450</t>
  </si>
  <si>
    <t>7382410</t>
  </si>
  <si>
    <t>6407730</t>
  </si>
  <si>
    <t>7963210</t>
  </si>
  <si>
    <t>11629690</t>
  </si>
  <si>
    <t>5062830</t>
  </si>
  <si>
    <t>9360170</t>
  </si>
  <si>
    <t>15401530</t>
  </si>
  <si>
    <t>21531110</t>
  </si>
  <si>
    <t>227592</t>
  </si>
  <si>
    <t>229374</t>
  </si>
  <si>
    <t>8473050</t>
  </si>
  <si>
    <t>20584620</t>
  </si>
  <si>
    <t>3632910</t>
  </si>
  <si>
    <t>4278510</t>
  </si>
  <si>
    <t>12604170</t>
  </si>
  <si>
    <t>7407310</t>
  </si>
  <si>
    <t>6427750</t>
  </si>
  <si>
    <t>7991090</t>
  </si>
  <si>
    <t>11662640</t>
  </si>
  <si>
    <t>5078220</t>
  </si>
  <si>
    <t>9378270</t>
  </si>
  <si>
    <t>15443480</t>
  </si>
  <si>
    <t>21603900</t>
  </si>
  <si>
    <t>8474080</t>
  </si>
  <si>
    <t>20597570</t>
  </si>
  <si>
    <t>3636060</t>
  </si>
  <si>
    <t>4280090</t>
  </si>
  <si>
    <t>12609080</t>
  </si>
  <si>
    <t>7411650</t>
  </si>
  <si>
    <t>6431480</t>
  </si>
  <si>
    <t>7995880</t>
  </si>
  <si>
    <t>11668370</t>
  </si>
  <si>
    <t>5080970</t>
  </si>
  <si>
    <t>9381600</t>
  </si>
  <si>
    <t>15450770</t>
  </si>
  <si>
    <t>21615470</t>
  </si>
  <si>
    <t>239047</t>
  </si>
  <si>
    <t>240981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</si>
</sst>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1"/>
  <sheetViews>
    <sheetView tabSelected="1" topLeftCell="A10" zoomScale="130" zoomScaleNormal="130" workbookViewId="0">
      <selection activeCell="E39" sqref="E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Submetering!R21</f>
        <v>1548.6112309999999</v>
      </c>
      <c r="H21" s="11">
        <v>0.52800000000000002</v>
      </c>
      <c r="I21" s="12">
        <f>Hotel!B26</f>
        <v>112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Submetering!R22</f>
        <v>832.03311800000006</v>
      </c>
      <c r="H22" s="11">
        <v>0.52800000000000002</v>
      </c>
      <c r="I22" s="12">
        <f>Hotel!B27</f>
        <v>135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65580</v>
      </c>
      <c r="F23" s="11">
        <v>5.0000000000000001E-3</v>
      </c>
      <c r="G23" s="12">
        <f>Submetering!R23</f>
        <v>927.803991</v>
      </c>
      <c r="H23" s="11">
        <v>0.52800000000000002</v>
      </c>
      <c r="I23" s="12">
        <f>Hotel!B28</f>
        <v>155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66220</v>
      </c>
      <c r="F24" s="11">
        <v>5.0000000000000001E-3</v>
      </c>
      <c r="G24" s="12">
        <f>Submetering!R24</f>
        <v>788.87944400000003</v>
      </c>
      <c r="H24" s="11">
        <v>0.52800000000000002</v>
      </c>
      <c r="I24" s="12">
        <f>Hotel!B29</f>
        <v>176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69020</v>
      </c>
      <c r="F25" s="11">
        <v>5.0000000000000001E-3</v>
      </c>
      <c r="G25" s="12">
        <f>Submetering!R25</f>
        <v>674.56006200000002</v>
      </c>
      <c r="H25" s="11">
        <v>0.52800000000000002</v>
      </c>
      <c r="I25" s="12">
        <f>Hotel!B30</f>
        <v>98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65620</v>
      </c>
      <c r="F26" s="11">
        <v>5.0000000000000001E-3</v>
      </c>
      <c r="G26" s="12">
        <f>Submetering!R26</f>
        <v>562.89046699999994</v>
      </c>
      <c r="H26" s="11">
        <v>0.52800000000000002</v>
      </c>
      <c r="I26" s="12">
        <f>Hotel!B31</f>
        <v>121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64510</v>
      </c>
      <c r="F27" s="11">
        <v>5.0000000000000001E-3</v>
      </c>
      <c r="G27" s="12">
        <f>Submetering!R27</f>
        <v>755.56783599999994</v>
      </c>
      <c r="H27" s="11">
        <v>0.52800000000000002</v>
      </c>
      <c r="I27" s="12">
        <f>Hotel!B32</f>
        <v>107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62530</v>
      </c>
      <c r="F28" s="11">
        <v>5.0000000000000001E-3</v>
      </c>
      <c r="G28" s="12">
        <f>Submetering!R28</f>
        <v>796.82880499999999</v>
      </c>
      <c r="H28" s="11">
        <v>0.52800000000000002</v>
      </c>
      <c r="I28" s="12">
        <f>Hotel!B33</f>
        <v>123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66040</v>
      </c>
      <c r="F29" s="11">
        <v>5.0000000000000001E-3</v>
      </c>
      <c r="G29" s="12">
        <f>Submetering!R29</f>
        <v>811.97044500000004</v>
      </c>
      <c r="H29" s="11">
        <v>0.52800000000000002</v>
      </c>
      <c r="I29" s="12">
        <f>Hotel!B34</f>
        <v>117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64110</v>
      </c>
      <c r="F30" s="11">
        <v>5.0000000000000001E-3</v>
      </c>
      <c r="G30" s="12">
        <f>Submetering!R30</f>
        <v>734.36953999999992</v>
      </c>
      <c r="H30" s="11">
        <v>0.52800000000000002</v>
      </c>
      <c r="I30" s="12">
        <f>Hotel!B35</f>
        <v>111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67150</v>
      </c>
      <c r="F31" s="11">
        <v>5.0000000000000001E-3</v>
      </c>
      <c r="G31" s="12">
        <f>Submetering!R31</f>
        <v>732.0982939999999</v>
      </c>
      <c r="H31" s="11">
        <v>0.52800000000000002</v>
      </c>
      <c r="I31" s="12">
        <f>Hotel!B36</f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1"/>
  <sheetViews>
    <sheetView workbookViewId="0">
      <selection activeCell="G38" sqref="G3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Hotel!AV26*0.00378541*100</f>
        <v>1548.6112309999999</v>
      </c>
      <c r="S21" s="4">
        <f>Hotel!B26</f>
        <v>112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Hotel!AV27*0.00378541*100</f>
        <v>832.03311800000006</v>
      </c>
      <c r="S22" s="4">
        <f>Hotel!B27</f>
        <v>135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990</v>
      </c>
      <c r="F23" s="4">
        <f>Hotel!R28</f>
        <v>14350</v>
      </c>
      <c r="G23" s="4">
        <f>Hotel!S28</f>
        <v>3750</v>
      </c>
      <c r="H23" s="4">
        <f>Hotel!T28</f>
        <v>1650</v>
      </c>
      <c r="I23" s="4">
        <f>Hotel!U28</f>
        <v>4620</v>
      </c>
      <c r="J23" s="4">
        <f>Hotel!V28</f>
        <v>4280</v>
      </c>
      <c r="K23" s="4">
        <f>Hotel!W28</f>
        <v>3500</v>
      </c>
      <c r="L23" s="4">
        <f>Hotel!X28</f>
        <v>4620</v>
      </c>
      <c r="M23" s="4">
        <f>Hotel!Y28</f>
        <v>5650</v>
      </c>
      <c r="N23" s="4">
        <f>Hotel!Z28</f>
        <v>2660</v>
      </c>
      <c r="O23" s="4">
        <f>Hotel!AA28</f>
        <v>3030</v>
      </c>
      <c r="P23" s="4">
        <f>Hotel!AB28</f>
        <v>7100</v>
      </c>
      <c r="Q23" s="4">
        <f>Hotel!AC28</f>
        <v>9380</v>
      </c>
      <c r="R23" s="4">
        <f>Hotel!AV28*0.00378541*100</f>
        <v>927.803991</v>
      </c>
      <c r="S23" s="4">
        <f>Hotel!B28</f>
        <v>155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1150</v>
      </c>
      <c r="F24" s="4">
        <f>Hotel!R29</f>
        <v>15080</v>
      </c>
      <c r="G24" s="4">
        <f>Hotel!S29</f>
        <v>4080</v>
      </c>
      <c r="H24" s="4">
        <f>Hotel!T29</f>
        <v>1640</v>
      </c>
      <c r="I24" s="4">
        <f>Hotel!U29</f>
        <v>4580</v>
      </c>
      <c r="J24" s="4">
        <f>Hotel!V29</f>
        <v>4160</v>
      </c>
      <c r="K24" s="4">
        <f>Hotel!W29</f>
        <v>3580</v>
      </c>
      <c r="L24" s="4">
        <f>Hotel!X29</f>
        <v>4350</v>
      </c>
      <c r="M24" s="4">
        <f>Hotel!Y29</f>
        <v>5620</v>
      </c>
      <c r="N24" s="4">
        <f>Hotel!Z29</f>
        <v>2750</v>
      </c>
      <c r="O24" s="4">
        <f>Hotel!AA29</f>
        <v>3060</v>
      </c>
      <c r="P24" s="4">
        <f>Hotel!AB29</f>
        <v>7000</v>
      </c>
      <c r="Q24" s="4">
        <f>Hotel!AC29</f>
        <v>9170</v>
      </c>
      <c r="R24" s="4">
        <f>Hotel!AV29*0.00378541*100</f>
        <v>788.87944400000003</v>
      </c>
      <c r="S24" s="4">
        <f>Hotel!B29</f>
        <v>176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1010</v>
      </c>
      <c r="F25" s="4">
        <f>Hotel!R30</f>
        <v>13760</v>
      </c>
      <c r="G25" s="4">
        <f>Hotel!S30</f>
        <v>3440</v>
      </c>
      <c r="H25" s="4">
        <f>Hotel!T30</f>
        <v>1690</v>
      </c>
      <c r="I25" s="4">
        <f>Hotel!U30</f>
        <v>4790</v>
      </c>
      <c r="J25" s="4">
        <f>Hotel!V30</f>
        <v>4330</v>
      </c>
      <c r="K25" s="4">
        <f>Hotel!W30</f>
        <v>3420</v>
      </c>
      <c r="L25" s="4">
        <f>Hotel!X30</f>
        <v>4680</v>
      </c>
      <c r="M25" s="4">
        <f>Hotel!Y30</f>
        <v>5960</v>
      </c>
      <c r="N25" s="4">
        <f>Hotel!Z30</f>
        <v>2710</v>
      </c>
      <c r="O25" s="4">
        <f>Hotel!AA30</f>
        <v>3160</v>
      </c>
      <c r="P25" s="4">
        <f>Hotel!AB30</f>
        <v>7220</v>
      </c>
      <c r="Q25" s="4">
        <f>Hotel!AC30</f>
        <v>12850</v>
      </c>
      <c r="R25" s="4">
        <f>Hotel!AV30*0.00378541*100</f>
        <v>674.56006200000002</v>
      </c>
      <c r="S25" s="4">
        <f>Hotel!B30</f>
        <v>98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1000</v>
      </c>
      <c r="F26" s="4">
        <f>Hotel!R31</f>
        <v>13150</v>
      </c>
      <c r="G26" s="4">
        <f>Hotel!S31</f>
        <v>3280</v>
      </c>
      <c r="H26" s="4">
        <f>Hotel!T31</f>
        <v>1640</v>
      </c>
      <c r="I26" s="4">
        <f>Hotel!U31</f>
        <v>4580</v>
      </c>
      <c r="J26" s="4">
        <f>Hotel!V31</f>
        <v>4080</v>
      </c>
      <c r="K26" s="4">
        <f>Hotel!W31</f>
        <v>3230</v>
      </c>
      <c r="L26" s="4">
        <f>Hotel!X31</f>
        <v>4240</v>
      </c>
      <c r="M26" s="4">
        <f>Hotel!Y31</f>
        <v>5360</v>
      </c>
      <c r="N26" s="4">
        <f>Hotel!Z31</f>
        <v>2540</v>
      </c>
      <c r="O26" s="4">
        <f>Hotel!AA31</f>
        <v>2950</v>
      </c>
      <c r="P26" s="4">
        <f>Hotel!AB31</f>
        <v>6890</v>
      </c>
      <c r="Q26" s="4">
        <f>Hotel!AC31</f>
        <v>12680</v>
      </c>
      <c r="R26" s="4">
        <f>Hotel!AV31*0.00378541*100</f>
        <v>562.89046699999994</v>
      </c>
      <c r="S26" s="4">
        <f>Hotel!B31</f>
        <v>121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980</v>
      </c>
      <c r="F27" s="4">
        <f>Hotel!R32</f>
        <v>12310</v>
      </c>
      <c r="G27" s="4">
        <f>Hotel!S32</f>
        <v>3010</v>
      </c>
      <c r="H27" s="4">
        <f>Hotel!T32</f>
        <v>1570</v>
      </c>
      <c r="I27" s="4">
        <f>Hotel!U32</f>
        <v>4370</v>
      </c>
      <c r="J27" s="4">
        <f>Hotel!V32</f>
        <v>4010</v>
      </c>
      <c r="K27" s="4">
        <f>Hotel!W32</f>
        <v>3400</v>
      </c>
      <c r="L27" s="4">
        <f>Hotel!X32</f>
        <v>4620</v>
      </c>
      <c r="M27" s="4">
        <f>Hotel!Y32</f>
        <v>5260</v>
      </c>
      <c r="N27" s="4">
        <f>Hotel!Z32</f>
        <v>2400</v>
      </c>
      <c r="O27" s="4">
        <f>Hotel!AA32</f>
        <v>2840</v>
      </c>
      <c r="P27" s="4">
        <f>Hotel!AB32</f>
        <v>6840</v>
      </c>
      <c r="Q27" s="4">
        <f>Hotel!AC32</f>
        <v>12900</v>
      </c>
      <c r="R27" s="4">
        <f>Hotel!AV32*0.00378541*100</f>
        <v>755.56783599999994</v>
      </c>
      <c r="S27" s="4">
        <f>Hotel!B32</f>
        <v>107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970</v>
      </c>
      <c r="F28" s="4">
        <f>Hotel!R33</f>
        <v>11200</v>
      </c>
      <c r="G28" s="4">
        <f>Hotel!S33</f>
        <v>3040</v>
      </c>
      <c r="H28" s="4">
        <f>Hotel!T33</f>
        <v>1540</v>
      </c>
      <c r="I28" s="4">
        <f>Hotel!U33</f>
        <v>4470</v>
      </c>
      <c r="J28" s="4">
        <f>Hotel!V33</f>
        <v>4100</v>
      </c>
      <c r="K28" s="4">
        <f>Hotel!W33</f>
        <v>3340</v>
      </c>
      <c r="L28" s="4">
        <f>Hotel!X33</f>
        <v>4730</v>
      </c>
      <c r="M28" s="4">
        <f>Hotel!Y33</f>
        <v>5350</v>
      </c>
      <c r="N28" s="4">
        <f>Hotel!Z33</f>
        <v>2500</v>
      </c>
      <c r="O28" s="4">
        <f>Hotel!AA33</f>
        <v>2890</v>
      </c>
      <c r="P28" s="4">
        <f>Hotel!AB33</f>
        <v>6830</v>
      </c>
      <c r="Q28" s="4">
        <f>Hotel!AC33</f>
        <v>11570</v>
      </c>
      <c r="R28" s="4">
        <f>Hotel!AV33*0.00378541*100</f>
        <v>796.82880499999999</v>
      </c>
      <c r="S28" s="4">
        <f>Hotel!B33</f>
        <v>123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1060</v>
      </c>
      <c r="F29" s="4">
        <f>Hotel!R34</f>
        <v>14250</v>
      </c>
      <c r="G29" s="4">
        <f>Hotel!S34</f>
        <v>2000</v>
      </c>
      <c r="H29" s="4">
        <f>Hotel!T34</f>
        <v>1600</v>
      </c>
      <c r="I29" s="4">
        <f>Hotel!U34</f>
        <v>4790</v>
      </c>
      <c r="J29" s="4">
        <f>Hotel!V34</f>
        <v>4100</v>
      </c>
      <c r="K29" s="4">
        <f>Hotel!W34</f>
        <v>3360</v>
      </c>
      <c r="L29" s="4">
        <f>Hotel!X34</f>
        <v>4850</v>
      </c>
      <c r="M29" s="4">
        <f>Hotel!Y34</f>
        <v>5500</v>
      </c>
      <c r="N29" s="4">
        <f>Hotel!Z34</f>
        <v>2610</v>
      </c>
      <c r="O29" s="4">
        <f>Hotel!AA34</f>
        <v>3160</v>
      </c>
      <c r="P29" s="4">
        <f>Hotel!AB34</f>
        <v>7150</v>
      </c>
      <c r="Q29" s="4">
        <f>Hotel!AC34</f>
        <v>11610</v>
      </c>
      <c r="R29" s="4">
        <f>Hotel!AV34*0.00378541*100</f>
        <v>811.97044500000004</v>
      </c>
      <c r="S29" s="4">
        <f>Hotel!B34</f>
        <v>117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920</v>
      </c>
      <c r="F30" s="4">
        <f>Hotel!R35</f>
        <v>12900</v>
      </c>
      <c r="G30" s="4">
        <f>Hotel!S35</f>
        <v>2290</v>
      </c>
      <c r="H30" s="4">
        <f>Hotel!T35</f>
        <v>1520</v>
      </c>
      <c r="I30" s="4">
        <f>Hotel!U35</f>
        <v>4720</v>
      </c>
      <c r="J30" s="4">
        <f>Hotel!V35</f>
        <v>4280</v>
      </c>
      <c r="K30" s="4">
        <f>Hotel!W35</f>
        <v>3270</v>
      </c>
      <c r="L30" s="4">
        <f>Hotel!X35</f>
        <v>4760</v>
      </c>
      <c r="M30" s="4">
        <f>Hotel!Y35</f>
        <v>5520</v>
      </c>
      <c r="N30" s="4">
        <f>Hotel!Z35</f>
        <v>2630</v>
      </c>
      <c r="O30" s="4">
        <f>Hotel!AA35</f>
        <v>3100</v>
      </c>
      <c r="P30" s="4">
        <f>Hotel!AB35</f>
        <v>7020</v>
      </c>
      <c r="Q30" s="4">
        <f>Hotel!AC35</f>
        <v>11180</v>
      </c>
      <c r="R30" s="4">
        <f>Hotel!AV35*0.00378541*100</f>
        <v>734.36953999999992</v>
      </c>
      <c r="S30" s="4">
        <f>Hotel!B35</f>
        <v>111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1030</v>
      </c>
      <c r="F31" s="4">
        <f>Hotel!R36</f>
        <v>12950</v>
      </c>
      <c r="G31" s="4">
        <f>Hotel!S36</f>
        <v>3150</v>
      </c>
      <c r="H31" s="4">
        <f>Hotel!T36</f>
        <v>1580</v>
      </c>
      <c r="I31" s="4">
        <f>Hotel!U36</f>
        <v>4910</v>
      </c>
      <c r="J31" s="4">
        <f>Hotel!V36</f>
        <v>4340</v>
      </c>
      <c r="K31" s="4">
        <f>Hotel!W36</f>
        <v>3730</v>
      </c>
      <c r="L31" s="4">
        <f>Hotel!X36</f>
        <v>4790</v>
      </c>
      <c r="M31" s="4">
        <f>Hotel!Y36</f>
        <v>5730</v>
      </c>
      <c r="N31" s="4">
        <f>Hotel!Z36</f>
        <v>2750</v>
      </c>
      <c r="O31" s="4">
        <f>Hotel!AA36</f>
        <v>3330</v>
      </c>
      <c r="P31" s="4">
        <f>Hotel!AB36</f>
        <v>7290</v>
      </c>
      <c r="Q31" s="4">
        <f>Hotel!AC36</f>
        <v>11570</v>
      </c>
      <c r="R31" s="4">
        <f>Hotel!AV36*0.00378541*100</f>
        <v>732.0982939999999</v>
      </c>
      <c r="S31" s="4">
        <f>Hotel!B36</f>
        <v>123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opLeftCell="A10" zoomScale="93" zoomScaleNormal="93" workbookViewId="0">
      <selection activeCell="C34" sqref="C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2">
        <v>8408970</v>
      </c>
      <c r="D2" s="52">
        <v>20178550</v>
      </c>
      <c r="E2" s="52">
        <v>3529170</v>
      </c>
      <c r="F2" s="52">
        <v>4230550</v>
      </c>
      <c r="G2" s="52">
        <v>12475530</v>
      </c>
      <c r="H2" s="52">
        <v>7286630</v>
      </c>
      <c r="I2" s="52">
        <v>6331940</v>
      </c>
      <c r="J2" s="52">
        <v>7862680</v>
      </c>
      <c r="K2" s="52">
        <v>11501880</v>
      </c>
      <c r="L2" s="52">
        <v>5005660</v>
      </c>
      <c r="M2" s="52">
        <v>9294450</v>
      </c>
      <c r="N2" s="52">
        <v>15241450</v>
      </c>
      <c r="O2" s="52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5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5">
        <v>175395</v>
      </c>
    </row>
    <row r="7" spans="1:50" x14ac:dyDescent="0.25">
      <c r="A7" s="23">
        <v>44805</v>
      </c>
      <c r="B7" s="40">
        <v>105</v>
      </c>
      <c r="C7" s="51">
        <v>8409960</v>
      </c>
      <c r="D7" s="51">
        <v>20192600</v>
      </c>
      <c r="E7" s="51">
        <v>3532910</v>
      </c>
      <c r="F7" s="51">
        <v>4232220</v>
      </c>
      <c r="G7" s="51">
        <v>12479930</v>
      </c>
      <c r="H7" s="51">
        <v>7291070</v>
      </c>
      <c r="I7" s="51">
        <v>6335400</v>
      </c>
      <c r="J7" s="51">
        <v>7867180</v>
      </c>
      <c r="K7" s="51">
        <v>11507740</v>
      </c>
      <c r="L7" s="51">
        <v>5008120</v>
      </c>
      <c r="M7" s="51">
        <v>9297260</v>
      </c>
      <c r="N7" s="51">
        <v>15248530</v>
      </c>
      <c r="O7" s="51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4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6" t="s">
        <v>50</v>
      </c>
      <c r="D8" s="56" t="s">
        <v>51</v>
      </c>
      <c r="E8" s="56" t="s">
        <v>52</v>
      </c>
      <c r="F8" s="56" t="s">
        <v>53</v>
      </c>
      <c r="G8" s="56" t="s">
        <v>54</v>
      </c>
      <c r="H8" s="56" t="s">
        <v>55</v>
      </c>
      <c r="I8" s="56" t="s">
        <v>56</v>
      </c>
      <c r="J8" s="56" t="s">
        <v>57</v>
      </c>
      <c r="K8" s="56" t="s">
        <v>58</v>
      </c>
      <c r="L8" s="56" t="s">
        <v>59</v>
      </c>
      <c r="M8" s="56" t="s">
        <v>60</v>
      </c>
      <c r="N8" s="56" t="s">
        <v>61</v>
      </c>
      <c r="O8" s="56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7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1">
        <v>8411940</v>
      </c>
      <c r="D9" s="51">
        <v>20220130</v>
      </c>
      <c r="E9" s="51">
        <v>3540180</v>
      </c>
      <c r="F9" s="51">
        <v>4235530</v>
      </c>
      <c r="G9" s="51">
        <v>12488850</v>
      </c>
      <c r="H9" s="51">
        <v>7299530</v>
      </c>
      <c r="I9" s="51">
        <v>6341550</v>
      </c>
      <c r="J9" s="51">
        <v>7876360</v>
      </c>
      <c r="K9" s="51">
        <v>11518960</v>
      </c>
      <c r="L9" s="51">
        <v>5013190</v>
      </c>
      <c r="M9" s="51">
        <v>9303210</v>
      </c>
      <c r="N9" s="51">
        <v>15262680</v>
      </c>
      <c r="O9" s="51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4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2">
        <v>8412900</v>
      </c>
      <c r="D10" s="52">
        <v>20233460</v>
      </c>
      <c r="E10" s="52">
        <v>3543710</v>
      </c>
      <c r="F10" s="52">
        <v>4237140</v>
      </c>
      <c r="G10" s="52">
        <v>12493080</v>
      </c>
      <c r="H10" s="52">
        <v>7303660</v>
      </c>
      <c r="I10" s="52">
        <v>6344780</v>
      </c>
      <c r="J10" s="52">
        <v>7880610</v>
      </c>
      <c r="K10" s="52">
        <v>11524220</v>
      </c>
      <c r="L10" s="52">
        <v>5015590</v>
      </c>
      <c r="M10" s="52">
        <v>9306100</v>
      </c>
      <c r="N10" s="52">
        <v>15269520</v>
      </c>
      <c r="O10" s="52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5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1">
        <v>8413920</v>
      </c>
      <c r="D11" s="51">
        <v>20247440</v>
      </c>
      <c r="E11" s="51">
        <v>3547420</v>
      </c>
      <c r="F11" s="51">
        <v>4238830</v>
      </c>
      <c r="G11" s="51">
        <v>12497590</v>
      </c>
      <c r="H11" s="51">
        <v>7308010</v>
      </c>
      <c r="I11" s="51">
        <v>6348090</v>
      </c>
      <c r="J11" s="51">
        <v>7885120</v>
      </c>
      <c r="K11" s="51">
        <v>11529810</v>
      </c>
      <c r="L11" s="51">
        <v>5018080</v>
      </c>
      <c r="M11" s="51">
        <v>9309090</v>
      </c>
      <c r="N11" s="51">
        <v>15276790</v>
      </c>
      <c r="O11" s="51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58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2">
        <v>8418340</v>
      </c>
      <c r="D12" s="52">
        <v>20262780</v>
      </c>
      <c r="E12" s="52">
        <v>3551470</v>
      </c>
      <c r="F12" s="52">
        <v>4240560</v>
      </c>
      <c r="G12" s="52">
        <v>12502030</v>
      </c>
      <c r="H12" s="52">
        <v>7312200</v>
      </c>
      <c r="I12" s="52">
        <v>6351110</v>
      </c>
      <c r="J12" s="52">
        <v>7889130</v>
      </c>
      <c r="K12" s="52">
        <v>11535470</v>
      </c>
      <c r="L12" s="52">
        <v>5020560</v>
      </c>
      <c r="M12" s="52">
        <v>9311930</v>
      </c>
      <c r="N12" s="52">
        <v>15284010</v>
      </c>
      <c r="O12" s="52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5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1">
        <v>8429010</v>
      </c>
      <c r="D13" s="51">
        <v>20278420</v>
      </c>
      <c r="E13" s="51">
        <v>3555670</v>
      </c>
      <c r="F13" s="51">
        <v>4242250</v>
      </c>
      <c r="G13" s="51">
        <v>12506280</v>
      </c>
      <c r="H13" s="51">
        <v>7316180</v>
      </c>
      <c r="I13" s="51">
        <v>6353920</v>
      </c>
      <c r="J13" s="51">
        <v>7892330</v>
      </c>
      <c r="K13" s="51">
        <v>11540880</v>
      </c>
      <c r="L13" s="51">
        <v>5022960</v>
      </c>
      <c r="M13" s="51">
        <v>9314580</v>
      </c>
      <c r="N13" s="51">
        <v>15290770</v>
      </c>
      <c r="O13" s="51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58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2">
        <v>8440860</v>
      </c>
      <c r="D14" s="52">
        <v>20294740</v>
      </c>
      <c r="E14" s="52">
        <v>3559960</v>
      </c>
      <c r="F14" s="52">
        <v>4244000</v>
      </c>
      <c r="G14" s="52">
        <v>12510790</v>
      </c>
      <c r="H14" s="52">
        <v>7320330</v>
      </c>
      <c r="I14" s="52">
        <v>6357330</v>
      </c>
      <c r="J14" s="52">
        <v>7897160</v>
      </c>
      <c r="K14" s="52">
        <v>11546650</v>
      </c>
      <c r="L14" s="52">
        <v>5025330</v>
      </c>
      <c r="M14" s="52">
        <v>9317360</v>
      </c>
      <c r="N14" s="52">
        <v>15297900</v>
      </c>
      <c r="O14" s="52">
        <v>21385820</v>
      </c>
      <c r="P14" s="49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5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1">
        <v>8450390</v>
      </c>
      <c r="D15" s="51">
        <v>20309650</v>
      </c>
      <c r="E15" s="51">
        <v>3563820</v>
      </c>
      <c r="F15" s="51">
        <v>4245650</v>
      </c>
      <c r="G15" s="51">
        <v>12515070</v>
      </c>
      <c r="H15" s="51">
        <v>7324320</v>
      </c>
      <c r="I15" s="51">
        <v>6360580</v>
      </c>
      <c r="J15" s="51">
        <v>7901300</v>
      </c>
      <c r="K15" s="51">
        <v>11551870</v>
      </c>
      <c r="L15" s="51">
        <v>5027630</v>
      </c>
      <c r="M15" s="51">
        <v>9320110</v>
      </c>
      <c r="N15" s="51">
        <v>15304680</v>
      </c>
      <c r="O15" s="51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4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2">
        <v>8451370</v>
      </c>
      <c r="D16" s="52">
        <v>20323970</v>
      </c>
      <c r="E16" s="52">
        <v>3567690</v>
      </c>
      <c r="F16" s="52">
        <v>4247360</v>
      </c>
      <c r="G16" s="52">
        <v>12519560</v>
      </c>
      <c r="H16" s="52">
        <v>7328400</v>
      </c>
      <c r="I16" s="52">
        <v>6363700</v>
      </c>
      <c r="J16" s="52">
        <v>7905670</v>
      </c>
      <c r="K16" s="52">
        <v>11557450</v>
      </c>
      <c r="L16" s="52">
        <v>5030150</v>
      </c>
      <c r="M16" s="52">
        <v>9323020</v>
      </c>
      <c r="N16" s="52">
        <v>15311770</v>
      </c>
      <c r="O16" s="52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5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1">
        <v>8452340</v>
      </c>
      <c r="D17" s="51">
        <v>20337590</v>
      </c>
      <c r="E17" s="51">
        <v>3571330</v>
      </c>
      <c r="F17" s="51">
        <v>4249050</v>
      </c>
      <c r="G17" s="51">
        <v>12523770</v>
      </c>
      <c r="H17" s="51">
        <v>7332400</v>
      </c>
      <c r="I17" s="51">
        <v>6366840</v>
      </c>
      <c r="J17" s="51">
        <v>7909800</v>
      </c>
      <c r="K17" s="51">
        <v>11562870</v>
      </c>
      <c r="L17" s="51">
        <v>5032570</v>
      </c>
      <c r="M17" s="51">
        <v>9325800</v>
      </c>
      <c r="N17" s="51">
        <v>15318680</v>
      </c>
      <c r="O17" s="51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58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2">
        <v>8453310</v>
      </c>
      <c r="D18" s="52">
        <v>20351080</v>
      </c>
      <c r="E18" s="52">
        <v>3574920</v>
      </c>
      <c r="F18" s="52">
        <v>4250720</v>
      </c>
      <c r="G18" s="52">
        <v>12528140</v>
      </c>
      <c r="H18" s="52">
        <v>7336540</v>
      </c>
      <c r="I18" s="52">
        <v>6370330</v>
      </c>
      <c r="J18" s="52">
        <v>7914240</v>
      </c>
      <c r="K18" s="52">
        <v>11568390</v>
      </c>
      <c r="L18" s="52">
        <v>5035020</v>
      </c>
      <c r="M18" s="52">
        <v>9328530</v>
      </c>
      <c r="N18" s="52">
        <v>15325440</v>
      </c>
      <c r="O18" s="52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5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1">
        <v>8454380</v>
      </c>
      <c r="D19" s="51">
        <v>20366620</v>
      </c>
      <c r="E19" s="51">
        <v>3579120</v>
      </c>
      <c r="F19" s="51">
        <v>4252570</v>
      </c>
      <c r="G19" s="51">
        <v>12532850</v>
      </c>
      <c r="H19" s="51">
        <v>7340870</v>
      </c>
      <c r="I19" s="51">
        <v>6374030</v>
      </c>
      <c r="J19" s="51">
        <v>7918910</v>
      </c>
      <c r="K19" s="51">
        <v>11574280</v>
      </c>
      <c r="L19" s="51">
        <v>5037670</v>
      </c>
      <c r="M19" s="51">
        <v>9331470</v>
      </c>
      <c r="N19" s="51">
        <v>15332890</v>
      </c>
      <c r="O19" s="51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4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2">
        <v>8456370</v>
      </c>
      <c r="D20" s="52">
        <v>20381300</v>
      </c>
      <c r="E20" s="52">
        <v>3583130</v>
      </c>
      <c r="F20" s="52">
        <v>4254250</v>
      </c>
      <c r="G20" s="52">
        <v>12537020</v>
      </c>
      <c r="H20" s="52">
        <v>7344930</v>
      </c>
      <c r="I20" s="52">
        <v>6377240</v>
      </c>
      <c r="J20" s="52">
        <v>7923120</v>
      </c>
      <c r="K20" s="52">
        <v>11579690</v>
      </c>
      <c r="L20" s="52">
        <v>5040040</v>
      </c>
      <c r="M20" s="52">
        <v>9334190</v>
      </c>
      <c r="N20" s="52">
        <v>15339530</v>
      </c>
      <c r="O20" s="52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5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59">
        <v>8457440</v>
      </c>
      <c r="D21" s="59">
        <v>20396250</v>
      </c>
      <c r="E21" s="59">
        <v>3587080</v>
      </c>
      <c r="F21" s="59">
        <v>4256080</v>
      </c>
      <c r="G21" s="59">
        <v>12541740</v>
      </c>
      <c r="H21" s="59">
        <v>7349340</v>
      </c>
      <c r="I21" s="59">
        <v>6380970</v>
      </c>
      <c r="J21" s="59">
        <v>7927830</v>
      </c>
      <c r="K21" s="59">
        <v>11585880</v>
      </c>
      <c r="L21" s="59">
        <v>5042770</v>
      </c>
      <c r="M21" s="59">
        <v>9337220</v>
      </c>
      <c r="N21" s="59">
        <v>15346980</v>
      </c>
      <c r="O21" s="59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0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6">
        <v>8458280</v>
      </c>
      <c r="D22" s="56">
        <v>20407810</v>
      </c>
      <c r="E22" s="56">
        <v>3590050</v>
      </c>
      <c r="F22" s="56">
        <v>4257490</v>
      </c>
      <c r="G22" s="56">
        <v>12545610</v>
      </c>
      <c r="H22" s="56">
        <v>7353020</v>
      </c>
      <c r="I22" s="56">
        <v>6383890</v>
      </c>
      <c r="J22" s="56">
        <v>7931830</v>
      </c>
      <c r="K22" s="56">
        <v>11590920</v>
      </c>
      <c r="L22" s="56">
        <v>5044980</v>
      </c>
      <c r="M22" s="56">
        <v>9339880</v>
      </c>
      <c r="N22" s="56">
        <v>15352960</v>
      </c>
      <c r="O22" s="56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7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3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3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3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3"/>
        <v>1060</v>
      </c>
      <c r="R26" s="37">
        <f t="shared" si="18"/>
        <v>14890</v>
      </c>
      <c r="S26" s="37">
        <f t="shared" si="33"/>
        <v>3920</v>
      </c>
      <c r="T26" s="37">
        <f t="shared" si="33"/>
        <v>1680</v>
      </c>
      <c r="U26" s="37">
        <f t="shared" si="33"/>
        <v>4370</v>
      </c>
      <c r="V26" s="37">
        <f t="shared" si="33"/>
        <v>4260</v>
      </c>
      <c r="W26" s="37">
        <f t="shared" si="33"/>
        <v>3390</v>
      </c>
      <c r="X26" s="37">
        <f t="shared" si="33"/>
        <v>4510</v>
      </c>
      <c r="Y26" s="37">
        <f t="shared" si="33"/>
        <v>5490</v>
      </c>
      <c r="Z26" s="37">
        <f t="shared" si="33"/>
        <v>2580</v>
      </c>
      <c r="AA26" s="37">
        <f t="shared" si="33"/>
        <v>2880</v>
      </c>
      <c r="AB26" s="37">
        <f t="shared" si="33"/>
        <v>6880</v>
      </c>
      <c r="AC26" s="37">
        <f t="shared" si="33"/>
        <v>9150</v>
      </c>
      <c r="AD26" s="35">
        <f t="shared" si="29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0"/>
        <v>325.3</v>
      </c>
      <c r="AU26" s="53">
        <v>220859</v>
      </c>
      <c r="AV26" s="37">
        <f t="shared" si="31"/>
        <v>4091</v>
      </c>
      <c r="AW26" s="37">
        <f>AV26*100*AV44</f>
        <v>1548.6112309999999</v>
      </c>
      <c r="AX26" s="35">
        <f t="shared" si="14"/>
        <v>8.1820000000000004</v>
      </c>
    </row>
    <row r="27" spans="1:50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3"/>
        <v>2650</v>
      </c>
      <c r="R27" s="37">
        <f t="shared" si="18"/>
        <v>15530</v>
      </c>
      <c r="S27" s="37">
        <f t="shared" si="33"/>
        <v>4120</v>
      </c>
      <c r="T27" s="37">
        <f t="shared" si="33"/>
        <v>1650</v>
      </c>
      <c r="U27" s="37">
        <f t="shared" si="33"/>
        <v>4460</v>
      </c>
      <c r="V27" s="37">
        <f t="shared" si="33"/>
        <v>4260</v>
      </c>
      <c r="W27" s="37">
        <f t="shared" si="33"/>
        <v>3400</v>
      </c>
      <c r="X27" s="37">
        <f t="shared" si="33"/>
        <v>4610</v>
      </c>
      <c r="Y27" s="37">
        <f t="shared" si="33"/>
        <v>5510</v>
      </c>
      <c r="Z27" s="37">
        <f t="shared" si="33"/>
        <v>2510</v>
      </c>
      <c r="AA27" s="37">
        <f t="shared" si="33"/>
        <v>2830</v>
      </c>
      <c r="AB27" s="37">
        <f t="shared" si="33"/>
        <v>6810</v>
      </c>
      <c r="AC27" s="37">
        <f t="shared" si="33"/>
        <v>8470</v>
      </c>
      <c r="AD27" s="35">
        <f t="shared" si="29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0"/>
        <v>334.05000000000007</v>
      </c>
      <c r="AU27" s="53">
        <v>223057</v>
      </c>
      <c r="AV27" s="37">
        <f>IF((AU27-AU26&lt;0),"0",AU27-AU26)</f>
        <v>2198</v>
      </c>
      <c r="AW27" s="37">
        <f>AV27*100*AV44</f>
        <v>832.03311799999994</v>
      </c>
      <c r="AX27" s="35">
        <f t="shared" si="14"/>
        <v>4.3959999999999999</v>
      </c>
    </row>
    <row r="28" spans="1:50" x14ac:dyDescent="0.25">
      <c r="A28" s="23">
        <v>44826</v>
      </c>
      <c r="B28" s="40">
        <v>155</v>
      </c>
      <c r="C28" s="24">
        <v>8465960</v>
      </c>
      <c r="D28" s="24">
        <v>20491970</v>
      </c>
      <c r="E28" s="24">
        <v>3611770</v>
      </c>
      <c r="F28" s="24">
        <v>4267310</v>
      </c>
      <c r="G28" s="24">
        <v>12571870</v>
      </c>
      <c r="H28" s="24">
        <v>7378250</v>
      </c>
      <c r="I28" s="24">
        <v>6404150</v>
      </c>
      <c r="J28" s="24">
        <v>7958860</v>
      </c>
      <c r="K28" s="24">
        <v>11624070</v>
      </c>
      <c r="L28" s="24">
        <v>5060080</v>
      </c>
      <c r="M28" s="24">
        <v>9357110</v>
      </c>
      <c r="N28" s="24">
        <v>15394530</v>
      </c>
      <c r="O28" s="24">
        <v>21521940</v>
      </c>
      <c r="Q28" s="37">
        <f t="shared" si="17"/>
        <v>990</v>
      </c>
      <c r="R28" s="37">
        <f t="shared" si="18"/>
        <v>14350</v>
      </c>
      <c r="S28" s="37">
        <f t="shared" si="16"/>
        <v>3750</v>
      </c>
      <c r="T28" s="37">
        <f t="shared" si="19"/>
        <v>1650</v>
      </c>
      <c r="U28" s="37">
        <f t="shared" si="20"/>
        <v>4620</v>
      </c>
      <c r="V28" s="37">
        <f t="shared" si="21"/>
        <v>4280</v>
      </c>
      <c r="W28" s="37">
        <f t="shared" si="22"/>
        <v>3500</v>
      </c>
      <c r="X28" s="37">
        <f t="shared" si="23"/>
        <v>4620</v>
      </c>
      <c r="Y28" s="37">
        <f t="shared" si="24"/>
        <v>5650</v>
      </c>
      <c r="Z28" s="37">
        <f t="shared" si="25"/>
        <v>2660</v>
      </c>
      <c r="AA28" s="37">
        <f t="shared" si="26"/>
        <v>3030</v>
      </c>
      <c r="AB28" s="37">
        <f t="shared" si="27"/>
        <v>7100</v>
      </c>
      <c r="AC28" s="37">
        <f t="shared" si="28"/>
        <v>9380</v>
      </c>
      <c r="AD28" s="35">
        <f t="shared" si="29"/>
        <v>65580</v>
      </c>
      <c r="AF28" s="20">
        <f t="shared" si="1"/>
        <v>4.95</v>
      </c>
      <c r="AG28" s="20">
        <f t="shared" si="2"/>
        <v>71.75</v>
      </c>
      <c r="AH28" s="20">
        <f t="shared" si="3"/>
        <v>18.75</v>
      </c>
      <c r="AI28" s="20">
        <f t="shared" si="4"/>
        <v>8.25</v>
      </c>
      <c r="AJ28" s="20">
        <f t="shared" si="5"/>
        <v>23.1</v>
      </c>
      <c r="AK28" s="20">
        <f t="shared" si="6"/>
        <v>21.400000000000002</v>
      </c>
      <c r="AL28" s="20">
        <f t="shared" si="7"/>
        <v>17.5</v>
      </c>
      <c r="AM28" s="20">
        <f t="shared" si="8"/>
        <v>23.1</v>
      </c>
      <c r="AN28" s="20">
        <f t="shared" si="9"/>
        <v>28.25</v>
      </c>
      <c r="AO28" s="20">
        <f t="shared" si="10"/>
        <v>13.3</v>
      </c>
      <c r="AP28" s="20">
        <f t="shared" si="11"/>
        <v>15.15</v>
      </c>
      <c r="AQ28" s="20">
        <f t="shared" si="12"/>
        <v>35.5</v>
      </c>
      <c r="AR28" s="20">
        <f t="shared" si="13"/>
        <v>46.9</v>
      </c>
      <c r="AS28" s="35">
        <f t="shared" si="30"/>
        <v>327.9</v>
      </c>
      <c r="AU28" s="53">
        <v>225508</v>
      </c>
      <c r="AV28" s="37">
        <f>IF((AU28-AU27&lt;0),"0",AU28-AU27)</f>
        <v>2451</v>
      </c>
      <c r="AW28" s="37">
        <f>AV28*100*AV44</f>
        <v>927.803991</v>
      </c>
      <c r="AX28" s="35">
        <f t="shared" si="14"/>
        <v>4.9020000000000001</v>
      </c>
    </row>
    <row r="29" spans="1:50" x14ac:dyDescent="0.25">
      <c r="A29" s="23">
        <v>44827</v>
      </c>
      <c r="B29" s="40">
        <v>176</v>
      </c>
      <c r="C29" s="61" t="s">
        <v>79</v>
      </c>
      <c r="D29" s="61" t="s">
        <v>80</v>
      </c>
      <c r="E29" s="61" t="s">
        <v>81</v>
      </c>
      <c r="F29" s="61" t="s">
        <v>82</v>
      </c>
      <c r="G29" s="61" t="s">
        <v>83</v>
      </c>
      <c r="H29" s="61" t="s">
        <v>84</v>
      </c>
      <c r="I29" s="61" t="s">
        <v>85</v>
      </c>
      <c r="J29" s="61" t="s">
        <v>86</v>
      </c>
      <c r="K29" s="61" t="s">
        <v>87</v>
      </c>
      <c r="L29" s="61" t="s">
        <v>88</v>
      </c>
      <c r="M29" s="61" t="s">
        <v>89</v>
      </c>
      <c r="N29" s="61" t="s">
        <v>90</v>
      </c>
      <c r="O29" s="61" t="s">
        <v>91</v>
      </c>
      <c r="Q29" s="37">
        <f t="shared" si="17"/>
        <v>1150</v>
      </c>
      <c r="R29" s="37">
        <f t="shared" si="18"/>
        <v>15080</v>
      </c>
      <c r="S29" s="37">
        <f t="shared" si="16"/>
        <v>4080</v>
      </c>
      <c r="T29" s="37">
        <f t="shared" si="19"/>
        <v>1640</v>
      </c>
      <c r="U29" s="37">
        <f t="shared" si="20"/>
        <v>4580</v>
      </c>
      <c r="V29" s="37">
        <f t="shared" si="21"/>
        <v>4160</v>
      </c>
      <c r="W29" s="37">
        <f t="shared" si="22"/>
        <v>3580</v>
      </c>
      <c r="X29" s="37">
        <f t="shared" si="23"/>
        <v>4350</v>
      </c>
      <c r="Y29" s="37">
        <f t="shared" si="24"/>
        <v>5620</v>
      </c>
      <c r="Z29" s="37">
        <f t="shared" si="25"/>
        <v>2750</v>
      </c>
      <c r="AA29" s="37">
        <f t="shared" si="26"/>
        <v>3060</v>
      </c>
      <c r="AB29" s="37">
        <f t="shared" si="27"/>
        <v>7000</v>
      </c>
      <c r="AC29" s="37">
        <f t="shared" si="28"/>
        <v>9170</v>
      </c>
      <c r="AD29" s="35">
        <f t="shared" si="29"/>
        <v>66220</v>
      </c>
      <c r="AF29" s="20">
        <f t="shared" si="1"/>
        <v>5.75</v>
      </c>
      <c r="AG29" s="20">
        <f t="shared" si="2"/>
        <v>75.400000000000006</v>
      </c>
      <c r="AH29" s="20">
        <f t="shared" si="3"/>
        <v>20.400000000000002</v>
      </c>
      <c r="AI29" s="20">
        <f t="shared" si="4"/>
        <v>8.1999999999999993</v>
      </c>
      <c r="AJ29" s="20">
        <f t="shared" si="5"/>
        <v>22.900000000000002</v>
      </c>
      <c r="AK29" s="20">
        <f t="shared" si="6"/>
        <v>20.8</v>
      </c>
      <c r="AL29" s="20">
        <f t="shared" si="7"/>
        <v>17.900000000000002</v>
      </c>
      <c r="AM29" s="20">
        <f t="shared" si="8"/>
        <v>21.75</v>
      </c>
      <c r="AN29" s="20">
        <f t="shared" si="9"/>
        <v>28.1</v>
      </c>
      <c r="AO29" s="20">
        <f t="shared" si="10"/>
        <v>13.75</v>
      </c>
      <c r="AP29" s="20">
        <f t="shared" si="11"/>
        <v>15.3</v>
      </c>
      <c r="AQ29" s="20">
        <f t="shared" si="12"/>
        <v>35</v>
      </c>
      <c r="AR29" s="20">
        <f t="shared" si="13"/>
        <v>45.85</v>
      </c>
      <c r="AS29" s="35">
        <f t="shared" si="30"/>
        <v>331.1</v>
      </c>
      <c r="AU29" s="62" t="s">
        <v>92</v>
      </c>
      <c r="AV29" s="37">
        <f>IF((AU29-AU28&lt;0),"0",AU29-AU28)</f>
        <v>2084</v>
      </c>
      <c r="AW29" s="37">
        <f>AV29*100*AV44</f>
        <v>788.87944400000003</v>
      </c>
      <c r="AX29" s="35">
        <f t="shared" si="14"/>
        <v>4.1680000000000001</v>
      </c>
    </row>
    <row r="30" spans="1:50" x14ac:dyDescent="0.25">
      <c r="A30" s="23">
        <v>44828</v>
      </c>
      <c r="B30" s="40">
        <v>98</v>
      </c>
      <c r="C30" s="56" t="s">
        <v>66</v>
      </c>
      <c r="D30" s="56" t="s">
        <v>67</v>
      </c>
      <c r="E30" s="56" t="s">
        <v>68</v>
      </c>
      <c r="F30" s="56" t="s">
        <v>69</v>
      </c>
      <c r="G30" s="56" t="s">
        <v>70</v>
      </c>
      <c r="H30" s="56" t="s">
        <v>71</v>
      </c>
      <c r="I30" s="56" t="s">
        <v>72</v>
      </c>
      <c r="J30" s="56" t="s">
        <v>73</v>
      </c>
      <c r="K30" s="56" t="s">
        <v>74</v>
      </c>
      <c r="L30" s="56" t="s">
        <v>75</v>
      </c>
      <c r="M30" s="56" t="s">
        <v>76</v>
      </c>
      <c r="N30" s="56" t="s">
        <v>77</v>
      </c>
      <c r="O30" s="56" t="s">
        <v>78</v>
      </c>
      <c r="Q30" s="37">
        <f t="shared" si="17"/>
        <v>1010</v>
      </c>
      <c r="R30" s="37">
        <f t="shared" si="18"/>
        <v>13760</v>
      </c>
      <c r="S30" s="37">
        <f t="shared" si="16"/>
        <v>3440</v>
      </c>
      <c r="T30" s="37">
        <f t="shared" si="19"/>
        <v>1690</v>
      </c>
      <c r="U30" s="37">
        <f t="shared" si="20"/>
        <v>4790</v>
      </c>
      <c r="V30" s="37">
        <f t="shared" si="21"/>
        <v>4330</v>
      </c>
      <c r="W30" s="37">
        <f t="shared" si="22"/>
        <v>3420</v>
      </c>
      <c r="X30" s="37">
        <f t="shared" si="23"/>
        <v>4680</v>
      </c>
      <c r="Y30" s="37">
        <f t="shared" si="24"/>
        <v>5960</v>
      </c>
      <c r="Z30" s="37">
        <f t="shared" si="25"/>
        <v>2710</v>
      </c>
      <c r="AA30" s="37">
        <f t="shared" si="26"/>
        <v>3160</v>
      </c>
      <c r="AB30" s="37">
        <f t="shared" si="27"/>
        <v>7220</v>
      </c>
      <c r="AC30" s="37">
        <f t="shared" si="28"/>
        <v>12850</v>
      </c>
      <c r="AD30" s="35">
        <f t="shared" si="29"/>
        <v>69020</v>
      </c>
      <c r="AF30" s="20">
        <f t="shared" si="1"/>
        <v>5.05</v>
      </c>
      <c r="AG30" s="20">
        <f t="shared" si="2"/>
        <v>68.8</v>
      </c>
      <c r="AH30" s="20">
        <f t="shared" si="3"/>
        <v>17.2</v>
      </c>
      <c r="AI30" s="20">
        <f t="shared" si="4"/>
        <v>8.4499999999999993</v>
      </c>
      <c r="AJ30" s="20">
        <f t="shared" si="5"/>
        <v>23.95</v>
      </c>
      <c r="AK30" s="20">
        <f t="shared" si="6"/>
        <v>21.650000000000002</v>
      </c>
      <c r="AL30" s="20">
        <f t="shared" si="7"/>
        <v>17.100000000000001</v>
      </c>
      <c r="AM30" s="20">
        <f t="shared" si="8"/>
        <v>23.400000000000002</v>
      </c>
      <c r="AN30" s="20">
        <f t="shared" si="9"/>
        <v>29.8</v>
      </c>
      <c r="AO30" s="20">
        <f t="shared" si="10"/>
        <v>13.55</v>
      </c>
      <c r="AP30" s="20">
        <f t="shared" si="11"/>
        <v>15.8</v>
      </c>
      <c r="AQ30" s="20">
        <f t="shared" si="12"/>
        <v>36.1</v>
      </c>
      <c r="AR30" s="20">
        <f t="shared" si="13"/>
        <v>64.25</v>
      </c>
      <c r="AS30" s="35">
        <f t="shared" si="30"/>
        <v>345.1</v>
      </c>
      <c r="AU30" s="57" t="s">
        <v>93</v>
      </c>
      <c r="AV30" s="37">
        <f t="shared" ref="AV30:AV36" si="34">IF((AU30-AU29&lt;0),"0",AU30-AU29)</f>
        <v>1782</v>
      </c>
      <c r="AW30" s="37">
        <f>AV30*100*AV44</f>
        <v>674.56006200000002</v>
      </c>
      <c r="AX30" s="35">
        <f t="shared" si="14"/>
        <v>3.5640000000000001</v>
      </c>
    </row>
    <row r="31" spans="1:50" x14ac:dyDescent="0.25">
      <c r="A31" s="23">
        <v>44829</v>
      </c>
      <c r="B31" s="40">
        <v>121</v>
      </c>
      <c r="C31" s="24">
        <v>8469120</v>
      </c>
      <c r="D31" s="51">
        <v>20533960</v>
      </c>
      <c r="E31" s="51">
        <v>3622570</v>
      </c>
      <c r="F31" s="51">
        <v>4272280</v>
      </c>
      <c r="G31" s="51">
        <v>12585820</v>
      </c>
      <c r="H31" s="51">
        <v>7390820</v>
      </c>
      <c r="I31" s="51">
        <v>6414380</v>
      </c>
      <c r="J31" s="51">
        <v>7972130</v>
      </c>
      <c r="K31" s="51">
        <v>11641010</v>
      </c>
      <c r="L31" s="51">
        <v>5068080</v>
      </c>
      <c r="M31" s="51">
        <v>9366280</v>
      </c>
      <c r="N31" s="51">
        <v>15415640</v>
      </c>
      <c r="O31" s="51">
        <v>21556640</v>
      </c>
      <c r="Q31" s="37">
        <f>IF((C31-C30&lt;0), "0",C31-C30)</f>
        <v>1000</v>
      </c>
      <c r="R31" s="37">
        <f t="shared" si="18"/>
        <v>13150</v>
      </c>
      <c r="S31" s="37">
        <f t="shared" si="16"/>
        <v>3280</v>
      </c>
      <c r="T31" s="37">
        <f t="shared" si="19"/>
        <v>1640</v>
      </c>
      <c r="U31" s="37">
        <f t="shared" si="20"/>
        <v>4580</v>
      </c>
      <c r="V31" s="37">
        <f t="shared" si="21"/>
        <v>4080</v>
      </c>
      <c r="W31" s="37">
        <f t="shared" si="22"/>
        <v>3230</v>
      </c>
      <c r="X31" s="37">
        <f t="shared" si="23"/>
        <v>4240</v>
      </c>
      <c r="Y31" s="37">
        <f t="shared" si="24"/>
        <v>5360</v>
      </c>
      <c r="Z31" s="37">
        <f t="shared" si="25"/>
        <v>2540</v>
      </c>
      <c r="AA31" s="37">
        <f t="shared" si="26"/>
        <v>2950</v>
      </c>
      <c r="AB31" s="37">
        <f t="shared" si="27"/>
        <v>6890</v>
      </c>
      <c r="AC31" s="37">
        <f t="shared" si="28"/>
        <v>12680</v>
      </c>
      <c r="AD31" s="35">
        <f t="shared" si="29"/>
        <v>65620</v>
      </c>
      <c r="AF31" s="20">
        <f t="shared" si="1"/>
        <v>5</v>
      </c>
      <c r="AG31" s="20">
        <f t="shared" si="2"/>
        <v>65.75</v>
      </c>
      <c r="AH31" s="20">
        <f t="shared" si="3"/>
        <v>16.399999999999999</v>
      </c>
      <c r="AI31" s="20">
        <f t="shared" si="4"/>
        <v>8.1999999999999993</v>
      </c>
      <c r="AJ31" s="20">
        <f t="shared" si="5"/>
        <v>22.900000000000002</v>
      </c>
      <c r="AK31" s="20">
        <f t="shared" si="6"/>
        <v>20.400000000000002</v>
      </c>
      <c r="AL31" s="20">
        <f t="shared" si="7"/>
        <v>16.149999999999999</v>
      </c>
      <c r="AM31" s="20">
        <f t="shared" si="8"/>
        <v>21.2</v>
      </c>
      <c r="AN31" s="20">
        <f t="shared" si="9"/>
        <v>26.8</v>
      </c>
      <c r="AO31" s="20">
        <f t="shared" si="10"/>
        <v>12.700000000000001</v>
      </c>
      <c r="AP31" s="20">
        <f t="shared" si="11"/>
        <v>14.75</v>
      </c>
      <c r="AQ31" s="20">
        <f t="shared" si="12"/>
        <v>34.450000000000003</v>
      </c>
      <c r="AR31" s="20">
        <f t="shared" si="13"/>
        <v>63.4</v>
      </c>
      <c r="AS31" s="35">
        <f t="shared" si="30"/>
        <v>328.09999999999997</v>
      </c>
      <c r="AU31" s="54">
        <v>230861</v>
      </c>
      <c r="AV31" s="37">
        <f t="shared" si="34"/>
        <v>1487</v>
      </c>
      <c r="AW31" s="37">
        <f>AV31*100*AV44</f>
        <v>562.89046699999994</v>
      </c>
      <c r="AX31" s="35">
        <f t="shared" si="14"/>
        <v>2.9740000000000002</v>
      </c>
    </row>
    <row r="32" spans="1:50" x14ac:dyDescent="0.25">
      <c r="A32" s="23">
        <v>44830</v>
      </c>
      <c r="B32" s="40">
        <v>107</v>
      </c>
      <c r="C32" s="24">
        <v>8470100</v>
      </c>
      <c r="D32" s="52">
        <v>20546270</v>
      </c>
      <c r="E32" s="52">
        <v>3625580</v>
      </c>
      <c r="F32" s="52">
        <v>4273850</v>
      </c>
      <c r="G32" s="52">
        <v>12590190</v>
      </c>
      <c r="H32" s="52">
        <v>7394830</v>
      </c>
      <c r="I32" s="52">
        <v>6417780</v>
      </c>
      <c r="J32" s="52">
        <v>7976750</v>
      </c>
      <c r="K32" s="52">
        <v>11646270</v>
      </c>
      <c r="L32" s="52">
        <v>5070480</v>
      </c>
      <c r="M32" s="52">
        <v>9369120</v>
      </c>
      <c r="N32" s="52">
        <v>15422480</v>
      </c>
      <c r="O32" s="52">
        <v>21569540</v>
      </c>
      <c r="Q32" s="37">
        <f>IF((C32-C31&lt;0), "0",C32-C31)</f>
        <v>980</v>
      </c>
      <c r="R32" s="37">
        <f t="shared" si="18"/>
        <v>12310</v>
      </c>
      <c r="S32" s="37">
        <f t="shared" si="16"/>
        <v>3010</v>
      </c>
      <c r="T32" s="37">
        <f t="shared" si="19"/>
        <v>1570</v>
      </c>
      <c r="U32" s="37">
        <f t="shared" si="20"/>
        <v>4370</v>
      </c>
      <c r="V32" s="37">
        <f t="shared" si="21"/>
        <v>4010</v>
      </c>
      <c r="W32" s="37">
        <f t="shared" si="22"/>
        <v>3400</v>
      </c>
      <c r="X32" s="37">
        <f t="shared" si="23"/>
        <v>4620</v>
      </c>
      <c r="Y32" s="37">
        <f t="shared" si="24"/>
        <v>5260</v>
      </c>
      <c r="Z32" s="37">
        <f t="shared" si="25"/>
        <v>2400</v>
      </c>
      <c r="AA32" s="37">
        <f t="shared" si="26"/>
        <v>2840</v>
      </c>
      <c r="AB32" s="37">
        <f t="shared" si="27"/>
        <v>6840</v>
      </c>
      <c r="AC32" s="37">
        <f t="shared" si="28"/>
        <v>12900</v>
      </c>
      <c r="AD32" s="35">
        <f t="shared" si="29"/>
        <v>64510</v>
      </c>
      <c r="AF32" s="20">
        <f t="shared" si="1"/>
        <v>4.9000000000000004</v>
      </c>
      <c r="AG32" s="20">
        <f t="shared" si="2"/>
        <v>61.550000000000004</v>
      </c>
      <c r="AH32" s="20">
        <f t="shared" si="3"/>
        <v>15.05</v>
      </c>
      <c r="AI32" s="20">
        <f t="shared" si="4"/>
        <v>7.8500000000000005</v>
      </c>
      <c r="AJ32" s="20">
        <f t="shared" si="5"/>
        <v>21.85</v>
      </c>
      <c r="AK32" s="20">
        <f t="shared" si="6"/>
        <v>20.05</v>
      </c>
      <c r="AL32" s="20">
        <f t="shared" si="7"/>
        <v>17</v>
      </c>
      <c r="AM32" s="20">
        <f t="shared" si="8"/>
        <v>23.1</v>
      </c>
      <c r="AN32" s="20">
        <f t="shared" si="9"/>
        <v>26.3</v>
      </c>
      <c r="AO32" s="20">
        <f t="shared" si="10"/>
        <v>12</v>
      </c>
      <c r="AP32" s="20">
        <f t="shared" si="11"/>
        <v>14.200000000000001</v>
      </c>
      <c r="AQ32" s="20">
        <f t="shared" si="12"/>
        <v>34.200000000000003</v>
      </c>
      <c r="AR32" s="20">
        <f t="shared" si="13"/>
        <v>64.5</v>
      </c>
      <c r="AS32" s="35">
        <f t="shared" si="30"/>
        <v>322.55</v>
      </c>
      <c r="AU32" s="55">
        <v>232857</v>
      </c>
      <c r="AV32" s="37">
        <f t="shared" si="34"/>
        <v>1996</v>
      </c>
      <c r="AW32" s="37">
        <f>AV32*100*AV44</f>
        <v>755.56783599999994</v>
      </c>
      <c r="AX32" s="35">
        <f t="shared" si="14"/>
        <v>3.992</v>
      </c>
    </row>
    <row r="33" spans="1:50" x14ac:dyDescent="0.25">
      <c r="A33" s="23">
        <v>44831</v>
      </c>
      <c r="B33" s="40">
        <v>123</v>
      </c>
      <c r="C33" s="24">
        <v>8471070</v>
      </c>
      <c r="D33" s="51">
        <v>20557470</v>
      </c>
      <c r="E33" s="51">
        <v>3628620</v>
      </c>
      <c r="F33" s="51">
        <v>4275390</v>
      </c>
      <c r="G33" s="51">
        <v>12594660</v>
      </c>
      <c r="H33" s="51">
        <v>7398930</v>
      </c>
      <c r="I33" s="51">
        <v>6421120</v>
      </c>
      <c r="J33" s="51">
        <v>7981480</v>
      </c>
      <c r="K33" s="51">
        <v>11651620</v>
      </c>
      <c r="L33" s="51">
        <v>5072980</v>
      </c>
      <c r="M33" s="51">
        <v>9372010</v>
      </c>
      <c r="N33" s="51">
        <v>15429310</v>
      </c>
      <c r="O33" s="51">
        <v>21581110</v>
      </c>
      <c r="Q33" s="37">
        <f>IF((C33-C32&lt;0), "0",C33-C32)</f>
        <v>970</v>
      </c>
      <c r="R33" s="37">
        <f t="shared" si="18"/>
        <v>11200</v>
      </c>
      <c r="S33" s="37">
        <f t="shared" si="16"/>
        <v>3040</v>
      </c>
      <c r="T33" s="37">
        <f t="shared" si="19"/>
        <v>1540</v>
      </c>
      <c r="U33" s="37">
        <f t="shared" si="20"/>
        <v>4470</v>
      </c>
      <c r="V33" s="37">
        <f t="shared" si="21"/>
        <v>4100</v>
      </c>
      <c r="W33" s="37">
        <f t="shared" si="22"/>
        <v>3340</v>
      </c>
      <c r="X33" s="37">
        <f t="shared" si="23"/>
        <v>4730</v>
      </c>
      <c r="Y33" s="37">
        <f t="shared" si="24"/>
        <v>5350</v>
      </c>
      <c r="Z33" s="37">
        <f t="shared" si="25"/>
        <v>2500</v>
      </c>
      <c r="AA33" s="37">
        <f t="shared" si="26"/>
        <v>2890</v>
      </c>
      <c r="AB33" s="37">
        <f t="shared" si="27"/>
        <v>6830</v>
      </c>
      <c r="AC33" s="37">
        <f t="shared" si="28"/>
        <v>11570</v>
      </c>
      <c r="AD33" s="35">
        <f t="shared" si="29"/>
        <v>62530</v>
      </c>
      <c r="AF33" s="20">
        <f t="shared" si="1"/>
        <v>4.8500000000000005</v>
      </c>
      <c r="AG33" s="20">
        <f t="shared" si="2"/>
        <v>56</v>
      </c>
      <c r="AH33" s="20">
        <f t="shared" si="3"/>
        <v>15.200000000000001</v>
      </c>
      <c r="AI33" s="20">
        <f t="shared" si="4"/>
        <v>7.7</v>
      </c>
      <c r="AJ33" s="20">
        <f t="shared" si="5"/>
        <v>22.35</v>
      </c>
      <c r="AK33" s="20">
        <f t="shared" si="6"/>
        <v>20.5</v>
      </c>
      <c r="AL33" s="20">
        <f t="shared" si="7"/>
        <v>16.7</v>
      </c>
      <c r="AM33" s="20">
        <f t="shared" si="8"/>
        <v>23.650000000000002</v>
      </c>
      <c r="AN33" s="20">
        <f t="shared" si="9"/>
        <v>26.75</v>
      </c>
      <c r="AO33" s="20">
        <f t="shared" si="10"/>
        <v>12.5</v>
      </c>
      <c r="AP33" s="20">
        <f t="shared" si="11"/>
        <v>14.450000000000001</v>
      </c>
      <c r="AQ33" s="20">
        <f t="shared" si="12"/>
        <v>34.15</v>
      </c>
      <c r="AR33" s="20">
        <f t="shared" si="13"/>
        <v>57.85</v>
      </c>
      <c r="AS33" s="35">
        <f t="shared" si="30"/>
        <v>312.64999999999998</v>
      </c>
      <c r="AU33" s="54">
        <v>234962</v>
      </c>
      <c r="AV33" s="37">
        <f t="shared" si="34"/>
        <v>2105</v>
      </c>
      <c r="AW33" s="37">
        <f>AV33*100*AV44</f>
        <v>796.82880499999999</v>
      </c>
      <c r="AX33" s="35">
        <f t="shared" si="14"/>
        <v>4.21</v>
      </c>
    </row>
    <row r="34" spans="1:50" x14ac:dyDescent="0.25">
      <c r="A34" s="23">
        <v>44832</v>
      </c>
      <c r="B34" s="48">
        <v>117</v>
      </c>
      <c r="C34" s="47">
        <v>8472130</v>
      </c>
      <c r="D34" s="52">
        <v>20571720</v>
      </c>
      <c r="E34" s="52">
        <v>3630620</v>
      </c>
      <c r="F34" s="52">
        <v>4276990</v>
      </c>
      <c r="G34" s="52">
        <v>12599450</v>
      </c>
      <c r="H34" s="52">
        <v>7403030</v>
      </c>
      <c r="I34" s="52">
        <v>6424480</v>
      </c>
      <c r="J34" s="52">
        <v>7986330</v>
      </c>
      <c r="K34" s="52">
        <v>11657120</v>
      </c>
      <c r="L34" s="52">
        <v>5075590</v>
      </c>
      <c r="M34" s="52">
        <v>9375170</v>
      </c>
      <c r="N34" s="52">
        <v>15436460</v>
      </c>
      <c r="O34" s="52">
        <v>21592720</v>
      </c>
      <c r="Q34" s="37">
        <f>IF((C34-C33&lt;0), "0",C34-C33)</f>
        <v>1060</v>
      </c>
      <c r="R34" s="37">
        <f t="shared" si="18"/>
        <v>14250</v>
      </c>
      <c r="S34" s="37">
        <f t="shared" si="16"/>
        <v>2000</v>
      </c>
      <c r="T34" s="37">
        <f t="shared" si="19"/>
        <v>1600</v>
      </c>
      <c r="U34" s="37">
        <f t="shared" si="20"/>
        <v>4790</v>
      </c>
      <c r="V34" s="37">
        <f t="shared" si="21"/>
        <v>4100</v>
      </c>
      <c r="W34" s="37">
        <f t="shared" si="22"/>
        <v>3360</v>
      </c>
      <c r="X34" s="37">
        <f t="shared" si="23"/>
        <v>4850</v>
      </c>
      <c r="Y34" s="37">
        <f t="shared" si="24"/>
        <v>5500</v>
      </c>
      <c r="Z34" s="37">
        <f t="shared" si="25"/>
        <v>2610</v>
      </c>
      <c r="AA34" s="37">
        <f t="shared" si="26"/>
        <v>3160</v>
      </c>
      <c r="AB34" s="37">
        <f t="shared" si="27"/>
        <v>7150</v>
      </c>
      <c r="AC34" s="37">
        <f t="shared" si="28"/>
        <v>11610</v>
      </c>
      <c r="AD34" s="35">
        <f t="shared" si="29"/>
        <v>66040</v>
      </c>
      <c r="AF34" s="20">
        <f>Q34*$D$39</f>
        <v>5.3</v>
      </c>
      <c r="AG34" s="20">
        <f t="shared" si="2"/>
        <v>71.25</v>
      </c>
      <c r="AH34" s="20">
        <f t="shared" si="3"/>
        <v>10</v>
      </c>
      <c r="AI34" s="20">
        <f t="shared" si="4"/>
        <v>8</v>
      </c>
      <c r="AJ34" s="20">
        <f t="shared" si="5"/>
        <v>23.95</v>
      </c>
      <c r="AK34" s="20">
        <f t="shared" si="6"/>
        <v>20.5</v>
      </c>
      <c r="AL34" s="20">
        <f t="shared" si="7"/>
        <v>16.8</v>
      </c>
      <c r="AM34" s="20">
        <f t="shared" si="8"/>
        <v>24.25</v>
      </c>
      <c r="AN34" s="20">
        <f t="shared" si="9"/>
        <v>27.5</v>
      </c>
      <c r="AO34" s="20">
        <f t="shared" si="10"/>
        <v>13.05</v>
      </c>
      <c r="AP34" s="20">
        <f t="shared" si="11"/>
        <v>15.8</v>
      </c>
      <c r="AQ34" s="20">
        <f t="shared" si="12"/>
        <v>35.75</v>
      </c>
      <c r="AR34" s="20">
        <f t="shared" si="13"/>
        <v>58.050000000000004</v>
      </c>
      <c r="AS34" s="35">
        <f>SUM(AF34:AR34)</f>
        <v>330.20000000000005</v>
      </c>
      <c r="AU34" s="55">
        <v>237107</v>
      </c>
      <c r="AV34" s="37">
        <f t="shared" si="34"/>
        <v>2145</v>
      </c>
      <c r="AW34" s="37">
        <f>AV34*100*AV44</f>
        <v>811.97044499999993</v>
      </c>
      <c r="AX34" s="35">
        <f t="shared" si="14"/>
        <v>4.29</v>
      </c>
    </row>
    <row r="35" spans="1:50" x14ac:dyDescent="0.25">
      <c r="A35" s="23">
        <v>44833</v>
      </c>
      <c r="B35" s="40">
        <v>111</v>
      </c>
      <c r="C35" s="61" t="s">
        <v>94</v>
      </c>
      <c r="D35" s="61" t="s">
        <v>95</v>
      </c>
      <c r="E35" s="61" t="s">
        <v>96</v>
      </c>
      <c r="F35" s="61" t="s">
        <v>97</v>
      </c>
      <c r="G35" s="61" t="s">
        <v>98</v>
      </c>
      <c r="H35" s="61" t="s">
        <v>99</v>
      </c>
      <c r="I35" s="61" t="s">
        <v>100</v>
      </c>
      <c r="J35" s="61" t="s">
        <v>101</v>
      </c>
      <c r="K35" s="61" t="s">
        <v>102</v>
      </c>
      <c r="L35" s="61" t="s">
        <v>103</v>
      </c>
      <c r="M35" s="61" t="s">
        <v>104</v>
      </c>
      <c r="N35" s="61" t="s">
        <v>105</v>
      </c>
      <c r="O35" s="61" t="s">
        <v>106</v>
      </c>
      <c r="Q35" s="37">
        <f>IF((C35-C34&lt;0), "0",C35-C34)</f>
        <v>920</v>
      </c>
      <c r="R35" s="37">
        <f t="shared" si="18"/>
        <v>12900</v>
      </c>
      <c r="S35" s="37">
        <f t="shared" si="16"/>
        <v>2290</v>
      </c>
      <c r="T35" s="37">
        <f t="shared" si="19"/>
        <v>1520</v>
      </c>
      <c r="U35" s="37">
        <f t="shared" si="20"/>
        <v>4720</v>
      </c>
      <c r="V35" s="37">
        <f t="shared" si="21"/>
        <v>4280</v>
      </c>
      <c r="W35" s="37">
        <f t="shared" si="22"/>
        <v>3270</v>
      </c>
      <c r="X35" s="37">
        <f t="shared" si="23"/>
        <v>4760</v>
      </c>
      <c r="Y35" s="37">
        <f t="shared" si="24"/>
        <v>5520</v>
      </c>
      <c r="Z35" s="37">
        <f t="shared" si="25"/>
        <v>2630</v>
      </c>
      <c r="AA35" s="37">
        <f t="shared" si="26"/>
        <v>3100</v>
      </c>
      <c r="AB35" s="37">
        <f t="shared" si="27"/>
        <v>7020</v>
      </c>
      <c r="AC35" s="37">
        <f t="shared" si="28"/>
        <v>11180</v>
      </c>
      <c r="AD35" s="35">
        <f t="shared" si="29"/>
        <v>64110</v>
      </c>
      <c r="AF35" s="20">
        <f t="shared" si="1"/>
        <v>4.6000000000000005</v>
      </c>
      <c r="AG35" s="20">
        <f t="shared" si="2"/>
        <v>64.5</v>
      </c>
      <c r="AH35" s="20">
        <f t="shared" si="3"/>
        <v>11.450000000000001</v>
      </c>
      <c r="AI35" s="20">
        <f t="shared" si="4"/>
        <v>7.6000000000000005</v>
      </c>
      <c r="AJ35" s="20">
        <f t="shared" si="5"/>
        <v>23.6</v>
      </c>
      <c r="AK35" s="20">
        <f t="shared" si="6"/>
        <v>21.400000000000002</v>
      </c>
      <c r="AL35" s="20">
        <f t="shared" si="7"/>
        <v>16.350000000000001</v>
      </c>
      <c r="AM35" s="20">
        <f t="shared" si="8"/>
        <v>23.8</v>
      </c>
      <c r="AN35" s="20">
        <f t="shared" si="9"/>
        <v>27.6</v>
      </c>
      <c r="AO35" s="20">
        <f t="shared" si="10"/>
        <v>13.15</v>
      </c>
      <c r="AP35" s="20">
        <f t="shared" si="11"/>
        <v>15.5</v>
      </c>
      <c r="AQ35" s="20">
        <f t="shared" si="12"/>
        <v>35.1</v>
      </c>
      <c r="AR35" s="20">
        <f t="shared" si="13"/>
        <v>55.9</v>
      </c>
      <c r="AS35" s="35">
        <f>SUM(AF35:AR35)</f>
        <v>320.55</v>
      </c>
      <c r="AU35" s="62" t="s">
        <v>120</v>
      </c>
      <c r="AV35" s="37">
        <f t="shared" si="34"/>
        <v>1940</v>
      </c>
      <c r="AW35" s="37">
        <f>AV35*100*AV44</f>
        <v>734.36954000000003</v>
      </c>
      <c r="AX35" s="35">
        <f t="shared" si="14"/>
        <v>3.88</v>
      </c>
    </row>
    <row r="36" spans="1:50" x14ac:dyDescent="0.25">
      <c r="A36" s="23">
        <v>44834</v>
      </c>
      <c r="B36" s="40">
        <v>123</v>
      </c>
      <c r="C36" s="56" t="s">
        <v>107</v>
      </c>
      <c r="D36" s="56" t="s">
        <v>108</v>
      </c>
      <c r="E36" s="56" t="s">
        <v>109</v>
      </c>
      <c r="F36" s="56" t="s">
        <v>110</v>
      </c>
      <c r="G36" s="56" t="s">
        <v>111</v>
      </c>
      <c r="H36" s="56" t="s">
        <v>112</v>
      </c>
      <c r="I36" s="56" t="s">
        <v>113</v>
      </c>
      <c r="J36" s="56" t="s">
        <v>114</v>
      </c>
      <c r="K36" s="56" t="s">
        <v>115</v>
      </c>
      <c r="L36" s="56" t="s">
        <v>116</v>
      </c>
      <c r="M36" s="56" t="s">
        <v>117</v>
      </c>
      <c r="N36" s="56" t="s">
        <v>118</v>
      </c>
      <c r="O36" s="56" t="s">
        <v>119</v>
      </c>
      <c r="Q36" s="37">
        <f t="shared" ref="Q36:AA36" si="35">IF((C36-C35&lt;0), "0",C36-C35)</f>
        <v>1030</v>
      </c>
      <c r="R36" s="37">
        <f t="shared" si="18"/>
        <v>12950</v>
      </c>
      <c r="S36" s="37">
        <f t="shared" si="35"/>
        <v>3150</v>
      </c>
      <c r="T36" s="37">
        <f t="shared" si="35"/>
        <v>1580</v>
      </c>
      <c r="U36" s="37">
        <f t="shared" si="35"/>
        <v>4910</v>
      </c>
      <c r="V36" s="37">
        <f t="shared" si="35"/>
        <v>4340</v>
      </c>
      <c r="W36" s="37">
        <f t="shared" si="35"/>
        <v>3730</v>
      </c>
      <c r="X36" s="37">
        <f t="shared" si="23"/>
        <v>4790</v>
      </c>
      <c r="Y36" s="37">
        <f t="shared" si="35"/>
        <v>5730</v>
      </c>
      <c r="Z36" s="37">
        <f t="shared" si="35"/>
        <v>2750</v>
      </c>
      <c r="AA36" s="37">
        <f t="shared" si="35"/>
        <v>3330</v>
      </c>
      <c r="AB36" s="37">
        <f t="shared" si="27"/>
        <v>7290</v>
      </c>
      <c r="AC36" s="37">
        <f t="shared" si="28"/>
        <v>11570</v>
      </c>
      <c r="AD36" s="35">
        <f t="shared" si="29"/>
        <v>67150</v>
      </c>
      <c r="AF36" s="20">
        <f t="shared" si="1"/>
        <v>5.15</v>
      </c>
      <c r="AG36" s="20">
        <f t="shared" si="2"/>
        <v>64.75</v>
      </c>
      <c r="AH36" s="20">
        <f t="shared" si="3"/>
        <v>15.75</v>
      </c>
      <c r="AI36" s="20">
        <f t="shared" si="4"/>
        <v>7.9</v>
      </c>
      <c r="AJ36" s="20">
        <f t="shared" si="5"/>
        <v>24.55</v>
      </c>
      <c r="AK36" s="20">
        <f t="shared" si="6"/>
        <v>21.7</v>
      </c>
      <c r="AL36" s="20">
        <f t="shared" si="7"/>
        <v>18.650000000000002</v>
      </c>
      <c r="AM36" s="20">
        <f t="shared" si="8"/>
        <v>23.95</v>
      </c>
      <c r="AN36" s="20">
        <f t="shared" si="9"/>
        <v>28.650000000000002</v>
      </c>
      <c r="AO36" s="20">
        <f t="shared" si="10"/>
        <v>13.75</v>
      </c>
      <c r="AP36" s="20">
        <f t="shared" si="11"/>
        <v>16.649999999999999</v>
      </c>
      <c r="AQ36" s="20">
        <f t="shared" si="12"/>
        <v>36.450000000000003</v>
      </c>
      <c r="AR36" s="20">
        <f t="shared" si="13"/>
        <v>57.85</v>
      </c>
      <c r="AS36" s="35">
        <f>SUM(AF36:AR36)</f>
        <v>335.75000000000006</v>
      </c>
      <c r="AU36" s="57" t="s">
        <v>121</v>
      </c>
      <c r="AV36" s="37">
        <f t="shared" si="34"/>
        <v>1934</v>
      </c>
      <c r="AW36" s="37">
        <f>AV36*100*AV44</f>
        <v>732.09829400000001</v>
      </c>
      <c r="AX36" s="35">
        <f t="shared" ref="AX36:AX37" si="36">AV36*$D$40</f>
        <v>3.8679999999999999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 t="str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65110</v>
      </c>
      <c r="R38" s="38">
        <f t="shared" ref="R38:AD38" si="60">SUM(R7:R37)</f>
        <v>419020</v>
      </c>
      <c r="S38" s="38">
        <f t="shared" si="60"/>
        <v>106890</v>
      </c>
      <c r="T38" s="38">
        <f t="shared" si="60"/>
        <v>49540</v>
      </c>
      <c r="U38" s="38">
        <f t="shared" si="60"/>
        <v>133550</v>
      </c>
      <c r="V38" s="38">
        <f t="shared" si="60"/>
        <v>125020</v>
      </c>
      <c r="W38" s="38">
        <f t="shared" si="60"/>
        <v>99540</v>
      </c>
      <c r="X38" s="38">
        <f t="shared" si="60"/>
        <v>133200</v>
      </c>
      <c r="Y38" s="38">
        <f t="shared" si="60"/>
        <v>166490</v>
      </c>
      <c r="Z38" s="38">
        <f t="shared" si="60"/>
        <v>75310</v>
      </c>
      <c r="AA38" s="38">
        <f t="shared" si="60"/>
        <v>87150</v>
      </c>
      <c r="AB38" s="38">
        <f t="shared" si="60"/>
        <v>209320</v>
      </c>
      <c r="AC38" s="38">
        <f t="shared" si="60"/>
        <v>304720</v>
      </c>
      <c r="AD38" s="38">
        <f t="shared" si="60"/>
        <v>1974860</v>
      </c>
      <c r="AF38" s="35">
        <f>SUM(AF7:AF37)</f>
        <v>325.55</v>
      </c>
      <c r="AG38" s="35">
        <f t="shared" ref="AG38:AS38" si="61">SUM(AG7:AG37)</f>
        <v>2095.1</v>
      </c>
      <c r="AH38" s="35">
        <f t="shared" si="61"/>
        <v>534.44999999999993</v>
      </c>
      <c r="AI38" s="35">
        <f t="shared" si="61"/>
        <v>247.7</v>
      </c>
      <c r="AJ38" s="35">
        <f t="shared" si="61"/>
        <v>667.75000000000023</v>
      </c>
      <c r="AK38" s="35">
        <f t="shared" si="61"/>
        <v>625.1</v>
      </c>
      <c r="AL38" s="35">
        <f t="shared" si="61"/>
        <v>497.7</v>
      </c>
      <c r="AM38" s="35">
        <f t="shared" si="61"/>
        <v>666.00000000000023</v>
      </c>
      <c r="AN38" s="35">
        <f t="shared" si="61"/>
        <v>832.44999999999993</v>
      </c>
      <c r="AO38" s="35">
        <f t="shared" si="61"/>
        <v>376.55</v>
      </c>
      <c r="AP38" s="35">
        <f t="shared" si="61"/>
        <v>435.74999999999994</v>
      </c>
      <c r="AQ38" s="35">
        <f t="shared" si="61"/>
        <v>1046.5999999999999</v>
      </c>
      <c r="AR38" s="35">
        <f t="shared" si="61"/>
        <v>1523.6</v>
      </c>
      <c r="AS38" s="35">
        <f t="shared" si="61"/>
        <v>9874.2999999999993</v>
      </c>
      <c r="AU38" s="46"/>
      <c r="AV38" s="34">
        <f>SUM(AV7:AV37)</f>
        <v>65586</v>
      </c>
      <c r="AW38" s="34">
        <f>SUM(AW7:AW37)</f>
        <v>24826.990025999996</v>
      </c>
      <c r="AX38" s="35">
        <f>SUM(AX7:AX37)</f>
        <v>131.172</v>
      </c>
    </row>
    <row r="39" spans="1:50" x14ac:dyDescent="0.25">
      <c r="B39" s="39">
        <f>SUM(B7:B36)</f>
        <v>3196</v>
      </c>
      <c r="D39">
        <v>5.0000000000000001E-3</v>
      </c>
      <c r="AV39" s="36"/>
      <c r="AW39" s="50">
        <f>AW38/31</f>
        <v>800.87064599999985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 C29:O30 AU29:AU30 C35:O36 AU35:AU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2022-10-01T04:24:44Z</dcterms:modified>
</cp:coreProperties>
</file>