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K38" i="7" l="1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<sst xmlns="http://schemas.openxmlformats.org/spreadsheetml/2006/main" count="128" uniqueCount="49">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</sst>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41200</v>
      </c>
      <c r="F2" s="11">
        <v>5.0000000000000001E-3</v>
      </c>
      <c r="G2" s="12">
        <f>Submetering!R2</f>
        <v>594.68791099999999</v>
      </c>
      <c r="H2" s="11">
        <v>0.52800000000000002</v>
      </c>
      <c r="I2" s="12">
        <f>Hotel!B7</f>
        <v>92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64600</v>
      </c>
      <c r="F3" s="11">
        <v>5.0000000000000001E-3</v>
      </c>
      <c r="G3" s="12">
        <f>Submetering!R3</f>
        <v>1141.301115</v>
      </c>
      <c r="H3" s="11">
        <v>0.52800000000000002</v>
      </c>
      <c r="I3" s="12">
        <f>Hotel!B8</f>
        <v>86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61180</v>
      </c>
      <c r="F4" s="11">
        <v>5.0000000000000001E-3</v>
      </c>
      <c r="G4" s="12">
        <f>Submetering!R4</f>
        <v>899.41341599999998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61270</v>
      </c>
      <c r="F5" s="11">
        <v>5.0000000000000001E-3</v>
      </c>
      <c r="G5" s="12">
        <f>Submetering!R5</f>
        <v>1323.0007949999999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60890</v>
      </c>
      <c r="F6" s="11">
        <v>5.0000000000000001E-3</v>
      </c>
      <c r="G6" s="12">
        <f>Submetering!R6</f>
        <v>1030.010061</v>
      </c>
      <c r="H6" s="11">
        <v>0.52800000000000002</v>
      </c>
      <c r="I6" s="12">
        <f>Hotel!B11</f>
        <v>108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62630</v>
      </c>
      <c r="F7" s="11">
        <v>5.0000000000000001E-3</v>
      </c>
      <c r="G7" s="12">
        <f>Submetering!R7</f>
        <v>1034.1740119999999</v>
      </c>
      <c r="H7" s="11">
        <v>0.52800000000000002</v>
      </c>
      <c r="I7" s="12">
        <f>Hotel!B12</f>
        <v>137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64900</v>
      </c>
      <c r="F8" s="11">
        <v>5.0000000000000001E-3</v>
      </c>
      <c r="G8" s="12">
        <f>Submetering!R8</f>
        <v>1028.8744379999998</v>
      </c>
      <c r="H8" s="11">
        <v>0.52800000000000002</v>
      </c>
      <c r="I8" s="12">
        <f>Hotel!B13</f>
        <v>158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62970</v>
      </c>
      <c r="F9" s="11">
        <v>5.0000000000000001E-3</v>
      </c>
      <c r="G9" s="12">
        <f>Submetering!R9</f>
        <v>1054.6152259999999</v>
      </c>
      <c r="H9" s="11">
        <v>0.52800000000000002</v>
      </c>
      <c r="I9" s="12">
        <f>Hotel!B14</f>
        <v>123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65930</v>
      </c>
      <c r="F10" s="11">
        <v>5.0000000000000001E-3</v>
      </c>
      <c r="G10" s="12">
        <f>Submetering!R10</f>
        <v>1020.5465359999999</v>
      </c>
      <c r="H10" s="11">
        <v>0.52800000000000002</v>
      </c>
      <c r="I10" s="12">
        <f>Hotel!B15</f>
        <v>74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8</v>
      </c>
      <c r="D2" s="11">
        <v>2021</v>
      </c>
      <c r="E2" s="4">
        <f>Hotel!Q7</f>
        <v>650</v>
      </c>
      <c r="F2" s="4">
        <f>Hotel!R7</f>
        <v>9390</v>
      </c>
      <c r="G2" s="4">
        <f>Hotel!S7</f>
        <v>2580</v>
      </c>
      <c r="H2" s="4">
        <f>Hotel!T7</f>
        <v>1100</v>
      </c>
      <c r="I2" s="4">
        <f>Hotel!U7</f>
        <v>2900</v>
      </c>
      <c r="J2" s="4">
        <f>Hotel!V7</f>
        <v>2270</v>
      </c>
      <c r="K2" s="4">
        <f>Hotel!W7</f>
        <v>1530</v>
      </c>
      <c r="L2" s="4">
        <f>Hotel!X7</f>
        <v>2630</v>
      </c>
      <c r="M2" s="4">
        <f>Hotel!Y7</f>
        <v>3540</v>
      </c>
      <c r="N2" s="4">
        <f>Hotel!Z7</f>
        <v>1790</v>
      </c>
      <c r="O2" s="4">
        <f>Hotel!AA7</f>
        <v>2180</v>
      </c>
      <c r="P2" s="4">
        <f>Hotel!AB7</f>
        <v>5290</v>
      </c>
      <c r="Q2" s="4">
        <f>Hotel!AC7</f>
        <v>5350</v>
      </c>
      <c r="R2" s="4">
        <f>Hotel!AV7*0.00378541*100</f>
        <v>594.68791099999999</v>
      </c>
      <c r="S2" s="4">
        <f>Hotel!B7</f>
        <v>92</v>
      </c>
    </row>
    <row r="3" spans="1:19" x14ac:dyDescent="0.25">
      <c r="A3" s="21" t="s">
        <v>31</v>
      </c>
      <c r="B3" s="2">
        <f>B2+1</f>
        <v>2</v>
      </c>
      <c r="C3" s="3">
        <v>8</v>
      </c>
      <c r="D3" s="11">
        <v>2021</v>
      </c>
      <c r="E3" s="4">
        <f>Hotel!Q8</f>
        <v>1020</v>
      </c>
      <c r="F3" s="4">
        <f>Hotel!R8</f>
        <v>14570</v>
      </c>
      <c r="G3" s="4">
        <f>Hotel!S8</f>
        <v>4500</v>
      </c>
      <c r="H3" s="4">
        <f>Hotel!T8</f>
        <v>1710</v>
      </c>
      <c r="I3" s="4">
        <f>Hotel!U8</f>
        <v>4480</v>
      </c>
      <c r="J3" s="4">
        <f>Hotel!V8</f>
        <v>3480</v>
      </c>
      <c r="K3" s="4">
        <f>Hotel!W8</f>
        <v>2400</v>
      </c>
      <c r="L3" s="4">
        <f>Hotel!X8</f>
        <v>3740</v>
      </c>
      <c r="M3" s="4">
        <f>Hotel!Y8</f>
        <v>5540</v>
      </c>
      <c r="N3" s="4">
        <f>Hotel!Z8</f>
        <v>2640</v>
      </c>
      <c r="O3" s="4">
        <f>Hotel!AA8</f>
        <v>3130</v>
      </c>
      <c r="P3" s="4">
        <f>Hotel!AB8</f>
        <v>8070</v>
      </c>
      <c r="Q3" s="4">
        <f>Hotel!AC8</f>
        <v>9320</v>
      </c>
      <c r="R3" s="4">
        <f>Hotel!AV8*0.00378541*100</f>
        <v>1141.301115</v>
      </c>
      <c r="S3" s="4">
        <f>Hotel!B8</f>
        <v>86</v>
      </c>
    </row>
    <row r="4" spans="1:19" x14ac:dyDescent="0.25">
      <c r="A4" s="21" t="s">
        <v>31</v>
      </c>
      <c r="B4" s="2">
        <f t="shared" ref="B4:B29" si="0">B3+1</f>
        <v>3</v>
      </c>
      <c r="C4" s="3">
        <v>8</v>
      </c>
      <c r="D4" s="11">
        <v>2021</v>
      </c>
      <c r="E4" s="4">
        <f>Hotel!Q9</f>
        <v>1000</v>
      </c>
      <c r="F4" s="4">
        <f>Hotel!R9</f>
        <v>13540</v>
      </c>
      <c r="G4" s="4">
        <f>Hotel!S9</f>
        <v>3150</v>
      </c>
      <c r="H4" s="4">
        <f>Hotel!T9</f>
        <v>1660</v>
      </c>
      <c r="I4" s="4">
        <f>Hotel!U9</f>
        <v>4280</v>
      </c>
      <c r="J4" s="4">
        <f>Hotel!V9</f>
        <v>3330</v>
      </c>
      <c r="K4" s="4">
        <f>Hotel!W9</f>
        <v>2330</v>
      </c>
      <c r="L4" s="4">
        <f>Hotel!X9</f>
        <v>4010</v>
      </c>
      <c r="M4" s="4">
        <f>Hotel!Y9</f>
        <v>5380</v>
      </c>
      <c r="N4" s="4">
        <f>Hotel!Z9</f>
        <v>2620</v>
      </c>
      <c r="O4" s="4">
        <f>Hotel!AA9</f>
        <v>2910</v>
      </c>
      <c r="P4" s="4">
        <f>Hotel!AB9</f>
        <v>7830</v>
      </c>
      <c r="Q4" s="4">
        <f>Hotel!AC9</f>
        <v>9140</v>
      </c>
      <c r="R4" s="4">
        <f>Hotel!AV9*0.00378541*100</f>
        <v>899.41341599999998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3">
        <v>8</v>
      </c>
      <c r="D5" s="11">
        <v>2021</v>
      </c>
      <c r="E5" s="4">
        <f>Hotel!Q10</f>
        <v>1000</v>
      </c>
      <c r="F5" s="4">
        <f>Hotel!R10</f>
        <v>14000</v>
      </c>
      <c r="G5" s="4">
        <f>Hotel!S10</f>
        <v>3800</v>
      </c>
      <c r="H5" s="4">
        <f>Hotel!T10</f>
        <v>1680</v>
      </c>
      <c r="I5" s="4">
        <f>Hotel!U10</f>
        <v>4220</v>
      </c>
      <c r="J5" s="4">
        <f>Hotel!V10</f>
        <v>3390</v>
      </c>
      <c r="K5" s="4">
        <f>Hotel!W10</f>
        <v>2330</v>
      </c>
      <c r="L5" s="4">
        <f>Hotel!X10</f>
        <v>4110</v>
      </c>
      <c r="M5" s="4">
        <f>Hotel!Y10</f>
        <v>5300</v>
      </c>
      <c r="N5" s="4">
        <f>Hotel!Z10</f>
        <v>2580</v>
      </c>
      <c r="O5" s="4">
        <f>Hotel!AA10</f>
        <v>2850</v>
      </c>
      <c r="P5" s="4">
        <f>Hotel!AB10</f>
        <v>7730</v>
      </c>
      <c r="Q5" s="4">
        <f>Hotel!AC10</f>
        <v>8280</v>
      </c>
      <c r="R5" s="4">
        <f>Hotel!AV10*0.00378541*100</f>
        <v>1323.0007949999999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8</v>
      </c>
      <c r="D6" s="11">
        <v>2021</v>
      </c>
      <c r="E6" s="4">
        <f>Hotel!Q11</f>
        <v>980</v>
      </c>
      <c r="F6" s="4">
        <f>Hotel!R11</f>
        <v>13920</v>
      </c>
      <c r="G6" s="4">
        <f>Hotel!S11</f>
        <v>3810</v>
      </c>
      <c r="H6" s="4">
        <f>Hotel!T11</f>
        <v>1640</v>
      </c>
      <c r="I6" s="4">
        <f>Hotel!U11</f>
        <v>4060</v>
      </c>
      <c r="J6" s="4">
        <f>Hotel!V11</f>
        <v>3360</v>
      </c>
      <c r="K6" s="4">
        <f>Hotel!W11</f>
        <v>2300</v>
      </c>
      <c r="L6" s="4">
        <f>Hotel!X11</f>
        <v>3980</v>
      </c>
      <c r="M6" s="4">
        <f>Hotel!Y11</f>
        <v>5420</v>
      </c>
      <c r="N6" s="4">
        <f>Hotel!Z11</f>
        <v>2590</v>
      </c>
      <c r="O6" s="4">
        <f>Hotel!AA11</f>
        <v>2990</v>
      </c>
      <c r="P6" s="4">
        <f>Hotel!AB11</f>
        <v>7610</v>
      </c>
      <c r="Q6" s="4">
        <f>Hotel!AC11</f>
        <v>8230</v>
      </c>
      <c r="R6" s="4">
        <f>Hotel!AV11*0.00378541*100</f>
        <v>1030.010061</v>
      </c>
      <c r="S6" s="4">
        <f>Hotel!B11</f>
        <v>108</v>
      </c>
    </row>
    <row r="7" spans="1:19" x14ac:dyDescent="0.25">
      <c r="A7" s="21" t="s">
        <v>31</v>
      </c>
      <c r="B7" s="2">
        <f t="shared" si="0"/>
        <v>6</v>
      </c>
      <c r="C7" s="3">
        <v>8</v>
      </c>
      <c r="D7" s="11">
        <v>2021</v>
      </c>
      <c r="E7" s="4">
        <f>Hotel!Q12</f>
        <v>980</v>
      </c>
      <c r="F7" s="4">
        <f>Hotel!R12</f>
        <v>14170</v>
      </c>
      <c r="G7" s="4">
        <f>Hotel!S12</f>
        <v>3900</v>
      </c>
      <c r="H7" s="4">
        <f>Hotel!T12</f>
        <v>1650</v>
      </c>
      <c r="I7" s="4">
        <f>Hotel!U12</f>
        <v>4290</v>
      </c>
      <c r="J7" s="4">
        <f>Hotel!V12</f>
        <v>3470</v>
      </c>
      <c r="K7" s="4">
        <f>Hotel!W12</f>
        <v>2300</v>
      </c>
      <c r="L7" s="4">
        <f>Hotel!X12</f>
        <v>4210</v>
      </c>
      <c r="M7" s="4">
        <f>Hotel!Y12</f>
        <v>5640</v>
      </c>
      <c r="N7" s="4">
        <f>Hotel!Z12</f>
        <v>2710</v>
      </c>
      <c r="O7" s="4">
        <f>Hotel!AA12</f>
        <v>3120</v>
      </c>
      <c r="P7" s="4">
        <f>Hotel!AB12</f>
        <v>7720</v>
      </c>
      <c r="Q7" s="4">
        <f>Hotel!AC12</f>
        <v>8470</v>
      </c>
      <c r="R7" s="4">
        <f>Hotel!AV12*0.00378541*100</f>
        <v>1034.1740119999999</v>
      </c>
      <c r="S7" s="4">
        <f>Hotel!B12</f>
        <v>137</v>
      </c>
    </row>
    <row r="8" spans="1:19" x14ac:dyDescent="0.25">
      <c r="A8" s="21" t="s">
        <v>31</v>
      </c>
      <c r="B8" s="2">
        <f t="shared" si="0"/>
        <v>7</v>
      </c>
      <c r="C8" s="3">
        <v>8</v>
      </c>
      <c r="D8" s="11">
        <v>2021</v>
      </c>
      <c r="E8" s="4">
        <f>Hotel!Q13</f>
        <v>1010</v>
      </c>
      <c r="F8" s="4">
        <f>Hotel!R13</f>
        <v>15220</v>
      </c>
      <c r="G8" s="4">
        <f>Hotel!S13</f>
        <v>4260</v>
      </c>
      <c r="H8" s="4">
        <f>Hotel!T13</f>
        <v>1710</v>
      </c>
      <c r="I8" s="4">
        <f>Hotel!U13</f>
        <v>4380</v>
      </c>
      <c r="J8" s="4">
        <f>Hotel!V13</f>
        <v>3620</v>
      </c>
      <c r="K8" s="4">
        <f>Hotel!W13</f>
        <v>2360</v>
      </c>
      <c r="L8" s="4">
        <f>Hotel!X13</f>
        <v>4240</v>
      </c>
      <c r="M8" s="4">
        <f>Hotel!Y13</f>
        <v>5860</v>
      </c>
      <c r="N8" s="4">
        <f>Hotel!Z13</f>
        <v>2770</v>
      </c>
      <c r="O8" s="4">
        <f>Hotel!AA13</f>
        <v>3270</v>
      </c>
      <c r="P8" s="4">
        <f>Hotel!AB13</f>
        <v>7800</v>
      </c>
      <c r="Q8" s="4">
        <f>Hotel!AC13</f>
        <v>8400</v>
      </c>
      <c r="R8" s="4">
        <f>Hotel!AV13*0.00378541*100</f>
        <v>1028.8744379999998</v>
      </c>
      <c r="S8" s="4">
        <f>Hotel!B13</f>
        <v>158</v>
      </c>
    </row>
    <row r="9" spans="1:19" x14ac:dyDescent="0.25">
      <c r="A9" s="21" t="s">
        <v>31</v>
      </c>
      <c r="B9" s="2">
        <f t="shared" si="0"/>
        <v>8</v>
      </c>
      <c r="C9" s="3">
        <v>8</v>
      </c>
      <c r="D9" s="11">
        <v>2021</v>
      </c>
      <c r="E9" s="4">
        <f>Hotel!Q14</f>
        <v>1000</v>
      </c>
      <c r="F9" s="4">
        <f>Hotel!R14</f>
        <v>14290</v>
      </c>
      <c r="G9" s="4">
        <f>Hotel!S14</f>
        <v>3920</v>
      </c>
      <c r="H9" s="4">
        <f>Hotel!T14</f>
        <v>1670</v>
      </c>
      <c r="I9" s="4">
        <f>Hotel!U14</f>
        <v>4360</v>
      </c>
      <c r="J9" s="4">
        <f>Hotel!V14</f>
        <v>3540</v>
      </c>
      <c r="K9" s="4">
        <f>Hotel!W14</f>
        <v>2320</v>
      </c>
      <c r="L9" s="4">
        <f>Hotel!X14</f>
        <v>3870</v>
      </c>
      <c r="M9" s="4">
        <f>Hotel!Y14</f>
        <v>5670</v>
      </c>
      <c r="N9" s="4">
        <f>Hotel!Z14</f>
        <v>2850</v>
      </c>
      <c r="O9" s="4">
        <f>Hotel!AA14</f>
        <v>3180</v>
      </c>
      <c r="P9" s="4">
        <f>Hotel!AB14</f>
        <v>7700</v>
      </c>
      <c r="Q9" s="4">
        <f>Hotel!AC14</f>
        <v>8600</v>
      </c>
      <c r="R9" s="4">
        <f>Hotel!AV14*0.00378541*100</f>
        <v>1054.6152259999999</v>
      </c>
      <c r="S9" s="4">
        <f>Hotel!B14</f>
        <v>123</v>
      </c>
    </row>
    <row r="10" spans="1:19" x14ac:dyDescent="0.25">
      <c r="A10" s="21" t="s">
        <v>31</v>
      </c>
      <c r="B10" s="2">
        <f t="shared" si="0"/>
        <v>9</v>
      </c>
      <c r="C10" s="3">
        <v>8</v>
      </c>
      <c r="D10" s="11">
        <v>2021</v>
      </c>
      <c r="E10" s="4">
        <f>Hotel!Q15</f>
        <v>1050</v>
      </c>
      <c r="F10" s="4">
        <f>Hotel!R15</f>
        <v>14670</v>
      </c>
      <c r="G10" s="4">
        <f>Hotel!S15</f>
        <v>3980</v>
      </c>
      <c r="H10" s="4">
        <f>Hotel!T15</f>
        <v>1770</v>
      </c>
      <c r="I10" s="4">
        <f>Hotel!U15</f>
        <v>4470</v>
      </c>
      <c r="J10" s="4">
        <f>Hotel!V15</f>
        <v>3710</v>
      </c>
      <c r="K10" s="4">
        <f>Hotel!W15</f>
        <v>2500</v>
      </c>
      <c r="L10" s="4">
        <f>Hotel!X15</f>
        <v>3910</v>
      </c>
      <c r="M10" s="4">
        <f>Hotel!Y15</f>
        <v>5920</v>
      </c>
      <c r="N10" s="4">
        <f>Hotel!Z15</f>
        <v>2820</v>
      </c>
      <c r="O10" s="4">
        <f>Hotel!AA15</f>
        <v>3170</v>
      </c>
      <c r="P10" s="4">
        <f>Hotel!AB15</f>
        <v>8190</v>
      </c>
      <c r="Q10" s="4">
        <f>Hotel!AC15</f>
        <v>9770</v>
      </c>
      <c r="R10" s="4">
        <f>Hotel!AV15*0.00378541*100</f>
        <v>1020.5465359999999</v>
      </c>
      <c r="S10" s="4">
        <f>Hotel!B15</f>
        <v>74</v>
      </c>
    </row>
    <row r="11" spans="1:19" x14ac:dyDescent="0.25">
      <c r="A11" s="21" t="s">
        <v>31</v>
      </c>
      <c r="B11" s="2">
        <f t="shared" si="0"/>
        <v>10</v>
      </c>
      <c r="C11" s="3">
        <v>8</v>
      </c>
      <c r="D11" s="11">
        <v>2021</v>
      </c>
      <c r="E11" s="4" t="str">
        <f>Hotel!Q16</f>
        <v>0</v>
      </c>
      <c r="F11" s="4" t="str">
        <f>Hotel!R16</f>
        <v>0</v>
      </c>
      <c r="G11" s="4" t="str">
        <f>Hotel!S16</f>
        <v>0</v>
      </c>
      <c r="H11" s="4" t="str">
        <f>Hotel!T16</f>
        <v>0</v>
      </c>
      <c r="I11" s="4" t="str">
        <f>Hotel!U16</f>
        <v>0</v>
      </c>
      <c r="J11" s="4" t="str">
        <f>Hotel!V16</f>
        <v>0</v>
      </c>
      <c r="K11" s="4" t="str">
        <f>Hotel!W16</f>
        <v>0</v>
      </c>
      <c r="L11" s="4" t="str">
        <f>Hotel!X16</f>
        <v>0</v>
      </c>
      <c r="M11" s="4" t="str">
        <f>Hotel!Y16</f>
        <v>0</v>
      </c>
      <c r="N11" s="4" t="str">
        <f>Hotel!Z16</f>
        <v>0</v>
      </c>
      <c r="O11" s="4" t="str">
        <f>Hotel!AA16</f>
        <v>0</v>
      </c>
      <c r="P11" s="4" t="str">
        <f>Hotel!AB16</f>
        <v>0</v>
      </c>
      <c r="Q11" s="4" t="str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8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8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8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8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8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8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8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8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8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8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8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8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8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8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8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8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8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8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8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8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8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P29" sqref="AP2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44408</v>
      </c>
      <c r="B2" s="40">
        <v>101</v>
      </c>
      <c r="C2" s="24">
        <v>6717680</v>
      </c>
      <c r="D2" s="24">
        <v>16349650</v>
      </c>
      <c r="E2" s="24">
        <v>2923880</v>
      </c>
      <c r="F2" s="24">
        <v>3573560</v>
      </c>
      <c r="G2" s="24">
        <v>10612910</v>
      </c>
      <c r="H2" s="24">
        <v>5692470</v>
      </c>
      <c r="I2" s="24">
        <v>5204460</v>
      </c>
      <c r="J2" s="24">
        <v>6113880</v>
      </c>
      <c r="K2" s="24">
        <v>9441380</v>
      </c>
      <c r="L2" s="24">
        <v>3965770</v>
      </c>
      <c r="M2" s="24">
        <v>8062850</v>
      </c>
      <c r="N2" s="24">
        <v>12393670</v>
      </c>
      <c r="O2" s="24">
        <v>17120540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112117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112117</v>
      </c>
    </row>
    <row r="7" spans="1:49" x14ac:dyDescent="0.25">
      <c r="A7" s="23">
        <v>44409</v>
      </c>
      <c r="B7" s="40">
        <v>92</v>
      </c>
      <c r="C7" s="24">
        <v>6718330</v>
      </c>
      <c r="D7" s="24">
        <v>16359040</v>
      </c>
      <c r="E7" s="24">
        <v>2926460</v>
      </c>
      <c r="F7" s="24">
        <v>3574660</v>
      </c>
      <c r="G7" s="24">
        <v>10615810</v>
      </c>
      <c r="H7" s="24">
        <v>5694740</v>
      </c>
      <c r="I7" s="24">
        <v>5205990</v>
      </c>
      <c r="J7" s="24">
        <v>6116510</v>
      </c>
      <c r="K7" s="24">
        <v>9444920</v>
      </c>
      <c r="L7" s="24">
        <v>3967560</v>
      </c>
      <c r="M7" s="24">
        <v>8065030</v>
      </c>
      <c r="N7" s="24">
        <v>12398960</v>
      </c>
      <c r="O7" s="24">
        <v>17125890</v>
      </c>
      <c r="Q7" s="37">
        <f>IF((C7-C2&lt;0), "0",C7-C2)</f>
        <v>650</v>
      </c>
      <c r="R7" s="37">
        <f t="shared" ref="R7:AC7" si="0">IF((D7-D2&lt;0), "0",D7-D2)</f>
        <v>9390</v>
      </c>
      <c r="S7" s="37">
        <f>IF((E7-E2&lt;0), "0",E7-E2)</f>
        <v>2580</v>
      </c>
      <c r="T7" s="37">
        <f t="shared" si="0"/>
        <v>1100</v>
      </c>
      <c r="U7" s="37">
        <f t="shared" si="0"/>
        <v>2900</v>
      </c>
      <c r="V7" s="37">
        <f t="shared" si="0"/>
        <v>2270</v>
      </c>
      <c r="W7" s="37">
        <f t="shared" si="0"/>
        <v>1530</v>
      </c>
      <c r="X7" s="37">
        <f t="shared" si="0"/>
        <v>2630</v>
      </c>
      <c r="Y7" s="37">
        <f t="shared" si="0"/>
        <v>3540</v>
      </c>
      <c r="Z7" s="37">
        <f t="shared" si="0"/>
        <v>1790</v>
      </c>
      <c r="AA7" s="37">
        <f t="shared" si="0"/>
        <v>2180</v>
      </c>
      <c r="AB7" s="37">
        <f t="shared" si="0"/>
        <v>5290</v>
      </c>
      <c r="AC7" s="37">
        <f t="shared" si="0"/>
        <v>5350</v>
      </c>
      <c r="AD7" s="34">
        <f>SUM(Q7:AC7)</f>
        <v>41200</v>
      </c>
      <c r="AF7" s="20">
        <f t="shared" ref="AF7:AF36" si="1">Q7*$D$39</f>
        <v>3.25</v>
      </c>
      <c r="AG7" s="20">
        <f t="shared" ref="AG7:AG36" si="2">R7*$D$39</f>
        <v>46.95</v>
      </c>
      <c r="AH7" s="20">
        <f t="shared" ref="AH7:AH36" si="3">S7*$D$39</f>
        <v>12.9</v>
      </c>
      <c r="AI7" s="20">
        <f t="shared" ref="AI7:AI36" si="4">T7*$D$39</f>
        <v>5.5</v>
      </c>
      <c r="AJ7" s="20">
        <f t="shared" ref="AJ7:AJ36" si="5">U7*$D$39</f>
        <v>14.5</v>
      </c>
      <c r="AK7" s="20">
        <f t="shared" ref="AK7:AK36" si="6">V7*$D$39</f>
        <v>11.35</v>
      </c>
      <c r="AL7" s="20">
        <f t="shared" ref="AL7:AL36" si="7">W7*$D$39</f>
        <v>7.65</v>
      </c>
      <c r="AM7" s="20">
        <f t="shared" ref="AM7:AM36" si="8">X7*$D$39</f>
        <v>13.15</v>
      </c>
      <c r="AN7" s="20">
        <f t="shared" ref="AN7:AN36" si="9">Y7*$D$39</f>
        <v>17.7</v>
      </c>
      <c r="AO7" s="20">
        <f t="shared" ref="AO7:AO36" si="10">Z7*$D$39</f>
        <v>8.9500000000000011</v>
      </c>
      <c r="AP7" s="20">
        <f t="shared" ref="AP7:AP36" si="11">AA7*$D$39</f>
        <v>10.9</v>
      </c>
      <c r="AQ7" s="20">
        <f t="shared" ref="AQ7:AQ36" si="12">AB7*$D$39</f>
        <v>26.45</v>
      </c>
      <c r="AR7" s="20">
        <f t="shared" ref="AR7:AR36" si="13">AC7*$D$39</f>
        <v>26.75</v>
      </c>
      <c r="AS7" s="35">
        <f>SUM(AF7:AR7)</f>
        <v>205.99999999999997</v>
      </c>
      <c r="AU7" s="47">
        <v>113688</v>
      </c>
      <c r="AV7" s="37">
        <f>IF((AU7-AU6&lt;0),"0",AU7-AU6)</f>
        <v>1571</v>
      </c>
      <c r="AW7" s="35">
        <f t="shared" ref="AW7:AW35" si="14">AV7*$D$40</f>
        <v>3.1419999999999999</v>
      </c>
    </row>
    <row r="8" spans="1:49" x14ac:dyDescent="0.25">
      <c r="A8" s="23">
        <v>44410</v>
      </c>
      <c r="B8" s="40">
        <v>86</v>
      </c>
      <c r="C8" s="24">
        <v>6719350</v>
      </c>
      <c r="D8" s="24">
        <v>16373610</v>
      </c>
      <c r="E8" s="24">
        <v>2930960</v>
      </c>
      <c r="F8" s="24">
        <v>3576370</v>
      </c>
      <c r="G8" s="24">
        <v>10620290</v>
      </c>
      <c r="H8" s="24">
        <v>5698220</v>
      </c>
      <c r="I8" s="24">
        <v>5208390</v>
      </c>
      <c r="J8" s="24">
        <v>6120250</v>
      </c>
      <c r="K8" s="24">
        <v>9450460</v>
      </c>
      <c r="L8" s="24">
        <v>3970200</v>
      </c>
      <c r="M8" s="24">
        <v>8068160</v>
      </c>
      <c r="N8" s="24">
        <v>12407030</v>
      </c>
      <c r="O8" s="24">
        <v>17135210</v>
      </c>
      <c r="Q8" s="37">
        <f>IF((C8-C7&lt;0), "0",C8-C7)</f>
        <v>1020</v>
      </c>
      <c r="R8" s="37">
        <f t="shared" ref="R8:AC8" si="15">IF((D8-D7&lt;0), "0",D8-D7)</f>
        <v>14570</v>
      </c>
      <c r="S8" s="37">
        <f t="shared" ref="S8:S35" si="16">IF((E8-E7&lt;0), "0",E8-E7)</f>
        <v>4500</v>
      </c>
      <c r="T8" s="37">
        <f t="shared" si="15"/>
        <v>1710</v>
      </c>
      <c r="U8" s="37">
        <f t="shared" si="15"/>
        <v>4480</v>
      </c>
      <c r="V8" s="37">
        <f t="shared" si="15"/>
        <v>3480</v>
      </c>
      <c r="W8" s="37">
        <f t="shared" si="15"/>
        <v>2400</v>
      </c>
      <c r="X8" s="37">
        <f t="shared" si="15"/>
        <v>3740</v>
      </c>
      <c r="Y8" s="37">
        <f t="shared" si="15"/>
        <v>5540</v>
      </c>
      <c r="Z8" s="37">
        <f t="shared" si="15"/>
        <v>2640</v>
      </c>
      <c r="AA8" s="37">
        <f t="shared" si="15"/>
        <v>3130</v>
      </c>
      <c r="AB8" s="37">
        <f t="shared" si="15"/>
        <v>8070</v>
      </c>
      <c r="AC8" s="37">
        <f t="shared" si="15"/>
        <v>9320</v>
      </c>
      <c r="AD8" s="35">
        <f>SUM(Q8:AC8)</f>
        <v>64600</v>
      </c>
      <c r="AF8" s="20">
        <f t="shared" si="1"/>
        <v>5.1000000000000005</v>
      </c>
      <c r="AG8" s="20">
        <f t="shared" si="2"/>
        <v>72.850000000000009</v>
      </c>
      <c r="AH8" s="20">
        <f t="shared" si="3"/>
        <v>22.5</v>
      </c>
      <c r="AI8" s="20">
        <f t="shared" si="4"/>
        <v>8.5500000000000007</v>
      </c>
      <c r="AJ8" s="20">
        <f t="shared" si="5"/>
        <v>22.400000000000002</v>
      </c>
      <c r="AK8" s="20">
        <f t="shared" si="6"/>
        <v>17.400000000000002</v>
      </c>
      <c r="AL8" s="20">
        <f t="shared" si="7"/>
        <v>12</v>
      </c>
      <c r="AM8" s="20">
        <f t="shared" si="8"/>
        <v>18.7</v>
      </c>
      <c r="AN8" s="20">
        <f t="shared" si="9"/>
        <v>27.7</v>
      </c>
      <c r="AO8" s="20">
        <f t="shared" si="10"/>
        <v>13.200000000000001</v>
      </c>
      <c r="AP8" s="20">
        <f t="shared" si="11"/>
        <v>15.65</v>
      </c>
      <c r="AQ8" s="20">
        <f t="shared" si="12"/>
        <v>40.35</v>
      </c>
      <c r="AR8" s="20">
        <f t="shared" si="13"/>
        <v>46.6</v>
      </c>
      <c r="AS8" s="35">
        <f>SUM(AF8:AR8)</f>
        <v>323</v>
      </c>
      <c r="AU8" s="47">
        <v>116703</v>
      </c>
      <c r="AV8" s="37">
        <f>IF((AU8-AU7&lt;0),"0",AU8-AU7)</f>
        <v>3015</v>
      </c>
      <c r="AW8" s="35">
        <f t="shared" si="14"/>
        <v>6.03</v>
      </c>
    </row>
    <row r="9" spans="1:49" x14ac:dyDescent="0.25">
      <c r="A9" s="23">
        <v>44411</v>
      </c>
      <c r="B9" s="40">
        <v>82</v>
      </c>
      <c r="C9" s="24">
        <v>6720350</v>
      </c>
      <c r="D9" s="24">
        <v>16387150</v>
      </c>
      <c r="E9" s="24">
        <v>2934110</v>
      </c>
      <c r="F9" s="24">
        <v>3578030</v>
      </c>
      <c r="G9" s="24">
        <v>10624570</v>
      </c>
      <c r="H9" s="24">
        <v>5701550</v>
      </c>
      <c r="I9" s="24">
        <v>5210720</v>
      </c>
      <c r="J9" s="24">
        <v>6124260</v>
      </c>
      <c r="K9" s="24">
        <v>9455840</v>
      </c>
      <c r="L9" s="24">
        <v>3972820</v>
      </c>
      <c r="M9" s="24">
        <v>8071070</v>
      </c>
      <c r="N9" s="24">
        <v>12414860</v>
      </c>
      <c r="O9" s="24">
        <v>17144350</v>
      </c>
      <c r="Q9" s="37">
        <f t="shared" ref="Q9:Q30" si="17">IF((C9-C8&lt;0), "0",C9-C8)</f>
        <v>1000</v>
      </c>
      <c r="R9" s="37">
        <f t="shared" ref="R9:R35" si="18">IF((D9-D8&lt;0), "0",D9-D8)</f>
        <v>13540</v>
      </c>
      <c r="S9" s="37">
        <f t="shared" si="16"/>
        <v>3150</v>
      </c>
      <c r="T9" s="37">
        <f t="shared" ref="T9:T35" si="19">IF((F9-F8&lt;0), "0",F9-F8)</f>
        <v>1660</v>
      </c>
      <c r="U9" s="37">
        <f t="shared" ref="U9:U35" si="20">IF((G9-G8&lt;0), "0",G9-G8)</f>
        <v>4280</v>
      </c>
      <c r="V9" s="37">
        <f t="shared" ref="V9:V35" si="21">IF((H9-H8&lt;0), "0",H9-H8)</f>
        <v>3330</v>
      </c>
      <c r="W9" s="37">
        <f t="shared" ref="W9:W35" si="22">IF((I9-I8&lt;0), "0",I9-I8)</f>
        <v>2330</v>
      </c>
      <c r="X9" s="37">
        <f t="shared" ref="X9:X35" si="23">IF((J9-J8&lt;0), "0",J9-J8)</f>
        <v>4010</v>
      </c>
      <c r="Y9" s="37">
        <f t="shared" ref="Y9:Y35" si="24">IF((K9-K8&lt;0), "0",K9-K8)</f>
        <v>5380</v>
      </c>
      <c r="Z9" s="37">
        <f t="shared" ref="Z9:Z35" si="25">IF((L9-L8&lt;0), "0",L9-L8)</f>
        <v>2620</v>
      </c>
      <c r="AA9" s="37">
        <f t="shared" ref="AA9:AA35" si="26">IF((M9-M8&lt;0), "0",M9-M8)</f>
        <v>2910</v>
      </c>
      <c r="AB9" s="37">
        <f t="shared" ref="AB9:AB37" si="27">IF((N9-N8&lt;0), "0",N9-N8)</f>
        <v>7830</v>
      </c>
      <c r="AC9" s="37">
        <f t="shared" ref="AC9:AC37" si="28">IF((O9-O8&lt;0), "0",O9-O8)</f>
        <v>9140</v>
      </c>
      <c r="AD9" s="35">
        <f t="shared" ref="AD9:AD37" si="29">SUM(Q9:AC9)</f>
        <v>61180</v>
      </c>
      <c r="AF9" s="20">
        <f t="shared" si="1"/>
        <v>5</v>
      </c>
      <c r="AG9" s="20">
        <f t="shared" si="2"/>
        <v>67.7</v>
      </c>
      <c r="AH9" s="20">
        <f t="shared" si="3"/>
        <v>15.75</v>
      </c>
      <c r="AI9" s="20">
        <f t="shared" si="4"/>
        <v>8.3000000000000007</v>
      </c>
      <c r="AJ9" s="20">
        <f t="shared" si="5"/>
        <v>21.400000000000002</v>
      </c>
      <c r="AK9" s="20">
        <f t="shared" si="6"/>
        <v>16.649999999999999</v>
      </c>
      <c r="AL9" s="20">
        <f t="shared" si="7"/>
        <v>11.65</v>
      </c>
      <c r="AM9" s="20">
        <f t="shared" si="8"/>
        <v>20.05</v>
      </c>
      <c r="AN9" s="20">
        <f t="shared" si="9"/>
        <v>26.900000000000002</v>
      </c>
      <c r="AO9" s="20">
        <f t="shared" si="10"/>
        <v>13.1</v>
      </c>
      <c r="AP9" s="20">
        <f t="shared" si="11"/>
        <v>14.55</v>
      </c>
      <c r="AQ9" s="20">
        <f t="shared" si="12"/>
        <v>39.15</v>
      </c>
      <c r="AR9" s="20">
        <f t="shared" si="13"/>
        <v>45.7</v>
      </c>
      <c r="AS9" s="35">
        <f t="shared" ref="AS9:AS33" si="30">SUM(AF9:AR9)</f>
        <v>305.90000000000003</v>
      </c>
      <c r="AU9" s="47">
        <v>119079</v>
      </c>
      <c r="AV9" s="37">
        <f>IF((AU9-AU8&lt;0),"0",AU9-AU8)</f>
        <v>2376</v>
      </c>
      <c r="AW9" s="35">
        <f t="shared" si="14"/>
        <v>4.7519999999999998</v>
      </c>
    </row>
    <row r="10" spans="1:49" x14ac:dyDescent="0.25">
      <c r="A10" s="23">
        <v>44412</v>
      </c>
      <c r="B10" s="40">
        <v>93</v>
      </c>
      <c r="C10" s="24">
        <v>6721350</v>
      </c>
      <c r="D10" s="24">
        <v>16401150</v>
      </c>
      <c r="E10" s="24">
        <v>2937910</v>
      </c>
      <c r="F10" s="24">
        <v>3579710</v>
      </c>
      <c r="G10" s="24">
        <v>10628790</v>
      </c>
      <c r="H10" s="24">
        <v>5704940</v>
      </c>
      <c r="I10" s="24">
        <v>5213050</v>
      </c>
      <c r="J10" s="24">
        <v>6128370</v>
      </c>
      <c r="K10" s="24">
        <v>9461140</v>
      </c>
      <c r="L10" s="24">
        <v>3975400</v>
      </c>
      <c r="M10" s="24">
        <v>8073920</v>
      </c>
      <c r="N10" s="24">
        <v>12422590</v>
      </c>
      <c r="O10" s="24">
        <v>17152630</v>
      </c>
      <c r="Q10" s="37">
        <f t="shared" si="17"/>
        <v>1000</v>
      </c>
      <c r="R10" s="37">
        <f t="shared" si="18"/>
        <v>14000</v>
      </c>
      <c r="S10" s="37">
        <f t="shared" si="16"/>
        <v>3800</v>
      </c>
      <c r="T10" s="37">
        <f t="shared" si="19"/>
        <v>1680</v>
      </c>
      <c r="U10" s="37">
        <f t="shared" si="20"/>
        <v>4220</v>
      </c>
      <c r="V10" s="37">
        <f t="shared" si="21"/>
        <v>3390</v>
      </c>
      <c r="W10" s="37">
        <f t="shared" si="22"/>
        <v>2330</v>
      </c>
      <c r="X10" s="37">
        <f t="shared" si="23"/>
        <v>4110</v>
      </c>
      <c r="Y10" s="37">
        <f t="shared" si="24"/>
        <v>5300</v>
      </c>
      <c r="Z10" s="37">
        <f t="shared" si="25"/>
        <v>2580</v>
      </c>
      <c r="AA10" s="37">
        <f t="shared" si="26"/>
        <v>2850</v>
      </c>
      <c r="AB10" s="37">
        <f t="shared" si="27"/>
        <v>7730</v>
      </c>
      <c r="AC10" s="37">
        <f t="shared" si="28"/>
        <v>8280</v>
      </c>
      <c r="AD10" s="35">
        <f t="shared" si="29"/>
        <v>61270</v>
      </c>
      <c r="AF10" s="20">
        <f t="shared" si="1"/>
        <v>5</v>
      </c>
      <c r="AG10" s="20">
        <f t="shared" si="2"/>
        <v>70</v>
      </c>
      <c r="AH10" s="20">
        <f t="shared" si="3"/>
        <v>19</v>
      </c>
      <c r="AI10" s="20">
        <f t="shared" si="4"/>
        <v>8.4</v>
      </c>
      <c r="AJ10" s="20">
        <f t="shared" si="5"/>
        <v>21.1</v>
      </c>
      <c r="AK10" s="20">
        <f t="shared" si="6"/>
        <v>16.95</v>
      </c>
      <c r="AL10" s="20">
        <f t="shared" si="7"/>
        <v>11.65</v>
      </c>
      <c r="AM10" s="20">
        <f t="shared" si="8"/>
        <v>20.55</v>
      </c>
      <c r="AN10" s="20">
        <f t="shared" si="9"/>
        <v>26.5</v>
      </c>
      <c r="AO10" s="20">
        <f t="shared" si="10"/>
        <v>12.9</v>
      </c>
      <c r="AP10" s="20">
        <f t="shared" si="11"/>
        <v>14.25</v>
      </c>
      <c r="AQ10" s="20">
        <f t="shared" si="12"/>
        <v>38.65</v>
      </c>
      <c r="AR10" s="20">
        <f t="shared" si="13"/>
        <v>41.4</v>
      </c>
      <c r="AS10" s="35">
        <f t="shared" si="30"/>
        <v>306.34999999999997</v>
      </c>
      <c r="AU10" s="47">
        <v>122574</v>
      </c>
      <c r="AV10" s="37">
        <f t="shared" ref="AV10:AV26" si="31">IF((AU10-AU9&lt;0),"0",AU10-AU9)</f>
        <v>3495</v>
      </c>
      <c r="AW10" s="35">
        <f t="shared" si="14"/>
        <v>6.99</v>
      </c>
    </row>
    <row r="11" spans="1:49" x14ac:dyDescent="0.25">
      <c r="A11" s="23">
        <v>44413</v>
      </c>
      <c r="B11" s="40">
        <v>108</v>
      </c>
      <c r="C11" s="24">
        <v>6722330</v>
      </c>
      <c r="D11" s="24">
        <v>16415070</v>
      </c>
      <c r="E11" s="24">
        <v>2941720</v>
      </c>
      <c r="F11" s="24">
        <v>3581350</v>
      </c>
      <c r="G11" s="24">
        <v>10632850</v>
      </c>
      <c r="H11" s="24">
        <v>5708300</v>
      </c>
      <c r="I11" s="24">
        <v>5215350</v>
      </c>
      <c r="J11" s="24">
        <v>6132350</v>
      </c>
      <c r="K11" s="24">
        <v>9466560</v>
      </c>
      <c r="L11" s="24">
        <v>3977990</v>
      </c>
      <c r="M11" s="24">
        <v>8076910</v>
      </c>
      <c r="N11" s="24">
        <v>12430200</v>
      </c>
      <c r="O11" s="24">
        <v>17160860</v>
      </c>
      <c r="Q11" s="37">
        <f t="shared" si="17"/>
        <v>980</v>
      </c>
      <c r="R11" s="37">
        <f t="shared" si="18"/>
        <v>13920</v>
      </c>
      <c r="S11" s="37">
        <f t="shared" si="16"/>
        <v>3810</v>
      </c>
      <c r="T11" s="37">
        <f t="shared" si="19"/>
        <v>1640</v>
      </c>
      <c r="U11" s="37">
        <f t="shared" si="20"/>
        <v>4060</v>
      </c>
      <c r="V11" s="37">
        <f t="shared" si="21"/>
        <v>3360</v>
      </c>
      <c r="W11" s="37">
        <f t="shared" si="22"/>
        <v>2300</v>
      </c>
      <c r="X11" s="37">
        <f t="shared" si="23"/>
        <v>3980</v>
      </c>
      <c r="Y11" s="37">
        <f t="shared" si="24"/>
        <v>5420</v>
      </c>
      <c r="Z11" s="37">
        <f t="shared" si="25"/>
        <v>2590</v>
      </c>
      <c r="AA11" s="37">
        <f t="shared" si="26"/>
        <v>2990</v>
      </c>
      <c r="AB11" s="37">
        <f t="shared" si="27"/>
        <v>7610</v>
      </c>
      <c r="AC11" s="37">
        <f t="shared" si="28"/>
        <v>8230</v>
      </c>
      <c r="AD11" s="35">
        <f t="shared" si="29"/>
        <v>60890</v>
      </c>
      <c r="AF11" s="20">
        <f t="shared" si="1"/>
        <v>4.9000000000000004</v>
      </c>
      <c r="AG11" s="20">
        <f t="shared" si="2"/>
        <v>69.600000000000009</v>
      </c>
      <c r="AH11" s="20">
        <f t="shared" si="3"/>
        <v>19.05</v>
      </c>
      <c r="AI11" s="20">
        <f t="shared" si="4"/>
        <v>8.1999999999999993</v>
      </c>
      <c r="AJ11" s="20">
        <f t="shared" si="5"/>
        <v>20.3</v>
      </c>
      <c r="AK11" s="20">
        <f t="shared" si="6"/>
        <v>16.8</v>
      </c>
      <c r="AL11" s="20">
        <f t="shared" si="7"/>
        <v>11.5</v>
      </c>
      <c r="AM11" s="20">
        <f t="shared" si="8"/>
        <v>19.900000000000002</v>
      </c>
      <c r="AN11" s="20">
        <f t="shared" si="9"/>
        <v>27.1</v>
      </c>
      <c r="AO11" s="20">
        <f t="shared" si="10"/>
        <v>12.950000000000001</v>
      </c>
      <c r="AP11" s="20">
        <f t="shared" si="11"/>
        <v>14.950000000000001</v>
      </c>
      <c r="AQ11" s="20">
        <f t="shared" si="12"/>
        <v>38.050000000000004</v>
      </c>
      <c r="AR11" s="20">
        <f t="shared" si="13"/>
        <v>41.15</v>
      </c>
      <c r="AS11" s="35">
        <f t="shared" si="30"/>
        <v>304.45</v>
      </c>
      <c r="AU11" s="47">
        <v>125295</v>
      </c>
      <c r="AV11" s="37">
        <f t="shared" si="31"/>
        <v>2721</v>
      </c>
      <c r="AW11" s="35">
        <f t="shared" si="14"/>
        <v>5.4420000000000002</v>
      </c>
    </row>
    <row r="12" spans="1:49" x14ac:dyDescent="0.25">
      <c r="A12" s="23">
        <v>44414</v>
      </c>
      <c r="B12" s="40">
        <v>137</v>
      </c>
      <c r="C12" s="49">
        <v>6723310</v>
      </c>
      <c r="D12" s="24">
        <v>16429240</v>
      </c>
      <c r="E12" s="24">
        <v>2945620</v>
      </c>
      <c r="F12" s="24">
        <v>3583000</v>
      </c>
      <c r="G12" s="24">
        <v>10637140</v>
      </c>
      <c r="H12" s="24">
        <v>5711770</v>
      </c>
      <c r="I12" s="24">
        <v>5217650</v>
      </c>
      <c r="J12" s="24">
        <v>6136560</v>
      </c>
      <c r="K12" s="24">
        <v>9472200</v>
      </c>
      <c r="L12" s="24">
        <v>3980700</v>
      </c>
      <c r="M12" s="24">
        <v>8080030</v>
      </c>
      <c r="N12" s="24">
        <v>12437920</v>
      </c>
      <c r="O12" s="24">
        <v>17169330</v>
      </c>
      <c r="Q12" s="37">
        <f t="shared" si="17"/>
        <v>980</v>
      </c>
      <c r="R12" s="37">
        <f t="shared" si="18"/>
        <v>14170</v>
      </c>
      <c r="S12" s="37">
        <f t="shared" si="16"/>
        <v>3900</v>
      </c>
      <c r="T12" s="37">
        <f t="shared" ref="T12:W14" si="32">IF((F12-F11&lt;0), "0",F12-F11)</f>
        <v>1650</v>
      </c>
      <c r="U12" s="37">
        <f t="shared" si="32"/>
        <v>4290</v>
      </c>
      <c r="V12" s="37">
        <f t="shared" si="32"/>
        <v>3470</v>
      </c>
      <c r="W12" s="37">
        <f t="shared" si="32"/>
        <v>2300</v>
      </c>
      <c r="X12" s="37">
        <f t="shared" si="23"/>
        <v>4210</v>
      </c>
      <c r="Y12" s="37">
        <f t="shared" si="24"/>
        <v>5640</v>
      </c>
      <c r="Z12" s="37">
        <f>IF((L12-L11&lt;0), "0",L12-L11)</f>
        <v>2710</v>
      </c>
      <c r="AA12" s="37">
        <f t="shared" si="26"/>
        <v>3120</v>
      </c>
      <c r="AB12" s="37">
        <f t="shared" si="27"/>
        <v>7720</v>
      </c>
      <c r="AC12" s="37">
        <f t="shared" si="28"/>
        <v>8470</v>
      </c>
      <c r="AD12" s="35">
        <f t="shared" si="29"/>
        <v>62630</v>
      </c>
      <c r="AF12" s="20">
        <f t="shared" si="1"/>
        <v>4.9000000000000004</v>
      </c>
      <c r="AG12" s="20">
        <f t="shared" si="2"/>
        <v>70.850000000000009</v>
      </c>
      <c r="AH12" s="20">
        <f t="shared" si="3"/>
        <v>19.5</v>
      </c>
      <c r="AI12" s="20">
        <f t="shared" si="4"/>
        <v>8.25</v>
      </c>
      <c r="AJ12" s="20">
        <f t="shared" si="5"/>
        <v>21.45</v>
      </c>
      <c r="AK12" s="20">
        <f t="shared" si="6"/>
        <v>17.350000000000001</v>
      </c>
      <c r="AL12" s="20">
        <f t="shared" si="7"/>
        <v>11.5</v>
      </c>
      <c r="AM12" s="20">
        <f t="shared" si="8"/>
        <v>21.05</v>
      </c>
      <c r="AN12" s="20">
        <f t="shared" si="9"/>
        <v>28.2</v>
      </c>
      <c r="AO12" s="20">
        <f t="shared" si="10"/>
        <v>13.55</v>
      </c>
      <c r="AP12" s="20">
        <f t="shared" si="11"/>
        <v>15.6</v>
      </c>
      <c r="AQ12" s="20">
        <f t="shared" si="12"/>
        <v>38.6</v>
      </c>
      <c r="AR12" s="20">
        <f t="shared" si="13"/>
        <v>42.35</v>
      </c>
      <c r="AS12" s="35">
        <f t="shared" si="30"/>
        <v>313.15000000000003</v>
      </c>
      <c r="AU12" s="47">
        <v>128027</v>
      </c>
      <c r="AV12" s="37">
        <f t="shared" si="31"/>
        <v>2732</v>
      </c>
      <c r="AW12" s="35">
        <f t="shared" si="14"/>
        <v>5.4640000000000004</v>
      </c>
    </row>
    <row r="13" spans="1:49" x14ac:dyDescent="0.25">
      <c r="A13" s="23">
        <v>44415</v>
      </c>
      <c r="B13" s="40">
        <v>158</v>
      </c>
      <c r="C13" s="24">
        <v>6724320</v>
      </c>
      <c r="D13" s="24">
        <v>16444460</v>
      </c>
      <c r="E13" s="24">
        <v>2949880</v>
      </c>
      <c r="F13" s="24">
        <v>3584710</v>
      </c>
      <c r="G13" s="24">
        <v>10641520</v>
      </c>
      <c r="H13" s="24">
        <v>5715390</v>
      </c>
      <c r="I13" s="24">
        <v>5220010</v>
      </c>
      <c r="J13" s="24">
        <v>6140800</v>
      </c>
      <c r="K13" s="24">
        <v>9478060</v>
      </c>
      <c r="L13" s="24">
        <v>3983470</v>
      </c>
      <c r="M13" s="24">
        <v>8083300</v>
      </c>
      <c r="N13" s="24">
        <v>12445720</v>
      </c>
      <c r="O13" s="24">
        <v>17177730</v>
      </c>
      <c r="Q13" s="37">
        <f t="shared" si="17"/>
        <v>1010</v>
      </c>
      <c r="R13" s="37">
        <f t="shared" si="18"/>
        <v>15220</v>
      </c>
      <c r="S13" s="37">
        <f t="shared" si="16"/>
        <v>4260</v>
      </c>
      <c r="T13" s="37">
        <f t="shared" si="32"/>
        <v>1710</v>
      </c>
      <c r="U13" s="37">
        <f t="shared" si="32"/>
        <v>4380</v>
      </c>
      <c r="V13" s="37">
        <f t="shared" si="32"/>
        <v>3620</v>
      </c>
      <c r="W13" s="37">
        <f t="shared" si="32"/>
        <v>2360</v>
      </c>
      <c r="X13" s="37">
        <f t="shared" si="23"/>
        <v>4240</v>
      </c>
      <c r="Y13" s="37">
        <f t="shared" si="24"/>
        <v>5860</v>
      </c>
      <c r="Z13" s="37">
        <f>IF((L13-L12&lt;0), "0",L13-L12)</f>
        <v>2770</v>
      </c>
      <c r="AA13" s="37">
        <f t="shared" si="26"/>
        <v>3270</v>
      </c>
      <c r="AB13" s="37">
        <f t="shared" si="27"/>
        <v>7800</v>
      </c>
      <c r="AC13" s="37">
        <f t="shared" si="28"/>
        <v>8400</v>
      </c>
      <c r="AD13" s="35">
        <f t="shared" si="29"/>
        <v>64900</v>
      </c>
      <c r="AF13" s="20">
        <f t="shared" si="1"/>
        <v>5.05</v>
      </c>
      <c r="AG13" s="20">
        <f t="shared" si="2"/>
        <v>76.100000000000009</v>
      </c>
      <c r="AH13" s="20">
        <f t="shared" si="3"/>
        <v>21.3</v>
      </c>
      <c r="AI13" s="20">
        <f t="shared" si="4"/>
        <v>8.5500000000000007</v>
      </c>
      <c r="AJ13" s="20">
        <f t="shared" si="5"/>
        <v>21.900000000000002</v>
      </c>
      <c r="AK13" s="20">
        <f t="shared" si="6"/>
        <v>18.100000000000001</v>
      </c>
      <c r="AL13" s="20">
        <f t="shared" si="7"/>
        <v>11.8</v>
      </c>
      <c r="AM13" s="20">
        <f t="shared" si="8"/>
        <v>21.2</v>
      </c>
      <c r="AN13" s="20">
        <f t="shared" si="9"/>
        <v>29.3</v>
      </c>
      <c r="AO13" s="20">
        <f t="shared" si="10"/>
        <v>13.85</v>
      </c>
      <c r="AP13" s="20">
        <f t="shared" si="11"/>
        <v>16.350000000000001</v>
      </c>
      <c r="AQ13" s="20">
        <f t="shared" si="12"/>
        <v>39</v>
      </c>
      <c r="AR13" s="20">
        <f t="shared" si="13"/>
        <v>42</v>
      </c>
      <c r="AS13" s="35">
        <f t="shared" si="30"/>
        <v>324.5</v>
      </c>
      <c r="AU13" s="47">
        <v>130745</v>
      </c>
      <c r="AV13" s="37">
        <f t="shared" si="31"/>
        <v>2718</v>
      </c>
      <c r="AW13" s="35">
        <f t="shared" si="14"/>
        <v>5.4359999999999999</v>
      </c>
    </row>
    <row r="14" spans="1:49" x14ac:dyDescent="0.25">
      <c r="A14" s="23">
        <v>44416</v>
      </c>
      <c r="B14" s="40">
        <v>123</v>
      </c>
      <c r="C14" s="24">
        <v>6725320</v>
      </c>
      <c r="D14" s="24">
        <v>16458750</v>
      </c>
      <c r="E14" s="24">
        <v>2953800</v>
      </c>
      <c r="F14" s="24">
        <v>3586380</v>
      </c>
      <c r="G14" s="24">
        <v>10645880</v>
      </c>
      <c r="H14" s="24">
        <v>5718930</v>
      </c>
      <c r="I14" s="24">
        <v>5222330</v>
      </c>
      <c r="J14" s="24">
        <v>6144670</v>
      </c>
      <c r="K14" s="24">
        <v>9483730</v>
      </c>
      <c r="L14" s="24">
        <v>3986320</v>
      </c>
      <c r="M14" s="24">
        <v>8086480</v>
      </c>
      <c r="N14" s="24">
        <v>12453420</v>
      </c>
      <c r="O14" s="24">
        <v>17186330</v>
      </c>
      <c r="P14" s="53"/>
      <c r="Q14" s="37">
        <f t="shared" si="17"/>
        <v>1000</v>
      </c>
      <c r="R14" s="37">
        <f t="shared" si="18"/>
        <v>14290</v>
      </c>
      <c r="S14" s="37">
        <f t="shared" si="16"/>
        <v>3920</v>
      </c>
      <c r="T14" s="37">
        <f t="shared" si="32"/>
        <v>1670</v>
      </c>
      <c r="U14" s="37">
        <f t="shared" si="32"/>
        <v>4360</v>
      </c>
      <c r="V14" s="37">
        <f t="shared" si="32"/>
        <v>3540</v>
      </c>
      <c r="W14" s="37">
        <f t="shared" si="32"/>
        <v>2320</v>
      </c>
      <c r="X14" s="37">
        <f t="shared" si="23"/>
        <v>3870</v>
      </c>
      <c r="Y14" s="37">
        <f t="shared" si="24"/>
        <v>5670</v>
      </c>
      <c r="Z14" s="37">
        <f>IF((L14-L13&lt;0), "0",L14-L13)</f>
        <v>2850</v>
      </c>
      <c r="AA14" s="37">
        <f t="shared" si="26"/>
        <v>3180</v>
      </c>
      <c r="AB14" s="37">
        <f t="shared" si="27"/>
        <v>7700</v>
      </c>
      <c r="AC14" s="37">
        <f t="shared" si="28"/>
        <v>8600</v>
      </c>
      <c r="AD14" s="35">
        <f t="shared" si="29"/>
        <v>62970</v>
      </c>
      <c r="AF14" s="20">
        <f t="shared" si="1"/>
        <v>5</v>
      </c>
      <c r="AG14" s="20">
        <f t="shared" si="2"/>
        <v>71.45</v>
      </c>
      <c r="AH14" s="20">
        <f t="shared" si="3"/>
        <v>19.600000000000001</v>
      </c>
      <c r="AI14" s="20">
        <f t="shared" si="4"/>
        <v>8.35</v>
      </c>
      <c r="AJ14" s="20">
        <f t="shared" si="5"/>
        <v>21.8</v>
      </c>
      <c r="AK14" s="20">
        <f t="shared" si="6"/>
        <v>17.7</v>
      </c>
      <c r="AL14" s="20">
        <f t="shared" si="7"/>
        <v>11.6</v>
      </c>
      <c r="AM14" s="20">
        <f t="shared" si="8"/>
        <v>19.350000000000001</v>
      </c>
      <c r="AN14" s="20">
        <f t="shared" si="9"/>
        <v>28.35</v>
      </c>
      <c r="AO14" s="20">
        <f t="shared" si="10"/>
        <v>14.25</v>
      </c>
      <c r="AP14" s="20">
        <f t="shared" si="11"/>
        <v>15.9</v>
      </c>
      <c r="AQ14" s="20">
        <f t="shared" si="12"/>
        <v>38.5</v>
      </c>
      <c r="AR14" s="20">
        <f t="shared" si="13"/>
        <v>43</v>
      </c>
      <c r="AS14" s="35">
        <f t="shared" si="30"/>
        <v>314.85000000000002</v>
      </c>
      <c r="AU14" s="47">
        <v>133531</v>
      </c>
      <c r="AV14" s="37">
        <f t="shared" si="31"/>
        <v>2786</v>
      </c>
      <c r="AW14" s="35">
        <f t="shared" si="14"/>
        <v>5.5720000000000001</v>
      </c>
    </row>
    <row r="15" spans="1:49" x14ac:dyDescent="0.25">
      <c r="A15" s="23">
        <v>44417</v>
      </c>
      <c r="B15" s="40">
        <v>74</v>
      </c>
      <c r="C15" s="24">
        <v>6726370</v>
      </c>
      <c r="D15" s="24">
        <v>16473420</v>
      </c>
      <c r="E15" s="24">
        <v>2957780</v>
      </c>
      <c r="F15" s="24">
        <v>3588150</v>
      </c>
      <c r="G15" s="24">
        <v>10650350</v>
      </c>
      <c r="H15" s="24">
        <v>5722640</v>
      </c>
      <c r="I15" s="24">
        <v>5224830</v>
      </c>
      <c r="J15" s="24">
        <v>6148580</v>
      </c>
      <c r="K15" s="24">
        <v>9489650</v>
      </c>
      <c r="L15" s="24">
        <v>3989140</v>
      </c>
      <c r="M15" s="24">
        <v>8089650</v>
      </c>
      <c r="N15" s="24">
        <v>12461610</v>
      </c>
      <c r="O15" s="24">
        <v>17196100</v>
      </c>
      <c r="Q15" s="37">
        <f t="shared" si="17"/>
        <v>1050</v>
      </c>
      <c r="R15" s="37">
        <f t="shared" si="18"/>
        <v>14670</v>
      </c>
      <c r="S15" s="37">
        <f t="shared" si="16"/>
        <v>3980</v>
      </c>
      <c r="T15" s="37">
        <f t="shared" si="19"/>
        <v>1770</v>
      </c>
      <c r="U15" s="37">
        <f t="shared" si="20"/>
        <v>4470</v>
      </c>
      <c r="V15" s="37">
        <f t="shared" si="21"/>
        <v>3710</v>
      </c>
      <c r="W15" s="37">
        <f t="shared" si="22"/>
        <v>2500</v>
      </c>
      <c r="X15" s="37">
        <f t="shared" si="23"/>
        <v>3910</v>
      </c>
      <c r="Y15" s="37">
        <f t="shared" si="24"/>
        <v>5920</v>
      </c>
      <c r="Z15" s="37">
        <f t="shared" si="25"/>
        <v>2820</v>
      </c>
      <c r="AA15" s="37">
        <f t="shared" si="26"/>
        <v>3170</v>
      </c>
      <c r="AB15" s="37">
        <f t="shared" si="27"/>
        <v>8190</v>
      </c>
      <c r="AC15" s="37">
        <f t="shared" si="28"/>
        <v>9770</v>
      </c>
      <c r="AD15" s="35">
        <f t="shared" si="29"/>
        <v>65930</v>
      </c>
      <c r="AF15" s="20">
        <f t="shared" si="1"/>
        <v>5.25</v>
      </c>
      <c r="AG15" s="20">
        <f t="shared" si="2"/>
        <v>73.350000000000009</v>
      </c>
      <c r="AH15" s="20">
        <f t="shared" si="3"/>
        <v>19.900000000000002</v>
      </c>
      <c r="AI15" s="20">
        <f t="shared" si="4"/>
        <v>8.85</v>
      </c>
      <c r="AJ15" s="20">
        <f t="shared" si="5"/>
        <v>22.35</v>
      </c>
      <c r="AK15" s="20">
        <f t="shared" si="6"/>
        <v>18.55</v>
      </c>
      <c r="AL15" s="20">
        <f t="shared" si="7"/>
        <v>12.5</v>
      </c>
      <c r="AM15" s="20">
        <f t="shared" si="8"/>
        <v>19.55</v>
      </c>
      <c r="AN15" s="20">
        <f t="shared" si="9"/>
        <v>29.6</v>
      </c>
      <c r="AO15" s="20">
        <f t="shared" si="10"/>
        <v>14.1</v>
      </c>
      <c r="AP15" s="20">
        <f t="shared" si="11"/>
        <v>15.85</v>
      </c>
      <c r="AQ15" s="20">
        <f t="shared" si="12"/>
        <v>40.950000000000003</v>
      </c>
      <c r="AR15" s="20">
        <f t="shared" si="13"/>
        <v>48.85</v>
      </c>
      <c r="AS15" s="35">
        <f t="shared" si="30"/>
        <v>329.65000000000003</v>
      </c>
      <c r="AU15" s="47">
        <v>136227</v>
      </c>
      <c r="AV15" s="37">
        <f t="shared" si="31"/>
        <v>2696</v>
      </c>
      <c r="AW15" s="35">
        <f t="shared" si="14"/>
        <v>5.3920000000000003</v>
      </c>
    </row>
    <row r="16" spans="1:49" x14ac:dyDescent="0.25">
      <c r="A16" s="23">
        <v>44418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 t="str">
        <f t="shared" si="17"/>
        <v>0</v>
      </c>
      <c r="R16" s="37" t="str">
        <f t="shared" si="18"/>
        <v>0</v>
      </c>
      <c r="S16" s="37" t="str">
        <f t="shared" si="16"/>
        <v>0</v>
      </c>
      <c r="T16" s="37" t="str">
        <f t="shared" si="19"/>
        <v>0</v>
      </c>
      <c r="U16" s="37" t="str">
        <f t="shared" si="20"/>
        <v>0</v>
      </c>
      <c r="V16" s="37" t="str">
        <f t="shared" si="21"/>
        <v>0</v>
      </c>
      <c r="W16" s="37" t="str">
        <f t="shared" si="22"/>
        <v>0</v>
      </c>
      <c r="X16" s="37" t="str">
        <f t="shared" si="23"/>
        <v>0</v>
      </c>
      <c r="Y16" s="37" t="str">
        <f t="shared" si="24"/>
        <v>0</v>
      </c>
      <c r="Z16" s="37" t="str">
        <f t="shared" si="25"/>
        <v>0</v>
      </c>
      <c r="AA16" s="37" t="str">
        <f t="shared" si="26"/>
        <v>0</v>
      </c>
      <c r="AB16" s="37" t="str">
        <f t="shared" si="27"/>
        <v>0</v>
      </c>
      <c r="AC16" s="37" t="str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 t="str">
        <f t="shared" si="31"/>
        <v>0</v>
      </c>
      <c r="AW16" s="35">
        <f t="shared" si="14"/>
        <v>0</v>
      </c>
    </row>
    <row r="17" spans="1:49" x14ac:dyDescent="0.25">
      <c r="A17" s="23">
        <v>44419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44420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44421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44422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44423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44424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44425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44426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44427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44428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44429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44430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44431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44432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44433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44434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44435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44436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44437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44438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44439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8690</v>
      </c>
      <c r="R38" s="38">
        <f t="shared" ref="R38:AD38" si="62">SUM(R7:R37)</f>
        <v>123770</v>
      </c>
      <c r="S38" s="38">
        <f t="shared" si="62"/>
        <v>33900</v>
      </c>
      <c r="T38" s="38">
        <f t="shared" si="62"/>
        <v>14590</v>
      </c>
      <c r="U38" s="38">
        <f t="shared" si="62"/>
        <v>37440</v>
      </c>
      <c r="V38" s="38">
        <f t="shared" si="62"/>
        <v>30170</v>
      </c>
      <c r="W38" s="38">
        <f t="shared" si="62"/>
        <v>20370</v>
      </c>
      <c r="X38" s="38">
        <f t="shared" si="62"/>
        <v>34700</v>
      </c>
      <c r="Y38" s="38">
        <f t="shared" si="62"/>
        <v>48270</v>
      </c>
      <c r="Z38" s="38">
        <f t="shared" si="62"/>
        <v>23370</v>
      </c>
      <c r="AA38" s="38">
        <f t="shared" si="62"/>
        <v>26800</v>
      </c>
      <c r="AB38" s="38">
        <f t="shared" si="62"/>
        <v>67940</v>
      </c>
      <c r="AC38" s="38">
        <f t="shared" si="62"/>
        <v>75560</v>
      </c>
      <c r="AD38" s="38">
        <f t="shared" si="62"/>
        <v>545570</v>
      </c>
      <c r="AF38" s="35">
        <f>SUM(AF7:AF37)</f>
        <v>43.449999999999996</v>
      </c>
      <c r="AG38" s="35">
        <f t="shared" ref="AG38:AS38" si="63">SUM(AG7:AG37)</f>
        <v>618.85000000000014</v>
      </c>
      <c r="AH38" s="35">
        <f t="shared" si="63"/>
        <v>169.5</v>
      </c>
      <c r="AI38" s="35">
        <f t="shared" si="63"/>
        <v>72.949999999999989</v>
      </c>
      <c r="AJ38" s="35">
        <f t="shared" si="63"/>
        <v>187.20000000000002</v>
      </c>
      <c r="AK38" s="35">
        <f t="shared" si="63"/>
        <v>150.85</v>
      </c>
      <c r="AL38" s="35">
        <f t="shared" si="63"/>
        <v>101.84999999999998</v>
      </c>
      <c r="AM38" s="35">
        <f t="shared" si="63"/>
        <v>173.5</v>
      </c>
      <c r="AN38" s="35">
        <f t="shared" si="63"/>
        <v>241.35</v>
      </c>
      <c r="AO38" s="35">
        <f t="shared" si="63"/>
        <v>116.85</v>
      </c>
      <c r="AP38" s="35">
        <f t="shared" si="63"/>
        <v>134</v>
      </c>
      <c r="AQ38" s="35">
        <f t="shared" si="63"/>
        <v>339.7</v>
      </c>
      <c r="AR38" s="35">
        <f t="shared" si="63"/>
        <v>377.8</v>
      </c>
      <c r="AS38" s="35">
        <f t="shared" si="63"/>
        <v>2727.8500000000004</v>
      </c>
      <c r="AU38" s="48"/>
      <c r="AV38" s="35">
        <f>SUM(AV7:AV34)</f>
        <v>24110</v>
      </c>
      <c r="AW38" s="35">
        <f>SUM(AW7:AW34)</f>
        <v>48.220000000000006</v>
      </c>
    </row>
    <row r="39" spans="1:49" x14ac:dyDescent="0.25">
      <c r="D39">
        <v>5.0000000000000001E-3</v>
      </c>
      <c r="AV39" s="36">
        <f>AV38*0.00378541*1000</f>
        <v>91266.235100000005</v>
      </c>
    </row>
    <row r="40" spans="1:49" x14ac:dyDescent="0.25">
      <c r="D40">
        <v>2E-3</v>
      </c>
      <c r="AV40">
        <f>AV39/31</f>
        <v>2944.0721000000003</v>
      </c>
    </row>
    <row r="41" spans="1:49" x14ac:dyDescent="0.25">
      <c r="AV41">
        <f>AV38*0.00378541</f>
        <v>91.266235100000003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2021-08-10T04:49:13Z</dcterms:modified>
</cp:coreProperties>
</file>