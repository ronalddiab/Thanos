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uay.fawaz\Four Seasons Hotels Limited\ABS_Engineering_O365 - FSENG-Admin - FSENG-Admin\FSENG\HEP\"/>
    </mc:Choice>
  </mc:AlternateContent>
  <bookViews>
    <workbookView xWindow="-105" yWindow="-105" windowWidth="19425" windowHeight="10425"/>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33" i="1" l="1"/>
  <c r="I33" i="1"/>
  <c r="G33" i="1"/>
  <c r="E33" i="1"/>
  <c r="AH36" i="2" l="1"/>
  <c r="AG36" i="2"/>
  <c r="AF36" i="2"/>
  <c r="W36" i="2"/>
  <c r="V36" i="2"/>
  <c r="Q36" i="2" l="1"/>
  <c r="P36" i="2"/>
  <c r="O36" i="2"/>
  <c r="N36" i="2"/>
  <c r="M36" i="2"/>
  <c r="J36" i="2" l="1"/>
  <c r="I36" i="2"/>
  <c r="H36" i="2"/>
  <c r="G36" i="2"/>
  <c r="F36" i="2"/>
  <c r="E36" i="2"/>
  <c r="D36" i="2"/>
  <c r="C36" i="2"/>
  <c r="B36" i="2"/>
  <c r="AH35" i="2" l="1"/>
  <c r="AG35" i="2"/>
  <c r="AF35" i="2"/>
  <c r="W35" i="2"/>
  <c r="V35" i="2"/>
  <c r="Q35" i="2" l="1"/>
  <c r="P35" i="2"/>
  <c r="O35" i="2"/>
  <c r="N35" i="2"/>
  <c r="M35" i="2"/>
  <c r="J35" i="2" l="1"/>
  <c r="I35" i="2"/>
  <c r="H35" i="2"/>
  <c r="G35" i="2"/>
  <c r="F35" i="2"/>
  <c r="E35" i="2"/>
  <c r="D35" i="2"/>
  <c r="C35" i="2"/>
  <c r="B35" i="2"/>
  <c r="AH34" i="2" l="1"/>
  <c r="AG34" i="2"/>
  <c r="AF34" i="2"/>
  <c r="AH33" i="2"/>
  <c r="AG33" i="2"/>
  <c r="AF33" i="2"/>
  <c r="W34" i="2"/>
  <c r="V34" i="2"/>
  <c r="W33" i="2"/>
  <c r="V33" i="2"/>
  <c r="Q34" i="2" l="1"/>
  <c r="P34" i="2"/>
  <c r="Q33" i="2"/>
  <c r="P33" i="2"/>
  <c r="O34" i="2"/>
  <c r="N34" i="2"/>
  <c r="M34" i="2"/>
  <c r="O33" i="2"/>
  <c r="N33" i="2"/>
  <c r="M33" i="2"/>
  <c r="J34" i="2" l="1"/>
  <c r="I34" i="2"/>
  <c r="H34" i="2"/>
  <c r="G34" i="2"/>
  <c r="F34" i="2"/>
  <c r="E34" i="2"/>
  <c r="D34" i="2"/>
  <c r="C34" i="2"/>
  <c r="B34" i="2"/>
  <c r="J33" i="2"/>
  <c r="I33" i="2"/>
  <c r="H33" i="2"/>
  <c r="G33" i="2"/>
  <c r="F33" i="2"/>
  <c r="E33" i="2"/>
  <c r="D33" i="2"/>
  <c r="C33" i="2"/>
  <c r="B33" i="2"/>
  <c r="AH32" i="2" l="1"/>
  <c r="AG32" i="2"/>
  <c r="AF32" i="2"/>
  <c r="W32" i="2"/>
  <c r="V32" i="2"/>
  <c r="Q32" i="2" l="1"/>
  <c r="P32" i="2"/>
  <c r="O32" i="2"/>
  <c r="N32" i="2"/>
  <c r="M32" i="2"/>
  <c r="J32" i="2" l="1"/>
  <c r="I32" i="2"/>
  <c r="H32" i="2"/>
  <c r="G32" i="2"/>
  <c r="F32" i="2"/>
  <c r="E32" i="2"/>
  <c r="D32" i="2"/>
  <c r="C32" i="2"/>
  <c r="B32" i="2"/>
  <c r="AM8" i="2" l="1"/>
  <c r="AM9" i="2"/>
  <c r="AM10" i="2"/>
  <c r="AM11" i="2"/>
  <c r="AM12" i="2"/>
  <c r="AM13" i="2"/>
  <c r="AM14" i="2"/>
  <c r="AM15" i="2"/>
  <c r="AM16" i="2"/>
  <c r="AM17" i="2"/>
  <c r="AM18" i="2"/>
  <c r="AM19" i="2"/>
  <c r="AM20" i="2"/>
  <c r="AM21" i="2"/>
  <c r="AM22" i="2"/>
  <c r="AM23" i="2"/>
  <c r="AM24" i="2"/>
  <c r="AM25" i="2"/>
  <c r="AM26" i="2"/>
  <c r="AM27" i="2"/>
  <c r="AM28" i="2"/>
  <c r="AM29" i="2"/>
  <c r="AM30" i="2"/>
  <c r="AM31" i="2"/>
  <c r="AM7" i="2"/>
  <c r="AM6" i="2"/>
  <c r="AE8" i="2"/>
  <c r="AE9" i="2"/>
  <c r="AE10" i="2"/>
  <c r="AE11" i="2"/>
  <c r="AE12" i="2"/>
  <c r="AE13" i="2"/>
  <c r="AE14" i="2"/>
  <c r="AE15" i="2"/>
  <c r="AE16" i="2"/>
  <c r="AE17" i="2"/>
  <c r="AE18" i="2"/>
  <c r="AE19" i="2"/>
  <c r="AE20" i="2"/>
  <c r="AE21" i="2"/>
  <c r="AE22" i="2"/>
  <c r="AE23" i="2"/>
  <c r="AE24" i="2"/>
  <c r="AE25" i="2"/>
  <c r="AE26" i="2"/>
  <c r="AE27" i="2"/>
  <c r="AE28" i="2"/>
  <c r="AE29" i="2"/>
  <c r="AE30" i="2"/>
  <c r="AE31" i="2"/>
  <c r="AE7" i="2"/>
  <c r="AE6" i="2"/>
  <c r="AH31" i="2" l="1"/>
  <c r="AG31" i="2"/>
  <c r="AF31" i="2"/>
  <c r="AH30" i="2"/>
  <c r="AG30" i="2"/>
  <c r="AF30" i="2"/>
  <c r="W31" i="2"/>
  <c r="V31" i="2"/>
  <c r="W30" i="2"/>
  <c r="V30" i="2"/>
  <c r="Q31" i="2" l="1"/>
  <c r="P31" i="2"/>
  <c r="Q30" i="2"/>
  <c r="P30" i="2"/>
  <c r="O31" i="2"/>
  <c r="N31" i="2"/>
  <c r="M31" i="2"/>
  <c r="O30" i="2"/>
  <c r="N30" i="2"/>
  <c r="M30" i="2"/>
  <c r="J31" i="2" l="1"/>
  <c r="I31" i="2"/>
  <c r="H31" i="2"/>
  <c r="G31" i="2"/>
  <c r="F31" i="2"/>
  <c r="E31" i="2"/>
  <c r="D31" i="2"/>
  <c r="C31" i="2"/>
  <c r="B31" i="2"/>
  <c r="J30" i="2"/>
  <c r="I30" i="2"/>
  <c r="H30" i="2"/>
  <c r="G30" i="2"/>
  <c r="F30" i="2"/>
  <c r="E30" i="2"/>
  <c r="D30" i="2"/>
  <c r="C30" i="2"/>
  <c r="B30" i="2"/>
  <c r="AH29" i="2" l="1"/>
  <c r="AG29" i="2"/>
  <c r="AF29" i="2"/>
  <c r="W29" i="2"/>
  <c r="V29" i="2"/>
  <c r="Q29" i="2" l="1"/>
  <c r="P29" i="2"/>
  <c r="O29" i="2"/>
  <c r="N29" i="2"/>
  <c r="M29" i="2"/>
  <c r="J29" i="2" l="1"/>
  <c r="I29" i="2"/>
  <c r="H29" i="2"/>
  <c r="G29" i="2"/>
  <c r="F29" i="2"/>
  <c r="E29" i="2"/>
  <c r="D29" i="2"/>
  <c r="C29" i="2"/>
  <c r="B29" i="2"/>
  <c r="AH28" i="2" l="1"/>
  <c r="AG28" i="2"/>
  <c r="AF28" i="2"/>
  <c r="W28" i="2"/>
  <c r="V28" i="2"/>
  <c r="Q28" i="2" l="1"/>
  <c r="P28" i="2"/>
  <c r="O28" i="2"/>
  <c r="N28" i="2"/>
  <c r="M28" i="2"/>
  <c r="J28" i="2" l="1"/>
  <c r="I28" i="2"/>
  <c r="H28" i="2"/>
  <c r="G28" i="2"/>
  <c r="F28" i="2"/>
  <c r="E28" i="2"/>
  <c r="D28" i="2"/>
  <c r="C28" i="2"/>
  <c r="B28" i="2"/>
  <c r="AH27" i="2" l="1"/>
  <c r="AG27" i="2"/>
  <c r="AF27" i="2"/>
  <c r="AH26" i="2"/>
  <c r="AG26" i="2"/>
  <c r="AF26" i="2"/>
  <c r="W27" i="2"/>
  <c r="V27" i="2"/>
  <c r="W26" i="2"/>
  <c r="V26" i="2"/>
  <c r="Q27" i="2" l="1"/>
  <c r="P27" i="2"/>
  <c r="Q26" i="2"/>
  <c r="P26" i="2"/>
  <c r="O27" i="2"/>
  <c r="N27" i="2"/>
  <c r="M27" i="2"/>
  <c r="O26" i="2"/>
  <c r="N26" i="2"/>
  <c r="M26" i="2"/>
  <c r="J27" i="2" l="1"/>
  <c r="I27" i="2"/>
  <c r="H27" i="2"/>
  <c r="G27" i="2"/>
  <c r="F27" i="2"/>
  <c r="E27" i="2"/>
  <c r="D27" i="2"/>
  <c r="C27" i="2"/>
  <c r="B27" i="2"/>
  <c r="J26" i="2"/>
  <c r="I26" i="2"/>
  <c r="H26" i="2"/>
  <c r="G26" i="2"/>
  <c r="F26" i="2"/>
  <c r="E26" i="2"/>
  <c r="D26" i="2"/>
  <c r="C26" i="2"/>
  <c r="B26" i="2"/>
  <c r="AH25" i="2" l="1"/>
  <c r="AG25" i="2"/>
  <c r="AF25" i="2"/>
  <c r="W25" i="2"/>
  <c r="V25" i="2"/>
  <c r="Q25" i="2" l="1"/>
  <c r="P25" i="2"/>
  <c r="O25" i="2"/>
  <c r="N25" i="2"/>
  <c r="M25" i="2"/>
  <c r="J25" i="2" l="1"/>
  <c r="I25" i="2"/>
  <c r="H25" i="2"/>
  <c r="G25" i="2"/>
  <c r="F25" i="2"/>
  <c r="E25" i="2"/>
  <c r="D25" i="2"/>
  <c r="C25" i="2"/>
  <c r="B25" i="2"/>
  <c r="AH24" i="2" l="1"/>
  <c r="AG24" i="2"/>
  <c r="AF24" i="2"/>
  <c r="W24" i="2"/>
  <c r="V24" i="2"/>
  <c r="Q24" i="2" l="1"/>
  <c r="P24" i="2"/>
  <c r="O24" i="2"/>
  <c r="N24" i="2"/>
  <c r="M24" i="2"/>
  <c r="J24" i="2" l="1"/>
  <c r="I24" i="2"/>
  <c r="H24" i="2"/>
  <c r="G24" i="2"/>
  <c r="F24" i="2"/>
  <c r="E24" i="2"/>
  <c r="D24" i="2"/>
  <c r="C24" i="2"/>
  <c r="B24" i="2"/>
  <c r="AH23" i="2" l="1"/>
  <c r="AG23" i="2"/>
  <c r="AF23" i="2"/>
  <c r="W23" i="2"/>
  <c r="V23" i="2"/>
  <c r="Q23" i="2" l="1"/>
  <c r="P23" i="2"/>
  <c r="O23" i="2"/>
  <c r="N23" i="2"/>
  <c r="M23" i="2"/>
  <c r="J23" i="2" l="1"/>
  <c r="I23" i="2"/>
  <c r="H23" i="2"/>
  <c r="G23" i="2"/>
  <c r="F23" i="2"/>
  <c r="E23" i="2"/>
  <c r="D23" i="2"/>
  <c r="C23" i="2"/>
  <c r="B23" i="2"/>
  <c r="AH22" i="2" l="1"/>
  <c r="AG22" i="2"/>
  <c r="AF22" i="2"/>
  <c r="W22" i="2"/>
  <c r="V22" i="2"/>
  <c r="Q22" i="2" l="1"/>
  <c r="P22" i="2"/>
  <c r="O22" i="2"/>
  <c r="N22" i="2"/>
  <c r="M22" i="2"/>
  <c r="J22" i="2"/>
  <c r="I22" i="2"/>
  <c r="H22" i="2"/>
  <c r="G22" i="2"/>
  <c r="F22" i="2"/>
  <c r="E22" i="2"/>
  <c r="D22" i="2"/>
  <c r="C22" i="2"/>
  <c r="B22" i="2"/>
  <c r="AH21" i="2" l="1"/>
  <c r="AG21" i="2"/>
  <c r="AF21" i="2"/>
  <c r="AH20" i="2"/>
  <c r="AG20" i="2"/>
  <c r="AF20" i="2"/>
  <c r="AH19" i="2"/>
  <c r="AG19" i="2"/>
  <c r="AF19" i="2"/>
  <c r="W21" i="2"/>
  <c r="V21" i="2"/>
  <c r="W20" i="2"/>
  <c r="V20" i="2"/>
  <c r="W19" i="2"/>
  <c r="V19" i="2"/>
  <c r="Q21" i="2" l="1"/>
  <c r="P21" i="2"/>
  <c r="Q20" i="2"/>
  <c r="P20" i="2"/>
  <c r="Q19" i="2"/>
  <c r="P19" i="2"/>
  <c r="O21" i="2"/>
  <c r="N21" i="2"/>
  <c r="M21" i="2"/>
  <c r="O20" i="2"/>
  <c r="N20" i="2"/>
  <c r="M20" i="2"/>
  <c r="O19" i="2"/>
  <c r="N19" i="2"/>
  <c r="M19" i="2"/>
  <c r="J21" i="2" l="1"/>
  <c r="I21" i="2"/>
  <c r="H21" i="2"/>
  <c r="G21" i="2"/>
  <c r="F21" i="2"/>
  <c r="E21" i="2"/>
  <c r="D21" i="2"/>
  <c r="C21" i="2"/>
  <c r="B21" i="2"/>
  <c r="J20" i="2"/>
  <c r="I20" i="2"/>
  <c r="H20" i="2"/>
  <c r="G20" i="2"/>
  <c r="F20" i="2"/>
  <c r="E20" i="2"/>
  <c r="D20" i="2"/>
  <c r="C20" i="2"/>
  <c r="B20" i="2"/>
  <c r="J19" i="2"/>
  <c r="I19" i="2"/>
  <c r="H19" i="2"/>
  <c r="G19" i="2"/>
  <c r="F19" i="2"/>
  <c r="E19" i="2"/>
  <c r="D19" i="2"/>
  <c r="C19" i="2"/>
  <c r="B19" i="2"/>
  <c r="AH18" i="2" l="1"/>
  <c r="AG18" i="2"/>
  <c r="AF18" i="2"/>
  <c r="AH17" i="2"/>
  <c r="AG17" i="2"/>
  <c r="AF17" i="2"/>
  <c r="AH16" i="2"/>
  <c r="AG16" i="2"/>
  <c r="AF16" i="2"/>
  <c r="AH15" i="2"/>
  <c r="AG15" i="2"/>
  <c r="AF15" i="2"/>
  <c r="AH14" i="2"/>
  <c r="AG14" i="2"/>
  <c r="AF14" i="2"/>
  <c r="W18" i="2"/>
  <c r="V18" i="2"/>
  <c r="W17" i="2"/>
  <c r="V17" i="2"/>
  <c r="W16" i="2"/>
  <c r="V16" i="2"/>
  <c r="W15" i="2"/>
  <c r="V15" i="2"/>
  <c r="W14" i="2"/>
  <c r="V14" i="2"/>
  <c r="W13" i="2"/>
  <c r="V13" i="2"/>
  <c r="W12" i="2"/>
  <c r="V12" i="2"/>
  <c r="W11" i="2"/>
  <c r="V11" i="2"/>
  <c r="W10" i="2"/>
  <c r="V10" i="2"/>
  <c r="W9" i="2"/>
  <c r="V9" i="2"/>
  <c r="W8" i="2"/>
  <c r="V8" i="2"/>
  <c r="W7" i="2"/>
  <c r="V7" i="2"/>
  <c r="W6" i="2"/>
  <c r="V6" i="2"/>
  <c r="Q18" i="2" l="1"/>
  <c r="P18" i="2"/>
  <c r="Q17" i="2"/>
  <c r="P17" i="2"/>
  <c r="Q16" i="2"/>
  <c r="P16" i="2"/>
  <c r="Q15" i="2"/>
  <c r="P15" i="2"/>
  <c r="Q14" i="2"/>
  <c r="P14" i="2"/>
  <c r="Q13" i="2"/>
  <c r="P13" i="2"/>
  <c r="Q12" i="2"/>
  <c r="P12" i="2"/>
  <c r="Q11" i="2"/>
  <c r="P11" i="2"/>
  <c r="Q10" i="2"/>
  <c r="P10" i="2"/>
  <c r="Q9" i="2"/>
  <c r="P9" i="2"/>
  <c r="Q8" i="2"/>
  <c r="P8" i="2"/>
  <c r="Q7" i="2"/>
  <c r="P7" i="2"/>
  <c r="Q6" i="2"/>
  <c r="P6" i="2"/>
  <c r="O18" i="2"/>
  <c r="N18" i="2"/>
  <c r="M18" i="2"/>
  <c r="O17" i="2"/>
  <c r="N17" i="2"/>
  <c r="M17" i="2"/>
  <c r="O16" i="2"/>
  <c r="N16" i="2"/>
  <c r="M16" i="2"/>
  <c r="O15" i="2"/>
  <c r="N15" i="2"/>
  <c r="M15" i="2"/>
  <c r="O14" i="2"/>
  <c r="N14" i="2"/>
  <c r="M14" i="2"/>
  <c r="O13" i="2"/>
  <c r="N13" i="2"/>
  <c r="M13" i="2"/>
  <c r="O12" i="2"/>
  <c r="N12" i="2"/>
  <c r="M12" i="2"/>
  <c r="O11" i="2"/>
  <c r="N11" i="2"/>
  <c r="M11" i="2"/>
  <c r="O10" i="2"/>
  <c r="N10" i="2"/>
  <c r="M10" i="2"/>
  <c r="O9" i="2"/>
  <c r="N9" i="2"/>
  <c r="M9" i="2"/>
  <c r="O8" i="2"/>
  <c r="N8" i="2"/>
  <c r="M8" i="2"/>
  <c r="O7" i="2"/>
  <c r="N7" i="2"/>
  <c r="M7" i="2"/>
  <c r="O6" i="2"/>
  <c r="N6" i="2"/>
  <c r="M6" i="2"/>
  <c r="J18" i="2" l="1"/>
  <c r="I18" i="2"/>
  <c r="H18" i="2"/>
  <c r="G18" i="2"/>
  <c r="F18" i="2"/>
  <c r="E18" i="2"/>
  <c r="D18" i="2"/>
  <c r="C18" i="2"/>
  <c r="B18" i="2"/>
  <c r="J17" i="2"/>
  <c r="I17" i="2"/>
  <c r="H17" i="2"/>
  <c r="G17" i="2"/>
  <c r="F17" i="2"/>
  <c r="E17" i="2"/>
  <c r="D17" i="2"/>
  <c r="C17" i="2"/>
  <c r="B17" i="2"/>
  <c r="J16" i="2"/>
  <c r="I16" i="2"/>
  <c r="H16" i="2"/>
  <c r="G16" i="2"/>
  <c r="F16" i="2"/>
  <c r="E16" i="2"/>
  <c r="D16" i="2"/>
  <c r="C16" i="2"/>
  <c r="B16" i="2"/>
  <c r="J15" i="2"/>
  <c r="I15" i="2"/>
  <c r="H15" i="2"/>
  <c r="G15" i="2"/>
  <c r="F15" i="2"/>
  <c r="E15" i="2"/>
  <c r="D15" i="2"/>
  <c r="C15" i="2"/>
  <c r="B15" i="2"/>
  <c r="J14" i="2"/>
  <c r="I14" i="2"/>
  <c r="H14" i="2"/>
  <c r="G14" i="2"/>
  <c r="F14" i="2"/>
  <c r="E14" i="2"/>
  <c r="D14" i="2"/>
  <c r="C14" i="2"/>
  <c r="B14" i="2"/>
  <c r="J13" i="2"/>
  <c r="I13" i="2"/>
  <c r="H13" i="2"/>
  <c r="G13" i="2"/>
  <c r="F13" i="2"/>
  <c r="E13" i="2"/>
  <c r="D13" i="2"/>
  <c r="C13" i="2"/>
  <c r="B13" i="2"/>
  <c r="J12" i="2"/>
  <c r="I12" i="2"/>
  <c r="H12" i="2"/>
  <c r="G12" i="2"/>
  <c r="F12" i="2"/>
  <c r="E12" i="2"/>
  <c r="D12" i="2"/>
  <c r="C12" i="2"/>
  <c r="B12" i="2"/>
  <c r="J11" i="2"/>
  <c r="I11" i="2"/>
  <c r="H11" i="2"/>
  <c r="G11" i="2"/>
  <c r="F11" i="2"/>
  <c r="E11" i="2"/>
  <c r="D11" i="2"/>
  <c r="C11" i="2"/>
  <c r="B11" i="2"/>
  <c r="J10" i="2"/>
  <c r="I10" i="2"/>
  <c r="H10" i="2"/>
  <c r="G10" i="2"/>
  <c r="F10" i="2"/>
  <c r="E10" i="2"/>
  <c r="D10" i="2"/>
  <c r="C10" i="2"/>
  <c r="B10" i="2"/>
  <c r="J9" i="2"/>
  <c r="I9" i="2"/>
  <c r="H9" i="2"/>
  <c r="G9" i="2"/>
  <c r="F9" i="2"/>
  <c r="E9" i="2"/>
  <c r="D9" i="2"/>
  <c r="C9" i="2"/>
  <c r="B9" i="2"/>
  <c r="J8" i="2"/>
  <c r="I8" i="2"/>
  <c r="H8" i="2"/>
  <c r="G8" i="2"/>
  <c r="F8" i="2"/>
  <c r="E8" i="2"/>
  <c r="D8" i="2"/>
  <c r="C8" i="2"/>
  <c r="B8" i="2"/>
  <c r="J7" i="2"/>
  <c r="I7" i="2"/>
  <c r="H7" i="2"/>
  <c r="G7" i="2"/>
  <c r="F7" i="2"/>
  <c r="E7" i="2"/>
  <c r="D7" i="2"/>
  <c r="C7" i="2"/>
  <c r="B7" i="2"/>
  <c r="J6" i="2"/>
  <c r="I6" i="2"/>
  <c r="H6" i="2"/>
  <c r="G6" i="2"/>
  <c r="F6" i="2"/>
  <c r="E6" i="2"/>
  <c r="D6" i="2"/>
  <c r="C6" i="2"/>
  <c r="B6" i="2"/>
  <c r="AH13" i="2" l="1"/>
  <c r="AG12" i="2"/>
  <c r="AH12" i="2"/>
  <c r="AF13" i="2"/>
  <c r="AF12" i="2"/>
  <c r="AH11" i="2"/>
  <c r="AF11" i="2"/>
  <c r="AG13" i="2"/>
  <c r="AG11" i="2"/>
  <c r="R11" i="2"/>
  <c r="R12" i="2"/>
  <c r="R13" i="2"/>
  <c r="R10" i="2" l="1"/>
  <c r="AH10" i="2"/>
  <c r="AF10" i="2"/>
  <c r="AH9" i="2"/>
  <c r="AF9" i="2"/>
  <c r="AH7" i="2"/>
  <c r="AF7" i="2"/>
  <c r="AH8" i="2"/>
  <c r="AG8" i="2"/>
  <c r="AF8" i="2"/>
  <c r="AG10" i="2"/>
  <c r="AG9" i="2"/>
  <c r="AG7" i="2"/>
  <c r="AG6" i="2"/>
  <c r="AH6" i="2"/>
  <c r="AF6" i="2"/>
  <c r="Z8" i="2"/>
  <c r="Z9" i="2"/>
  <c r="Z10" i="2"/>
  <c r="Z11" i="2"/>
  <c r="Z12" i="2"/>
  <c r="Z13" i="2"/>
  <c r="Z14" i="2"/>
  <c r="Z15" i="2"/>
  <c r="Z16" i="2"/>
  <c r="Z17" i="2"/>
  <c r="Z18" i="2"/>
  <c r="Z19" i="2"/>
  <c r="Z20" i="2"/>
  <c r="Z21" i="2"/>
  <c r="Z22" i="2"/>
  <c r="Z23" i="2"/>
  <c r="Z24" i="2"/>
  <c r="Z25" i="2"/>
  <c r="Z26" i="2"/>
  <c r="Z27" i="2"/>
  <c r="Z28" i="2"/>
  <c r="Z29" i="2"/>
  <c r="Z30" i="2"/>
  <c r="Z31" i="2"/>
  <c r="Z32" i="2"/>
  <c r="Z33" i="2"/>
  <c r="Z34" i="2"/>
  <c r="H37" i="2" l="1"/>
  <c r="J37" i="2"/>
  <c r="I37" i="2"/>
  <c r="M31" i="1" l="1"/>
  <c r="N31" i="1"/>
  <c r="M32" i="1"/>
  <c r="N32" i="1"/>
  <c r="B31" i="1"/>
  <c r="B32" i="1"/>
  <c r="U31" i="3"/>
  <c r="V31" i="3"/>
  <c r="W31" i="3"/>
  <c r="U32" i="3"/>
  <c r="V32" i="3"/>
  <c r="W32" i="3"/>
  <c r="E31" i="3"/>
  <c r="F31" i="3"/>
  <c r="G31" i="3"/>
  <c r="H31" i="3"/>
  <c r="I31" i="3"/>
  <c r="J31" i="3"/>
  <c r="K31" i="3"/>
  <c r="L31" i="3"/>
  <c r="M31" i="3"/>
  <c r="Q31" i="3"/>
  <c r="R31" i="3"/>
  <c r="E32" i="3"/>
  <c r="F32" i="3"/>
  <c r="G32" i="3"/>
  <c r="H32" i="3"/>
  <c r="I32" i="3"/>
  <c r="J32" i="3"/>
  <c r="K32" i="3"/>
  <c r="L32" i="3"/>
  <c r="M32" i="3"/>
  <c r="Q32" i="3"/>
  <c r="R32" i="3"/>
  <c r="B31" i="3"/>
  <c r="B32" i="3"/>
  <c r="AI35" i="2"/>
  <c r="AK35" i="2" s="1"/>
  <c r="AI36" i="2"/>
  <c r="AK36" i="2" s="1"/>
  <c r="AC35" i="2"/>
  <c r="AD35" i="2" s="1"/>
  <c r="AE35" i="2" s="1"/>
  <c r="AC36" i="2"/>
  <c r="AD36" i="2" s="1"/>
  <c r="AE36" i="2" s="1"/>
  <c r="Z35" i="2"/>
  <c r="AA35" i="2" s="1"/>
  <c r="Z36" i="2"/>
  <c r="AA36" i="2" s="1"/>
  <c r="T35" i="2"/>
  <c r="U35" i="2" s="1"/>
  <c r="T36" i="2"/>
  <c r="N32" i="3" s="1"/>
  <c r="R35" i="2"/>
  <c r="O31" i="3" s="1"/>
  <c r="S35" i="2"/>
  <c r="R36" i="2"/>
  <c r="O32" i="3" s="1"/>
  <c r="S36" i="2"/>
  <c r="K35" i="2"/>
  <c r="L35" i="2" s="1"/>
  <c r="K36" i="2"/>
  <c r="L36" i="2" s="1"/>
  <c r="X32" i="3" l="1"/>
  <c r="AL36" i="2"/>
  <c r="AM36" i="2" s="1"/>
  <c r="AL35" i="2"/>
  <c r="AM35" i="2" s="1"/>
  <c r="X31" i="3"/>
  <c r="T32" i="3"/>
  <c r="I32" i="1" s="1"/>
  <c r="T31" i="3"/>
  <c r="AO35" i="2"/>
  <c r="P32" i="3"/>
  <c r="G32" i="1" s="1"/>
  <c r="P31" i="3"/>
  <c r="G31" i="1" s="1"/>
  <c r="S31" i="3"/>
  <c r="K32" i="1"/>
  <c r="N31" i="3"/>
  <c r="K31" i="1" s="1"/>
  <c r="U36" i="2"/>
  <c r="AO36" i="2" s="1"/>
  <c r="E31" i="1"/>
  <c r="E32" i="1"/>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7" i="2"/>
  <c r="S32" i="3" l="1"/>
  <c r="I31" i="1"/>
  <c r="AI6" i="2"/>
  <c r="AC6" i="2"/>
  <c r="AN37" i="2" l="1"/>
  <c r="AH37" i="2"/>
  <c r="AG37" i="2"/>
  <c r="AF37" i="2"/>
  <c r="G37" i="2"/>
  <c r="D37" i="2"/>
  <c r="Z33" i="3"/>
  <c r="Z7" i="2"/>
  <c r="K6" i="2" l="1"/>
  <c r="L6" i="2" l="1"/>
  <c r="M13" i="1"/>
  <c r="M14" i="1"/>
  <c r="M15" i="1"/>
  <c r="M16" i="1"/>
  <c r="M17" i="1"/>
  <c r="M18" i="1"/>
  <c r="M19" i="1"/>
  <c r="M20" i="1"/>
  <c r="M21" i="1"/>
  <c r="M22" i="1"/>
  <c r="M23" i="1"/>
  <c r="M24" i="1"/>
  <c r="M25" i="1"/>
  <c r="M26" i="1"/>
  <c r="M28" i="1"/>
  <c r="M29" i="1"/>
  <c r="M30"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27" i="1"/>
  <c r="N33" i="1" l="1"/>
  <c r="P5" i="3"/>
  <c r="G5" i="1" s="1"/>
  <c r="AA10" i="2"/>
  <c r="AA11" i="2"/>
  <c r="AA13" i="2"/>
  <c r="AA14" i="2"/>
  <c r="AA15" i="2"/>
  <c r="AA16" i="2"/>
  <c r="AD17" i="2"/>
  <c r="R15" i="2"/>
  <c r="O11" i="3" s="1"/>
  <c r="R16" i="2"/>
  <c r="O12" i="3" s="1"/>
  <c r="R17" i="2"/>
  <c r="O13" i="3" s="1"/>
  <c r="R18" i="2"/>
  <c r="R19" i="2"/>
  <c r="O15" i="3" s="1"/>
  <c r="R20" i="2"/>
  <c r="O16" i="3" s="1"/>
  <c r="R21" i="2"/>
  <c r="O17" i="3" s="1"/>
  <c r="R22" i="2"/>
  <c r="R23" i="2"/>
  <c r="O19" i="3" s="1"/>
  <c r="R24" i="2"/>
  <c r="O20" i="3" s="1"/>
  <c r="R25" i="2"/>
  <c r="O21" i="3" s="1"/>
  <c r="R26" i="2"/>
  <c r="R27" i="2"/>
  <c r="O23" i="3" s="1"/>
  <c r="R28" i="2"/>
  <c r="O24" i="3" s="1"/>
  <c r="R29" i="2"/>
  <c r="O25" i="3" s="1"/>
  <c r="R30" i="2"/>
  <c r="O26" i="3" s="1"/>
  <c r="R31" i="2"/>
  <c r="O27" i="3" s="1"/>
  <c r="R32" i="2"/>
  <c r="O28" i="3" s="1"/>
  <c r="R33" i="2"/>
  <c r="O29" i="3" s="1"/>
  <c r="R34" i="2"/>
  <c r="R6" i="2"/>
  <c r="R7" i="2"/>
  <c r="O3" i="3" s="1"/>
  <c r="R8" i="2"/>
  <c r="O4" i="3" s="1"/>
  <c r="R9" i="2"/>
  <c r="O5" i="3" s="1"/>
  <c r="O6" i="3"/>
  <c r="O7" i="3"/>
  <c r="O8" i="3"/>
  <c r="O9" i="3"/>
  <c r="R14" i="2"/>
  <c r="O10" i="3" s="1"/>
  <c r="AK11" i="2"/>
  <c r="X7" i="3" s="1"/>
  <c r="AK12" i="2"/>
  <c r="X8" i="3" s="1"/>
  <c r="AK15" i="2"/>
  <c r="AK16" i="2"/>
  <c r="AL16" i="2" s="1"/>
  <c r="AK20" i="2"/>
  <c r="AK24" i="2"/>
  <c r="X20" i="3" s="1"/>
  <c r="AK28" i="2"/>
  <c r="AK31" i="2"/>
  <c r="AL31" i="2" s="1"/>
  <c r="AK32" i="2"/>
  <c r="AK34" i="2"/>
  <c r="AD10" i="2"/>
  <c r="AD13" i="2"/>
  <c r="AD14" i="2"/>
  <c r="AD19" i="2"/>
  <c r="AD22" i="2"/>
  <c r="AD26" i="2"/>
  <c r="AD27" i="2"/>
  <c r="AD28" i="2"/>
  <c r="AD29" i="2"/>
  <c r="AD31" i="2"/>
  <c r="AD33" i="2"/>
  <c r="AE33" i="2" s="1"/>
  <c r="AK7" i="2"/>
  <c r="AL7" i="2" s="1"/>
  <c r="AD8" i="2"/>
  <c r="AD7" i="2"/>
  <c r="AD6" i="2"/>
  <c r="T8" i="2"/>
  <c r="N4" i="3" s="1"/>
  <c r="T7" i="2"/>
  <c r="U7" i="2" s="1"/>
  <c r="S8" i="2"/>
  <c r="S7" i="2"/>
  <c r="K8" i="2"/>
  <c r="L8" i="2" s="1"/>
  <c r="K7" i="2"/>
  <c r="Z6" i="2"/>
  <c r="AK8" i="2"/>
  <c r="AL8" i="2" s="1"/>
  <c r="AK9" i="2"/>
  <c r="X5" i="3" s="1"/>
  <c r="AK10" i="2"/>
  <c r="AL10" i="2" s="1"/>
  <c r="AD9" i="2"/>
  <c r="AD11" i="2"/>
  <c r="AD12" i="2"/>
  <c r="AD15" i="2"/>
  <c r="AD16" i="2"/>
  <c r="AD18" i="2"/>
  <c r="AD20" i="2"/>
  <c r="AD21" i="2"/>
  <c r="AD23" i="2"/>
  <c r="AD24" i="2"/>
  <c r="AD25" i="2"/>
  <c r="AD30" i="2"/>
  <c r="AD32" i="2"/>
  <c r="AE32" i="2" s="1"/>
  <c r="AD34" i="2"/>
  <c r="AE34" i="2" s="1"/>
  <c r="AD42" i="2"/>
  <c r="D38" i="2"/>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AA20" i="2"/>
  <c r="AA21" i="2"/>
  <c r="AA22" i="2"/>
  <c r="AA23" i="2"/>
  <c r="P21" i="3"/>
  <c r="P22" i="3"/>
  <c r="G22" i="1" s="1"/>
  <c r="P23" i="3"/>
  <c r="G23" i="1" s="1"/>
  <c r="AA28" i="2"/>
  <c r="AA29" i="2"/>
  <c r="AA30" i="2"/>
  <c r="AA31" i="2"/>
  <c r="AA32" i="2"/>
  <c r="AA33" i="2"/>
  <c r="P30" i="3"/>
  <c r="G30" i="1" s="1"/>
  <c r="P3" i="3"/>
  <c r="AA8" i="2"/>
  <c r="P13" i="3"/>
  <c r="P14" i="3"/>
  <c r="G14" i="1" s="1"/>
  <c r="AA19" i="2"/>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K14" i="2"/>
  <c r="AL14" i="2" s="1"/>
  <c r="AK17" i="2"/>
  <c r="AL17" i="2" s="1"/>
  <c r="AK19" i="2"/>
  <c r="AL19" i="2" s="1"/>
  <c r="AK21" i="2"/>
  <c r="X17" i="3" s="1"/>
  <c r="AK22" i="2"/>
  <c r="AL22" i="2" s="1"/>
  <c r="AK23" i="2"/>
  <c r="AL23" i="2" s="1"/>
  <c r="AK25" i="2"/>
  <c r="X21" i="3" s="1"/>
  <c r="AK26" i="2"/>
  <c r="X22" i="3" s="1"/>
  <c r="AK27" i="2"/>
  <c r="AL27" i="2" s="1"/>
  <c r="AK29" i="2"/>
  <c r="X25" i="3" s="1"/>
  <c r="AK30" i="2"/>
  <c r="AL30" i="2" s="1"/>
  <c r="AK33" i="2"/>
  <c r="X29" i="3" s="1"/>
  <c r="AK6" i="2"/>
  <c r="S6" i="2"/>
  <c r="S9" i="2"/>
  <c r="S10" i="2"/>
  <c r="S11" i="2"/>
  <c r="S12" i="2"/>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S32" i="2"/>
  <c r="S31" i="2"/>
  <c r="S30" i="2"/>
  <c r="S29" i="2"/>
  <c r="S28" i="2"/>
  <c r="S27" i="2"/>
  <c r="S26" i="2"/>
  <c r="O22" i="3"/>
  <c r="S25" i="2"/>
  <c r="S24" i="2"/>
  <c r="S23" i="2"/>
  <c r="S22" i="2"/>
  <c r="O18" i="3"/>
  <c r="S21" i="2"/>
  <c r="S20" i="2"/>
  <c r="S19" i="2"/>
  <c r="S18" i="2"/>
  <c r="O14" i="3"/>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AK18" i="2"/>
  <c r="X14" i="3" s="1"/>
  <c r="D40" i="2"/>
  <c r="G39" i="2"/>
  <c r="N29" i="3"/>
  <c r="N3" i="3"/>
  <c r="N24" i="3" l="1"/>
  <c r="P28" i="3"/>
  <c r="G28" i="1" s="1"/>
  <c r="K28" i="1"/>
  <c r="U32" i="2"/>
  <c r="T23" i="3"/>
  <c r="AL25" i="2"/>
  <c r="P17" i="3"/>
  <c r="G17" i="1" s="1"/>
  <c r="U19" i="2"/>
  <c r="P15" i="3"/>
  <c r="S15" i="3" s="1"/>
  <c r="U15" i="2"/>
  <c r="P9" i="3"/>
  <c r="G9" i="1" s="1"/>
  <c r="P27" i="3"/>
  <c r="S27" i="3" s="1"/>
  <c r="P19" i="3"/>
  <c r="G19" i="1" s="1"/>
  <c r="T28" i="3"/>
  <c r="T27" i="3"/>
  <c r="N19" i="3"/>
  <c r="K19" i="1" s="1"/>
  <c r="T12" i="3"/>
  <c r="T22" i="3"/>
  <c r="I22" i="1" s="1"/>
  <c r="T21" i="3"/>
  <c r="I21" i="1" s="1"/>
  <c r="T13" i="3"/>
  <c r="T30" i="3"/>
  <c r="P11" i="3"/>
  <c r="G11" i="1" s="1"/>
  <c r="X18" i="3"/>
  <c r="T17" i="3"/>
  <c r="I17" i="1" s="1"/>
  <c r="X9" i="3"/>
  <c r="N10" i="3"/>
  <c r="K10" i="1" s="1"/>
  <c r="U11" i="2"/>
  <c r="AO11" i="2" s="1"/>
  <c r="P26" i="3"/>
  <c r="G26" i="1" s="1"/>
  <c r="U17" i="2"/>
  <c r="T3" i="3"/>
  <c r="P24" i="3"/>
  <c r="G24" i="1" s="1"/>
  <c r="U16" i="2"/>
  <c r="AO16" i="2" s="1"/>
  <c r="U30" i="2"/>
  <c r="AO30" i="2" s="1"/>
  <c r="M33" i="3"/>
  <c r="V33" i="3"/>
  <c r="I33" i="3"/>
  <c r="T7" i="3"/>
  <c r="I7" i="1" s="1"/>
  <c r="U9" i="2"/>
  <c r="K33" i="3"/>
  <c r="J33" i="3"/>
  <c r="W33" i="3"/>
  <c r="U33" i="3"/>
  <c r="T5" i="3"/>
  <c r="I5" i="1" s="1"/>
  <c r="Q33" i="3"/>
  <c r="U8" i="2"/>
  <c r="T37" i="2"/>
  <c r="U37" i="2" s="1"/>
  <c r="L33" i="3"/>
  <c r="X27" i="3"/>
  <c r="AL11" i="2"/>
  <c r="X10" i="3"/>
  <c r="T20" i="3"/>
  <c r="I20" i="1" s="1"/>
  <c r="P4" i="3"/>
  <c r="G4" i="1" s="1"/>
  <c r="R33" i="3"/>
  <c r="L7" i="2"/>
  <c r="L37" i="2" s="1"/>
  <c r="K37" i="2"/>
  <c r="X2" i="3"/>
  <c r="AK37" i="2"/>
  <c r="AD37" i="2"/>
  <c r="AE37" i="2" s="1"/>
  <c r="AA6" i="2"/>
  <c r="Z37" i="2"/>
  <c r="O2" i="3"/>
  <c r="O33" i="3" s="1"/>
  <c r="R37" i="2"/>
  <c r="R39" i="2" s="1"/>
  <c r="S5" i="3"/>
  <c r="E30" i="1"/>
  <c r="E17" i="1"/>
  <c r="N2" i="3"/>
  <c r="U6" i="2"/>
  <c r="AL6" i="2"/>
  <c r="G3" i="1"/>
  <c r="S3" i="3"/>
  <c r="P2" i="3"/>
  <c r="AA7" i="2"/>
  <c r="U25" i="2"/>
  <c r="N18" i="3"/>
  <c r="K18" i="1" s="1"/>
  <c r="S23" i="3"/>
  <c r="K30" i="1"/>
  <c r="K24" i="1"/>
  <c r="E29" i="1"/>
  <c r="K7" i="1"/>
  <c r="S30" i="3"/>
  <c r="X26" i="3"/>
  <c r="X13" i="3"/>
  <c r="AL21" i="2"/>
  <c r="T25" i="3"/>
  <c r="I25" i="1" s="1"/>
  <c r="T11" i="3"/>
  <c r="T16" i="3"/>
  <c r="AA17" i="2"/>
  <c r="K15" i="1"/>
  <c r="K11" i="1"/>
  <c r="K8" i="1"/>
  <c r="K4" i="1"/>
  <c r="K25" i="1"/>
  <c r="K29" i="1"/>
  <c r="E24" i="1"/>
  <c r="E13" i="1"/>
  <c r="E6" i="1"/>
  <c r="X30" i="3"/>
  <c r="AL34" i="2"/>
  <c r="AM34" i="2" s="1"/>
  <c r="AL24" i="2"/>
  <c r="AL9" i="2"/>
  <c r="X4" i="3"/>
  <c r="X19" i="3"/>
  <c r="T8" i="3"/>
  <c r="I8" i="1" s="1"/>
  <c r="T24" i="3"/>
  <c r="G13" i="1"/>
  <c r="S13" i="3"/>
  <c r="AO33" i="2"/>
  <c r="S14" i="3"/>
  <c r="P29" i="3"/>
  <c r="AA9" i="2"/>
  <c r="P10" i="3"/>
  <c r="P25" i="3"/>
  <c r="G25" i="1" s="1"/>
  <c r="N9" i="3"/>
  <c r="K9" i="1" s="1"/>
  <c r="N16" i="3"/>
  <c r="K16" i="1" s="1"/>
  <c r="AO15" i="2"/>
  <c r="K3" i="1"/>
  <c r="N27" i="3"/>
  <c r="K27" i="1" s="1"/>
  <c r="K26" i="1"/>
  <c r="K13" i="1"/>
  <c r="N23" i="3"/>
  <c r="K23" i="1" s="1"/>
  <c r="AO28" i="2"/>
  <c r="K5" i="1"/>
  <c r="K12" i="1"/>
  <c r="N20" i="3"/>
  <c r="K20" i="1" s="1"/>
  <c r="AO31" i="2"/>
  <c r="K21" i="1"/>
  <c r="U12" i="2"/>
  <c r="K6" i="1"/>
  <c r="AO20" i="2"/>
  <c r="E12" i="1"/>
  <c r="E9" i="1"/>
  <c r="E7" i="1"/>
  <c r="E4" i="1"/>
  <c r="E3" i="1"/>
  <c r="E23" i="1"/>
  <c r="E18" i="1"/>
  <c r="E16" i="1"/>
  <c r="E15" i="1"/>
  <c r="E14" i="1"/>
  <c r="E25" i="1"/>
  <c r="AO21" i="2"/>
  <c r="E28" i="1"/>
  <c r="E27" i="1"/>
  <c r="E26" i="1"/>
  <c r="E22" i="1"/>
  <c r="E21" i="1"/>
  <c r="E20" i="1"/>
  <c r="E19" i="1"/>
  <c r="E11" i="1"/>
  <c r="E10" i="1"/>
  <c r="E8" i="1"/>
  <c r="E5" i="1"/>
  <c r="E2" i="1"/>
  <c r="T4" i="3"/>
  <c r="AO19" i="2"/>
  <c r="T15" i="3"/>
  <c r="AO13" i="2"/>
  <c r="T9" i="3"/>
  <c r="AL15" i="2"/>
  <c r="X11" i="3"/>
  <c r="T18" i="3"/>
  <c r="S22" i="3"/>
  <c r="S21" i="3"/>
  <c r="G21" i="1"/>
  <c r="AO23" i="2"/>
  <c r="T10" i="3"/>
  <c r="AO14" i="2"/>
  <c r="AL32" i="2"/>
  <c r="AM32" i="2" s="1"/>
  <c r="X28" i="3"/>
  <c r="AL28" i="2"/>
  <c r="X24" i="3"/>
  <c r="X16" i="3"/>
  <c r="AL20" i="2"/>
  <c r="T6" i="3"/>
  <c r="AO22" i="2"/>
  <c r="X3" i="3"/>
  <c r="X12" i="3"/>
  <c r="AA26" i="2"/>
  <c r="AO26" i="2" s="1"/>
  <c r="N22" i="3"/>
  <c r="K22" i="1" s="1"/>
  <c r="N17" i="3"/>
  <c r="K17" i="1" s="1"/>
  <c r="T19" i="3"/>
  <c r="P18" i="3"/>
  <c r="P7" i="3"/>
  <c r="AA25" i="2"/>
  <c r="P12" i="3"/>
  <c r="T26" i="3"/>
  <c r="AL26" i="2"/>
  <c r="S28" i="3"/>
  <c r="T29" i="3"/>
  <c r="I29" i="1" s="1"/>
  <c r="AL29" i="2"/>
  <c r="AA24" i="2"/>
  <c r="AO24" i="2" s="1"/>
  <c r="P20" i="3"/>
  <c r="AA34" i="2"/>
  <c r="AA18" i="2"/>
  <c r="AO18" i="2" s="1"/>
  <c r="AA12" i="2"/>
  <c r="P8" i="3"/>
  <c r="AL33" i="2"/>
  <c r="AM33" i="2" s="1"/>
  <c r="AL12" i="2"/>
  <c r="T2" i="3"/>
  <c r="N14" i="3"/>
  <c r="K14" i="1" s="1"/>
  <c r="X23" i="3"/>
  <c r="T14" i="3"/>
  <c r="I14" i="1" s="1"/>
  <c r="U34" i="2"/>
  <c r="U29" i="2"/>
  <c r="AO29" i="2" s="1"/>
  <c r="X6" i="3"/>
  <c r="X15" i="3"/>
  <c r="U10" i="2"/>
  <c r="AO10" i="2" s="1"/>
  <c r="AL18" i="2"/>
  <c r="P6" i="3"/>
  <c r="P16" i="3"/>
  <c r="AA27" i="2"/>
  <c r="AO27" i="2" s="1"/>
  <c r="S17" i="3" l="1"/>
  <c r="G15" i="1"/>
  <c r="AO9" i="2"/>
  <c r="AO17" i="2"/>
  <c r="I23" i="1"/>
  <c r="I28" i="1"/>
  <c r="AO32" i="2"/>
  <c r="I27" i="1"/>
  <c r="G27" i="1"/>
  <c r="I12" i="1"/>
  <c r="S11" i="3"/>
  <c r="S9" i="3"/>
  <c r="AO7" i="2"/>
  <c r="S26" i="3"/>
  <c r="I13" i="1"/>
  <c r="I10" i="1"/>
  <c r="S19" i="3"/>
  <c r="S24" i="3"/>
  <c r="I18" i="1"/>
  <c r="I24" i="1"/>
  <c r="S4" i="3"/>
  <c r="I9" i="1"/>
  <c r="AO8" i="2"/>
  <c r="I3" i="1"/>
  <c r="I30" i="1"/>
  <c r="T33" i="3"/>
  <c r="AO25" i="2"/>
  <c r="AM37" i="2"/>
  <c r="AL37" i="2"/>
  <c r="AO6" i="2"/>
  <c r="AA37" i="2"/>
  <c r="G2" i="1"/>
  <c r="P33" i="3"/>
  <c r="K2" i="1"/>
  <c r="N33" i="3"/>
  <c r="S25" i="3"/>
  <c r="I16" i="1"/>
  <c r="S2" i="3"/>
  <c r="I4" i="1"/>
  <c r="I26" i="1"/>
  <c r="I19" i="1"/>
  <c r="I11" i="1"/>
  <c r="AO34" i="2"/>
  <c r="S29" i="3"/>
  <c r="G29" i="1"/>
  <c r="G10" i="1"/>
  <c r="S10" i="3"/>
  <c r="U38" i="2"/>
  <c r="X33" i="3" s="1"/>
  <c r="AO12" i="2"/>
  <c r="G20" i="1"/>
  <c r="S20" i="3"/>
  <c r="G18" i="1"/>
  <c r="S18" i="3"/>
  <c r="S12" i="3"/>
  <c r="G12" i="1"/>
  <c r="S16" i="3"/>
  <c r="G16" i="1"/>
  <c r="I2" i="1"/>
  <c r="S8" i="3"/>
  <c r="G8" i="1"/>
  <c r="I15" i="1"/>
  <c r="G6" i="1"/>
  <c r="S6" i="3"/>
  <c r="S7" i="3"/>
  <c r="G7" i="1"/>
  <c r="I6" i="1"/>
  <c r="S33" i="3" l="1"/>
  <c r="AO37" i="2"/>
  <c r="U39" i="2"/>
  <c r="M33" i="1" l="1"/>
  <c r="Y33" i="3"/>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sz val="9"/>
            <color indexed="81"/>
            <rFont val="Tahoma"/>
            <family val="2"/>
          </rPr>
          <t xml:space="preserve">
Cost/ unit updated based on current Invoice 27/05/2022</t>
        </r>
      </text>
    </comment>
    <comment ref="AM2" authorId="0" shapeId="0">
      <text>
        <r>
          <rPr>
            <sz val="9"/>
            <color indexed="81"/>
            <rFont val="Tahoma"/>
            <family val="2"/>
          </rPr>
          <t xml:space="preserve">
Cost/ unit updated based on current Invoice 27/05/2022</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<sst xmlns="http://schemas.openxmlformats.org/spreadsheetml/2006/main" count="220" uniqueCount="103">
  <si>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</si>
  <si>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</si>
  <si>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</si>
  <si>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</si>
  <si>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</si>
  <si>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</si>
  <si>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</si>
  <si>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</si>
  <si>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</si>
  <si>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</si>
  <si>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</si>
  <si>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</si>
  <si>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</si>
  <si>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</si>
  <si>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</si>
  <si>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</si>
  <si>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</si>
  <si>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</si>
  <si>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</si>
  <si>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</si>
  <si>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</si>
  <si>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</si>
  <si>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</si>
  <si>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</si>
  <si>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</si>
  <si>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</si>
  <si>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</si>
  <si>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</si>
  <si>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</si>
  <si>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</si>
  <si>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</si>
  <si>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</si>
  <si>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</si>
  <si>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</si>
  <si>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</si>
  <si>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</si>
  <si>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</si>
  <si>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</si>
  <si>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</si>
  <si>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</si>
  <si>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</si>
  <si>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</si>
  <si>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</si>
  <si>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</si>
  <si>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</si>
  <si>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</si>
  <si>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</si>
  <si>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</si>
  <si>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</si>
  <si>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</si>
  <si>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</si>
  <si>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</si>
  <si>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</si>
  <si>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</si>
  <si>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</si>
  <si>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</si>
  <si>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</si>
  <si>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</si>
  <si>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</si>
  <si>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</si>
  <si>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</si>
  <si>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</si>
  <si>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</si>
  <si>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</si>
  <si>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</si>
  <si>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</si>
  <si>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</si>
  <si>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</si>
  <si>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</si>
  <si>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</si>
  <si>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</si>
  <si>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</si>
  <si>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</si>
  <si>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</si>
  <si>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</si>
  <si>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</si>
  <si>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</si>
  <si>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</si>
  <si>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</si>
  <si>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</si>
  <si>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</si>
  <si>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</si>
  <si>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</si>
  <si>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</si>
  <si>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</si>
  <si>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</si>
  <si>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</si>
  <si>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</si>
  <si>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</si>
  <si>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</si>
  <si>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</si>
  <si>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</si>
  <si>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</si>
  <si>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</si>
  <si>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</si>
  <si>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</si>
  <si>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</si>
  <si>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</si>
  <si>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</si>
  <si>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</si>
  <si>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6.47/m3 + AED. 0.00 Service)</t>
  </si>
  <si>
    <t>Natural GAS (AED)</t>
  </si>
  <si>
    <t>AED. 0.327899/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</si>
</sst>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33">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0"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1" fontId="0" fillId="0" borderId="19" xfId="0" applyNumberFormat="1" applyBorder="1" applyAlignment="1">
      <alignment horizontal="center"/>
    </xf>
    <xf numFmtId="0" fontId="1" fillId="0" borderId="20"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1" fontId="0" fillId="0" borderId="21" xfId="0" applyNumberFormat="1" applyBorder="1" applyAlignment="1">
      <alignment horizontal="center"/>
    </xf>
    <xf numFmtId="2" fontId="0" fillId="0" borderId="1" xfId="0" applyNumberFormat="1"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3" fontId="9" fillId="0" borderId="3"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xf numFmtId="4" fontId="12" fillId="0" borderId="3" xfId="0" applyNumberFormat="1" applyFont="1" applyBorder="1" applyAlignment="1">
      <alignment horizontal="center" vertical="center" wrapText="1"/>
    </xf>
    <xf numFmtId="3" fontId="9" fillId="0" borderId="15" xfId="0" applyNumberFormat="1" applyFont="1" applyBorder="1" applyAlignment="1">
      <alignment horizontal="center" vertical="center" wrapText="1"/>
    </xf>
    <xf numFmtId="0" fontId="12" fillId="0" borderId="3" xfId="0" applyFont="1" applyBorder="1" applyAlignment="1">
      <alignment horizontal="center" vertical="center" wrapText="1"/>
    </xf>
    <xf numFmtId="1" fontId="9" fillId="0" borderId="3" xfId="0" applyNumberFormat="1" applyFont="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tabSelected="1" workbookViewId="0">
      <selection activeCell="M33" sqref="M33"/>
    </sheetView>
  </sheetViews>
  <sheetFormatPr defaultColWidth="11.5703125" defaultRowHeight="15" x14ac:dyDescent="0.25"/>
  <cols>
    <col min="1" max="1" width="18.42578125" style="3" customWidth="1"/>
    <col min="2" max="2" width="11.5703125" style="2"/>
    <col min="3" max="3" width="11.5703125" style="59"/>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10" t="s">
        <v>0</v>
      </c>
      <c r="B1" s="111" t="s">
        <v>1</v>
      </c>
      <c r="C1" s="112" t="s">
        <v>2</v>
      </c>
      <c r="D1" s="111" t="s">
        <v>3</v>
      </c>
      <c r="E1" s="113" t="s">
        <v>4</v>
      </c>
      <c r="F1" s="114" t="s">
        <v>5</v>
      </c>
      <c r="G1" s="113" t="s">
        <v>10</v>
      </c>
      <c r="H1" s="114" t="s">
        <v>11</v>
      </c>
      <c r="I1" s="115" t="s">
        <v>82</v>
      </c>
      <c r="J1" s="116" t="s">
        <v>83</v>
      </c>
      <c r="K1" s="113" t="s">
        <v>6</v>
      </c>
      <c r="L1" s="117" t="s">
        <v>7</v>
      </c>
      <c r="M1" s="113" t="s">
        <v>8</v>
      </c>
      <c r="N1" s="118" t="s">
        <v>9</v>
      </c>
    </row>
    <row r="2" spans="1:15" x14ac:dyDescent="0.25">
      <c r="A2" s="105" t="s">
        <v>80</v>
      </c>
      <c r="B2" s="106">
        <v>1</v>
      </c>
      <c r="C2" s="107">
        <v>5</v>
      </c>
      <c r="D2" s="106">
        <v>2022</v>
      </c>
      <c r="E2" s="100">
        <f>Submetering!E2+Submetering!F2+Submetering!G2+Submetering!H2+Submetering!I2+Submetering!J2+Submetering!K2</f>
        <v>37734</v>
      </c>
      <c r="F2" s="108">
        <v>0.2</v>
      </c>
      <c r="G2" s="100">
        <f>Submetering!P2</f>
        <v>709</v>
      </c>
      <c r="H2" s="108">
        <v>6.47</v>
      </c>
      <c r="I2" s="100">
        <f>Submetering!T2-Submetering!T2*15%-Submetering!X2</f>
        <v>35588.842399998539</v>
      </c>
      <c r="J2" s="99">
        <v>0.21</v>
      </c>
      <c r="K2" s="100">
        <f>Submetering!N2-Submetering!O2</f>
        <v>114.90899999999874</v>
      </c>
      <c r="L2" s="108">
        <v>7.84</v>
      </c>
      <c r="M2" s="100">
        <v>73</v>
      </c>
      <c r="N2" s="101">
        <f>Submetering!Z2</f>
        <v>130</v>
      </c>
    </row>
    <row r="3" spans="1:15" x14ac:dyDescent="0.25">
      <c r="A3" s="109" t="s">
        <v>80</v>
      </c>
      <c r="B3" s="71">
        <f>B2+1</f>
        <v>2</v>
      </c>
      <c r="C3" s="72">
        <v>5</v>
      </c>
      <c r="D3" s="71">
        <v>2022</v>
      </c>
      <c r="E3" s="70">
        <f>Submetering!E3+Submetering!F3+Submetering!G3+Submetering!H3+Submetering!I3+Submetering!J3+Submetering!K3</f>
        <v>36013</v>
      </c>
      <c r="F3" s="73">
        <v>0.2</v>
      </c>
      <c r="G3" s="70">
        <f>Submetering!P3</f>
        <v>664</v>
      </c>
      <c r="H3" s="73">
        <v>6.47</v>
      </c>
      <c r="I3" s="70">
        <f>Submetering!T3-Submetering!T3*15%-Submetering!X3</f>
        <v>33252.579000004371</v>
      </c>
      <c r="J3" s="69">
        <v>0.21</v>
      </c>
      <c r="K3" s="70">
        <f>Submetering!N3-Submetering!O3</f>
        <v>81.568999999998596</v>
      </c>
      <c r="L3" s="73">
        <v>7.84</v>
      </c>
      <c r="M3" s="70">
        <v>101</v>
      </c>
      <c r="N3" s="103">
        <f>Submetering!Z3</f>
        <v>201</v>
      </c>
    </row>
    <row r="4" spans="1:15" x14ac:dyDescent="0.25">
      <c r="A4" s="109" t="s">
        <v>80</v>
      </c>
      <c r="B4" s="71">
        <f t="shared" ref="B4:B32" si="0">B3+1</f>
        <v>3</v>
      </c>
      <c r="C4" s="72">
        <v>5</v>
      </c>
      <c r="D4" s="71">
        <v>2022</v>
      </c>
      <c r="E4" s="70">
        <f>Submetering!E4+Submetering!F4+Submetering!G4+Submetering!H4+Submetering!I4+Submetering!J4+Submetering!K4</f>
        <v>38592</v>
      </c>
      <c r="F4" s="73">
        <v>0.2</v>
      </c>
      <c r="G4" s="70">
        <f>Submetering!P4</f>
        <v>700</v>
      </c>
      <c r="H4" s="73">
        <v>6.47</v>
      </c>
      <c r="I4" s="70">
        <f>Submetering!T4-Submetering!T4*15%-Submetering!X4</f>
        <v>34254.940999997096</v>
      </c>
      <c r="J4" s="69">
        <v>0.21</v>
      </c>
      <c r="K4" s="70">
        <f>Submetering!N4-Submetering!O4</f>
        <v>98.199000000002343</v>
      </c>
      <c r="L4" s="73">
        <v>7.84</v>
      </c>
      <c r="M4" s="70">
        <v>140</v>
      </c>
      <c r="N4" s="103">
        <f>Submetering!Z4</f>
        <v>265</v>
      </c>
    </row>
    <row r="5" spans="1:15" x14ac:dyDescent="0.25">
      <c r="A5" s="109" t="s">
        <v>80</v>
      </c>
      <c r="B5" s="71">
        <f t="shared" si="0"/>
        <v>4</v>
      </c>
      <c r="C5" s="72">
        <v>5</v>
      </c>
      <c r="D5" s="71">
        <v>2022</v>
      </c>
      <c r="E5" s="70">
        <f>Submetering!E5+Submetering!F5+Submetering!G5+Submetering!H5+Submetering!I5+Submetering!J5+Submetering!K5</f>
        <v>37038</v>
      </c>
      <c r="F5" s="73">
        <v>0.2</v>
      </c>
      <c r="G5" s="70">
        <f>Submetering!P5</f>
        <v>754</v>
      </c>
      <c r="H5" s="73">
        <v>6.47</v>
      </c>
      <c r="I5" s="70">
        <f>Submetering!T5-Submetering!T5*15%-Submetering!X5</f>
        <v>40180.903400002906</v>
      </c>
      <c r="J5" s="69">
        <v>0.21</v>
      </c>
      <c r="K5" s="80">
        <f>Submetering!N5-Submetering!O5</f>
        <v>132.86999999999716</v>
      </c>
      <c r="L5" s="73">
        <v>7.84</v>
      </c>
      <c r="M5" s="70">
        <v>138</v>
      </c>
      <c r="N5" s="103">
        <f>Submetering!Z5</f>
        <v>252</v>
      </c>
    </row>
    <row r="6" spans="1:15" x14ac:dyDescent="0.25">
      <c r="A6" s="109" t="s">
        <v>80</v>
      </c>
      <c r="B6" s="71">
        <f t="shared" si="0"/>
        <v>5</v>
      </c>
      <c r="C6" s="72">
        <v>5</v>
      </c>
      <c r="D6" s="71">
        <v>2022</v>
      </c>
      <c r="E6" s="70">
        <f>Submetering!E6+Submetering!F6+Submetering!G6+Submetering!H6+Submetering!I6+Submetering!J6+Submetering!K6</f>
        <v>37206</v>
      </c>
      <c r="F6" s="73">
        <v>0.2</v>
      </c>
      <c r="G6" s="70">
        <f>Submetering!P6</f>
        <v>697</v>
      </c>
      <c r="H6" s="73">
        <v>6.47</v>
      </c>
      <c r="I6" s="70">
        <f>Submetering!T6-Submetering!T6*15%-Submetering!X6</f>
        <v>34399.924199997091</v>
      </c>
      <c r="J6" s="69">
        <v>0.21</v>
      </c>
      <c r="K6" s="70">
        <f>Submetering!N6-Submetering!O6</f>
        <v>131.15999999999894</v>
      </c>
      <c r="L6" s="73">
        <v>7.84</v>
      </c>
      <c r="M6" s="70">
        <v>137</v>
      </c>
      <c r="N6" s="103">
        <f>Submetering!Z6</f>
        <v>245</v>
      </c>
    </row>
    <row r="7" spans="1:15" x14ac:dyDescent="0.25">
      <c r="A7" s="109" t="s">
        <v>80</v>
      </c>
      <c r="B7" s="71">
        <f t="shared" si="0"/>
        <v>6</v>
      </c>
      <c r="C7" s="72">
        <v>5</v>
      </c>
      <c r="D7" s="71">
        <v>2022</v>
      </c>
      <c r="E7" s="70">
        <f>Submetering!E7+Submetering!F7+Submetering!G7+Submetering!H7+Submetering!I7+Submetering!J7+Submetering!K7</f>
        <v>37073</v>
      </c>
      <c r="F7" s="73">
        <v>0.2</v>
      </c>
      <c r="G7" s="70">
        <f>Submetering!P7</f>
        <v>728</v>
      </c>
      <c r="H7" s="73">
        <v>6.47</v>
      </c>
      <c r="I7" s="70">
        <f>Submetering!T7-Submetering!T7*15%-Submetering!X7</f>
        <v>36881.170799998537</v>
      </c>
      <c r="J7" s="69">
        <v>0.21</v>
      </c>
      <c r="K7" s="70">
        <f>Submetering!N7-Submetering!O7</f>
        <v>121.40700000000106</v>
      </c>
      <c r="L7" s="73">
        <v>7.84</v>
      </c>
      <c r="M7" s="70">
        <v>127</v>
      </c>
      <c r="N7" s="103">
        <f>Submetering!Z7</f>
        <v>227</v>
      </c>
    </row>
    <row r="8" spans="1:15" x14ac:dyDescent="0.25">
      <c r="A8" s="109" t="s">
        <v>80</v>
      </c>
      <c r="B8" s="71">
        <f t="shared" si="0"/>
        <v>7</v>
      </c>
      <c r="C8" s="72">
        <v>5</v>
      </c>
      <c r="D8" s="71">
        <v>2022</v>
      </c>
      <c r="E8" s="70">
        <f>Submetering!E8+Submetering!F8+Submetering!G8+Submetering!H8+Submetering!I8+Submetering!J8+Submetering!K8</f>
        <v>36298</v>
      </c>
      <c r="F8" s="73">
        <v>0.2</v>
      </c>
      <c r="G8" s="70">
        <f>Submetering!P8</f>
        <v>797</v>
      </c>
      <c r="H8" s="73">
        <v>6.47</v>
      </c>
      <c r="I8" s="70">
        <f>Submetering!T8-Submetering!T8*15%-Submetering!X8</f>
        <v>44856.409000004365</v>
      </c>
      <c r="J8" s="69">
        <v>0.21</v>
      </c>
      <c r="K8" s="70">
        <f>Submetering!N8-Submetering!O8</f>
        <v>122.05900000000202</v>
      </c>
      <c r="L8" s="73">
        <v>7.84</v>
      </c>
      <c r="M8" s="70">
        <v>92</v>
      </c>
      <c r="N8" s="103">
        <f>Submetering!Z8</f>
        <v>139</v>
      </c>
    </row>
    <row r="9" spans="1:15" x14ac:dyDescent="0.25">
      <c r="A9" s="109" t="s">
        <v>80</v>
      </c>
      <c r="B9" s="71">
        <f t="shared" si="0"/>
        <v>8</v>
      </c>
      <c r="C9" s="72">
        <v>5</v>
      </c>
      <c r="D9" s="71">
        <v>2022</v>
      </c>
      <c r="E9" s="70">
        <f>Submetering!E9+Submetering!F9+Submetering!G9+Submetering!H9+Submetering!I9+Submetering!J9+Submetering!K9</f>
        <v>34360</v>
      </c>
      <c r="F9" s="73">
        <v>0.2</v>
      </c>
      <c r="G9" s="70">
        <f>Submetering!P9</f>
        <v>809</v>
      </c>
      <c r="H9" s="73">
        <v>6.47</v>
      </c>
      <c r="I9" s="70">
        <f>Submetering!T9-Submetering!T9*15%-Submetering!X9</f>
        <v>40534.184799995623</v>
      </c>
      <c r="J9" s="69">
        <v>0.21</v>
      </c>
      <c r="K9" s="70">
        <f>Submetering!N9-Submetering!O9</f>
        <v>129.33400000000074</v>
      </c>
      <c r="L9" s="73">
        <v>7.84</v>
      </c>
      <c r="M9" s="70">
        <v>98</v>
      </c>
      <c r="N9" s="103">
        <f>Submetering!Z9</f>
        <v>128</v>
      </c>
      <c r="O9" s="1" t="s">
        <v>12</v>
      </c>
    </row>
    <row r="10" spans="1:15" x14ac:dyDescent="0.25">
      <c r="A10" s="109" t="s">
        <v>80</v>
      </c>
      <c r="B10" s="71">
        <f t="shared" si="0"/>
        <v>9</v>
      </c>
      <c r="C10" s="72">
        <v>5</v>
      </c>
      <c r="D10" s="71">
        <v>2022</v>
      </c>
      <c r="E10" s="70">
        <f>Submetering!E10+Submetering!F10+Submetering!G10+Submetering!H10+Submetering!I10+Submetering!J10+Submetering!K10</f>
        <v>36434</v>
      </c>
      <c r="F10" s="73">
        <v>0.2</v>
      </c>
      <c r="G10" s="70">
        <f>Submetering!P10</f>
        <v>811</v>
      </c>
      <c r="H10" s="73">
        <v>6.47</v>
      </c>
      <c r="I10" s="70">
        <f>Submetering!T10-Submetering!T10*15%-Submetering!X10</f>
        <v>38641.815400000007</v>
      </c>
      <c r="J10" s="69">
        <v>0.21</v>
      </c>
      <c r="K10" s="70">
        <f>Submetering!N10-Submetering!O10</f>
        <v>119.43499999999949</v>
      </c>
      <c r="L10" s="73">
        <v>7.84</v>
      </c>
      <c r="M10" s="70">
        <v>131</v>
      </c>
      <c r="N10" s="103">
        <f>Submetering!Z10</f>
        <v>156</v>
      </c>
    </row>
    <row r="11" spans="1:15" x14ac:dyDescent="0.25">
      <c r="A11" s="109" t="s">
        <v>80</v>
      </c>
      <c r="B11" s="71">
        <f t="shared" si="0"/>
        <v>10</v>
      </c>
      <c r="C11" s="72">
        <v>5</v>
      </c>
      <c r="D11" s="71">
        <v>2022</v>
      </c>
      <c r="E11" s="70">
        <f>Submetering!E11+Submetering!F11+Submetering!G11+Submetering!H11+Submetering!I11+Submetering!J11+Submetering!K11</f>
        <v>37981</v>
      </c>
      <c r="F11" s="73">
        <v>0.2</v>
      </c>
      <c r="G11" s="70">
        <f>Submetering!P11</f>
        <v>715</v>
      </c>
      <c r="H11" s="73">
        <v>6.47</v>
      </c>
      <c r="I11" s="70">
        <f>Submetering!T11-Submetering!T11*15%-Submetering!X11</f>
        <v>36331.740800004365</v>
      </c>
      <c r="J11" s="69">
        <v>0.21</v>
      </c>
      <c r="K11" s="70">
        <f>Submetering!N11-Submetering!O11</f>
        <v>129.19200000000274</v>
      </c>
      <c r="L11" s="73">
        <v>7.84</v>
      </c>
      <c r="M11" s="70">
        <v>169</v>
      </c>
      <c r="N11" s="103">
        <f>Submetering!Z11</f>
        <v>209</v>
      </c>
    </row>
    <row r="12" spans="1:15" x14ac:dyDescent="0.25">
      <c r="A12" s="109" t="s">
        <v>80</v>
      </c>
      <c r="B12" s="71">
        <f t="shared" si="0"/>
        <v>11</v>
      </c>
      <c r="C12" s="72">
        <v>5</v>
      </c>
      <c r="D12" s="71">
        <v>2022</v>
      </c>
      <c r="E12" s="70">
        <f>Submetering!E12+Submetering!F12+Submetering!G12+Submetering!H12+Submetering!I12+Submetering!J12+Submetering!K12</f>
        <v>38287</v>
      </c>
      <c r="F12" s="73">
        <v>0.2</v>
      </c>
      <c r="G12" s="70">
        <f>Submetering!P12</f>
        <v>714</v>
      </c>
      <c r="H12" s="73">
        <v>6.47</v>
      </c>
      <c r="I12" s="70">
        <f>Submetering!T12-Submetering!T12*15%-Submetering!X12</f>
        <v>34875.429799994192</v>
      </c>
      <c r="J12" s="69">
        <v>0.21</v>
      </c>
      <c r="K12" s="70">
        <f>Submetering!N12-Submetering!O12</f>
        <v>159.95799999999872</v>
      </c>
      <c r="L12" s="73">
        <v>7.84</v>
      </c>
      <c r="M12" s="70">
        <v>144</v>
      </c>
      <c r="N12" s="103">
        <f>Submetering!Z12</f>
        <v>185</v>
      </c>
    </row>
    <row r="13" spans="1:15" x14ac:dyDescent="0.25">
      <c r="A13" s="109" t="s">
        <v>80</v>
      </c>
      <c r="B13" s="71">
        <f t="shared" si="0"/>
        <v>12</v>
      </c>
      <c r="C13" s="72">
        <v>5</v>
      </c>
      <c r="D13" s="71">
        <v>2022</v>
      </c>
      <c r="E13" s="70">
        <f>Submetering!E13+Submetering!F13+Submetering!G13+Submetering!H13+Submetering!I13+Submetering!J13+Submetering!K13</f>
        <v>37639</v>
      </c>
      <c r="F13" s="73">
        <v>0.2</v>
      </c>
      <c r="G13" s="70">
        <f>Submetering!P13</f>
        <v>786</v>
      </c>
      <c r="H13" s="73">
        <v>6.47</v>
      </c>
      <c r="I13" s="70">
        <f>Submetering!T13-Submetering!T13*15%-Submetering!X13</f>
        <v>50077.061800002921</v>
      </c>
      <c r="J13" s="69">
        <v>0.21</v>
      </c>
      <c r="K13" s="70">
        <f>Submetering!N13-Submetering!O13</f>
        <v>162.57299999999941</v>
      </c>
      <c r="L13" s="73">
        <v>7.84</v>
      </c>
      <c r="M13" s="70">
        <f>Submetering!Y13</f>
        <v>123</v>
      </c>
      <c r="N13" s="103">
        <f>Submetering!Z13</f>
        <v>162</v>
      </c>
    </row>
    <row r="14" spans="1:15" x14ac:dyDescent="0.25">
      <c r="A14" s="109" t="s">
        <v>80</v>
      </c>
      <c r="B14" s="71">
        <f t="shared" si="0"/>
        <v>13</v>
      </c>
      <c r="C14" s="72">
        <v>5</v>
      </c>
      <c r="D14" s="71">
        <v>2022</v>
      </c>
      <c r="E14" s="70">
        <f>Submetering!E14+Submetering!F14+Submetering!G14+Submetering!H14+Submetering!I14+Submetering!J14+Submetering!K14</f>
        <v>37192</v>
      </c>
      <c r="F14" s="73">
        <v>0.2</v>
      </c>
      <c r="G14" s="70">
        <f>Submetering!P14</f>
        <v>852</v>
      </c>
      <c r="H14" s="73">
        <v>6.47</v>
      </c>
      <c r="I14" s="70">
        <f>Submetering!T14-Submetering!T14*15%-Submetering!X14</f>
        <v>39004.257799998537</v>
      </c>
      <c r="J14" s="69">
        <v>0.21</v>
      </c>
      <c r="K14" s="70">
        <f>Submetering!N14-Submetering!O14</f>
        <v>53.350999999995111</v>
      </c>
      <c r="L14" s="73">
        <v>7.84</v>
      </c>
      <c r="M14" s="70">
        <f>Submetering!Y14</f>
        <v>94</v>
      </c>
      <c r="N14" s="103">
        <f>Submetering!Z14</f>
        <v>132</v>
      </c>
    </row>
    <row r="15" spans="1:15" x14ac:dyDescent="0.25">
      <c r="A15" s="109" t="s">
        <v>80</v>
      </c>
      <c r="B15" s="71">
        <f t="shared" si="0"/>
        <v>14</v>
      </c>
      <c r="C15" s="72">
        <v>5</v>
      </c>
      <c r="D15" s="71">
        <v>2022</v>
      </c>
      <c r="E15" s="70">
        <f>Submetering!E15+Submetering!F15+Submetering!G15+Submetering!H15+Submetering!I15+Submetering!J15+Submetering!K15</f>
        <v>37067</v>
      </c>
      <c r="F15" s="73">
        <v>0.2</v>
      </c>
      <c r="G15" s="70">
        <f>Submetering!P15</f>
        <v>836</v>
      </c>
      <c r="H15" s="73">
        <v>6.47</v>
      </c>
      <c r="I15" s="70">
        <f>Submetering!T15-Submetering!T15*15%-Submetering!X15</f>
        <v>33502.245199998542</v>
      </c>
      <c r="J15" s="69">
        <v>0.21</v>
      </c>
      <c r="K15" s="80">
        <f>Submetering!N15-Submetering!O15</f>
        <v>122.18600000000515</v>
      </c>
      <c r="L15" s="73">
        <v>7.84</v>
      </c>
      <c r="M15" s="70">
        <f>Submetering!Y15</f>
        <v>97</v>
      </c>
      <c r="N15" s="103">
        <f>Submetering!Z15</f>
        <v>132</v>
      </c>
    </row>
    <row r="16" spans="1:15" x14ac:dyDescent="0.25">
      <c r="A16" s="109" t="s">
        <v>80</v>
      </c>
      <c r="B16" s="71">
        <f t="shared" si="0"/>
        <v>15</v>
      </c>
      <c r="C16" s="72">
        <v>5</v>
      </c>
      <c r="D16" s="71">
        <v>2022</v>
      </c>
      <c r="E16" s="70">
        <f>Submetering!E16+Submetering!F16+Submetering!G16+Submetering!H16+Submetering!I16+Submetering!J16+Submetering!K16</f>
        <v>36106</v>
      </c>
      <c r="F16" s="73">
        <v>0.2</v>
      </c>
      <c r="G16" s="70">
        <f>Submetering!P16</f>
        <v>765</v>
      </c>
      <c r="H16" s="73">
        <v>6.47</v>
      </c>
      <c r="I16" s="70">
        <f>Submetering!T16-Submetering!T16*15%-Submetering!X16</f>
        <v>35621.357800004364</v>
      </c>
      <c r="J16" s="69">
        <v>0.21</v>
      </c>
      <c r="K16" s="70">
        <f>Submetering!N16-Submetering!O16</f>
        <v>136.91900000000078</v>
      </c>
      <c r="L16" s="73">
        <v>7.84</v>
      </c>
      <c r="M16" s="70">
        <f>Submetering!Y16</f>
        <v>98</v>
      </c>
      <c r="N16" s="103">
        <f>Submetering!Z16</f>
        <v>126</v>
      </c>
    </row>
    <row r="17" spans="1:14" x14ac:dyDescent="0.25">
      <c r="A17" s="109" t="s">
        <v>80</v>
      </c>
      <c r="B17" s="71">
        <f t="shared" si="0"/>
        <v>16</v>
      </c>
      <c r="C17" s="72">
        <v>5</v>
      </c>
      <c r="D17" s="71">
        <v>2022</v>
      </c>
      <c r="E17" s="70">
        <f>Submetering!E17+Submetering!F17+Submetering!G17+Submetering!H17+Submetering!I17+Submetering!J17+Submetering!K17</f>
        <v>35523</v>
      </c>
      <c r="F17" s="73">
        <v>0.2</v>
      </c>
      <c r="G17" s="70">
        <f>Submetering!P17</f>
        <v>744</v>
      </c>
      <c r="H17" s="73">
        <v>6.47</v>
      </c>
      <c r="I17" s="70">
        <f>Submetering!T17-Submetering!T17*15%-Submetering!X17</f>
        <v>39235.047599995625</v>
      </c>
      <c r="J17" s="69">
        <v>0.21</v>
      </c>
      <c r="K17" s="70">
        <f>Submetering!N17-Submetering!O17</f>
        <v>126.84399999999823</v>
      </c>
      <c r="L17" s="73">
        <v>7.84</v>
      </c>
      <c r="M17" s="70">
        <f>Submetering!Y17</f>
        <v>97</v>
      </c>
      <c r="N17" s="103">
        <f>Submetering!Z17</f>
        <v>118</v>
      </c>
    </row>
    <row r="18" spans="1:14" x14ac:dyDescent="0.25">
      <c r="A18" s="109" t="s">
        <v>80</v>
      </c>
      <c r="B18" s="71">
        <f t="shared" si="0"/>
        <v>17</v>
      </c>
      <c r="C18" s="72">
        <v>5</v>
      </c>
      <c r="D18" s="71">
        <v>2022</v>
      </c>
      <c r="E18" s="70">
        <f>Submetering!E18+Submetering!F18+Submetering!G18+Submetering!H18+Submetering!I18+Submetering!J18+Submetering!K18</f>
        <v>36621</v>
      </c>
      <c r="F18" s="73">
        <v>0.2</v>
      </c>
      <c r="G18" s="70">
        <f>Submetering!P18</f>
        <v>817</v>
      </c>
      <c r="H18" s="73">
        <v>6.47</v>
      </c>
      <c r="I18" s="70">
        <f>Submetering!T18-Submetering!T18*15%-Submetering!X18</f>
        <v>41670.561400004357</v>
      </c>
      <c r="J18" s="69">
        <v>0.21</v>
      </c>
      <c r="K18" s="70">
        <f>Submetering!N18-Submetering!O18</f>
        <v>114.14099999999962</v>
      </c>
      <c r="L18" s="73">
        <v>7.84</v>
      </c>
      <c r="M18" s="70">
        <f>Submetering!Y18</f>
        <v>107</v>
      </c>
      <c r="N18" s="103">
        <f>Submetering!Z18</f>
        <v>127</v>
      </c>
    </row>
    <row r="19" spans="1:14" x14ac:dyDescent="0.25">
      <c r="A19" s="109" t="s">
        <v>80</v>
      </c>
      <c r="B19" s="71">
        <f t="shared" si="0"/>
        <v>18</v>
      </c>
      <c r="C19" s="72">
        <v>5</v>
      </c>
      <c r="D19" s="71">
        <v>2022</v>
      </c>
      <c r="E19" s="70">
        <f>Submetering!E19+Submetering!F19+Submetering!G19+Submetering!H19+Submetering!I19+Submetering!J19+Submetering!K19</f>
        <v>36958</v>
      </c>
      <c r="F19" s="73">
        <v>0.2</v>
      </c>
      <c r="G19" s="70">
        <f>Submetering!P19</f>
        <v>810</v>
      </c>
      <c r="H19" s="73">
        <v>6.47</v>
      </c>
      <c r="I19" s="70">
        <f>Submetering!T19-Submetering!T19*15%-Submetering!X19</f>
        <v>42767.613800000006</v>
      </c>
      <c r="J19" s="69">
        <v>0.21</v>
      </c>
      <c r="K19" s="70">
        <f>Submetering!N19-Submetering!O19</f>
        <v>130.05099999999948</v>
      </c>
      <c r="L19" s="73">
        <v>7.84</v>
      </c>
      <c r="M19" s="70">
        <f>Submetering!Y19</f>
        <v>122</v>
      </c>
      <c r="N19" s="103">
        <f>Submetering!Z19</f>
        <v>141</v>
      </c>
    </row>
    <row r="20" spans="1:14" x14ac:dyDescent="0.25">
      <c r="A20" s="109" t="s">
        <v>80</v>
      </c>
      <c r="B20" s="71">
        <f t="shared" si="0"/>
        <v>19</v>
      </c>
      <c r="C20" s="72">
        <v>5</v>
      </c>
      <c r="D20" s="71">
        <v>2022</v>
      </c>
      <c r="E20" s="70">
        <f>Submetering!E20+Submetering!F20+Submetering!G20+Submetering!H20+Submetering!I20+Submetering!J20+Submetering!K20</f>
        <v>35484</v>
      </c>
      <c r="F20" s="73">
        <v>0.2</v>
      </c>
      <c r="G20" s="70">
        <f>Submetering!P20</f>
        <v>840</v>
      </c>
      <c r="H20" s="73">
        <v>6.47</v>
      </c>
      <c r="I20" s="70">
        <f>Submetering!T20-Submetering!T20*15%-Submetering!X20</f>
        <v>38370.130000000005</v>
      </c>
      <c r="J20" s="69">
        <v>0.21</v>
      </c>
      <c r="K20" s="70">
        <f>Submetering!N20-Submetering!O20</f>
        <v>174.0590000000002</v>
      </c>
      <c r="L20" s="73">
        <v>7.84</v>
      </c>
      <c r="M20" s="70">
        <f>Submetering!Y20</f>
        <v>98</v>
      </c>
      <c r="N20" s="103">
        <f>Submetering!Z20</f>
        <v>121</v>
      </c>
    </row>
    <row r="21" spans="1:14" x14ac:dyDescent="0.25">
      <c r="A21" s="109" t="s">
        <v>80</v>
      </c>
      <c r="B21" s="71">
        <f t="shared" si="0"/>
        <v>20</v>
      </c>
      <c r="C21" s="72">
        <v>5</v>
      </c>
      <c r="D21" s="71">
        <v>2022</v>
      </c>
      <c r="E21" s="70">
        <f>Submetering!E21+Submetering!F21+Submetering!G21+Submetering!H21+Submetering!I21+Submetering!J21+Submetering!K21</f>
        <v>35806</v>
      </c>
      <c r="F21" s="73">
        <v>0.2</v>
      </c>
      <c r="G21" s="70">
        <f>Submetering!P21</f>
        <v>780</v>
      </c>
      <c r="H21" s="73">
        <v>6.47</v>
      </c>
      <c r="I21" s="70">
        <f>Submetering!T21-Submetering!T21*15%-Submetering!X21</f>
        <v>39137.963999997082</v>
      </c>
      <c r="J21" s="69">
        <v>0.21</v>
      </c>
      <c r="K21" s="70">
        <f>Submetering!N21-Submetering!O21</f>
        <v>104.11400000000049</v>
      </c>
      <c r="L21" s="73">
        <v>7.84</v>
      </c>
      <c r="M21" s="70">
        <f>Submetering!Y21</f>
        <v>69</v>
      </c>
      <c r="N21" s="103">
        <f>Submetering!Z21</f>
        <v>105</v>
      </c>
    </row>
    <row r="22" spans="1:14" x14ac:dyDescent="0.25">
      <c r="A22" s="109" t="s">
        <v>80</v>
      </c>
      <c r="B22" s="71">
        <f t="shared" si="0"/>
        <v>21</v>
      </c>
      <c r="C22" s="72">
        <v>5</v>
      </c>
      <c r="D22" s="71">
        <v>2022</v>
      </c>
      <c r="E22" s="70">
        <f>Submetering!E22+Submetering!F22+Submetering!G22+Submetering!H22+Submetering!I22+Submetering!J22+Submetering!K22</f>
        <v>36117</v>
      </c>
      <c r="F22" s="73">
        <v>0.2</v>
      </c>
      <c r="G22" s="70">
        <f>Submetering!P22</f>
        <v>804</v>
      </c>
      <c r="H22" s="73">
        <v>6.47</v>
      </c>
      <c r="I22" s="70">
        <f>Submetering!T22-Submetering!T22*15%-Submetering!X22</f>
        <v>41573.714000001448</v>
      </c>
      <c r="J22" s="69">
        <v>0.21</v>
      </c>
      <c r="K22" s="70">
        <f>Submetering!N22-Submetering!O22</f>
        <v>121.88599999999951</v>
      </c>
      <c r="L22" s="73">
        <v>7.84</v>
      </c>
      <c r="M22" s="70">
        <f>Submetering!Y22</f>
        <v>85</v>
      </c>
      <c r="N22" s="103">
        <f>Submetering!Z22</f>
        <v>128</v>
      </c>
    </row>
    <row r="23" spans="1:14" x14ac:dyDescent="0.25">
      <c r="A23" s="109" t="s">
        <v>80</v>
      </c>
      <c r="B23" s="71">
        <f t="shared" si="0"/>
        <v>22</v>
      </c>
      <c r="C23" s="72">
        <v>5</v>
      </c>
      <c r="D23" s="71">
        <v>2022</v>
      </c>
      <c r="E23" s="70">
        <f>Submetering!E23+Submetering!F23+Submetering!G23+Submetering!H23+Submetering!I23+Submetering!J23+Submetering!K23</f>
        <v>35411</v>
      </c>
      <c r="F23" s="73">
        <v>0.2</v>
      </c>
      <c r="G23" s="70">
        <f>Submetering!P23</f>
        <v>725</v>
      </c>
      <c r="H23" s="73">
        <v>6.47</v>
      </c>
      <c r="I23" s="70">
        <f>Submetering!T23-Submetering!T23*15%-Submetering!X23</f>
        <v>39687.003600001452</v>
      </c>
      <c r="J23" s="69">
        <v>0.21</v>
      </c>
      <c r="K23" s="70">
        <f>Submetering!N23-Submetering!O23</f>
        <v>111.68499999999767</v>
      </c>
      <c r="L23" s="73">
        <v>7.84</v>
      </c>
      <c r="M23" s="70">
        <f>Submetering!Y23</f>
        <v>104</v>
      </c>
      <c r="N23" s="103">
        <f>Submetering!Z23</f>
        <v>144</v>
      </c>
    </row>
    <row r="24" spans="1:14" x14ac:dyDescent="0.25">
      <c r="A24" s="109" t="s">
        <v>80</v>
      </c>
      <c r="B24" s="71">
        <f t="shared" si="0"/>
        <v>23</v>
      </c>
      <c r="C24" s="72">
        <v>5</v>
      </c>
      <c r="D24" s="71">
        <v>2022</v>
      </c>
      <c r="E24" s="70">
        <f>Submetering!E24+Submetering!F24+Submetering!G24+Submetering!H24+Submetering!I24+Submetering!J24+Submetering!K24</f>
        <v>37841</v>
      </c>
      <c r="F24" s="73">
        <v>0.2</v>
      </c>
      <c r="G24" s="70">
        <f>Submetering!P24</f>
        <v>630</v>
      </c>
      <c r="H24" s="73">
        <v>6.47</v>
      </c>
      <c r="I24" s="70">
        <f>Submetering!T24-Submetering!T24*15%-Submetering!X24</f>
        <v>41842.45179999854</v>
      </c>
      <c r="J24" s="69">
        <v>0.21</v>
      </c>
      <c r="K24" s="70">
        <f>Submetering!N24-Submetering!O24</f>
        <v>143.14099999999962</v>
      </c>
      <c r="L24" s="73">
        <v>7.84</v>
      </c>
      <c r="M24" s="70">
        <f>Submetering!Y24</f>
        <v>125</v>
      </c>
      <c r="N24" s="103">
        <f>Submetering!Z24</f>
        <v>160</v>
      </c>
    </row>
    <row r="25" spans="1:14" x14ac:dyDescent="0.25">
      <c r="A25" s="109" t="s">
        <v>80</v>
      </c>
      <c r="B25" s="71">
        <f t="shared" si="0"/>
        <v>24</v>
      </c>
      <c r="C25" s="72">
        <v>5</v>
      </c>
      <c r="D25" s="71">
        <v>2022</v>
      </c>
      <c r="E25" s="70">
        <f>Submetering!E25+Submetering!F25+Submetering!G25+Submetering!H25+Submetering!I25+Submetering!J25+Submetering!K25</f>
        <v>36873</v>
      </c>
      <c r="F25" s="73">
        <v>0.2</v>
      </c>
      <c r="G25" s="70">
        <f>Submetering!P25</f>
        <v>673</v>
      </c>
      <c r="H25" s="73">
        <v>6.47</v>
      </c>
      <c r="I25" s="70">
        <f>Submetering!T25-Submetering!T25*15%-Submetering!X25</f>
        <v>43019.056399998546</v>
      </c>
      <c r="J25" s="69">
        <v>0.21</v>
      </c>
      <c r="K25" s="70">
        <f>Submetering!N25-Submetering!O25</f>
        <v>139.29800000000159</v>
      </c>
      <c r="L25" s="73">
        <v>7.84</v>
      </c>
      <c r="M25" s="70">
        <f>Submetering!Y25</f>
        <v>163</v>
      </c>
      <c r="N25" s="103">
        <f>Submetering!Z25</f>
        <v>200</v>
      </c>
    </row>
    <row r="26" spans="1:14" x14ac:dyDescent="0.25">
      <c r="A26" s="109" t="s">
        <v>80</v>
      </c>
      <c r="B26" s="71">
        <f>B25+1</f>
        <v>25</v>
      </c>
      <c r="C26" s="72">
        <v>5</v>
      </c>
      <c r="D26" s="71">
        <v>2022</v>
      </c>
      <c r="E26" s="70">
        <f>Submetering!E26+Submetering!F26+Submetering!G26+Submetering!H26+Submetering!I26+Submetering!J26+Submetering!K26</f>
        <v>36959</v>
      </c>
      <c r="F26" s="73">
        <v>0.2</v>
      </c>
      <c r="G26" s="70">
        <f>Submetering!P26</f>
        <v>687</v>
      </c>
      <c r="H26" s="73">
        <v>6.47</v>
      </c>
      <c r="I26" s="70">
        <f>Submetering!T26-Submetering!T26*15%-Submetering!X26</f>
        <v>40028.13540000291</v>
      </c>
      <c r="J26" s="69">
        <v>0.21</v>
      </c>
      <c r="K26" s="70">
        <f>Submetering!N26-Submetering!O26</f>
        <v>147.63500000000295</v>
      </c>
      <c r="L26" s="73">
        <v>7.84</v>
      </c>
      <c r="M26" s="70">
        <f>Submetering!Y26</f>
        <v>166</v>
      </c>
      <c r="N26" s="103">
        <f>Submetering!Z26</f>
        <v>212</v>
      </c>
    </row>
    <row r="27" spans="1:14" x14ac:dyDescent="0.25">
      <c r="A27" s="109" t="s">
        <v>80</v>
      </c>
      <c r="B27" s="71">
        <f t="shared" si="0"/>
        <v>26</v>
      </c>
      <c r="C27" s="72">
        <v>5</v>
      </c>
      <c r="D27" s="71">
        <v>2022</v>
      </c>
      <c r="E27" s="70">
        <f>Submetering!E27+Submetering!F27+Submetering!G27+Submetering!H27+Submetering!I27+Submetering!J27+Submetering!K27</f>
        <v>38057</v>
      </c>
      <c r="F27" s="73">
        <v>0.2</v>
      </c>
      <c r="G27" s="70">
        <f>Submetering!P27</f>
        <v>704</v>
      </c>
      <c r="H27" s="73">
        <v>6.47</v>
      </c>
      <c r="I27" s="70">
        <f>Submetering!T27-Submetering!T27*15%-Submetering!X27</f>
        <v>42159.479600001447</v>
      </c>
      <c r="J27" s="69">
        <v>0.21</v>
      </c>
      <c r="K27" s="70">
        <f>Submetering!N27-Submetering!O27</f>
        <v>137.24899999999889</v>
      </c>
      <c r="L27" s="73">
        <v>7.84</v>
      </c>
      <c r="M27" s="70">
        <f>Submetering!Y27</f>
        <v>179</v>
      </c>
      <c r="N27" s="103">
        <f>Submetering!Z27</f>
        <v>240</v>
      </c>
    </row>
    <row r="28" spans="1:14" x14ac:dyDescent="0.25">
      <c r="A28" s="109" t="s">
        <v>80</v>
      </c>
      <c r="B28" s="71">
        <f t="shared" si="0"/>
        <v>27</v>
      </c>
      <c r="C28" s="72">
        <v>5</v>
      </c>
      <c r="D28" s="71">
        <v>2022</v>
      </c>
      <c r="E28" s="70">
        <f>Submetering!E28+Submetering!F28+Submetering!G28+Submetering!H28+Submetering!I28+Submetering!J28+Submetering!K28</f>
        <v>38852</v>
      </c>
      <c r="F28" s="73">
        <v>0.2</v>
      </c>
      <c r="G28" s="70">
        <f>Submetering!P28</f>
        <v>781</v>
      </c>
      <c r="H28" s="73">
        <v>6.47</v>
      </c>
      <c r="I28" s="70">
        <f>Submetering!T28-Submetering!T28*15%-Submetering!X28</f>
        <v>44179.341800000009</v>
      </c>
      <c r="J28" s="69">
        <v>0.21</v>
      </c>
      <c r="K28" s="70">
        <f>Submetering!N28-Submetering!O28</f>
        <v>147.59300000000439</v>
      </c>
      <c r="L28" s="73">
        <v>7.84</v>
      </c>
      <c r="M28" s="70">
        <f>Submetering!Y28</f>
        <v>145</v>
      </c>
      <c r="N28" s="103">
        <f>Submetering!Z28</f>
        <v>211</v>
      </c>
    </row>
    <row r="29" spans="1:14" x14ac:dyDescent="0.25">
      <c r="A29" s="109" t="s">
        <v>80</v>
      </c>
      <c r="B29" s="71">
        <f t="shared" si="0"/>
        <v>28</v>
      </c>
      <c r="C29" s="72">
        <v>5</v>
      </c>
      <c r="D29" s="71">
        <v>2022</v>
      </c>
      <c r="E29" s="70">
        <f>Submetering!E29+Submetering!F29+Submetering!G29+Submetering!H29+Submetering!I29+Submetering!J29+Submetering!K29</f>
        <v>39631</v>
      </c>
      <c r="F29" s="73">
        <v>0.2</v>
      </c>
      <c r="G29" s="70">
        <f>Submetering!P29</f>
        <v>756</v>
      </c>
      <c r="H29" s="73">
        <v>6.47</v>
      </c>
      <c r="I29" s="70">
        <f>Submetering!T29-Submetering!T29*15%-Submetering!X29</f>
        <v>44210.758200000011</v>
      </c>
      <c r="J29" s="69">
        <v>0.21</v>
      </c>
      <c r="K29" s="70">
        <f>Submetering!N29-Submetering!O29</f>
        <v>123.34899999999379</v>
      </c>
      <c r="L29" s="73">
        <v>7.84</v>
      </c>
      <c r="M29" s="70">
        <f>Submetering!Y29</f>
        <v>133</v>
      </c>
      <c r="N29" s="103">
        <f>Submetering!Z29</f>
        <v>199</v>
      </c>
    </row>
    <row r="30" spans="1:14" x14ac:dyDescent="0.25">
      <c r="A30" s="109" t="s">
        <v>80</v>
      </c>
      <c r="B30" s="71">
        <f t="shared" si="0"/>
        <v>29</v>
      </c>
      <c r="C30" s="72">
        <v>5</v>
      </c>
      <c r="D30" s="71">
        <v>2022</v>
      </c>
      <c r="E30" s="70">
        <f>Submetering!E30+Submetering!F30+Submetering!G30+Submetering!H30+Submetering!I30+Submetering!J30+Submetering!K30</f>
        <v>38781</v>
      </c>
      <c r="F30" s="73">
        <v>0.2</v>
      </c>
      <c r="G30" s="70">
        <f>Submetering!P30</f>
        <v>660</v>
      </c>
      <c r="H30" s="73">
        <v>6.47</v>
      </c>
      <c r="I30" s="70">
        <f>Submetering!T30-Submetering!T30*15%-Submetering!X30</f>
        <v>44085.277999997095</v>
      </c>
      <c r="J30" s="69">
        <v>0.21</v>
      </c>
      <c r="K30" s="70">
        <f>Submetering!N30-Submetering!O30</f>
        <v>144.54599999999846</v>
      </c>
      <c r="L30" s="73">
        <v>7.84</v>
      </c>
      <c r="M30" s="70">
        <f>Submetering!Y30</f>
        <v>105</v>
      </c>
      <c r="N30" s="103">
        <f>Submetering!Z30</f>
        <v>146</v>
      </c>
    </row>
    <row r="31" spans="1:14" x14ac:dyDescent="0.25">
      <c r="A31" s="109" t="s">
        <v>80</v>
      </c>
      <c r="B31" s="71">
        <f t="shared" si="0"/>
        <v>30</v>
      </c>
      <c r="C31" s="72">
        <v>5</v>
      </c>
      <c r="D31" s="71">
        <v>2022</v>
      </c>
      <c r="E31" s="70">
        <f>Submetering!E31+Submetering!F31+Submetering!G31+Submetering!H31+Submetering!I31+Submetering!J31+Submetering!K31</f>
        <v>40121</v>
      </c>
      <c r="F31" s="73">
        <v>0.2</v>
      </c>
      <c r="G31" s="70">
        <f>Submetering!P31</f>
        <v>696</v>
      </c>
      <c r="H31" s="73">
        <v>6.47</v>
      </c>
      <c r="I31" s="70">
        <f>Submetering!T31-Submetering!T31*15%-Submetering!X31</f>
        <v>42203.600000000006</v>
      </c>
      <c r="J31" s="69">
        <v>0.21</v>
      </c>
      <c r="K31" s="70">
        <f>Submetering!N31-Submetering!O31</f>
        <v>114.38600000000588</v>
      </c>
      <c r="L31" s="73">
        <v>7.84</v>
      </c>
      <c r="M31" s="70">
        <f>Submetering!Y31</f>
        <v>103</v>
      </c>
      <c r="N31" s="103">
        <f>Submetering!Z31</f>
        <v>129</v>
      </c>
    </row>
    <row r="32" spans="1:14" x14ac:dyDescent="0.25">
      <c r="A32" s="109" t="s">
        <v>80</v>
      </c>
      <c r="B32" s="71">
        <f t="shared" si="0"/>
        <v>31</v>
      </c>
      <c r="C32" s="72">
        <v>5</v>
      </c>
      <c r="D32" s="71">
        <v>2022</v>
      </c>
      <c r="E32" s="70">
        <f>Submetering!E32+Submetering!F32+Submetering!G32+Submetering!H32+Submetering!I32+Submetering!J32+Submetering!K32</f>
        <v>37658</v>
      </c>
      <c r="F32" s="73">
        <v>0.2</v>
      </c>
      <c r="G32" s="70">
        <f>Submetering!P32</f>
        <v>693</v>
      </c>
      <c r="H32" s="73">
        <v>6.47</v>
      </c>
      <c r="I32" s="70">
        <f>Submetering!T32-Submetering!T32*15%-Submetering!X32</f>
        <v>41697.58180000291</v>
      </c>
      <c r="J32" s="69">
        <v>0.21</v>
      </c>
      <c r="K32" s="70">
        <f>Submetering!N32-Submetering!O32</f>
        <v>152.42599999999493</v>
      </c>
      <c r="L32" s="73">
        <v>7.84</v>
      </c>
      <c r="M32" s="70">
        <f>Submetering!Y32</f>
        <v>141</v>
      </c>
      <c r="N32" s="103">
        <f>Submetering!Z32</f>
        <v>174</v>
      </c>
    </row>
    <row r="33" spans="5:14" x14ac:dyDescent="0.25">
      <c r="E33" s="4">
        <f>SUM(E2:E32)</f>
        <v>1151713</v>
      </c>
      <c r="G33" s="4">
        <f>SUM(G2:G32)</f>
        <v>23137</v>
      </c>
      <c r="I33" s="4">
        <f>SUM(I2:I32)</f>
        <v>1233870.580600003</v>
      </c>
      <c r="K33" s="4">
        <f>SUM(K2:K32)</f>
        <v>3947.5239999999967</v>
      </c>
      <c r="M33" s="4">
        <f>SUM(M2:M32)</f>
        <v>3704</v>
      </c>
      <c r="N33" s="4">
        <f>SUM(N2:N32)</f>
        <v>5244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4"/>
  <sheetViews>
    <sheetView workbookViewId="0">
      <pane xSplit="2" ySplit="1" topLeftCell="I2" activePane="bottomRight" state="frozen"/>
      <selection pane="topRight" activeCell="C1" sqref="C1"/>
      <selection pane="bottomLeft" activeCell="A2" sqref="A2"/>
      <selection pane="bottomRight" activeCell="Y2" sqref="Y2:Y12"/>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91" t="s">
        <v>0</v>
      </c>
      <c r="B1" s="92" t="s">
        <v>1</v>
      </c>
      <c r="C1" s="93" t="s">
        <v>2</v>
      </c>
      <c r="D1" s="92" t="s">
        <v>3</v>
      </c>
      <c r="E1" s="94" t="s">
        <v>64</v>
      </c>
      <c r="F1" s="94" t="s">
        <v>81</v>
      </c>
      <c r="G1" s="94" t="s">
        <v>84</v>
      </c>
      <c r="H1" s="94" t="s">
        <v>65</v>
      </c>
      <c r="I1" s="94" t="s">
        <v>66</v>
      </c>
      <c r="J1" s="94" t="s">
        <v>67</v>
      </c>
      <c r="K1" s="94" t="s">
        <v>68</v>
      </c>
      <c r="L1" s="95" t="s">
        <v>69</v>
      </c>
      <c r="M1" s="95" t="s">
        <v>70</v>
      </c>
      <c r="N1" s="95" t="s">
        <v>71</v>
      </c>
      <c r="O1" s="95" t="s">
        <v>72</v>
      </c>
      <c r="P1" s="95" t="s">
        <v>73</v>
      </c>
      <c r="Q1" s="95" t="s">
        <v>74</v>
      </c>
      <c r="R1" s="95" t="s">
        <v>75</v>
      </c>
      <c r="S1" s="95" t="s">
        <v>91</v>
      </c>
      <c r="T1" s="95" t="s">
        <v>86</v>
      </c>
      <c r="U1" s="95" t="s">
        <v>87</v>
      </c>
      <c r="V1" s="95" t="s">
        <v>88</v>
      </c>
      <c r="W1" s="95" t="s">
        <v>89</v>
      </c>
      <c r="X1" s="95" t="s">
        <v>90</v>
      </c>
      <c r="Y1" s="96" t="s">
        <v>8</v>
      </c>
      <c r="Z1" s="95" t="s">
        <v>9</v>
      </c>
    </row>
    <row r="2" spans="1:26" x14ac:dyDescent="0.25">
      <c r="A2" s="97" t="s">
        <v>80</v>
      </c>
      <c r="B2" s="98">
        <v>1</v>
      </c>
      <c r="C2" s="99">
        <v>5</v>
      </c>
      <c r="D2" s="98">
        <v>2022</v>
      </c>
      <c r="E2" s="100">
        <f>'FS-AD Daily '!B6</f>
        <v>7126</v>
      </c>
      <c r="F2" s="100">
        <f>'FS-AD Daily '!C6</f>
        <v>4966</v>
      </c>
      <c r="G2" s="100">
        <f>'FS-AD Daily '!D6</f>
        <v>932</v>
      </c>
      <c r="H2" s="100">
        <f>'FS-AD Daily '!E6</f>
        <v>7156</v>
      </c>
      <c r="I2" s="100">
        <f>'FS-AD Daily '!F6</f>
        <v>5845</v>
      </c>
      <c r="J2" s="100">
        <f>'FS-AD Daily '!G6</f>
        <v>2584</v>
      </c>
      <c r="K2" s="100">
        <f>'FS-AD Daily '!H6</f>
        <v>9125</v>
      </c>
      <c r="L2" s="100">
        <f>'FS-AD Daily '!I6</f>
        <v>2270</v>
      </c>
      <c r="M2" s="100">
        <f>'FS-AD Daily '!J6</f>
        <v>6863</v>
      </c>
      <c r="N2" s="100">
        <f>'FS-AD Daily '!T6</f>
        <v>192.13699999999881</v>
      </c>
      <c r="O2" s="100">
        <f>'FS-AD Daily '!R6</f>
        <v>77.228000000000065</v>
      </c>
      <c r="P2" s="100">
        <f>'FS-AD Daily '!Z6</f>
        <v>709</v>
      </c>
      <c r="Q2" s="100">
        <f>'FS-AD Daily '!V6</f>
        <v>186</v>
      </c>
      <c r="R2" s="100">
        <f>'FS-AD Daily '!W6</f>
        <v>188</v>
      </c>
      <c r="S2" s="100">
        <f>P2-Q2-R2</f>
        <v>335</v>
      </c>
      <c r="T2" s="100">
        <f>'FS-AD Daily '!AD6*3.516</f>
        <v>81163.343999999997</v>
      </c>
      <c r="U2" s="100">
        <f>('FS-AD Daily '!AF6)*1000</f>
        <v>40500</v>
      </c>
      <c r="V2" s="100">
        <f>('FS-AD Daily '!AG6)*1000</f>
        <v>0</v>
      </c>
      <c r="W2" s="100">
        <f>'FS-AD Daily '!AH6*1000</f>
        <v>14600.000000002183</v>
      </c>
      <c r="X2" s="100">
        <f>('FS-AD Daily '!AK6)*1000</f>
        <v>33400.000000001455</v>
      </c>
      <c r="Y2" s="100">
        <v>73</v>
      </c>
      <c r="Z2" s="101">
        <v>130</v>
      </c>
    </row>
    <row r="3" spans="1:26" x14ac:dyDescent="0.25">
      <c r="A3" s="102" t="s">
        <v>80</v>
      </c>
      <c r="B3" s="68">
        <f>B2+1</f>
        <v>2</v>
      </c>
      <c r="C3" s="69">
        <v>5</v>
      </c>
      <c r="D3" s="68">
        <v>2022</v>
      </c>
      <c r="E3" s="70">
        <f>'FS-AD Daily '!B7</f>
        <v>6213</v>
      </c>
      <c r="F3" s="70">
        <f>'FS-AD Daily '!C7</f>
        <v>4304</v>
      </c>
      <c r="G3" s="70">
        <f>'FS-AD Daily '!D7</f>
        <v>935</v>
      </c>
      <c r="H3" s="70">
        <f>'FS-AD Daily '!E7</f>
        <v>7118</v>
      </c>
      <c r="I3" s="70">
        <f>'FS-AD Daily '!F7</f>
        <v>5956</v>
      </c>
      <c r="J3" s="70">
        <f>'FS-AD Daily '!G7</f>
        <v>2657</v>
      </c>
      <c r="K3" s="70">
        <f>'FS-AD Daily '!H7</f>
        <v>8830</v>
      </c>
      <c r="L3" s="70">
        <f>'FS-AD Daily '!I7</f>
        <v>2238</v>
      </c>
      <c r="M3" s="70">
        <f>'FS-AD Daily '!J7</f>
        <v>6842</v>
      </c>
      <c r="N3" s="70">
        <f>'FS-AD Daily '!T7</f>
        <v>155.17900000000009</v>
      </c>
      <c r="O3" s="70">
        <f>'FS-AD Daily '!R7</f>
        <v>73.610000000001492</v>
      </c>
      <c r="P3" s="70">
        <f>'FS-AD Daily '!Z7</f>
        <v>664</v>
      </c>
      <c r="Q3" s="70">
        <f>'FS-AD Daily '!V7</f>
        <v>164</v>
      </c>
      <c r="R3" s="70">
        <f>'FS-AD Daily '!W7</f>
        <v>193</v>
      </c>
      <c r="S3" s="70">
        <f t="shared" ref="S3:S30" si="0">P3-Q3-R3</f>
        <v>307</v>
      </c>
      <c r="T3" s="70">
        <f>'FS-AD Daily '!AD7*3.516</f>
        <v>74767.740000000005</v>
      </c>
      <c r="U3" s="70">
        <f>('FS-AD Daily '!AF7)*1000</f>
        <v>35600.000000005821</v>
      </c>
      <c r="V3" s="70">
        <f>('FS-AD Daily '!AG7)*1000</f>
        <v>0</v>
      </c>
      <c r="W3" s="70">
        <f>'FS-AD Daily '!AH7*1000</f>
        <v>14099.999999998545</v>
      </c>
      <c r="X3" s="70">
        <f>('FS-AD Daily '!AK7)*1000</f>
        <v>30299.999999995634</v>
      </c>
      <c r="Y3" s="70">
        <v>101</v>
      </c>
      <c r="Z3" s="103">
        <v>201</v>
      </c>
    </row>
    <row r="4" spans="1:26" x14ac:dyDescent="0.25">
      <c r="A4" s="102" t="s">
        <v>80</v>
      </c>
      <c r="B4" s="68">
        <f t="shared" ref="B4:B32" si="1">B3+1</f>
        <v>3</v>
      </c>
      <c r="C4" s="69">
        <v>5</v>
      </c>
      <c r="D4" s="68">
        <v>2022</v>
      </c>
      <c r="E4" s="70">
        <f>'FS-AD Daily '!B8</f>
        <v>7809</v>
      </c>
      <c r="F4" s="70">
        <f>'FS-AD Daily '!C8</f>
        <v>4478</v>
      </c>
      <c r="G4" s="70">
        <f>'FS-AD Daily '!D8</f>
        <v>541</v>
      </c>
      <c r="H4" s="70">
        <f>'FS-AD Daily '!E8</f>
        <v>7283</v>
      </c>
      <c r="I4" s="70">
        <f>'FS-AD Daily '!F8</f>
        <v>6006</v>
      </c>
      <c r="J4" s="70">
        <f>'FS-AD Daily '!G8</f>
        <v>2915</v>
      </c>
      <c r="K4" s="70">
        <f>'FS-AD Daily '!H8</f>
        <v>9560</v>
      </c>
      <c r="L4" s="70">
        <f>'FS-AD Daily '!I8</f>
        <v>2275</v>
      </c>
      <c r="M4" s="70">
        <f>'FS-AD Daily '!J8</f>
        <v>6707</v>
      </c>
      <c r="N4" s="70">
        <f>'FS-AD Daily '!T8</f>
        <v>182.95500000000175</v>
      </c>
      <c r="O4" s="70">
        <f>'FS-AD Daily '!R8</f>
        <v>84.755999999999403</v>
      </c>
      <c r="P4" s="70">
        <f>'FS-AD Daily '!Z8</f>
        <v>700</v>
      </c>
      <c r="Q4" s="70">
        <f>'FS-AD Daily '!V8</f>
        <v>178.40000000002328</v>
      </c>
      <c r="R4" s="70">
        <f>'FS-AD Daily '!W8</f>
        <v>192.29999999998836</v>
      </c>
      <c r="S4" s="70">
        <f t="shared" si="0"/>
        <v>329.29999999998836</v>
      </c>
      <c r="T4" s="70">
        <f>'FS-AD Daily '!AD8*3.516</f>
        <v>77123.460000000006</v>
      </c>
      <c r="U4" s="70">
        <f>('FS-AD Daily '!AF8)*1000</f>
        <v>36699.99999999709</v>
      </c>
      <c r="V4" s="70">
        <f>('FS-AD Daily '!AG8)*1000</f>
        <v>0</v>
      </c>
      <c r="W4" s="70">
        <f>'FS-AD Daily '!AH8*1000</f>
        <v>14000</v>
      </c>
      <c r="X4" s="70">
        <f>('FS-AD Daily '!AK8)*1000</f>
        <v>31300.00000000291</v>
      </c>
      <c r="Y4" s="70">
        <v>140</v>
      </c>
      <c r="Z4" s="103">
        <v>265</v>
      </c>
    </row>
    <row r="5" spans="1:26" x14ac:dyDescent="0.25">
      <c r="A5" s="102" t="s">
        <v>80</v>
      </c>
      <c r="B5" s="68">
        <f t="shared" si="1"/>
        <v>4</v>
      </c>
      <c r="C5" s="69">
        <v>5</v>
      </c>
      <c r="D5" s="68">
        <v>2022</v>
      </c>
      <c r="E5" s="70">
        <f>'FS-AD Daily '!B9</f>
        <v>7266</v>
      </c>
      <c r="F5" s="70">
        <f>'FS-AD Daily '!C9</f>
        <v>3960</v>
      </c>
      <c r="G5" s="70">
        <f>'FS-AD Daily '!D9</f>
        <v>911</v>
      </c>
      <c r="H5" s="70">
        <f>'FS-AD Daily '!E9</f>
        <v>7074</v>
      </c>
      <c r="I5" s="70">
        <f>'FS-AD Daily '!F9</f>
        <v>5748</v>
      </c>
      <c r="J5" s="70">
        <f>'FS-AD Daily '!G9</f>
        <v>2917</v>
      </c>
      <c r="K5" s="70">
        <f>'FS-AD Daily '!H9</f>
        <v>9162</v>
      </c>
      <c r="L5" s="70">
        <f>'FS-AD Daily '!I9</f>
        <v>2222</v>
      </c>
      <c r="M5" s="70">
        <f>'FS-AD Daily '!J9</f>
        <v>7086</v>
      </c>
      <c r="N5" s="70">
        <f>'FS-AD Daily '!T9</f>
        <v>216.01199999999881</v>
      </c>
      <c r="O5" s="70">
        <f>'FS-AD Daily '!R9</f>
        <v>83.142000000001644</v>
      </c>
      <c r="P5" s="70">
        <f>'FS-AD Daily '!Z9</f>
        <v>754</v>
      </c>
      <c r="Q5" s="70">
        <f>'FS-AD Daily '!V9</f>
        <v>205.89999999996508</v>
      </c>
      <c r="R5" s="70">
        <f>'FS-AD Daily '!W9</f>
        <v>199.89000000001397</v>
      </c>
      <c r="S5" s="70">
        <f t="shared" si="0"/>
        <v>348.21000000002095</v>
      </c>
      <c r="T5" s="70">
        <f>'FS-AD Daily '!AD9*3.516</f>
        <v>85154.004000000001</v>
      </c>
      <c r="U5" s="70">
        <f>('FS-AD Daily '!AF9)*1000</f>
        <v>41800.00000000291</v>
      </c>
      <c r="V5" s="70">
        <f>('FS-AD Daily '!AG9)*1000</f>
        <v>0</v>
      </c>
      <c r="W5" s="70">
        <f>'FS-AD Daily '!AH9*1000</f>
        <v>15000</v>
      </c>
      <c r="X5" s="70">
        <f>('FS-AD Daily '!AK9)*1000</f>
        <v>32199.99999999709</v>
      </c>
      <c r="Y5" s="70">
        <v>138</v>
      </c>
      <c r="Z5" s="103">
        <v>252</v>
      </c>
    </row>
    <row r="6" spans="1:26" x14ac:dyDescent="0.25">
      <c r="A6" s="102" t="s">
        <v>80</v>
      </c>
      <c r="B6" s="68">
        <f t="shared" si="1"/>
        <v>5</v>
      </c>
      <c r="C6" s="69">
        <v>5</v>
      </c>
      <c r="D6" s="68">
        <v>2022</v>
      </c>
      <c r="E6" s="70">
        <f>'FS-AD Daily '!B10</f>
        <v>6245</v>
      </c>
      <c r="F6" s="70">
        <f>'FS-AD Daily '!C10</f>
        <v>3926</v>
      </c>
      <c r="G6" s="70">
        <f>'FS-AD Daily '!D10</f>
        <v>874</v>
      </c>
      <c r="H6" s="70">
        <f>'FS-AD Daily '!E10</f>
        <v>7299</v>
      </c>
      <c r="I6" s="70">
        <f>'FS-AD Daily '!F10</f>
        <v>6184</v>
      </c>
      <c r="J6" s="70">
        <f>'FS-AD Daily '!G10</f>
        <v>3047</v>
      </c>
      <c r="K6" s="70">
        <f>'FS-AD Daily '!H10</f>
        <v>9631</v>
      </c>
      <c r="L6" s="70">
        <f>'FS-AD Daily '!I10</f>
        <v>2323</v>
      </c>
      <c r="M6" s="70">
        <f>'FS-AD Daily '!J10</f>
        <v>7093</v>
      </c>
      <c r="N6" s="70">
        <f>'FS-AD Daily '!T10</f>
        <v>206.36699999999837</v>
      </c>
      <c r="O6" s="70">
        <f>'FS-AD Daily '!R10</f>
        <v>75.206999999999425</v>
      </c>
      <c r="P6" s="70">
        <f>'FS-AD Daily '!Z10</f>
        <v>697</v>
      </c>
      <c r="Q6" s="70">
        <f>'FS-AD Daily '!V10</f>
        <v>183.10000000003492</v>
      </c>
      <c r="R6" s="70">
        <f>'FS-AD Daily '!W10</f>
        <v>178.73000000001048</v>
      </c>
      <c r="S6" s="70">
        <f t="shared" si="0"/>
        <v>335.1699999999546</v>
      </c>
      <c r="T6" s="70">
        <f>'FS-AD Daily '!AD10*3.516</f>
        <v>74352.851999999999</v>
      </c>
      <c r="U6" s="70">
        <f>('FS-AD Daily '!AF10)*1000</f>
        <v>34500</v>
      </c>
      <c r="V6" s="70">
        <f>('FS-AD Daily '!AG10)*1000</f>
        <v>0</v>
      </c>
      <c r="W6" s="70">
        <f>'FS-AD Daily '!AH10*1000</f>
        <v>14200.000000000728</v>
      </c>
      <c r="X6" s="70">
        <f>('FS-AD Daily '!AK10)*1000</f>
        <v>28800.00000000291</v>
      </c>
      <c r="Y6" s="70">
        <v>137</v>
      </c>
      <c r="Z6" s="103">
        <v>245</v>
      </c>
    </row>
    <row r="7" spans="1:26" x14ac:dyDescent="0.25">
      <c r="A7" s="102" t="s">
        <v>80</v>
      </c>
      <c r="B7" s="68">
        <f t="shared" si="1"/>
        <v>6</v>
      </c>
      <c r="C7" s="69">
        <v>5</v>
      </c>
      <c r="D7" s="68">
        <v>2022</v>
      </c>
      <c r="E7" s="70">
        <f>'FS-AD Daily '!B11</f>
        <v>6211</v>
      </c>
      <c r="F7" s="70">
        <f>'FS-AD Daily '!C11</f>
        <v>3960</v>
      </c>
      <c r="G7" s="70">
        <f>'FS-AD Daily '!D11</f>
        <v>962</v>
      </c>
      <c r="H7" s="70">
        <f>'FS-AD Daily '!E11</f>
        <v>7375</v>
      </c>
      <c r="I7" s="70">
        <f>'FS-AD Daily '!F11</f>
        <v>6173</v>
      </c>
      <c r="J7" s="70">
        <f>'FS-AD Daily '!G11</f>
        <v>3098</v>
      </c>
      <c r="K7" s="70">
        <f>'FS-AD Daily '!H11</f>
        <v>9294</v>
      </c>
      <c r="L7" s="70">
        <f>'FS-AD Daily '!I11</f>
        <v>2351</v>
      </c>
      <c r="M7" s="70">
        <f>'FS-AD Daily '!J11</f>
        <v>7393</v>
      </c>
      <c r="N7" s="70">
        <f>'FS-AD Daily '!T11</f>
        <v>203.98800000000119</v>
      </c>
      <c r="O7" s="70">
        <f>'FS-AD Daily '!R11</f>
        <v>82.581000000000131</v>
      </c>
      <c r="P7" s="70">
        <f>'FS-AD Daily '!Z11</f>
        <v>728</v>
      </c>
      <c r="Q7" s="70">
        <f>'FS-AD Daily '!V11</f>
        <v>194.89999999996508</v>
      </c>
      <c r="R7" s="70">
        <f>'FS-AD Daily '!W11</f>
        <v>184.00999999998021</v>
      </c>
      <c r="S7" s="70">
        <f t="shared" si="0"/>
        <v>349.09000000005472</v>
      </c>
      <c r="T7" s="70">
        <f>'FS-AD Daily '!AD11*3.516</f>
        <v>77977.847999999998</v>
      </c>
      <c r="U7" s="70">
        <f>('FS-AD Daily '!AF11)*1000</f>
        <v>36000</v>
      </c>
      <c r="V7" s="70">
        <f>('FS-AD Daily '!AG11)*1000</f>
        <v>0</v>
      </c>
      <c r="W7" s="70">
        <f>'FS-AD Daily '!AH11*1000</f>
        <v>15400.000000001455</v>
      </c>
      <c r="X7" s="70">
        <f>('FS-AD Daily '!AK11)*1000</f>
        <v>29400.000000001455</v>
      </c>
      <c r="Y7" s="70">
        <v>127</v>
      </c>
      <c r="Z7" s="103">
        <v>227</v>
      </c>
    </row>
    <row r="8" spans="1:26" x14ac:dyDescent="0.25">
      <c r="A8" s="102" t="s">
        <v>80</v>
      </c>
      <c r="B8" s="68">
        <f t="shared" si="1"/>
        <v>7</v>
      </c>
      <c r="C8" s="69">
        <v>5</v>
      </c>
      <c r="D8" s="68">
        <v>2022</v>
      </c>
      <c r="E8" s="70">
        <f>'FS-AD Daily '!B12</f>
        <v>6078</v>
      </c>
      <c r="F8" s="70">
        <f>'FS-AD Daily '!C12</f>
        <v>3922</v>
      </c>
      <c r="G8" s="70">
        <f>'FS-AD Daily '!D12</f>
        <v>930</v>
      </c>
      <c r="H8" s="70">
        <f>'FS-AD Daily '!E12</f>
        <v>7255</v>
      </c>
      <c r="I8" s="70">
        <f>'FS-AD Daily '!F12</f>
        <v>6196</v>
      </c>
      <c r="J8" s="70">
        <f>'FS-AD Daily '!G12</f>
        <v>2989</v>
      </c>
      <c r="K8" s="70">
        <f>'FS-AD Daily '!H12</f>
        <v>8928</v>
      </c>
      <c r="L8" s="70">
        <f>'FS-AD Daily '!I12</f>
        <v>2332</v>
      </c>
      <c r="M8" s="70">
        <f>'FS-AD Daily '!J12</f>
        <v>7134</v>
      </c>
      <c r="N8" s="70">
        <f>'FS-AD Daily '!T12</f>
        <v>207.04300000000148</v>
      </c>
      <c r="O8" s="70">
        <f>'FS-AD Daily '!R12</f>
        <v>84.983999999999469</v>
      </c>
      <c r="P8" s="70">
        <f>'FS-AD Daily '!Z12</f>
        <v>797</v>
      </c>
      <c r="Q8" s="70">
        <f>'FS-AD Daily '!V12</f>
        <v>201.60000000003492</v>
      </c>
      <c r="R8" s="70">
        <f>'FS-AD Daily '!W12</f>
        <v>208.76000000000931</v>
      </c>
      <c r="S8" s="70">
        <f t="shared" si="0"/>
        <v>386.63999999995576</v>
      </c>
      <c r="T8" s="70">
        <f>'FS-AD Daily '!AD12*3.516</f>
        <v>89007.54</v>
      </c>
      <c r="U8" s="70">
        <f>('FS-AD Daily '!AF12)*1000</f>
        <v>40000</v>
      </c>
      <c r="V8" s="70">
        <f>('FS-AD Daily '!AG12)*1000</f>
        <v>0</v>
      </c>
      <c r="W8" s="70">
        <f>'FS-AD Daily '!AH12*1000</f>
        <v>14599.999999998545</v>
      </c>
      <c r="X8" s="70">
        <f>('FS-AD Daily '!AK12)*1000</f>
        <v>30799.999999995634</v>
      </c>
      <c r="Y8" s="70">
        <v>92</v>
      </c>
      <c r="Z8" s="103">
        <v>139</v>
      </c>
    </row>
    <row r="9" spans="1:26" x14ac:dyDescent="0.25">
      <c r="A9" s="102" t="s">
        <v>80</v>
      </c>
      <c r="B9" s="68">
        <f t="shared" si="1"/>
        <v>8</v>
      </c>
      <c r="C9" s="69">
        <v>5</v>
      </c>
      <c r="D9" s="68">
        <v>2022</v>
      </c>
      <c r="E9" s="70">
        <f>'FS-AD Daily '!B13</f>
        <v>6411</v>
      </c>
      <c r="F9" s="70">
        <f>'FS-AD Daily '!C13</f>
        <v>3932</v>
      </c>
      <c r="G9" s="70">
        <f>'FS-AD Daily '!D13</f>
        <v>885</v>
      </c>
      <c r="H9" s="70">
        <f>'FS-AD Daily '!E13</f>
        <v>5949</v>
      </c>
      <c r="I9" s="70">
        <f>'FS-AD Daily '!F13</f>
        <v>5712</v>
      </c>
      <c r="J9" s="70">
        <f>'FS-AD Daily '!G13</f>
        <v>2689</v>
      </c>
      <c r="K9" s="70">
        <f>'FS-AD Daily '!H13</f>
        <v>8782</v>
      </c>
      <c r="L9" s="70">
        <f>'FS-AD Daily '!I13</f>
        <v>2297</v>
      </c>
      <c r="M9" s="70">
        <f>'FS-AD Daily '!J13</f>
        <v>7033</v>
      </c>
      <c r="N9" s="70">
        <f>'FS-AD Daily '!T13</f>
        <v>202.9320000000007</v>
      </c>
      <c r="O9" s="70">
        <f>'FS-AD Daily '!R13</f>
        <v>73.597999999999956</v>
      </c>
      <c r="P9" s="70">
        <f>'FS-AD Daily '!Z13</f>
        <v>809</v>
      </c>
      <c r="Q9" s="70">
        <f>'FS-AD Daily '!V13</f>
        <v>264.5</v>
      </c>
      <c r="R9" s="70">
        <f>'FS-AD Daily '!W13</f>
        <v>196.17999999999302</v>
      </c>
      <c r="S9" s="70">
        <f t="shared" si="0"/>
        <v>348.32000000000698</v>
      </c>
      <c r="T9" s="70">
        <f>'FS-AD Daily '!AD13*3.516</f>
        <v>83216.687999999995</v>
      </c>
      <c r="U9" s="70">
        <f>('FS-AD Daily '!AF13)*1000</f>
        <v>36899.999999994179</v>
      </c>
      <c r="V9" s="70">
        <f>('FS-AD Daily '!AG13)*1000</f>
        <v>0</v>
      </c>
      <c r="W9" s="70">
        <f>'FS-AD Daily '!AH13*1000</f>
        <v>13299.999999999272</v>
      </c>
      <c r="X9" s="70">
        <f>('FS-AD Daily '!AK13)*1000</f>
        <v>30200.000000004366</v>
      </c>
      <c r="Y9" s="70">
        <v>98</v>
      </c>
      <c r="Z9" s="103">
        <v>128</v>
      </c>
    </row>
    <row r="10" spans="1:26" x14ac:dyDescent="0.25">
      <c r="A10" s="102" t="s">
        <v>80</v>
      </c>
      <c r="B10" s="68">
        <f t="shared" si="1"/>
        <v>9</v>
      </c>
      <c r="C10" s="69">
        <v>5</v>
      </c>
      <c r="D10" s="68">
        <v>2022</v>
      </c>
      <c r="E10" s="70">
        <f>'FS-AD Daily '!B14</f>
        <v>6573</v>
      </c>
      <c r="F10" s="70">
        <f>'FS-AD Daily '!C14</f>
        <v>4197</v>
      </c>
      <c r="G10" s="70">
        <f>'FS-AD Daily '!D14</f>
        <v>881</v>
      </c>
      <c r="H10" s="70">
        <f>'FS-AD Daily '!E14</f>
        <v>6689</v>
      </c>
      <c r="I10" s="70">
        <f>'FS-AD Daily '!F14</f>
        <v>6029</v>
      </c>
      <c r="J10" s="70">
        <f>'FS-AD Daily '!G14</f>
        <v>2825</v>
      </c>
      <c r="K10" s="70">
        <f>'FS-AD Daily '!H14</f>
        <v>9240</v>
      </c>
      <c r="L10" s="70">
        <f>'FS-AD Daily '!I14</f>
        <v>2423</v>
      </c>
      <c r="M10" s="70">
        <f>'FS-AD Daily '!J14</f>
        <v>7051</v>
      </c>
      <c r="N10" s="70">
        <f>'FS-AD Daily '!T14</f>
        <v>197.95599999999831</v>
      </c>
      <c r="O10" s="70">
        <f>'FS-AD Daily '!R14</f>
        <v>78.520999999998821</v>
      </c>
      <c r="P10" s="70">
        <f>'FS-AD Daily '!Z14</f>
        <v>811</v>
      </c>
      <c r="Q10" s="70">
        <f>'FS-AD Daily '!V14</f>
        <v>253.59999999997672</v>
      </c>
      <c r="R10" s="70">
        <f>'FS-AD Daily '!W14</f>
        <v>186.92000000001281</v>
      </c>
      <c r="S10" s="70">
        <f t="shared" si="0"/>
        <v>370.48000000001048</v>
      </c>
      <c r="T10" s="70">
        <f>'FS-AD Daily '!AD14*3.516</f>
        <v>84872.724000000002</v>
      </c>
      <c r="U10" s="70">
        <f>('FS-AD Daily '!AF14)*1000</f>
        <v>37899.999999994179</v>
      </c>
      <c r="V10" s="70">
        <f>('FS-AD Daily '!AG14)*1000</f>
        <v>0</v>
      </c>
      <c r="W10" s="70">
        <f>'FS-AD Daily '!AH14*1000</f>
        <v>12600.000000002183</v>
      </c>
      <c r="X10" s="70">
        <f>('FS-AD Daily '!AK14)*1000</f>
        <v>33500</v>
      </c>
      <c r="Y10" s="70">
        <v>131</v>
      </c>
      <c r="Z10" s="103">
        <v>156</v>
      </c>
    </row>
    <row r="11" spans="1:26" x14ac:dyDescent="0.25">
      <c r="A11" s="102" t="s">
        <v>80</v>
      </c>
      <c r="B11" s="68">
        <f t="shared" si="1"/>
        <v>10</v>
      </c>
      <c r="C11" s="69">
        <v>5</v>
      </c>
      <c r="D11" s="68">
        <v>2022</v>
      </c>
      <c r="E11" s="70">
        <f>'FS-AD Daily '!B15</f>
        <v>8251</v>
      </c>
      <c r="F11" s="70">
        <f>'FS-AD Daily '!C15</f>
        <v>4237</v>
      </c>
      <c r="G11" s="70">
        <f>'FS-AD Daily '!D15</f>
        <v>884</v>
      </c>
      <c r="H11" s="70">
        <f>'FS-AD Daily '!E15</f>
        <v>7157</v>
      </c>
      <c r="I11" s="70">
        <f>'FS-AD Daily '!F15</f>
        <v>5684</v>
      </c>
      <c r="J11" s="70">
        <f>'FS-AD Daily '!G15</f>
        <v>2686</v>
      </c>
      <c r="K11" s="70">
        <f>'FS-AD Daily '!H15</f>
        <v>9082</v>
      </c>
      <c r="L11" s="70">
        <f>'FS-AD Daily '!I15</f>
        <v>2377</v>
      </c>
      <c r="M11" s="70">
        <f>'FS-AD Daily '!J15</f>
        <v>6976</v>
      </c>
      <c r="N11" s="70">
        <f>'FS-AD Daily '!T15</f>
        <v>200.51500000000306</v>
      </c>
      <c r="O11" s="70">
        <f>'FS-AD Daily '!R15</f>
        <v>71.32300000000032</v>
      </c>
      <c r="P11" s="70">
        <f>'FS-AD Daily '!Z15</f>
        <v>715</v>
      </c>
      <c r="Q11" s="70">
        <f>'FS-AD Daily '!V15</f>
        <v>191.79999999998836</v>
      </c>
      <c r="R11" s="70">
        <f>'FS-AD Daily '!W15</f>
        <v>172.01999999998952</v>
      </c>
      <c r="S11" s="70">
        <f t="shared" si="0"/>
        <v>351.18000000002212</v>
      </c>
      <c r="T11" s="70">
        <f>'FS-AD Daily '!AD15*3.516</f>
        <v>77802.047999999995</v>
      </c>
      <c r="U11" s="70">
        <f>('FS-AD Daily '!AF15)*1000</f>
        <v>36400.000000008731</v>
      </c>
      <c r="V11" s="70">
        <f>('FS-AD Daily '!AG15)*1000</f>
        <v>0</v>
      </c>
      <c r="W11" s="70">
        <f>'FS-AD Daily '!AH15*1000</f>
        <v>11099.999999998545</v>
      </c>
      <c r="X11" s="70">
        <f>('FS-AD Daily '!AK15)*1000</f>
        <v>29799.999999995634</v>
      </c>
      <c r="Y11" s="70">
        <v>169</v>
      </c>
      <c r="Z11" s="103">
        <v>209</v>
      </c>
    </row>
    <row r="12" spans="1:26" x14ac:dyDescent="0.25">
      <c r="A12" s="102" t="s">
        <v>80</v>
      </c>
      <c r="B12" s="68">
        <f t="shared" si="1"/>
        <v>11</v>
      </c>
      <c r="C12" s="69">
        <v>5</v>
      </c>
      <c r="D12" s="68">
        <v>2022</v>
      </c>
      <c r="E12" s="70">
        <f>'FS-AD Daily '!B16</f>
        <v>7827</v>
      </c>
      <c r="F12" s="70">
        <f>'FS-AD Daily '!C16</f>
        <v>4233</v>
      </c>
      <c r="G12" s="70">
        <f>'FS-AD Daily '!D16</f>
        <v>903</v>
      </c>
      <c r="H12" s="70">
        <f>'FS-AD Daily '!E16</f>
        <v>7347</v>
      </c>
      <c r="I12" s="70">
        <f>'FS-AD Daily '!F16</f>
        <v>5900</v>
      </c>
      <c r="J12" s="70">
        <f>'FS-AD Daily '!G16</f>
        <v>2808</v>
      </c>
      <c r="K12" s="70">
        <f>'FS-AD Daily '!H16</f>
        <v>9269</v>
      </c>
      <c r="L12" s="70">
        <f>'FS-AD Daily '!I16</f>
        <v>2373</v>
      </c>
      <c r="M12" s="70">
        <f>'FS-AD Daily '!J16</f>
        <v>7167</v>
      </c>
      <c r="N12" s="70">
        <f>'FS-AD Daily '!T16</f>
        <v>197.63899999999921</v>
      </c>
      <c r="O12" s="70">
        <f>'FS-AD Daily '!R16</f>
        <v>37.681000000000495</v>
      </c>
      <c r="P12" s="70">
        <f>'FS-AD Daily '!Z16</f>
        <v>714</v>
      </c>
      <c r="Q12" s="70">
        <f>'FS-AD Daily '!V16</f>
        <v>194.5</v>
      </c>
      <c r="R12" s="70">
        <f>'FS-AD Daily '!W16</f>
        <v>131.54000000000815</v>
      </c>
      <c r="S12" s="70">
        <f t="shared" si="0"/>
        <v>387.95999999999185</v>
      </c>
      <c r="T12" s="70">
        <f>'FS-AD Daily '!AD16*3.516</f>
        <v>78206.388000000006</v>
      </c>
      <c r="U12" s="70">
        <f>('FS-AD Daily '!AF16)*1000</f>
        <v>34899.999999994179</v>
      </c>
      <c r="V12" s="70">
        <f>('FS-AD Daily '!AG16)*1000</f>
        <v>0</v>
      </c>
      <c r="W12" s="70">
        <f>'FS-AD Daily '!AH16*1000</f>
        <v>11400.000000001455</v>
      </c>
      <c r="X12" s="70">
        <f>('FS-AD Daily '!AK16)*1000</f>
        <v>31600.000000005821</v>
      </c>
      <c r="Y12" s="70">
        <v>144</v>
      </c>
      <c r="Z12" s="103">
        <v>185</v>
      </c>
    </row>
    <row r="13" spans="1:26" x14ac:dyDescent="0.25">
      <c r="A13" s="102" t="s">
        <v>80</v>
      </c>
      <c r="B13" s="68">
        <f t="shared" si="1"/>
        <v>12</v>
      </c>
      <c r="C13" s="69">
        <v>5</v>
      </c>
      <c r="D13" s="68">
        <v>2022</v>
      </c>
      <c r="E13" s="70">
        <f>'FS-AD Daily '!B17</f>
        <v>7724</v>
      </c>
      <c r="F13" s="70">
        <f>'FS-AD Daily '!C17</f>
        <v>4250</v>
      </c>
      <c r="G13" s="70">
        <f>'FS-AD Daily '!D17</f>
        <v>911</v>
      </c>
      <c r="H13" s="70">
        <f>'FS-AD Daily '!E17</f>
        <v>6737</v>
      </c>
      <c r="I13" s="70">
        <f>'FS-AD Daily '!F17</f>
        <v>5875</v>
      </c>
      <c r="J13" s="70">
        <f>'FS-AD Daily '!G17</f>
        <v>2871</v>
      </c>
      <c r="K13" s="70">
        <f>'FS-AD Daily '!H17</f>
        <v>9271</v>
      </c>
      <c r="L13" s="70">
        <f>'FS-AD Daily '!I17</f>
        <v>2407</v>
      </c>
      <c r="M13" s="70">
        <f>'FS-AD Daily '!J17</f>
        <v>7221</v>
      </c>
      <c r="N13" s="70">
        <f>'FS-AD Daily '!T17</f>
        <v>201.28499999999985</v>
      </c>
      <c r="O13" s="70">
        <f>'FS-AD Daily '!R17</f>
        <v>38.712000000000444</v>
      </c>
      <c r="P13" s="70">
        <f>'FS-AD Daily '!Z17</f>
        <v>786</v>
      </c>
      <c r="Q13" s="70">
        <f>'FS-AD Daily '!V17</f>
        <v>246</v>
      </c>
      <c r="R13" s="70">
        <f>'FS-AD Daily '!W17</f>
        <v>178.04000000000815</v>
      </c>
      <c r="S13" s="70">
        <f t="shared" si="0"/>
        <v>361.95999999999185</v>
      </c>
      <c r="T13" s="70">
        <f>'FS-AD Daily '!AD17*3.516</f>
        <v>96208.308000000005</v>
      </c>
      <c r="U13" s="70">
        <f>('FS-AD Daily '!AF17)*1000</f>
        <v>47600.000000005821</v>
      </c>
      <c r="V13" s="70">
        <f>('FS-AD Daily '!AG17)*1000</f>
        <v>0</v>
      </c>
      <c r="W13" s="70">
        <f>'FS-AD Daily '!AH17*1000</f>
        <v>12000</v>
      </c>
      <c r="X13" s="70">
        <f>('FS-AD Daily '!AK17)*1000</f>
        <v>31699.99999999709</v>
      </c>
      <c r="Y13" s="70">
        <v>123</v>
      </c>
      <c r="Z13" s="103">
        <v>162</v>
      </c>
    </row>
    <row r="14" spans="1:26" x14ac:dyDescent="0.25">
      <c r="A14" s="102" t="s">
        <v>80</v>
      </c>
      <c r="B14" s="68">
        <f t="shared" si="1"/>
        <v>13</v>
      </c>
      <c r="C14" s="69">
        <v>5</v>
      </c>
      <c r="D14" s="68">
        <v>2022</v>
      </c>
      <c r="E14" s="70">
        <f>'FS-AD Daily '!B18</f>
        <v>7868</v>
      </c>
      <c r="F14" s="70">
        <f>'FS-AD Daily '!C18</f>
        <v>4152</v>
      </c>
      <c r="G14" s="70">
        <f>'FS-AD Daily '!D18</f>
        <v>947</v>
      </c>
      <c r="H14" s="70">
        <f>'FS-AD Daily '!E18</f>
        <v>6336</v>
      </c>
      <c r="I14" s="70">
        <f>'FS-AD Daily '!F18</f>
        <v>5913</v>
      </c>
      <c r="J14" s="70">
        <f>'FS-AD Daily '!G18</f>
        <v>2779</v>
      </c>
      <c r="K14" s="70">
        <f>'FS-AD Daily '!H18</f>
        <v>9197</v>
      </c>
      <c r="L14" s="70">
        <f>'FS-AD Daily '!I18</f>
        <v>2366</v>
      </c>
      <c r="M14" s="70">
        <f>'FS-AD Daily '!J18</f>
        <v>7215</v>
      </c>
      <c r="N14" s="70">
        <f>'FS-AD Daily '!T18</f>
        <v>220.49899999999616</v>
      </c>
      <c r="O14" s="70">
        <f>'FS-AD Daily '!R18</f>
        <v>167.14800000000105</v>
      </c>
      <c r="P14" s="70">
        <f>'FS-AD Daily '!Z18</f>
        <v>852</v>
      </c>
      <c r="Q14" s="70">
        <f>'FS-AD Daily '!V18</f>
        <v>278.79999999998836</v>
      </c>
      <c r="R14" s="70">
        <f>'FS-AD Daily '!W18</f>
        <v>200.76999999998952</v>
      </c>
      <c r="S14" s="70">
        <f t="shared" si="0"/>
        <v>372.43000000002212</v>
      </c>
      <c r="T14" s="70">
        <f>'FS-AD Daily '!AD18*3.516</f>
        <v>81652.067999999999</v>
      </c>
      <c r="U14" s="70">
        <f>('FS-AD Daily '!AF18)*1000</f>
        <v>37500</v>
      </c>
      <c r="V14" s="70">
        <f>('FS-AD Daily '!AG18)*1000</f>
        <v>0</v>
      </c>
      <c r="W14" s="70">
        <f>'FS-AD Daily '!AH18*1000</f>
        <v>11299.999999999272</v>
      </c>
      <c r="X14" s="70">
        <f>('FS-AD Daily '!AK18)*1000</f>
        <v>30400.000000001455</v>
      </c>
      <c r="Y14" s="70">
        <v>94</v>
      </c>
      <c r="Z14" s="103">
        <v>132</v>
      </c>
    </row>
    <row r="15" spans="1:26" x14ac:dyDescent="0.25">
      <c r="A15" s="102" t="s">
        <v>80</v>
      </c>
      <c r="B15" s="68">
        <f t="shared" si="1"/>
        <v>14</v>
      </c>
      <c r="C15" s="69">
        <v>5</v>
      </c>
      <c r="D15" s="68">
        <v>2022</v>
      </c>
      <c r="E15" s="70">
        <f>'FS-AD Daily '!B19</f>
        <v>8217</v>
      </c>
      <c r="F15" s="70">
        <f>'FS-AD Daily '!C19</f>
        <v>3865</v>
      </c>
      <c r="G15" s="70">
        <f>'FS-AD Daily '!D19</f>
        <v>914</v>
      </c>
      <c r="H15" s="70">
        <f>'FS-AD Daily '!E19</f>
        <v>6223</v>
      </c>
      <c r="I15" s="70">
        <f>'FS-AD Daily '!F19</f>
        <v>6031</v>
      </c>
      <c r="J15" s="70">
        <f>'FS-AD Daily '!G19</f>
        <v>2668</v>
      </c>
      <c r="K15" s="70">
        <f>'FS-AD Daily '!H19</f>
        <v>9149</v>
      </c>
      <c r="L15" s="70">
        <f>'FS-AD Daily '!I19</f>
        <v>2312</v>
      </c>
      <c r="M15" s="70">
        <f>'FS-AD Daily '!J19</f>
        <v>6967</v>
      </c>
      <c r="N15" s="70">
        <f>'FS-AD Daily '!T19</f>
        <v>197.80500000000393</v>
      </c>
      <c r="O15" s="70">
        <f>'FS-AD Daily '!R19</f>
        <v>75.618999999998778</v>
      </c>
      <c r="P15" s="70">
        <f>'FS-AD Daily '!Z19</f>
        <v>836</v>
      </c>
      <c r="Q15" s="70">
        <f>'FS-AD Daily '!V19</f>
        <v>274.60000000003492</v>
      </c>
      <c r="R15" s="70">
        <f>'FS-AD Daily '!W19</f>
        <v>199.75</v>
      </c>
      <c r="S15" s="70">
        <f t="shared" si="0"/>
        <v>361.64999999996508</v>
      </c>
      <c r="T15" s="70">
        <f>'FS-AD Daily '!AD19*3.516</f>
        <v>75179.111999999994</v>
      </c>
      <c r="U15" s="70">
        <f>('FS-AD Daily '!AF19)*1000</f>
        <v>35699.99999999709</v>
      </c>
      <c r="V15" s="70">
        <f>('FS-AD Daily '!AG19)*1000</f>
        <v>0</v>
      </c>
      <c r="W15" s="70">
        <f>'FS-AD Daily '!AH19*1000</f>
        <v>11099.999999998545</v>
      </c>
      <c r="X15" s="70">
        <f>('FS-AD Daily '!AK19)*1000</f>
        <v>30400.000000001455</v>
      </c>
      <c r="Y15" s="70">
        <v>97</v>
      </c>
      <c r="Z15" s="103">
        <v>132</v>
      </c>
    </row>
    <row r="16" spans="1:26" x14ac:dyDescent="0.25">
      <c r="A16" s="102" t="s">
        <v>80</v>
      </c>
      <c r="B16" s="68">
        <f t="shared" si="1"/>
        <v>15</v>
      </c>
      <c r="C16" s="69">
        <v>5</v>
      </c>
      <c r="D16" s="68">
        <v>2022</v>
      </c>
      <c r="E16" s="70">
        <f>'FS-AD Daily '!B20</f>
        <v>7123</v>
      </c>
      <c r="F16" s="70">
        <f>'FS-AD Daily '!C20</f>
        <v>3846</v>
      </c>
      <c r="G16" s="70">
        <f>'FS-AD Daily '!D20</f>
        <v>933</v>
      </c>
      <c r="H16" s="70">
        <f>'FS-AD Daily '!E20</f>
        <v>6445</v>
      </c>
      <c r="I16" s="70">
        <f>'FS-AD Daily '!F20</f>
        <v>5873</v>
      </c>
      <c r="J16" s="70">
        <f>'FS-AD Daily '!G20</f>
        <v>2710</v>
      </c>
      <c r="K16" s="70">
        <f>'FS-AD Daily '!H20</f>
        <v>9176</v>
      </c>
      <c r="L16" s="70">
        <f>'FS-AD Daily '!I20</f>
        <v>2465</v>
      </c>
      <c r="M16" s="70">
        <f>'FS-AD Daily '!J20</f>
        <v>7147</v>
      </c>
      <c r="N16" s="70">
        <f>'FS-AD Daily '!T20</f>
        <v>211.83799999999974</v>
      </c>
      <c r="O16" s="70">
        <f>'FS-AD Daily '!R20</f>
        <v>74.91899999999896</v>
      </c>
      <c r="P16" s="70">
        <f>'FS-AD Daily '!Z20</f>
        <v>765</v>
      </c>
      <c r="Q16" s="70">
        <f>'FS-AD Daily '!V20</f>
        <v>277.79999999998836</v>
      </c>
      <c r="R16" s="70">
        <f>'FS-AD Daily '!W20</f>
        <v>184.29999999998836</v>
      </c>
      <c r="S16" s="70">
        <f t="shared" si="0"/>
        <v>302.90000000002328</v>
      </c>
      <c r="T16" s="70">
        <f>'FS-AD Daily '!AD20*3.516</f>
        <v>76378.067999999999</v>
      </c>
      <c r="U16" s="70">
        <f>('FS-AD Daily '!AF20)*1000</f>
        <v>34800.00000000291</v>
      </c>
      <c r="V16" s="70">
        <f>('FS-AD Daily '!AG20)*1000</f>
        <v>0</v>
      </c>
      <c r="W16" s="70">
        <f>'FS-AD Daily '!AH20*1000</f>
        <v>11299.999999999272</v>
      </c>
      <c r="X16" s="70">
        <f>('FS-AD Daily '!AK20)*1000</f>
        <v>29299.999999995634</v>
      </c>
      <c r="Y16" s="70">
        <v>98</v>
      </c>
      <c r="Z16" s="103">
        <v>126</v>
      </c>
    </row>
    <row r="17" spans="1:26" x14ac:dyDescent="0.25">
      <c r="A17" s="102" t="s">
        <v>80</v>
      </c>
      <c r="B17" s="68">
        <f t="shared" si="1"/>
        <v>16</v>
      </c>
      <c r="C17" s="69">
        <v>5</v>
      </c>
      <c r="D17" s="68">
        <v>2022</v>
      </c>
      <c r="E17" s="70">
        <f>'FS-AD Daily '!B21</f>
        <v>6667</v>
      </c>
      <c r="F17" s="70">
        <f>'FS-AD Daily '!C21</f>
        <v>3869</v>
      </c>
      <c r="G17" s="70">
        <f>'FS-AD Daily '!D21</f>
        <v>887</v>
      </c>
      <c r="H17" s="70">
        <f>'FS-AD Daily '!E21</f>
        <v>6266</v>
      </c>
      <c r="I17" s="70">
        <f>'FS-AD Daily '!F21</f>
        <v>5772</v>
      </c>
      <c r="J17" s="70">
        <f>'FS-AD Daily '!G21</f>
        <v>2819</v>
      </c>
      <c r="K17" s="70">
        <f>'FS-AD Daily '!H21</f>
        <v>9243</v>
      </c>
      <c r="L17" s="70">
        <f>'FS-AD Daily '!I21</f>
        <v>2596</v>
      </c>
      <c r="M17" s="70">
        <f>'FS-AD Daily '!J21</f>
        <v>6771</v>
      </c>
      <c r="N17" s="70">
        <f>'FS-AD Daily '!T21</f>
        <v>197.3289999999979</v>
      </c>
      <c r="O17" s="70">
        <f>'FS-AD Daily '!R21</f>
        <v>70.484999999999673</v>
      </c>
      <c r="P17" s="70">
        <f>'FS-AD Daily '!Z21</f>
        <v>744</v>
      </c>
      <c r="Q17" s="70">
        <f>'FS-AD Daily '!V21</f>
        <v>259.70000000001164</v>
      </c>
      <c r="R17" s="70">
        <f>'FS-AD Daily '!W21</f>
        <v>150.18000000002212</v>
      </c>
      <c r="S17" s="70">
        <f t="shared" si="0"/>
        <v>334.11999999996624</v>
      </c>
      <c r="T17" s="70">
        <f>'FS-AD Daily '!AD21*3.516</f>
        <v>81100.055999999997</v>
      </c>
      <c r="U17" s="70">
        <f>('FS-AD Daily '!AF21)*1000</f>
        <v>37000</v>
      </c>
      <c r="V17" s="70">
        <f>('FS-AD Daily '!AG21)*1000</f>
        <v>0</v>
      </c>
      <c r="W17" s="70">
        <f>'FS-AD Daily '!AH21*1000</f>
        <v>12700.000000000728</v>
      </c>
      <c r="X17" s="70">
        <f>('FS-AD Daily '!AK21)*1000</f>
        <v>29700.000000004366</v>
      </c>
      <c r="Y17" s="70">
        <v>97</v>
      </c>
      <c r="Z17" s="103">
        <v>118</v>
      </c>
    </row>
    <row r="18" spans="1:26" x14ac:dyDescent="0.25">
      <c r="A18" s="102" t="s">
        <v>80</v>
      </c>
      <c r="B18" s="68">
        <f t="shared" si="1"/>
        <v>17</v>
      </c>
      <c r="C18" s="69">
        <v>5</v>
      </c>
      <c r="D18" s="68">
        <v>2022</v>
      </c>
      <c r="E18" s="70">
        <f>'FS-AD Daily '!B22</f>
        <v>7478</v>
      </c>
      <c r="F18" s="70">
        <f>'FS-AD Daily '!C22</f>
        <v>4101</v>
      </c>
      <c r="G18" s="70">
        <f>'FS-AD Daily '!D22</f>
        <v>901</v>
      </c>
      <c r="H18" s="70">
        <f>'FS-AD Daily '!E22</f>
        <v>6347</v>
      </c>
      <c r="I18" s="70">
        <f>'FS-AD Daily '!F22</f>
        <v>5804</v>
      </c>
      <c r="J18" s="70">
        <f>'FS-AD Daily '!G22</f>
        <v>2732</v>
      </c>
      <c r="K18" s="70">
        <f>'FS-AD Daily '!H22</f>
        <v>9258</v>
      </c>
      <c r="L18" s="70">
        <f>'FS-AD Daily '!I22</f>
        <v>2496</v>
      </c>
      <c r="M18" s="70">
        <f>'FS-AD Daily '!J22</f>
        <v>7018</v>
      </c>
      <c r="N18" s="70">
        <f>'FS-AD Daily '!T22</f>
        <v>188.25600000000122</v>
      </c>
      <c r="O18" s="70">
        <f>'FS-AD Daily '!R22</f>
        <v>74.115000000001601</v>
      </c>
      <c r="P18" s="70">
        <f>'FS-AD Daily '!Z22</f>
        <v>817</v>
      </c>
      <c r="Q18" s="70">
        <f>'FS-AD Daily '!V22</f>
        <v>266.59999999997672</v>
      </c>
      <c r="R18" s="70">
        <f>'FS-AD Daily '!W22</f>
        <v>160.51999999998952</v>
      </c>
      <c r="S18" s="70">
        <f t="shared" si="0"/>
        <v>389.88000000003376</v>
      </c>
      <c r="T18" s="70">
        <f>'FS-AD Daily '!AD22*3.516</f>
        <v>85259.483999999997</v>
      </c>
      <c r="U18" s="70">
        <f>('FS-AD Daily '!AF22)*1000</f>
        <v>40800.00000000291</v>
      </c>
      <c r="V18" s="70">
        <f>('FS-AD Daily '!AG22)*1000</f>
        <v>0</v>
      </c>
      <c r="W18" s="70">
        <f>'FS-AD Daily '!AH22*1000</f>
        <v>12500</v>
      </c>
      <c r="X18" s="70">
        <f>('FS-AD Daily '!AK22)*1000</f>
        <v>30799.999999995634</v>
      </c>
      <c r="Y18" s="70">
        <v>107</v>
      </c>
      <c r="Z18" s="103">
        <v>127</v>
      </c>
    </row>
    <row r="19" spans="1:26" x14ac:dyDescent="0.25">
      <c r="A19" s="102" t="s">
        <v>80</v>
      </c>
      <c r="B19" s="68">
        <f t="shared" si="1"/>
        <v>18</v>
      </c>
      <c r="C19" s="69">
        <v>5</v>
      </c>
      <c r="D19" s="68">
        <v>2022</v>
      </c>
      <c r="E19" s="70">
        <f>'FS-AD Daily '!B23</f>
        <v>7274</v>
      </c>
      <c r="F19" s="70">
        <f>'FS-AD Daily '!C23</f>
        <v>4320</v>
      </c>
      <c r="G19" s="70">
        <f>'FS-AD Daily '!D23</f>
        <v>894</v>
      </c>
      <c r="H19" s="70">
        <f>'FS-AD Daily '!E23</f>
        <v>6392</v>
      </c>
      <c r="I19" s="70">
        <f>'FS-AD Daily '!F23</f>
        <v>5969</v>
      </c>
      <c r="J19" s="70">
        <f>'FS-AD Daily '!G23</f>
        <v>2892</v>
      </c>
      <c r="K19" s="70">
        <f>'FS-AD Daily '!H23</f>
        <v>9217</v>
      </c>
      <c r="L19" s="70">
        <f>'FS-AD Daily '!I23</f>
        <v>2530</v>
      </c>
      <c r="M19" s="70">
        <f>'FS-AD Daily '!J23</f>
        <v>7112</v>
      </c>
      <c r="N19" s="70">
        <f>'FS-AD Daily '!T23</f>
        <v>203.08399999999892</v>
      </c>
      <c r="O19" s="70">
        <f>'FS-AD Daily '!R23</f>
        <v>73.032999999999447</v>
      </c>
      <c r="P19" s="70">
        <f>'FS-AD Daily '!Z23</f>
        <v>810</v>
      </c>
      <c r="Q19" s="70">
        <f>'FS-AD Daily '!V23</f>
        <v>264</v>
      </c>
      <c r="R19" s="70">
        <f>'FS-AD Daily '!W23</f>
        <v>184</v>
      </c>
      <c r="S19" s="70">
        <f t="shared" si="0"/>
        <v>362</v>
      </c>
      <c r="T19" s="70">
        <f>'FS-AD Daily '!AD23*3.516</f>
        <v>86785.428</v>
      </c>
      <c r="U19" s="70">
        <f>('FS-AD Daily '!AF23)*1000</f>
        <v>41399.999999994179</v>
      </c>
      <c r="V19" s="70">
        <f>('FS-AD Daily '!AG23)*1000</f>
        <v>0</v>
      </c>
      <c r="W19" s="70">
        <f>'FS-AD Daily '!AH23*1000</f>
        <v>12000</v>
      </c>
      <c r="X19" s="70">
        <f>('FS-AD Daily '!AK23)*1000</f>
        <v>31000</v>
      </c>
      <c r="Y19" s="70">
        <v>122</v>
      </c>
      <c r="Z19" s="103">
        <v>141</v>
      </c>
    </row>
    <row r="20" spans="1:26" x14ac:dyDescent="0.25">
      <c r="A20" s="102" t="s">
        <v>80</v>
      </c>
      <c r="B20" s="68">
        <f t="shared" si="1"/>
        <v>19</v>
      </c>
      <c r="C20" s="69">
        <v>5</v>
      </c>
      <c r="D20" s="68">
        <v>2022</v>
      </c>
      <c r="E20" s="70">
        <f>'FS-AD Daily '!B24</f>
        <v>5949</v>
      </c>
      <c r="F20" s="70">
        <f>'FS-AD Daily '!C24</f>
        <v>4387</v>
      </c>
      <c r="G20" s="70">
        <f>'FS-AD Daily '!D24</f>
        <v>921</v>
      </c>
      <c r="H20" s="70">
        <f>'FS-AD Daily '!E24</f>
        <v>6608</v>
      </c>
      <c r="I20" s="70">
        <f>'FS-AD Daily '!F24</f>
        <v>5761</v>
      </c>
      <c r="J20" s="70">
        <f>'FS-AD Daily '!G24</f>
        <v>2893</v>
      </c>
      <c r="K20" s="70">
        <f>'FS-AD Daily '!H24</f>
        <v>8965</v>
      </c>
      <c r="L20" s="70">
        <f>'FS-AD Daily '!I24</f>
        <v>2510</v>
      </c>
      <c r="M20" s="70">
        <f>'FS-AD Daily '!J24</f>
        <v>7158</v>
      </c>
      <c r="N20" s="70">
        <f>'FS-AD Daily '!T24</f>
        <v>251.11200000000099</v>
      </c>
      <c r="O20" s="70">
        <f>'FS-AD Daily '!R24</f>
        <v>77.053000000000793</v>
      </c>
      <c r="P20" s="70">
        <f>'FS-AD Daily '!Z24</f>
        <v>840</v>
      </c>
      <c r="Q20" s="70">
        <f>'FS-AD Daily '!V24</f>
        <v>277</v>
      </c>
      <c r="R20" s="70">
        <f>'FS-AD Daily '!W24</f>
        <v>199</v>
      </c>
      <c r="S20" s="70">
        <f t="shared" si="0"/>
        <v>364</v>
      </c>
      <c r="T20" s="70">
        <f>'FS-AD Daily '!AD24*3.516</f>
        <v>86317.8</v>
      </c>
      <c r="U20" s="70">
        <f>('FS-AD Daily '!AF24)*1000</f>
        <v>41500</v>
      </c>
      <c r="V20" s="70">
        <f>('FS-AD Daily '!AG24)*1000</f>
        <v>0</v>
      </c>
      <c r="W20" s="70">
        <f>'FS-AD Daily '!AH24*1000</f>
        <v>13000</v>
      </c>
      <c r="X20" s="70">
        <f>('FS-AD Daily '!AK24)*1000</f>
        <v>35000</v>
      </c>
      <c r="Y20" s="70">
        <v>98</v>
      </c>
      <c r="Z20" s="103">
        <v>121</v>
      </c>
    </row>
    <row r="21" spans="1:26" x14ac:dyDescent="0.25">
      <c r="A21" s="102" t="s">
        <v>80</v>
      </c>
      <c r="B21" s="68">
        <f t="shared" si="1"/>
        <v>20</v>
      </c>
      <c r="C21" s="69">
        <v>5</v>
      </c>
      <c r="D21" s="68">
        <v>2022</v>
      </c>
      <c r="E21" s="70">
        <f>'FS-AD Daily '!B25</f>
        <v>6975</v>
      </c>
      <c r="F21" s="70">
        <f>'FS-AD Daily '!C25</f>
        <v>3763</v>
      </c>
      <c r="G21" s="70">
        <f>'FS-AD Daily '!D25</f>
        <v>891</v>
      </c>
      <c r="H21" s="70">
        <f>'FS-AD Daily '!E25</f>
        <v>6678</v>
      </c>
      <c r="I21" s="70">
        <f>'FS-AD Daily '!F25</f>
        <v>5849</v>
      </c>
      <c r="J21" s="70">
        <f>'FS-AD Daily '!G25</f>
        <v>2691</v>
      </c>
      <c r="K21" s="70">
        <f>'FS-AD Daily '!H25</f>
        <v>8959</v>
      </c>
      <c r="L21" s="70">
        <f>'FS-AD Daily '!I25</f>
        <v>2439</v>
      </c>
      <c r="M21" s="70">
        <f>'FS-AD Daily '!J25</f>
        <v>7192</v>
      </c>
      <c r="N21" s="70">
        <f>'FS-AD Daily '!T25</f>
        <v>189.5669999999991</v>
      </c>
      <c r="O21" s="70">
        <f>'FS-AD Daily '!R25</f>
        <v>85.45299999999861</v>
      </c>
      <c r="P21" s="70">
        <f>'FS-AD Daily '!Z25</f>
        <v>780</v>
      </c>
      <c r="Q21" s="70">
        <f>'FS-AD Daily '!V25</f>
        <v>239</v>
      </c>
      <c r="R21" s="70">
        <f>'FS-AD Daily '!W25</f>
        <v>198</v>
      </c>
      <c r="S21" s="70">
        <f t="shared" si="0"/>
        <v>343</v>
      </c>
      <c r="T21" s="70">
        <f>'FS-AD Daily '!AD25*3.516</f>
        <v>86985.84</v>
      </c>
      <c r="U21" s="70">
        <f>('FS-AD Daily '!AF25)*1000</f>
        <v>42300.00000000291</v>
      </c>
      <c r="V21" s="70">
        <f>('FS-AD Daily '!AG25)*1000</f>
        <v>0</v>
      </c>
      <c r="W21" s="70">
        <f>'FS-AD Daily '!AH25*1000</f>
        <v>13700.000000000728</v>
      </c>
      <c r="X21" s="70">
        <f>('FS-AD Daily '!AK25)*1000</f>
        <v>34800.00000000291</v>
      </c>
      <c r="Y21" s="70">
        <v>69</v>
      </c>
      <c r="Z21" s="103">
        <v>105</v>
      </c>
    </row>
    <row r="22" spans="1:26" x14ac:dyDescent="0.25">
      <c r="A22" s="102" t="s">
        <v>80</v>
      </c>
      <c r="B22" s="68">
        <f t="shared" si="1"/>
        <v>21</v>
      </c>
      <c r="C22" s="69">
        <v>5</v>
      </c>
      <c r="D22" s="68">
        <v>2022</v>
      </c>
      <c r="E22" s="70">
        <f>'FS-AD Daily '!B26</f>
        <v>6538</v>
      </c>
      <c r="F22" s="70">
        <f>'FS-AD Daily '!C26</f>
        <v>3691</v>
      </c>
      <c r="G22" s="70">
        <f>'FS-AD Daily '!D26</f>
        <v>939</v>
      </c>
      <c r="H22" s="70">
        <f>'FS-AD Daily '!E26</f>
        <v>6792</v>
      </c>
      <c r="I22" s="70">
        <f>'FS-AD Daily '!F26</f>
        <v>6213</v>
      </c>
      <c r="J22" s="70">
        <f>'FS-AD Daily '!G26</f>
        <v>2821</v>
      </c>
      <c r="K22" s="70">
        <f>'FS-AD Daily '!H26</f>
        <v>9123</v>
      </c>
      <c r="L22" s="70">
        <f>'FS-AD Daily '!I26</f>
        <v>2435</v>
      </c>
      <c r="M22" s="70">
        <f>'FS-AD Daily '!J26</f>
        <v>7443</v>
      </c>
      <c r="N22" s="70">
        <f>'FS-AD Daily '!T26</f>
        <v>207.21900000000096</v>
      </c>
      <c r="O22" s="70">
        <f>'FS-AD Daily '!R26</f>
        <v>85.333000000001448</v>
      </c>
      <c r="P22" s="70">
        <f>'FS-AD Daily '!Z26</f>
        <v>804</v>
      </c>
      <c r="Q22" s="70">
        <f>'FS-AD Daily '!V26</f>
        <v>251.70000000001164</v>
      </c>
      <c r="R22" s="70">
        <f>'FS-AD Daily '!W26</f>
        <v>194.26000000000931</v>
      </c>
      <c r="S22" s="70">
        <f t="shared" si="0"/>
        <v>358.03999999997905</v>
      </c>
      <c r="T22" s="70">
        <f>'FS-AD Daily '!AD26*3.516</f>
        <v>91380.84</v>
      </c>
      <c r="U22" s="70">
        <f>('FS-AD Daily '!AF26)*1000</f>
        <v>44399.999999994179</v>
      </c>
      <c r="V22" s="70">
        <f>('FS-AD Daily '!AG26)*1000</f>
        <v>0</v>
      </c>
      <c r="W22" s="70">
        <f>'FS-AD Daily '!AH26*1000</f>
        <v>13599.999999998545</v>
      </c>
      <c r="X22" s="70">
        <f>('FS-AD Daily '!AK26)*1000</f>
        <v>36099.999999998545</v>
      </c>
      <c r="Y22" s="70">
        <v>85</v>
      </c>
      <c r="Z22" s="103">
        <v>128</v>
      </c>
    </row>
    <row r="23" spans="1:26" x14ac:dyDescent="0.25">
      <c r="A23" s="102" t="s">
        <v>80</v>
      </c>
      <c r="B23" s="68">
        <f t="shared" si="1"/>
        <v>22</v>
      </c>
      <c r="C23" s="69">
        <v>5</v>
      </c>
      <c r="D23" s="68">
        <v>2022</v>
      </c>
      <c r="E23" s="70">
        <f>'FS-AD Daily '!B27</f>
        <v>7077</v>
      </c>
      <c r="F23" s="70">
        <f>'FS-AD Daily '!C27</f>
        <v>3672</v>
      </c>
      <c r="G23" s="70">
        <f>'FS-AD Daily '!D27</f>
        <v>855</v>
      </c>
      <c r="H23" s="70">
        <f>'FS-AD Daily '!E27</f>
        <v>6830</v>
      </c>
      <c r="I23" s="70">
        <f>'FS-AD Daily '!F27</f>
        <v>5696</v>
      </c>
      <c r="J23" s="70">
        <f>'FS-AD Daily '!G27</f>
        <v>2646</v>
      </c>
      <c r="K23" s="70">
        <f>'FS-AD Daily '!H27</f>
        <v>8635</v>
      </c>
      <c r="L23" s="70">
        <f>'FS-AD Daily '!I27</f>
        <v>2351</v>
      </c>
      <c r="M23" s="70">
        <f>'FS-AD Daily '!J27</f>
        <v>6888</v>
      </c>
      <c r="N23" s="70">
        <f>'FS-AD Daily '!T27</f>
        <v>191.61199999999735</v>
      </c>
      <c r="O23" s="70">
        <f>'FS-AD Daily '!R27</f>
        <v>79.92699999999968</v>
      </c>
      <c r="P23" s="70">
        <f>'FS-AD Daily '!Z27</f>
        <v>725</v>
      </c>
      <c r="Q23" s="70">
        <f>'FS-AD Daily '!V27</f>
        <v>202.29999999998836</v>
      </c>
      <c r="R23" s="70">
        <f>'FS-AD Daily '!W27</f>
        <v>173.13999999998487</v>
      </c>
      <c r="S23" s="70">
        <f t="shared" si="0"/>
        <v>349.56000000002678</v>
      </c>
      <c r="T23" s="70">
        <f>'FS-AD Daily '!AD27*3.516</f>
        <v>89749.415999999997</v>
      </c>
      <c r="U23" s="70">
        <f>('FS-AD Daily '!AF27)*1000</f>
        <v>43199.99999999709</v>
      </c>
      <c r="V23" s="70">
        <f>('FS-AD Daily '!AG27)*1000</f>
        <v>0</v>
      </c>
      <c r="W23" s="70">
        <f>'FS-AD Daily '!AH27*1000</f>
        <v>13600.000000002183</v>
      </c>
      <c r="X23" s="70">
        <f>('FS-AD Daily '!AK27)*1000</f>
        <v>36599.999999998545</v>
      </c>
      <c r="Y23" s="70">
        <v>104</v>
      </c>
      <c r="Z23" s="103">
        <v>144</v>
      </c>
    </row>
    <row r="24" spans="1:26" x14ac:dyDescent="0.25">
      <c r="A24" s="102" t="s">
        <v>80</v>
      </c>
      <c r="B24" s="68">
        <f t="shared" si="1"/>
        <v>23</v>
      </c>
      <c r="C24" s="69">
        <v>5</v>
      </c>
      <c r="D24" s="68">
        <v>2022</v>
      </c>
      <c r="E24" s="70">
        <f>'FS-AD Daily '!B28</f>
        <v>6714</v>
      </c>
      <c r="F24" s="70">
        <f>'FS-AD Daily '!C28</f>
        <v>4419</v>
      </c>
      <c r="G24" s="70">
        <f>'FS-AD Daily '!D28</f>
        <v>912</v>
      </c>
      <c r="H24" s="70">
        <f>'FS-AD Daily '!E28</f>
        <v>7833</v>
      </c>
      <c r="I24" s="70">
        <f>'FS-AD Daily '!F28</f>
        <v>6087</v>
      </c>
      <c r="J24" s="70">
        <f>'FS-AD Daily '!G28</f>
        <v>2902</v>
      </c>
      <c r="K24" s="70">
        <f>'FS-AD Daily '!H28</f>
        <v>8974</v>
      </c>
      <c r="L24" s="70">
        <f>'FS-AD Daily '!I28</f>
        <v>2523</v>
      </c>
      <c r="M24" s="70">
        <f>'FS-AD Daily '!J28</f>
        <v>7117</v>
      </c>
      <c r="N24" s="70">
        <f>'FS-AD Daily '!T28</f>
        <v>213.0580000000009</v>
      </c>
      <c r="O24" s="70">
        <f>'FS-AD Daily '!R28</f>
        <v>69.917000000001281</v>
      </c>
      <c r="P24" s="70">
        <f>'FS-AD Daily '!Z28</f>
        <v>630</v>
      </c>
      <c r="Q24" s="70">
        <f>'FS-AD Daily '!V28</f>
        <v>138</v>
      </c>
      <c r="R24" s="70">
        <f>'FS-AD Daily '!W28</f>
        <v>165.86999999999534</v>
      </c>
      <c r="S24" s="70">
        <f t="shared" si="0"/>
        <v>326.13000000000466</v>
      </c>
      <c r="T24" s="70">
        <f>'FS-AD Daily '!AD28*3.516</f>
        <v>91461.707999999999</v>
      </c>
      <c r="U24" s="70">
        <f>('FS-AD Daily '!AF28)*1000</f>
        <v>43400.000000008731</v>
      </c>
      <c r="V24" s="70">
        <f>('FS-AD Daily '!AG28)*1000</f>
        <v>0</v>
      </c>
      <c r="W24" s="70">
        <f>'FS-AD Daily '!AH28*1000</f>
        <v>13700.000000000728</v>
      </c>
      <c r="X24" s="70">
        <f>('FS-AD Daily '!AK28)*1000</f>
        <v>35900.000000001455</v>
      </c>
      <c r="Y24" s="70">
        <v>125</v>
      </c>
      <c r="Z24" s="103">
        <v>160</v>
      </c>
    </row>
    <row r="25" spans="1:26" x14ac:dyDescent="0.25">
      <c r="A25" s="102" t="s">
        <v>80</v>
      </c>
      <c r="B25" s="68">
        <f t="shared" si="1"/>
        <v>24</v>
      </c>
      <c r="C25" s="69">
        <v>5</v>
      </c>
      <c r="D25" s="68">
        <v>2022</v>
      </c>
      <c r="E25" s="70">
        <f>'FS-AD Daily '!B29</f>
        <v>5823</v>
      </c>
      <c r="F25" s="70">
        <f>'FS-AD Daily '!C29</f>
        <v>4452</v>
      </c>
      <c r="G25" s="70">
        <f>'FS-AD Daily '!D29</f>
        <v>922</v>
      </c>
      <c r="H25" s="70">
        <f>'FS-AD Daily '!E29</f>
        <v>7874</v>
      </c>
      <c r="I25" s="70">
        <f>'FS-AD Daily '!F29</f>
        <v>6048</v>
      </c>
      <c r="J25" s="70">
        <f>'FS-AD Daily '!G29</f>
        <v>2908</v>
      </c>
      <c r="K25" s="70">
        <f>'FS-AD Daily '!H29</f>
        <v>8846</v>
      </c>
      <c r="L25" s="70">
        <f>'FS-AD Daily '!I29</f>
        <v>2510</v>
      </c>
      <c r="M25" s="70">
        <f>'FS-AD Daily '!J29</f>
        <v>7137</v>
      </c>
      <c r="N25" s="70">
        <f>'FS-AD Daily '!T29</f>
        <v>210.64500000000044</v>
      </c>
      <c r="O25" s="70">
        <f>'FS-AD Daily '!R29</f>
        <v>71.346999999998843</v>
      </c>
      <c r="P25" s="70">
        <f>'FS-AD Daily '!Z29</f>
        <v>673</v>
      </c>
      <c r="Q25" s="70">
        <f>'FS-AD Daily '!V29</f>
        <v>149.29999999998836</v>
      </c>
      <c r="R25" s="70">
        <f>'FS-AD Daily '!W29</f>
        <v>166.19000000000233</v>
      </c>
      <c r="S25" s="70">
        <f t="shared" si="0"/>
        <v>357.51000000000931</v>
      </c>
      <c r="T25" s="70">
        <f>'FS-AD Daily '!AD29*3.516</f>
        <v>93434.183999999994</v>
      </c>
      <c r="U25" s="70">
        <f>('FS-AD Daily '!AF29)*1000</f>
        <v>45500</v>
      </c>
      <c r="V25" s="70">
        <f>('FS-AD Daily '!AG29)*1000</f>
        <v>0</v>
      </c>
      <c r="W25" s="70">
        <f>'FS-AD Daily '!AH29*1000</f>
        <v>13899.999999997817</v>
      </c>
      <c r="X25" s="70">
        <f>('FS-AD Daily '!AK29)*1000</f>
        <v>36400.000000001455</v>
      </c>
      <c r="Y25" s="70">
        <v>163</v>
      </c>
      <c r="Z25" s="103">
        <v>200</v>
      </c>
    </row>
    <row r="26" spans="1:26" x14ac:dyDescent="0.25">
      <c r="A26" s="102" t="s">
        <v>80</v>
      </c>
      <c r="B26" s="68">
        <f>B25+1</f>
        <v>25</v>
      </c>
      <c r="C26" s="69">
        <v>5</v>
      </c>
      <c r="D26" s="68">
        <v>2022</v>
      </c>
      <c r="E26" s="70">
        <f>'FS-AD Daily '!B30</f>
        <v>5796</v>
      </c>
      <c r="F26" s="70">
        <f>'FS-AD Daily '!C30</f>
        <v>4684</v>
      </c>
      <c r="G26" s="70">
        <f>'FS-AD Daily '!D30</f>
        <v>960</v>
      </c>
      <c r="H26" s="70">
        <f>'FS-AD Daily '!E30</f>
        <v>7968</v>
      </c>
      <c r="I26" s="70">
        <f>'FS-AD Daily '!F30</f>
        <v>6108</v>
      </c>
      <c r="J26" s="70">
        <f>'FS-AD Daily '!G30</f>
        <v>2973</v>
      </c>
      <c r="K26" s="70">
        <f>'FS-AD Daily '!H30</f>
        <v>8470</v>
      </c>
      <c r="L26" s="70">
        <f>'FS-AD Daily '!I30</f>
        <v>2468</v>
      </c>
      <c r="M26" s="70">
        <f>'FS-AD Daily '!J30</f>
        <v>7453</v>
      </c>
      <c r="N26" s="70">
        <f>'FS-AD Daily '!T30</f>
        <v>229.85100000000239</v>
      </c>
      <c r="O26" s="70">
        <f>'FS-AD Daily '!R30</f>
        <v>82.21599999999944</v>
      </c>
      <c r="P26" s="70">
        <f>'FS-AD Daily '!Z30</f>
        <v>687</v>
      </c>
      <c r="Q26" s="70">
        <f>'FS-AD Daily '!V30</f>
        <v>144.20000000001164</v>
      </c>
      <c r="R26" s="70">
        <f>'FS-AD Daily '!W30</f>
        <v>167.39999999999418</v>
      </c>
      <c r="S26" s="70">
        <f t="shared" si="0"/>
        <v>375.39999999999418</v>
      </c>
      <c r="T26" s="70">
        <f>'FS-AD Daily '!AD30*3.516</f>
        <v>89091.923999999999</v>
      </c>
      <c r="U26" s="70">
        <f>('FS-AD Daily '!AF30)*1000</f>
        <v>43800.00000000291</v>
      </c>
      <c r="V26" s="70">
        <f>('FS-AD Daily '!AG30)*1000</f>
        <v>0</v>
      </c>
      <c r="W26" s="70">
        <f>'FS-AD Daily '!AH30*1000</f>
        <v>13799.999999999272</v>
      </c>
      <c r="X26" s="70">
        <f>('FS-AD Daily '!AK30)*1000</f>
        <v>35699.99999999709</v>
      </c>
      <c r="Y26" s="70">
        <v>166</v>
      </c>
      <c r="Z26" s="103">
        <v>212</v>
      </c>
    </row>
    <row r="27" spans="1:26" x14ac:dyDescent="0.25">
      <c r="A27" s="102" t="s">
        <v>80</v>
      </c>
      <c r="B27" s="68">
        <f t="shared" si="1"/>
        <v>26</v>
      </c>
      <c r="C27" s="69">
        <v>5</v>
      </c>
      <c r="D27" s="68">
        <v>2022</v>
      </c>
      <c r="E27" s="70">
        <f>'FS-AD Daily '!B31</f>
        <v>6412</v>
      </c>
      <c r="F27" s="70">
        <f>'FS-AD Daily '!C31</f>
        <v>4612</v>
      </c>
      <c r="G27" s="70">
        <f>'FS-AD Daily '!D31</f>
        <v>960</v>
      </c>
      <c r="H27" s="70">
        <f>'FS-AD Daily '!E31</f>
        <v>8205</v>
      </c>
      <c r="I27" s="70">
        <f>'FS-AD Daily '!F31</f>
        <v>6168</v>
      </c>
      <c r="J27" s="70">
        <f>'FS-AD Daily '!G31</f>
        <v>3169</v>
      </c>
      <c r="K27" s="70">
        <f>'FS-AD Daily '!H31</f>
        <v>8531</v>
      </c>
      <c r="L27" s="70">
        <f>'FS-AD Daily '!I31</f>
        <v>2514</v>
      </c>
      <c r="M27" s="70">
        <f>'FS-AD Daily '!J31</f>
        <v>7524</v>
      </c>
      <c r="N27" s="70">
        <f>'FS-AD Daily '!T31</f>
        <v>223.17499999999927</v>
      </c>
      <c r="O27" s="70">
        <f>'FS-AD Daily '!R31</f>
        <v>85.926000000000386</v>
      </c>
      <c r="P27" s="70">
        <f>'FS-AD Daily '!Z31</f>
        <v>704</v>
      </c>
      <c r="Q27" s="70">
        <f>'FS-AD Daily '!V31</f>
        <v>138.20000000001164</v>
      </c>
      <c r="R27" s="70">
        <f>'FS-AD Daily '!W31</f>
        <v>174.42000000001281</v>
      </c>
      <c r="S27" s="70">
        <f t="shared" si="0"/>
        <v>391.37999999997555</v>
      </c>
      <c r="T27" s="70">
        <f>'FS-AD Daily '!AD31*3.516</f>
        <v>92069.975999999995</v>
      </c>
      <c r="U27" s="70">
        <f>('FS-AD Daily '!AF31)*1000</f>
        <v>46099.999999991269</v>
      </c>
      <c r="V27" s="70">
        <f>('FS-AD Daily '!AG31)*1000</f>
        <v>0</v>
      </c>
      <c r="W27" s="70">
        <f>'FS-AD Daily '!AH31*1000</f>
        <v>13500</v>
      </c>
      <c r="X27" s="70">
        <f>('FS-AD Daily '!AK31)*1000</f>
        <v>36099.999999998545</v>
      </c>
      <c r="Y27" s="70">
        <v>179</v>
      </c>
      <c r="Z27" s="103">
        <v>240</v>
      </c>
    </row>
    <row r="28" spans="1:26" x14ac:dyDescent="0.25">
      <c r="A28" s="102" t="s">
        <v>80</v>
      </c>
      <c r="B28" s="68">
        <f t="shared" si="1"/>
        <v>27</v>
      </c>
      <c r="C28" s="69">
        <v>5</v>
      </c>
      <c r="D28" s="68">
        <v>2022</v>
      </c>
      <c r="E28" s="70">
        <f>'FS-AD Daily '!B32</f>
        <v>7149</v>
      </c>
      <c r="F28" s="70">
        <f>'FS-AD Daily '!C32</f>
        <v>4601</v>
      </c>
      <c r="G28" s="70">
        <f>'FS-AD Daily '!D32</f>
        <v>912</v>
      </c>
      <c r="H28" s="70">
        <f>'FS-AD Daily '!E32</f>
        <v>8022</v>
      </c>
      <c r="I28" s="70">
        <f>'FS-AD Daily '!F32</f>
        <v>6166</v>
      </c>
      <c r="J28" s="70">
        <f>'FS-AD Daily '!G32</f>
        <v>3087</v>
      </c>
      <c r="K28" s="70">
        <f>'FS-AD Daily '!H32</f>
        <v>8915</v>
      </c>
      <c r="L28" s="70">
        <f>'FS-AD Daily '!I32</f>
        <v>2405</v>
      </c>
      <c r="M28" s="70">
        <f>'FS-AD Daily '!J32</f>
        <v>7574</v>
      </c>
      <c r="N28" s="70">
        <f>'FS-AD Daily '!T32</f>
        <v>237.479000000003</v>
      </c>
      <c r="O28" s="70">
        <f>'FS-AD Daily '!R32</f>
        <v>89.885999999998603</v>
      </c>
      <c r="P28" s="70">
        <f>'FS-AD Daily '!Z32</f>
        <v>781</v>
      </c>
      <c r="Q28" s="70">
        <f>'FS-AD Daily '!V32</f>
        <v>179.20000000001164</v>
      </c>
      <c r="R28" s="70">
        <f>'FS-AD Daily '!W32</f>
        <v>178.92999999999302</v>
      </c>
      <c r="S28" s="70">
        <f t="shared" si="0"/>
        <v>422.86999999999534</v>
      </c>
      <c r="T28" s="70">
        <f>'FS-AD Daily '!AD32*3.516</f>
        <v>95505.108000000007</v>
      </c>
      <c r="U28" s="70">
        <f>('FS-AD Daily '!AF32)*1000</f>
        <v>46199.99999999709</v>
      </c>
      <c r="V28" s="70">
        <f>('FS-AD Daily '!AG32)*1000</f>
        <v>0</v>
      </c>
      <c r="W28" s="70">
        <f>'FS-AD Daily '!AH32*1000</f>
        <v>14200.000000000728</v>
      </c>
      <c r="X28" s="70">
        <f>('FS-AD Daily '!AK32)*1000</f>
        <v>37000</v>
      </c>
      <c r="Y28" s="70">
        <v>145</v>
      </c>
      <c r="Z28" s="103">
        <v>211</v>
      </c>
    </row>
    <row r="29" spans="1:26" x14ac:dyDescent="0.25">
      <c r="A29" s="102" t="s">
        <v>80</v>
      </c>
      <c r="B29" s="68">
        <f t="shared" si="1"/>
        <v>28</v>
      </c>
      <c r="C29" s="69">
        <v>5</v>
      </c>
      <c r="D29" s="68">
        <v>2022</v>
      </c>
      <c r="E29" s="70">
        <f>'FS-AD Daily '!B33</f>
        <v>7459</v>
      </c>
      <c r="F29" s="70">
        <f>'FS-AD Daily '!C33</f>
        <v>4858</v>
      </c>
      <c r="G29" s="70">
        <f>'FS-AD Daily '!D33</f>
        <v>937</v>
      </c>
      <c r="H29" s="70">
        <f>'FS-AD Daily '!E33</f>
        <v>7825</v>
      </c>
      <c r="I29" s="70">
        <f>'FS-AD Daily '!F33</f>
        <v>6227</v>
      </c>
      <c r="J29" s="70">
        <f>'FS-AD Daily '!G33</f>
        <v>3065</v>
      </c>
      <c r="K29" s="70">
        <f>'FS-AD Daily '!H33</f>
        <v>9260</v>
      </c>
      <c r="L29" s="70">
        <f>'FS-AD Daily '!I33</f>
        <v>2417</v>
      </c>
      <c r="M29" s="70">
        <f>'FS-AD Daily '!J33</f>
        <v>7582</v>
      </c>
      <c r="N29" s="70">
        <f>'FS-AD Daily '!T33</f>
        <v>206.65299999999479</v>
      </c>
      <c r="O29" s="70">
        <f>'FS-AD Daily '!R33</f>
        <v>83.304000000000997</v>
      </c>
      <c r="P29" s="70">
        <f>'FS-AD Daily '!Z33</f>
        <v>756</v>
      </c>
      <c r="Q29" s="70">
        <f>'FS-AD Daily '!V33</f>
        <v>173.19999999995343</v>
      </c>
      <c r="R29" s="70">
        <f>'FS-AD Daily '!W33</f>
        <v>170.29000000000815</v>
      </c>
      <c r="S29" s="70">
        <f t="shared" si="0"/>
        <v>412.51000000003842</v>
      </c>
      <c r="T29" s="70">
        <f>'FS-AD Daily '!AD33*3.516</f>
        <v>92600.892000000007</v>
      </c>
      <c r="U29" s="70">
        <f>('FS-AD Daily '!AF33)*1000</f>
        <v>44800.00000000291</v>
      </c>
      <c r="V29" s="70">
        <f>('FS-AD Daily '!AG33)*1000</f>
        <v>0</v>
      </c>
      <c r="W29" s="70">
        <f>'FS-AD Daily '!AH33*1000</f>
        <v>13700.000000000728</v>
      </c>
      <c r="X29" s="70">
        <f>('FS-AD Daily '!AK33)*1000</f>
        <v>34500</v>
      </c>
      <c r="Y29" s="70">
        <v>133</v>
      </c>
      <c r="Z29" s="103">
        <v>199</v>
      </c>
    </row>
    <row r="30" spans="1:26" x14ac:dyDescent="0.25">
      <c r="A30" s="102" t="s">
        <v>80</v>
      </c>
      <c r="B30" s="68">
        <f t="shared" si="1"/>
        <v>29</v>
      </c>
      <c r="C30" s="69">
        <v>5</v>
      </c>
      <c r="D30" s="68">
        <v>2022</v>
      </c>
      <c r="E30" s="70">
        <f>'FS-AD Daily '!B34</f>
        <v>7156</v>
      </c>
      <c r="F30" s="70">
        <f>'FS-AD Daily '!C34</f>
        <v>4634</v>
      </c>
      <c r="G30" s="70">
        <f>'FS-AD Daily '!D34</f>
        <v>937</v>
      </c>
      <c r="H30" s="70">
        <f>'FS-AD Daily '!E34</f>
        <v>7793</v>
      </c>
      <c r="I30" s="70">
        <f>'FS-AD Daily '!F34</f>
        <v>5931</v>
      </c>
      <c r="J30" s="70">
        <f>'FS-AD Daily '!G34</f>
        <v>3053</v>
      </c>
      <c r="K30" s="70">
        <f>'FS-AD Daily '!H34</f>
        <v>9277</v>
      </c>
      <c r="L30" s="70">
        <f>'FS-AD Daily '!I34</f>
        <v>2503</v>
      </c>
      <c r="M30" s="70">
        <f>'FS-AD Daily '!J34</f>
        <v>7530</v>
      </c>
      <c r="N30" s="70">
        <f>'FS-AD Daily '!T34</f>
        <v>226.84299999999712</v>
      </c>
      <c r="O30" s="70">
        <f>'FS-AD Daily '!R34</f>
        <v>82.296999999998661</v>
      </c>
      <c r="P30" s="70">
        <f>'FS-AD Daily '!Z34</f>
        <v>660</v>
      </c>
      <c r="Q30" s="70">
        <f>'FS-AD Daily '!V34</f>
        <v>157</v>
      </c>
      <c r="R30" s="70">
        <f>'FS-AD Daily '!W34</f>
        <v>167</v>
      </c>
      <c r="S30" s="70">
        <f t="shared" si="0"/>
        <v>336</v>
      </c>
      <c r="T30" s="70">
        <f>'FS-AD Daily '!AD34*3.516</f>
        <v>93982.680000000008</v>
      </c>
      <c r="U30" s="70">
        <f>('FS-AD Daily '!AF34)*1000</f>
        <v>43500</v>
      </c>
      <c r="V30" s="70">
        <f>('FS-AD Daily '!AG34)*1000</f>
        <v>0</v>
      </c>
      <c r="W30" s="70">
        <f>'FS-AD Daily '!AH34*1000</f>
        <v>14099.999999998545</v>
      </c>
      <c r="X30" s="70">
        <f>('FS-AD Daily '!AK34)*1000</f>
        <v>35800.00000000291</v>
      </c>
      <c r="Y30" s="70">
        <v>105</v>
      </c>
      <c r="Z30" s="103">
        <v>146</v>
      </c>
    </row>
    <row r="31" spans="1:26" x14ac:dyDescent="0.25">
      <c r="A31" s="102" t="s">
        <v>80</v>
      </c>
      <c r="B31" s="68">
        <f t="shared" si="1"/>
        <v>30</v>
      </c>
      <c r="C31" s="69">
        <v>5</v>
      </c>
      <c r="D31" s="68">
        <v>2022</v>
      </c>
      <c r="E31" s="70">
        <f>'FS-AD Daily '!B35</f>
        <v>7397</v>
      </c>
      <c r="F31" s="70">
        <f>'FS-AD Daily '!C35</f>
        <v>5239</v>
      </c>
      <c r="G31" s="70">
        <f>'FS-AD Daily '!D35</f>
        <v>920</v>
      </c>
      <c r="H31" s="70">
        <f>'FS-AD Daily '!E35</f>
        <v>7971</v>
      </c>
      <c r="I31" s="70">
        <f>'FS-AD Daily '!F35</f>
        <v>6041</v>
      </c>
      <c r="J31" s="70">
        <f>'FS-AD Daily '!G35</f>
        <v>3076</v>
      </c>
      <c r="K31" s="70">
        <f>'FS-AD Daily '!H35</f>
        <v>9477</v>
      </c>
      <c r="L31" s="70">
        <f>'FS-AD Daily '!I35</f>
        <v>2567</v>
      </c>
      <c r="M31" s="70">
        <f>'FS-AD Daily '!J35</f>
        <v>7480</v>
      </c>
      <c r="N31" s="70">
        <f>'FS-AD Daily '!T35</f>
        <v>194.88600000000588</v>
      </c>
      <c r="O31" s="70">
        <f>'FS-AD Daily '!R35</f>
        <v>80.5</v>
      </c>
      <c r="P31" s="70">
        <f>'FS-AD Daily '!Z35</f>
        <v>696</v>
      </c>
      <c r="Q31" s="70">
        <f>'FS-AD Daily '!V35</f>
        <v>153</v>
      </c>
      <c r="R31" s="70">
        <f>'FS-AD Daily '!W35</f>
        <v>172</v>
      </c>
      <c r="S31" s="70">
        <f t="shared" ref="S31:S32" si="2">P31-Q31-R31</f>
        <v>371</v>
      </c>
      <c r="T31" s="70">
        <f>'FS-AD Daily '!AD35*3.516</f>
        <v>91416</v>
      </c>
      <c r="U31" s="70">
        <f>('FS-AD Daily '!AF35)*1000</f>
        <v>43000</v>
      </c>
      <c r="V31" s="70">
        <f>('FS-AD Daily '!AG35)*1000</f>
        <v>0</v>
      </c>
      <c r="W31" s="70">
        <f>'FS-AD Daily '!AH35*1000</f>
        <v>13600.000000002183</v>
      </c>
      <c r="X31" s="70">
        <f>('FS-AD Daily '!AK35)*1000</f>
        <v>35500</v>
      </c>
      <c r="Y31" s="70">
        <v>103</v>
      </c>
      <c r="Z31" s="120">
        <v>129</v>
      </c>
    </row>
    <row r="32" spans="1:26" ht="15.75" thickBot="1" x14ac:dyDescent="0.3">
      <c r="A32" s="102" t="s">
        <v>80</v>
      </c>
      <c r="B32" s="68">
        <f t="shared" si="1"/>
        <v>31</v>
      </c>
      <c r="C32" s="69">
        <v>5</v>
      </c>
      <c r="D32" s="68">
        <v>2022</v>
      </c>
      <c r="E32" s="70">
        <f>'FS-AD Daily '!B36</f>
        <v>6943</v>
      </c>
      <c r="F32" s="70">
        <f>'FS-AD Daily '!C36</f>
        <v>4693</v>
      </c>
      <c r="G32" s="70">
        <f>'FS-AD Daily '!D36</f>
        <v>825</v>
      </c>
      <c r="H32" s="70">
        <f>'FS-AD Daily '!E36</f>
        <v>7576</v>
      </c>
      <c r="I32" s="70">
        <f>'FS-AD Daily '!F36</f>
        <v>5721</v>
      </c>
      <c r="J32" s="70">
        <f>'FS-AD Daily '!G36</f>
        <v>2918</v>
      </c>
      <c r="K32" s="70">
        <f>'FS-AD Daily '!H36</f>
        <v>8982</v>
      </c>
      <c r="L32" s="70">
        <f>'FS-AD Daily '!I36</f>
        <v>2437</v>
      </c>
      <c r="M32" s="70">
        <f>'FS-AD Daily '!J36</f>
        <v>7256</v>
      </c>
      <c r="N32" s="70">
        <f>'FS-AD Daily '!T36</f>
        <v>225.26199999999517</v>
      </c>
      <c r="O32" s="70">
        <f>'FS-AD Daily '!R36</f>
        <v>72.83600000000024</v>
      </c>
      <c r="P32" s="70">
        <f>'FS-AD Daily '!Z36</f>
        <v>693</v>
      </c>
      <c r="Q32" s="70">
        <f>'FS-AD Daily '!V36</f>
        <v>165.10000000003492</v>
      </c>
      <c r="R32" s="70">
        <f>'FS-AD Daily '!W36</f>
        <v>174.23000000001048</v>
      </c>
      <c r="S32" s="70">
        <f t="shared" si="2"/>
        <v>353.6699999999546</v>
      </c>
      <c r="T32" s="70">
        <f>'FS-AD Daily '!AD36*3.516</f>
        <v>89879.508000000002</v>
      </c>
      <c r="U32" s="70">
        <f>('FS-AD Daily '!AF36)*1000</f>
        <v>42300.00000000291</v>
      </c>
      <c r="V32" s="70">
        <f>('FS-AD Daily '!AG36)*1000</f>
        <v>0</v>
      </c>
      <c r="W32" s="70">
        <f>'FS-AD Daily '!AH36*1000</f>
        <v>13299.999999999272</v>
      </c>
      <c r="X32" s="70">
        <f>('FS-AD Daily '!AK36)*1000</f>
        <v>34699.99999999709</v>
      </c>
      <c r="Y32" s="70">
        <v>141</v>
      </c>
      <c r="Z32" s="104">
        <v>174</v>
      </c>
    </row>
    <row r="33" spans="9:26" x14ac:dyDescent="0.25">
      <c r="I33" s="4">
        <f t="shared" ref="I33:W33" si="3">SUM(I2:I32)</f>
        <v>184686</v>
      </c>
      <c r="J33" s="4">
        <f t="shared" si="3"/>
        <v>88888</v>
      </c>
      <c r="K33" s="4">
        <f t="shared" si="3"/>
        <v>281828</v>
      </c>
      <c r="L33" s="4">
        <f t="shared" si="3"/>
        <v>74732</v>
      </c>
      <c r="M33" s="4">
        <f t="shared" si="3"/>
        <v>222130</v>
      </c>
      <c r="N33" s="4">
        <f t="shared" si="3"/>
        <v>6390.1809999999969</v>
      </c>
      <c r="O33" s="4">
        <f t="shared" si="3"/>
        <v>2442.6570000000002</v>
      </c>
      <c r="P33" s="4">
        <f t="shared" si="3"/>
        <v>23137</v>
      </c>
      <c r="Q33" s="4">
        <f t="shared" si="3"/>
        <v>6453</v>
      </c>
      <c r="R33" s="4">
        <f t="shared" si="3"/>
        <v>5589.640000000014</v>
      </c>
      <c r="S33" s="4">
        <f t="shared" si="3"/>
        <v>11094.359999999986</v>
      </c>
      <c r="T33" s="4">
        <f t="shared" si="3"/>
        <v>2650083.0360000003</v>
      </c>
      <c r="U33" s="4">
        <f t="shared" si="3"/>
        <v>1256000</v>
      </c>
      <c r="V33" s="4">
        <f t="shared" si="3"/>
        <v>0</v>
      </c>
      <c r="W33" s="4">
        <f t="shared" si="3"/>
        <v>410900.0000000014</v>
      </c>
      <c r="X33" s="4">
        <f>'FS-AD Daily '!U38</f>
        <v>30948.588159999978</v>
      </c>
      <c r="Y33" s="4">
        <f>SUM(Y2:Y32)</f>
        <v>3704</v>
      </c>
      <c r="Z33" s="4">
        <f>SUM(Z2:Z32)</f>
        <v>5244</v>
      </c>
    </row>
    <row r="34" spans="9:26" x14ac:dyDescent="0.25">
      <c r="Y34"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topLeftCell="V1" zoomScale="85" zoomScaleNormal="85" workbookViewId="0">
      <pane ySplit="5" topLeftCell="A15" activePane="bottomLeft" state="frozen"/>
      <selection pane="bottomLeft" activeCell="AO20" sqref="AO20"/>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22" t="s">
        <v>14</v>
      </c>
      <c r="C1" s="122"/>
      <c r="D1" s="122"/>
      <c r="E1" s="122"/>
      <c r="F1" s="122"/>
      <c r="G1" s="122"/>
      <c r="H1" s="122"/>
      <c r="I1" s="122"/>
      <c r="J1" s="122"/>
      <c r="K1" s="25" t="s">
        <v>15</v>
      </c>
      <c r="L1" s="26" t="s">
        <v>16</v>
      </c>
      <c r="M1" s="27" t="s">
        <v>17</v>
      </c>
      <c r="N1" s="28" t="s">
        <v>18</v>
      </c>
      <c r="O1" s="28" t="s">
        <v>19</v>
      </c>
      <c r="P1" s="64" t="s">
        <v>20</v>
      </c>
      <c r="Q1" s="30" t="s">
        <v>21</v>
      </c>
      <c r="R1" s="31" t="s">
        <v>22</v>
      </c>
      <c r="S1" s="29" t="s">
        <v>23</v>
      </c>
      <c r="T1" s="32" t="s">
        <v>24</v>
      </c>
      <c r="U1" s="33" t="s">
        <v>25</v>
      </c>
      <c r="V1" s="32" t="s">
        <v>26</v>
      </c>
      <c r="W1" s="32" t="s">
        <v>27</v>
      </c>
      <c r="X1" s="123" t="s">
        <v>28</v>
      </c>
      <c r="Y1" s="123"/>
      <c r="Z1" s="34" t="s">
        <v>29</v>
      </c>
      <c r="AA1" s="35" t="s">
        <v>101</v>
      </c>
      <c r="AB1" s="36" t="s">
        <v>30</v>
      </c>
      <c r="AC1" s="36" t="s">
        <v>31</v>
      </c>
      <c r="AD1" s="25" t="s">
        <v>32</v>
      </c>
      <c r="AE1" s="33" t="s">
        <v>33</v>
      </c>
      <c r="AF1" s="25" t="s">
        <v>77</v>
      </c>
      <c r="AG1" s="25" t="s">
        <v>76</v>
      </c>
      <c r="AH1" s="25" t="s">
        <v>78</v>
      </c>
      <c r="AI1" s="45" t="s">
        <v>34</v>
      </c>
      <c r="AJ1" s="45" t="s">
        <v>35</v>
      </c>
      <c r="AK1" s="37" t="s">
        <v>36</v>
      </c>
      <c r="AL1" s="37" t="s">
        <v>37</v>
      </c>
      <c r="AM1" s="33" t="s">
        <v>33</v>
      </c>
      <c r="AN1" s="39" t="s">
        <v>79</v>
      </c>
      <c r="AO1" s="38" t="s">
        <v>38</v>
      </c>
      <c r="AQ1" s="6" t="s">
        <v>39</v>
      </c>
      <c r="AR1" s="6" t="s">
        <v>40</v>
      </c>
    </row>
    <row r="2" spans="1:44" ht="15" customHeight="1" x14ac:dyDescent="0.25">
      <c r="A2" s="21">
        <v>2022</v>
      </c>
      <c r="B2" s="22">
        <v>1</v>
      </c>
      <c r="C2" s="22">
        <v>2</v>
      </c>
      <c r="D2" s="22">
        <v>3</v>
      </c>
      <c r="E2" s="22">
        <v>4</v>
      </c>
      <c r="F2" s="22">
        <v>5</v>
      </c>
      <c r="G2" s="22">
        <v>6</v>
      </c>
      <c r="H2" s="22">
        <v>7</v>
      </c>
      <c r="I2" s="22">
        <v>8</v>
      </c>
      <c r="J2" s="22">
        <v>9</v>
      </c>
      <c r="K2" s="124" t="s">
        <v>41</v>
      </c>
      <c r="L2" s="126" t="s">
        <v>42</v>
      </c>
      <c r="M2" s="10"/>
      <c r="N2" s="10"/>
      <c r="O2" s="10"/>
      <c r="P2" s="10"/>
      <c r="Q2" s="10"/>
      <c r="R2" s="10"/>
      <c r="S2" s="128"/>
      <c r="T2" s="46"/>
      <c r="U2" s="129"/>
      <c r="V2" s="44"/>
      <c r="W2" s="44"/>
      <c r="X2" s="22">
        <v>1</v>
      </c>
      <c r="Y2" s="22">
        <v>2</v>
      </c>
      <c r="Z2" s="23"/>
      <c r="AA2" s="126" t="s">
        <v>100</v>
      </c>
      <c r="AB2" s="42"/>
      <c r="AC2" s="124" t="s">
        <v>43</v>
      </c>
      <c r="AD2" s="131"/>
      <c r="AE2" s="129" t="s">
        <v>102</v>
      </c>
      <c r="AF2" s="44"/>
      <c r="AG2" s="44"/>
      <c r="AH2" s="44"/>
      <c r="AI2" s="43"/>
      <c r="AJ2" s="43"/>
      <c r="AK2" s="43"/>
      <c r="AL2" s="43"/>
      <c r="AM2" s="129" t="s">
        <v>102</v>
      </c>
      <c r="AN2" s="132"/>
      <c r="AO2" s="130"/>
    </row>
    <row r="3" spans="1:44" ht="15" customHeight="1" x14ac:dyDescent="0.25">
      <c r="A3" s="9"/>
      <c r="B3" s="11" t="s">
        <v>44</v>
      </c>
      <c r="C3" s="11" t="s">
        <v>45</v>
      </c>
      <c r="D3" s="11" t="s">
        <v>46</v>
      </c>
      <c r="E3" s="11" t="s">
        <v>47</v>
      </c>
      <c r="F3" s="11" t="s">
        <v>48</v>
      </c>
      <c r="G3" s="11" t="s">
        <v>49</v>
      </c>
      <c r="H3" s="11" t="s">
        <v>50</v>
      </c>
      <c r="I3" s="11" t="s">
        <v>51</v>
      </c>
      <c r="J3" s="11" t="s">
        <v>52</v>
      </c>
      <c r="K3" s="125"/>
      <c r="L3" s="127"/>
      <c r="M3" s="10"/>
      <c r="N3" s="10"/>
      <c r="O3" s="10"/>
      <c r="P3" s="10"/>
      <c r="Q3" s="10"/>
      <c r="R3" s="10"/>
      <c r="S3" s="128"/>
      <c r="T3" s="46"/>
      <c r="U3" s="129"/>
      <c r="V3" s="44"/>
      <c r="W3" s="44"/>
      <c r="X3" s="11"/>
      <c r="Y3" s="11"/>
      <c r="Z3" s="12"/>
      <c r="AA3" s="126"/>
      <c r="AB3" s="42"/>
      <c r="AC3" s="124"/>
      <c r="AD3" s="131"/>
      <c r="AE3" s="129"/>
      <c r="AF3" s="44"/>
      <c r="AG3" s="44"/>
      <c r="AH3" s="44"/>
      <c r="AI3" s="13"/>
      <c r="AJ3" s="43"/>
      <c r="AK3" s="43"/>
      <c r="AL3" s="43"/>
      <c r="AM3" s="129"/>
      <c r="AN3" s="132"/>
      <c r="AO3" s="130"/>
    </row>
    <row r="4" spans="1:44" ht="30.75" thickBot="1" x14ac:dyDescent="0.3">
      <c r="A4" s="48"/>
      <c r="B4" s="49" t="s">
        <v>53</v>
      </c>
      <c r="C4" s="49" t="s">
        <v>54</v>
      </c>
      <c r="D4" s="49" t="s">
        <v>55</v>
      </c>
      <c r="E4" s="61" t="s">
        <v>56</v>
      </c>
      <c r="F4" s="49" t="s">
        <v>57</v>
      </c>
      <c r="G4" s="61" t="s">
        <v>58</v>
      </c>
      <c r="H4" s="61" t="s">
        <v>59</v>
      </c>
      <c r="I4" s="61" t="s">
        <v>60</v>
      </c>
      <c r="J4" s="61" t="s">
        <v>61</v>
      </c>
      <c r="K4" s="49"/>
      <c r="L4" s="50"/>
      <c r="M4" s="10"/>
      <c r="N4" s="10"/>
      <c r="O4" s="10"/>
      <c r="P4" s="10"/>
      <c r="Q4" s="10"/>
      <c r="R4" s="10"/>
      <c r="S4" s="128"/>
      <c r="T4" s="46"/>
      <c r="U4" s="129"/>
      <c r="V4" s="44"/>
      <c r="W4" s="44"/>
      <c r="X4" s="51"/>
      <c r="Y4" s="86">
        <v>1053266</v>
      </c>
      <c r="Z4" s="12"/>
      <c r="AA4" s="126"/>
      <c r="AB4" s="85">
        <v>12415790</v>
      </c>
      <c r="AC4" s="124"/>
      <c r="AD4" s="131"/>
      <c r="AE4" s="129"/>
      <c r="AF4" s="44"/>
      <c r="AG4" s="44"/>
      <c r="AH4" s="44"/>
      <c r="AI4" s="42">
        <v>53327</v>
      </c>
      <c r="AJ4" s="42"/>
      <c r="AK4" s="42"/>
      <c r="AL4" s="42"/>
      <c r="AM4" s="129"/>
      <c r="AN4" s="132"/>
      <c r="AO4" s="130"/>
      <c r="AP4" s="6">
        <v>0.33341500000000002</v>
      </c>
    </row>
    <row r="5" spans="1:44" ht="90.75" thickBot="1" x14ac:dyDescent="0.3">
      <c r="A5" s="52" t="s">
        <v>62</v>
      </c>
      <c r="B5" s="53"/>
      <c r="C5" s="53"/>
      <c r="D5" s="53"/>
      <c r="E5" s="65" t="s">
        <v>92</v>
      </c>
      <c r="F5" s="53"/>
      <c r="G5" s="66" t="s">
        <v>95</v>
      </c>
      <c r="H5" s="65" t="s">
        <v>96</v>
      </c>
      <c r="I5" s="65" t="s">
        <v>97</v>
      </c>
      <c r="J5" s="66"/>
      <c r="K5" s="54" t="s">
        <v>12</v>
      </c>
      <c r="L5" s="54" t="s">
        <v>12</v>
      </c>
      <c r="M5" s="54" t="s">
        <v>12</v>
      </c>
      <c r="N5" s="54" t="s">
        <v>12</v>
      </c>
      <c r="O5" s="54" t="s">
        <v>12</v>
      </c>
      <c r="P5" s="54" t="s">
        <v>12</v>
      </c>
      <c r="Q5" s="54" t="s">
        <v>12</v>
      </c>
      <c r="R5" s="54" t="s">
        <v>12</v>
      </c>
      <c r="S5" s="54" t="s">
        <v>12</v>
      </c>
      <c r="T5" s="54" t="s">
        <v>12</v>
      </c>
      <c r="U5" s="54" t="s">
        <v>12</v>
      </c>
      <c r="V5" s="54" t="s">
        <v>12</v>
      </c>
      <c r="W5" s="54" t="s">
        <v>12</v>
      </c>
      <c r="X5" s="55" t="s">
        <v>85</v>
      </c>
      <c r="Y5" s="53"/>
      <c r="Z5" s="53" t="s">
        <v>12</v>
      </c>
      <c r="AA5" s="54" t="e">
        <f>SUM(#REF!)</f>
        <v>#REF!</v>
      </c>
      <c r="AB5" s="53"/>
      <c r="AC5" s="53" t="s">
        <v>12</v>
      </c>
      <c r="AD5" s="53" t="s">
        <v>12</v>
      </c>
      <c r="AE5" s="56" t="e">
        <f>SUM(#REF!)</f>
        <v>#REF!</v>
      </c>
      <c r="AF5" s="56"/>
      <c r="AG5" s="56"/>
      <c r="AH5" s="56"/>
      <c r="AI5" s="53"/>
      <c r="AJ5" s="53"/>
      <c r="AK5" s="53" t="e">
        <f>SUM(#REF!)</f>
        <v>#REF!</v>
      </c>
      <c r="AL5" s="53"/>
      <c r="AM5" s="56"/>
      <c r="AN5" s="57"/>
      <c r="AO5" s="90" t="e">
        <f>SUM(#REF!)</f>
        <v>#REF!</v>
      </c>
    </row>
    <row r="6" spans="1:44" x14ac:dyDescent="0.25">
      <c r="A6" s="79">
        <v>44682</v>
      </c>
      <c r="B6" s="85">
        <f>14000609-13993483</f>
        <v>7126</v>
      </c>
      <c r="C6" s="85">
        <f>8978238-8973272</f>
        <v>4966</v>
      </c>
      <c r="D6" s="85">
        <f>1781245-1780313</f>
        <v>932</v>
      </c>
      <c r="E6" s="85">
        <f>13470550-13463394</f>
        <v>7156</v>
      </c>
      <c r="F6" s="85">
        <f>13260979-13255134</f>
        <v>5845</v>
      </c>
      <c r="G6" s="85">
        <f>9186443-9183859</f>
        <v>2584</v>
      </c>
      <c r="H6" s="85">
        <f>10154249-10145124</f>
        <v>9125</v>
      </c>
      <c r="I6" s="85">
        <f>5900084-5897814</f>
        <v>2270</v>
      </c>
      <c r="J6" s="85">
        <f>13629159-13622296</f>
        <v>6863</v>
      </c>
      <c r="K6" s="62">
        <f>SUM(B6:H6)</f>
        <v>37734</v>
      </c>
      <c r="L6" s="40">
        <f>K6*0.2</f>
        <v>7546.8</v>
      </c>
      <c r="M6" s="82">
        <f>28348.319-28174.7</f>
        <v>173.61899999999878</v>
      </c>
      <c r="N6" s="82">
        <f>4942.86-4940.731</f>
        <v>2.1289999999999054</v>
      </c>
      <c r="O6" s="82">
        <f>10492.728-10492.642</f>
        <v>8.5999999999330612E-2</v>
      </c>
      <c r="P6" s="81">
        <f>12049.09-11974.077</f>
        <v>75.013000000000829</v>
      </c>
      <c r="Q6" s="82">
        <f>28898.247-28879.729</f>
        <v>18.518000000000029</v>
      </c>
      <c r="R6" s="83">
        <f t="shared" ref="R6:R34" si="0">N6+O6+P6</f>
        <v>77.228000000000065</v>
      </c>
      <c r="S6" s="83">
        <f t="shared" ref="S6:S34" si="1">(N6+O6+P6)*7.84</f>
        <v>605.46752000000049</v>
      </c>
      <c r="T6" s="63">
        <f t="shared" ref="T6:T34" si="2">M6+Q6</f>
        <v>192.13699999999881</v>
      </c>
      <c r="U6" s="83">
        <f>T6*7.84</f>
        <v>1506.3540799999905</v>
      </c>
      <c r="V6" s="82">
        <f>416231-416045</f>
        <v>186</v>
      </c>
      <c r="W6" s="82">
        <f>160167-159979</f>
        <v>188</v>
      </c>
      <c r="X6" s="84" t="s">
        <v>63</v>
      </c>
      <c r="Y6" s="5">
        <v>1053975</v>
      </c>
      <c r="Z6" s="60">
        <f>IF((Y6-Y5&lt;0), "0",Y6-Y4)</f>
        <v>709</v>
      </c>
      <c r="AA6" s="89">
        <f>Z6*6.47</f>
        <v>4587.2299999999996</v>
      </c>
      <c r="AB6" s="86">
        <v>12438874</v>
      </c>
      <c r="AC6" s="74">
        <f>AB4</f>
        <v>12415790</v>
      </c>
      <c r="AD6" s="40">
        <f t="shared" ref="AD6:AD34" si="3">IF((AB6-AC6&lt;0), "0",AB6-AC6)</f>
        <v>23084</v>
      </c>
      <c r="AE6" s="83">
        <f>AD6*0.327899</f>
        <v>7569.2205160000003</v>
      </c>
      <c r="AF6" s="83">
        <f>98898.5-98858</f>
        <v>40.5</v>
      </c>
      <c r="AG6" s="83">
        <f>50692.5-50692.5</f>
        <v>0</v>
      </c>
      <c r="AH6" s="83">
        <f>31284.7-31270.1</f>
        <v>14.600000000002183</v>
      </c>
      <c r="AI6" s="74">
        <f>AI4</f>
        <v>53327</v>
      </c>
      <c r="AJ6" s="86">
        <v>53360.4</v>
      </c>
      <c r="AK6" s="58">
        <f>IF((AJ6-AI6)&lt;0, "0",AJ6-AI6)</f>
        <v>33.400000000001455</v>
      </c>
      <c r="AL6" s="119">
        <f t="shared" ref="AL6:AL34" si="4">AK6*(284.34513609)</f>
        <v>9497.1275454064125</v>
      </c>
      <c r="AM6" s="83">
        <f>AL6*0.327899</f>
        <v>3114.0986250112173</v>
      </c>
      <c r="AN6" s="100">
        <v>73</v>
      </c>
      <c r="AO6" s="76">
        <f t="shared" ref="AO6:AO36" si="5">L6+U6+AA6+AE6</f>
        <v>21209.60459599999</v>
      </c>
    </row>
    <row r="7" spans="1:44" x14ac:dyDescent="0.25">
      <c r="A7" s="78">
        <v>44683</v>
      </c>
      <c r="B7" s="85">
        <f>14006822-14000609</f>
        <v>6213</v>
      </c>
      <c r="C7" s="85">
        <f>8982542-8978238</f>
        <v>4304</v>
      </c>
      <c r="D7" s="85">
        <f>1782180-1781245</f>
        <v>935</v>
      </c>
      <c r="E7" s="85">
        <f>13477668-13470550</f>
        <v>7118</v>
      </c>
      <c r="F7" s="85">
        <f>13266935-13260979</f>
        <v>5956</v>
      </c>
      <c r="G7" s="85">
        <f>9189100-9186443</f>
        <v>2657</v>
      </c>
      <c r="H7" s="85">
        <f>10163079-10154249</f>
        <v>8830</v>
      </c>
      <c r="I7" s="85">
        <f>5902322-5900084</f>
        <v>2238</v>
      </c>
      <c r="J7" s="85">
        <f>13636001-13629159</f>
        <v>6842</v>
      </c>
      <c r="K7" s="85">
        <f>SUM(B7:H7)</f>
        <v>36013</v>
      </c>
      <c r="L7" s="14">
        <f>K7*0.2</f>
        <v>7202.6</v>
      </c>
      <c r="M7" s="82">
        <f>28492.244-28348.319</f>
        <v>143.92499999999927</v>
      </c>
      <c r="N7" s="82">
        <f>4944.698-4942.86</f>
        <v>1.8380000000006476</v>
      </c>
      <c r="O7" s="82">
        <f>10492.918-10492.728</f>
        <v>0.19000000000050932</v>
      </c>
      <c r="P7" s="81">
        <f>12120.672-12049.09</f>
        <v>71.582000000000335</v>
      </c>
      <c r="Q7" s="82">
        <f>28909.501-28898.247</f>
        <v>11.254000000000815</v>
      </c>
      <c r="R7" s="82">
        <f t="shared" si="0"/>
        <v>73.610000000001492</v>
      </c>
      <c r="S7" s="82">
        <f>(N7+O7+P7)*7.84</f>
        <v>577.1024000000117</v>
      </c>
      <c r="T7" s="82">
        <f>M7+Q7</f>
        <v>155.17900000000009</v>
      </c>
      <c r="U7" s="82">
        <f>T7*7.84</f>
        <v>1216.6033600000007</v>
      </c>
      <c r="V7" s="82">
        <f>416395-416231</f>
        <v>164</v>
      </c>
      <c r="W7" s="82">
        <f>160360-160167</f>
        <v>193</v>
      </c>
      <c r="X7" s="85" t="s">
        <v>63</v>
      </c>
      <c r="Y7" s="5">
        <v>1054639</v>
      </c>
      <c r="Z7" s="5">
        <f>IF((Y7-Y6&lt;0), "0",Y7-Y6)</f>
        <v>664</v>
      </c>
      <c r="AA7" s="14">
        <f t="shared" ref="AA7:AA34" si="6">Z7*6.47</f>
        <v>4296.08</v>
      </c>
      <c r="AB7" s="86">
        <v>12460139</v>
      </c>
      <c r="AC7" s="86">
        <f>AB6</f>
        <v>12438874</v>
      </c>
      <c r="AD7" s="14">
        <f t="shared" si="3"/>
        <v>21265</v>
      </c>
      <c r="AE7" s="82">
        <f>AD7*0.327899</f>
        <v>6972.7722350000004</v>
      </c>
      <c r="AF7" s="82">
        <f>98934.1-98898.5</f>
        <v>35.600000000005821</v>
      </c>
      <c r="AG7" s="82">
        <f t="shared" ref="AG7:AG13" si="7">50692.5-50692.5</f>
        <v>0</v>
      </c>
      <c r="AH7" s="82">
        <f>31298.8-31284.7</f>
        <v>14.099999999998545</v>
      </c>
      <c r="AI7" s="86">
        <f>AJ6</f>
        <v>53360.4</v>
      </c>
      <c r="AJ7" s="86">
        <v>53390.7</v>
      </c>
      <c r="AK7" s="47">
        <f t="shared" ref="AK7:AK34" si="8">IF((AJ7-AI7)&lt;0, "0",AJ7-AI7)</f>
        <v>30.299999999995634</v>
      </c>
      <c r="AL7" s="88">
        <f t="shared" si="4"/>
        <v>8615.657623525758</v>
      </c>
      <c r="AM7" s="82">
        <f>AL7*0.327899</f>
        <v>2825.0655190964726</v>
      </c>
      <c r="AN7" s="70">
        <v>101</v>
      </c>
      <c r="AO7" s="77">
        <f t="shared" si="5"/>
        <v>19688.055595000002</v>
      </c>
    </row>
    <row r="8" spans="1:44" x14ac:dyDescent="0.25">
      <c r="A8" s="78">
        <v>44684</v>
      </c>
      <c r="B8" s="85">
        <f>14014631-14006822</f>
        <v>7809</v>
      </c>
      <c r="C8" s="85">
        <f>8987020-8982542</f>
        <v>4478</v>
      </c>
      <c r="D8" s="85">
        <f>1782721-1782180</f>
        <v>541</v>
      </c>
      <c r="E8" s="85">
        <f>13484951-13477668</f>
        <v>7283</v>
      </c>
      <c r="F8" s="85">
        <f>13272941-13266935</f>
        <v>6006</v>
      </c>
      <c r="G8" s="85">
        <f>9192015-9189100</f>
        <v>2915</v>
      </c>
      <c r="H8" s="85">
        <f>10172639-10163079</f>
        <v>9560</v>
      </c>
      <c r="I8" s="85">
        <f>5904597-5902322</f>
        <v>2275</v>
      </c>
      <c r="J8" s="85">
        <f>13642708-13636001</f>
        <v>6707</v>
      </c>
      <c r="K8" s="85">
        <f>SUM(B8:H8)</f>
        <v>38592</v>
      </c>
      <c r="L8" s="14">
        <f t="shared" ref="L8:L34" si="9">K8*0.2</f>
        <v>7718.4000000000005</v>
      </c>
      <c r="M8" s="82">
        <f>28653.628-28492.244</f>
        <v>161.38400000000183</v>
      </c>
      <c r="N8" s="82">
        <f>4947.108-4944.698</f>
        <v>2.4099999999998545</v>
      </c>
      <c r="O8" s="82">
        <f>10493.258-10492.918</f>
        <v>0.34000000000014552</v>
      </c>
      <c r="P8" s="81">
        <f>12202.678-12120.672</f>
        <v>82.005999999999403</v>
      </c>
      <c r="Q8" s="82">
        <f>28931.072-28909.501</f>
        <v>21.570999999999913</v>
      </c>
      <c r="R8" s="82">
        <f t="shared" si="0"/>
        <v>84.755999999999403</v>
      </c>
      <c r="S8" s="82">
        <f>(N8+O8+P8)*7.84</f>
        <v>664.48703999999532</v>
      </c>
      <c r="T8" s="82">
        <f>M8+Q8</f>
        <v>182.95500000000175</v>
      </c>
      <c r="U8" s="82">
        <f>T8*7.84</f>
        <v>1434.3672000000136</v>
      </c>
      <c r="V8" s="82">
        <f>416573.4-416395</f>
        <v>178.40000000002328</v>
      </c>
      <c r="W8" s="82">
        <f>160552.3-160360</f>
        <v>192.29999999998836</v>
      </c>
      <c r="X8" s="85" t="s">
        <v>63</v>
      </c>
      <c r="Y8" s="5">
        <v>1055339</v>
      </c>
      <c r="Z8" s="5">
        <f t="shared" ref="Z8:Z34" si="10">IF((Y8-Y7&lt;0), "0",Y8-Y7)</f>
        <v>700</v>
      </c>
      <c r="AA8" s="14">
        <f t="shared" si="6"/>
        <v>4529</v>
      </c>
      <c r="AB8" s="86">
        <v>12482074</v>
      </c>
      <c r="AC8" s="86">
        <f t="shared" ref="AC8:AC34" si="11">AB7</f>
        <v>12460139</v>
      </c>
      <c r="AD8" s="14">
        <f t="shared" si="3"/>
        <v>21935</v>
      </c>
      <c r="AE8" s="82">
        <f t="shared" ref="AE8:AE36" si="12">AD8*0.327899</f>
        <v>7192.4645650000002</v>
      </c>
      <c r="AF8" s="82">
        <f>98970.8-98934.1</f>
        <v>36.69999999999709</v>
      </c>
      <c r="AG8" s="82">
        <f t="shared" si="7"/>
        <v>0</v>
      </c>
      <c r="AH8" s="82">
        <f>31312.8-31298.8</f>
        <v>14</v>
      </c>
      <c r="AI8" s="86">
        <f t="shared" ref="AI8:AI36" si="13">AJ7</f>
        <v>53390.7</v>
      </c>
      <c r="AJ8" s="86">
        <v>53422</v>
      </c>
      <c r="AK8" s="47">
        <f t="shared" si="8"/>
        <v>31.30000000000291</v>
      </c>
      <c r="AL8" s="88">
        <f t="shared" si="4"/>
        <v>8900.0027596178279</v>
      </c>
      <c r="AM8" s="82">
        <f t="shared" ref="AM8:AM36" si="14">AL8*0.327899</f>
        <v>2918.3020048759263</v>
      </c>
      <c r="AN8" s="70">
        <v>140</v>
      </c>
      <c r="AO8" s="77">
        <f t="shared" si="5"/>
        <v>20874.231765000015</v>
      </c>
    </row>
    <row r="9" spans="1:44" x14ac:dyDescent="0.25">
      <c r="A9" s="78">
        <v>44685</v>
      </c>
      <c r="B9" s="85">
        <f>14021897-14014631</f>
        <v>7266</v>
      </c>
      <c r="C9" s="85">
        <f>8990980-8987020</f>
        <v>3960</v>
      </c>
      <c r="D9" s="85">
        <f>1783632-1782721</f>
        <v>911</v>
      </c>
      <c r="E9" s="85">
        <f>13492025-13484951</f>
        <v>7074</v>
      </c>
      <c r="F9" s="85">
        <f>13278689-13272941</f>
        <v>5748</v>
      </c>
      <c r="G9" s="85">
        <f>9194932-9192015</f>
        <v>2917</v>
      </c>
      <c r="H9" s="85">
        <f>10181801-10172639</f>
        <v>9162</v>
      </c>
      <c r="I9" s="85">
        <f>5906819-5904597</f>
        <v>2222</v>
      </c>
      <c r="J9" s="85">
        <f>13649794-13642708</f>
        <v>7086</v>
      </c>
      <c r="K9" s="85">
        <f t="shared" ref="K9:K34" si="15">SUM(B9:H9)</f>
        <v>37038</v>
      </c>
      <c r="L9" s="14">
        <f t="shared" si="9"/>
        <v>7407.6</v>
      </c>
      <c r="M9" s="82">
        <f>28858.357-28653.628</f>
        <v>204.72899999999936</v>
      </c>
      <c r="N9" s="82">
        <f>4949.437-4947.108</f>
        <v>2.3289999999997235</v>
      </c>
      <c r="O9" s="82">
        <f>10493.325-10493.258</f>
        <v>6.7000000000916771E-2</v>
      </c>
      <c r="P9" s="81">
        <f>12283.424-12202.678</f>
        <v>80.746000000001004</v>
      </c>
      <c r="Q9" s="82">
        <f>28942.355-28931.072</f>
        <v>11.282999999999447</v>
      </c>
      <c r="R9" s="82">
        <f t="shared" si="0"/>
        <v>83.142000000001644</v>
      </c>
      <c r="S9" s="82">
        <f t="shared" si="1"/>
        <v>651.83328000001291</v>
      </c>
      <c r="T9" s="82">
        <f t="shared" si="2"/>
        <v>216.01199999999881</v>
      </c>
      <c r="U9" s="82">
        <f t="shared" ref="U9:U37" si="16">T9*7.84</f>
        <v>1693.5340799999906</v>
      </c>
      <c r="V9" s="82">
        <f>416779.3-416573.4</f>
        <v>205.89999999996508</v>
      </c>
      <c r="W9" s="82">
        <f>160752.19-160552.3</f>
        <v>199.89000000001397</v>
      </c>
      <c r="X9" s="85" t="s">
        <v>63</v>
      </c>
      <c r="Y9" s="5">
        <v>1056093</v>
      </c>
      <c r="Z9" s="5">
        <f t="shared" si="10"/>
        <v>754</v>
      </c>
      <c r="AA9" s="14">
        <f t="shared" si="6"/>
        <v>4878.38</v>
      </c>
      <c r="AB9" s="86">
        <v>12506293</v>
      </c>
      <c r="AC9" s="86">
        <f t="shared" si="11"/>
        <v>12482074</v>
      </c>
      <c r="AD9" s="14">
        <f t="shared" si="3"/>
        <v>24219</v>
      </c>
      <c r="AE9" s="82">
        <f t="shared" si="12"/>
        <v>7941.3858810000002</v>
      </c>
      <c r="AF9" s="82">
        <f>99012.6-98970.8</f>
        <v>41.80000000000291</v>
      </c>
      <c r="AG9" s="82">
        <f t="shared" si="7"/>
        <v>0</v>
      </c>
      <c r="AH9" s="82">
        <f>31327.8-31312.8</f>
        <v>15</v>
      </c>
      <c r="AI9" s="86">
        <f t="shared" si="13"/>
        <v>53422</v>
      </c>
      <c r="AJ9" s="86">
        <v>53454.2</v>
      </c>
      <c r="AK9" s="47">
        <f t="shared" si="8"/>
        <v>32.19999999999709</v>
      </c>
      <c r="AL9" s="88">
        <f t="shared" si="4"/>
        <v>9155.9133820971711</v>
      </c>
      <c r="AM9" s="82">
        <f t="shared" si="14"/>
        <v>3002.2148420762801</v>
      </c>
      <c r="AN9" s="70">
        <v>138</v>
      </c>
      <c r="AO9" s="77">
        <f t="shared" si="5"/>
        <v>21920.899960999988</v>
      </c>
    </row>
    <row r="10" spans="1:44" x14ac:dyDescent="0.25">
      <c r="A10" s="78">
        <v>44686</v>
      </c>
      <c r="B10" s="85">
        <f>14028142-14021897</f>
        <v>6245</v>
      </c>
      <c r="C10" s="85">
        <f>8994906-8990980</f>
        <v>3926</v>
      </c>
      <c r="D10" s="85">
        <f>1784506-1783632</f>
        <v>874</v>
      </c>
      <c r="E10" s="85">
        <f>13499324-13492025</f>
        <v>7299</v>
      </c>
      <c r="F10" s="85">
        <f>13284873-13278689</f>
        <v>6184</v>
      </c>
      <c r="G10" s="85">
        <f>9197979-9194932</f>
        <v>3047</v>
      </c>
      <c r="H10" s="85">
        <f>10191432-10181801</f>
        <v>9631</v>
      </c>
      <c r="I10" s="85">
        <f>5909142-5906819</f>
        <v>2323</v>
      </c>
      <c r="J10" s="85">
        <f>13656887-13649794</f>
        <v>7093</v>
      </c>
      <c r="K10" s="85">
        <f t="shared" si="15"/>
        <v>37206</v>
      </c>
      <c r="L10" s="14">
        <f t="shared" si="9"/>
        <v>7441.2000000000007</v>
      </c>
      <c r="M10" s="82">
        <f>29033.279-28858.357</f>
        <v>174.92199999999866</v>
      </c>
      <c r="N10" s="82">
        <f>4951.978-4949.437</f>
        <v>2.5410000000001673</v>
      </c>
      <c r="O10" s="82">
        <f>10493.456-10493.325</f>
        <v>0.13099999999940337</v>
      </c>
      <c r="P10" s="81">
        <f>12355.959-12283.424</f>
        <v>72.534999999999854</v>
      </c>
      <c r="Q10" s="82">
        <f>28973.8-28942.355</f>
        <v>31.444999999999709</v>
      </c>
      <c r="R10" s="82">
        <f t="shared" si="0"/>
        <v>75.206999999999425</v>
      </c>
      <c r="S10" s="82">
        <f t="shared" si="1"/>
        <v>589.62287999999546</v>
      </c>
      <c r="T10" s="82">
        <f t="shared" si="2"/>
        <v>206.36699999999837</v>
      </c>
      <c r="U10" s="82">
        <f t="shared" si="16"/>
        <v>1617.9172799999872</v>
      </c>
      <c r="V10" s="82">
        <f>416962.4-416779.3</f>
        <v>183.10000000003492</v>
      </c>
      <c r="W10" s="82">
        <f>160930.92-160752.19</f>
        <v>178.73000000001048</v>
      </c>
      <c r="X10" s="85" t="s">
        <v>63</v>
      </c>
      <c r="Y10" s="5">
        <v>1056790</v>
      </c>
      <c r="Z10" s="5">
        <f t="shared" si="10"/>
        <v>697</v>
      </c>
      <c r="AA10" s="14">
        <f t="shared" si="6"/>
        <v>4509.59</v>
      </c>
      <c r="AB10" s="86">
        <v>12527440</v>
      </c>
      <c r="AC10" s="86">
        <f t="shared" si="11"/>
        <v>12506293</v>
      </c>
      <c r="AD10" s="14">
        <f t="shared" si="3"/>
        <v>21147</v>
      </c>
      <c r="AE10" s="82">
        <f t="shared" si="12"/>
        <v>6934.0801529999999</v>
      </c>
      <c r="AF10" s="82">
        <f>99047.1-99012.6</f>
        <v>34.5</v>
      </c>
      <c r="AG10" s="82">
        <f t="shared" si="7"/>
        <v>0</v>
      </c>
      <c r="AH10" s="82">
        <f>31342-31327.8</f>
        <v>14.200000000000728</v>
      </c>
      <c r="AI10" s="86">
        <f t="shared" si="13"/>
        <v>53454.2</v>
      </c>
      <c r="AJ10" s="86">
        <v>53483</v>
      </c>
      <c r="AK10" s="47">
        <f t="shared" si="8"/>
        <v>28.80000000000291</v>
      </c>
      <c r="AL10" s="88">
        <f t="shared" si="4"/>
        <v>8189.1399193928273</v>
      </c>
      <c r="AM10" s="82">
        <f t="shared" si="14"/>
        <v>2685.2107904289887</v>
      </c>
      <c r="AN10" s="70">
        <v>137</v>
      </c>
      <c r="AO10" s="77">
        <f t="shared" si="5"/>
        <v>20502.787432999987</v>
      </c>
    </row>
    <row r="11" spans="1:44" x14ac:dyDescent="0.25">
      <c r="A11" s="78">
        <v>44687</v>
      </c>
      <c r="B11" s="85">
        <f>14034353-14028142</f>
        <v>6211</v>
      </c>
      <c r="C11" s="85">
        <f>8998866-8994906</f>
        <v>3960</v>
      </c>
      <c r="D11" s="85">
        <f>1785468-1784506</f>
        <v>962</v>
      </c>
      <c r="E11" s="85">
        <f>13506699-13499324</f>
        <v>7375</v>
      </c>
      <c r="F11" s="85">
        <f>13291046-13284873</f>
        <v>6173</v>
      </c>
      <c r="G11" s="85">
        <f>9201077-9197979</f>
        <v>3098</v>
      </c>
      <c r="H11" s="85">
        <f>10200726-10191432</f>
        <v>9294</v>
      </c>
      <c r="I11" s="85">
        <f>5911493-5909142</f>
        <v>2351</v>
      </c>
      <c r="J11" s="85">
        <f>13664280-13656887</f>
        <v>7393</v>
      </c>
      <c r="K11" s="85">
        <f t="shared" si="15"/>
        <v>37073</v>
      </c>
      <c r="L11" s="14">
        <f t="shared" si="9"/>
        <v>7414.6</v>
      </c>
      <c r="M11" s="82">
        <f>29208.661-29033.279</f>
        <v>175.38200000000143</v>
      </c>
      <c r="N11" s="82">
        <f>4954.925-4951.978</f>
        <v>2.9470000000001164</v>
      </c>
      <c r="O11" s="82">
        <f>10493.608-10493.456</f>
        <v>0.15200000000004366</v>
      </c>
      <c r="P11" s="81">
        <f>12435.441-12355.959</f>
        <v>79.481999999999971</v>
      </c>
      <c r="Q11" s="82">
        <f>29002.406-28973.8</f>
        <v>28.605999999999767</v>
      </c>
      <c r="R11" s="82">
        <f t="shared" si="0"/>
        <v>82.581000000000131</v>
      </c>
      <c r="S11" s="82">
        <f t="shared" si="1"/>
        <v>647.43504000000098</v>
      </c>
      <c r="T11" s="82">
        <f t="shared" si="2"/>
        <v>203.98800000000119</v>
      </c>
      <c r="U11" s="82">
        <f t="shared" si="16"/>
        <v>1599.2659200000094</v>
      </c>
      <c r="V11" s="82">
        <f>417157.3-416962.4</f>
        <v>194.89999999996508</v>
      </c>
      <c r="W11" s="82">
        <f>161114.93-160930.92</f>
        <v>184.00999999998021</v>
      </c>
      <c r="X11" s="85" t="s">
        <v>63</v>
      </c>
      <c r="Y11" s="5">
        <v>1057518</v>
      </c>
      <c r="Z11" s="5">
        <f t="shared" si="10"/>
        <v>728</v>
      </c>
      <c r="AA11" s="14">
        <f t="shared" si="6"/>
        <v>4710.16</v>
      </c>
      <c r="AB11" s="86">
        <v>12549618</v>
      </c>
      <c r="AC11" s="86">
        <f t="shared" si="11"/>
        <v>12527440</v>
      </c>
      <c r="AD11" s="14">
        <f t="shared" si="3"/>
        <v>22178</v>
      </c>
      <c r="AE11" s="82">
        <f t="shared" si="12"/>
        <v>7272.1440219999995</v>
      </c>
      <c r="AF11" s="82">
        <f>99083.1-99047.1</f>
        <v>36</v>
      </c>
      <c r="AG11" s="82">
        <f t="shared" si="7"/>
        <v>0</v>
      </c>
      <c r="AH11" s="82">
        <f>31357.4-31342</f>
        <v>15.400000000001455</v>
      </c>
      <c r="AI11" s="86">
        <f t="shared" si="13"/>
        <v>53483</v>
      </c>
      <c r="AJ11" s="86">
        <v>53512.4</v>
      </c>
      <c r="AK11" s="47">
        <f t="shared" si="8"/>
        <v>29.400000000001455</v>
      </c>
      <c r="AL11" s="88">
        <f t="shared" si="4"/>
        <v>8359.7470010464131</v>
      </c>
      <c r="AM11" s="82">
        <f t="shared" si="14"/>
        <v>2741.1526818961179</v>
      </c>
      <c r="AN11" s="70">
        <v>127</v>
      </c>
      <c r="AO11" s="77">
        <f t="shared" si="5"/>
        <v>20996.169942000008</v>
      </c>
    </row>
    <row r="12" spans="1:44" x14ac:dyDescent="0.25">
      <c r="A12" s="78">
        <v>44688</v>
      </c>
      <c r="B12" s="85">
        <f>14040431-14034353</f>
        <v>6078</v>
      </c>
      <c r="C12" s="85">
        <f>9002788-8998866</f>
        <v>3922</v>
      </c>
      <c r="D12" s="85">
        <f>1786398-1785468</f>
        <v>930</v>
      </c>
      <c r="E12" s="85">
        <f>13513954-13506699</f>
        <v>7255</v>
      </c>
      <c r="F12" s="85">
        <f>13297242-13291046</f>
        <v>6196</v>
      </c>
      <c r="G12" s="85">
        <f>9204066-9201077</f>
        <v>2989</v>
      </c>
      <c r="H12" s="85">
        <f>10209654-10200726</f>
        <v>8928</v>
      </c>
      <c r="I12" s="85">
        <f>5913825-5911493</f>
        <v>2332</v>
      </c>
      <c r="J12" s="85">
        <f>13671414-13664280</f>
        <v>7134</v>
      </c>
      <c r="K12" s="85">
        <f t="shared" si="15"/>
        <v>36298</v>
      </c>
      <c r="L12" s="14">
        <f t="shared" si="9"/>
        <v>7259.6</v>
      </c>
      <c r="M12" s="82">
        <f>29397.729-29208.661</f>
        <v>189.0679999999993</v>
      </c>
      <c r="N12" s="82">
        <f>4958.723-4954.925</f>
        <v>3.7979999999997744</v>
      </c>
      <c r="O12" s="82">
        <f>10493.932-10493.608</f>
        <v>0.32400000000052387</v>
      </c>
      <c r="P12" s="81">
        <f>12516.303-12435.441</f>
        <v>80.861999999999171</v>
      </c>
      <c r="Q12" s="82">
        <f>29020.381-29002.406</f>
        <v>17.975000000002183</v>
      </c>
      <c r="R12" s="82">
        <f t="shared" si="0"/>
        <v>84.983999999999469</v>
      </c>
      <c r="S12" s="82">
        <f t="shared" si="1"/>
        <v>666.27455999999586</v>
      </c>
      <c r="T12" s="82">
        <f t="shared" si="2"/>
        <v>207.04300000000148</v>
      </c>
      <c r="U12" s="82">
        <f t="shared" si="16"/>
        <v>1623.2171200000116</v>
      </c>
      <c r="V12" s="82">
        <f>417358.9-417157.3</f>
        <v>201.60000000003492</v>
      </c>
      <c r="W12" s="82">
        <f>161323.69-161114.93</f>
        <v>208.76000000000931</v>
      </c>
      <c r="X12" s="85" t="s">
        <v>63</v>
      </c>
      <c r="Y12" s="5">
        <v>1058315</v>
      </c>
      <c r="Z12" s="5">
        <f t="shared" si="10"/>
        <v>797</v>
      </c>
      <c r="AA12" s="14">
        <f t="shared" si="6"/>
        <v>5156.59</v>
      </c>
      <c r="AB12" s="86">
        <v>12574933</v>
      </c>
      <c r="AC12" s="86">
        <f t="shared" si="11"/>
        <v>12549618</v>
      </c>
      <c r="AD12" s="14">
        <f t="shared" si="3"/>
        <v>25315</v>
      </c>
      <c r="AE12" s="82">
        <f t="shared" si="12"/>
        <v>8300.7631849999998</v>
      </c>
      <c r="AF12" s="82">
        <f>99123.1-99083.1</f>
        <v>40</v>
      </c>
      <c r="AG12" s="82">
        <f t="shared" si="7"/>
        <v>0</v>
      </c>
      <c r="AH12" s="82">
        <f>31372-31357.4</f>
        <v>14.599999999998545</v>
      </c>
      <c r="AI12" s="86">
        <f t="shared" si="13"/>
        <v>53512.4</v>
      </c>
      <c r="AJ12" s="86">
        <v>53543.199999999997</v>
      </c>
      <c r="AK12" s="47">
        <f t="shared" si="8"/>
        <v>30.799999999995634</v>
      </c>
      <c r="AL12" s="88">
        <f t="shared" si="4"/>
        <v>8757.830191570758</v>
      </c>
      <c r="AM12" s="82">
        <f t="shared" si="14"/>
        <v>2871.6837619858597</v>
      </c>
      <c r="AN12" s="70">
        <v>92</v>
      </c>
      <c r="AO12" s="77">
        <f t="shared" si="5"/>
        <v>22340.170305000014</v>
      </c>
    </row>
    <row r="13" spans="1:44" x14ac:dyDescent="0.25">
      <c r="A13" s="78">
        <v>44689</v>
      </c>
      <c r="B13" s="85">
        <f>14046842-14040431</f>
        <v>6411</v>
      </c>
      <c r="C13" s="85">
        <f>9006720-9002788</f>
        <v>3932</v>
      </c>
      <c r="D13" s="85">
        <f>1787283-1786398</f>
        <v>885</v>
      </c>
      <c r="E13" s="85">
        <f>13519903-13513954</f>
        <v>5949</v>
      </c>
      <c r="F13" s="85">
        <f>13302954-13297242</f>
        <v>5712</v>
      </c>
      <c r="G13" s="85">
        <f>9206755-9204066</f>
        <v>2689</v>
      </c>
      <c r="H13" s="85">
        <f>10218436-10209654</f>
        <v>8782</v>
      </c>
      <c r="I13" s="85">
        <f>5916122-5913825</f>
        <v>2297</v>
      </c>
      <c r="J13" s="85">
        <f>13678447-13671414</f>
        <v>7033</v>
      </c>
      <c r="K13" s="85">
        <f t="shared" si="15"/>
        <v>34360</v>
      </c>
      <c r="L13" s="14">
        <f t="shared" si="9"/>
        <v>6872</v>
      </c>
      <c r="M13" s="82">
        <f>29592.982-29397.729</f>
        <v>195.25300000000061</v>
      </c>
      <c r="N13" s="82">
        <f>4960.439-4958.723</f>
        <v>1.7160000000003492</v>
      </c>
      <c r="O13" s="82">
        <f>10493.963-10493.932</f>
        <v>3.0999999999039574E-2</v>
      </c>
      <c r="P13" s="81">
        <f>12588.154-12516.303</f>
        <v>71.851000000000568</v>
      </c>
      <c r="Q13" s="82">
        <f>29028.06-29020.381</f>
        <v>7.6790000000000873</v>
      </c>
      <c r="R13" s="82">
        <f t="shared" si="0"/>
        <v>73.597999999999956</v>
      </c>
      <c r="S13" s="82">
        <f t="shared" si="1"/>
        <v>577.00831999999969</v>
      </c>
      <c r="T13" s="82">
        <f t="shared" si="2"/>
        <v>202.9320000000007</v>
      </c>
      <c r="U13" s="82">
        <f t="shared" si="16"/>
        <v>1590.9868800000054</v>
      </c>
      <c r="V13" s="82">
        <f>417623.4-417358.9</f>
        <v>264.5</v>
      </c>
      <c r="W13" s="82">
        <f>161519.87-161323.69</f>
        <v>196.17999999999302</v>
      </c>
      <c r="X13" s="85" t="s">
        <v>63</v>
      </c>
      <c r="Y13" s="5">
        <v>1059124</v>
      </c>
      <c r="Z13" s="5">
        <f t="shared" si="10"/>
        <v>809</v>
      </c>
      <c r="AA13" s="14">
        <f t="shared" si="6"/>
        <v>5234.2299999999996</v>
      </c>
      <c r="AB13" s="86">
        <v>12598601</v>
      </c>
      <c r="AC13" s="86">
        <f t="shared" si="11"/>
        <v>12574933</v>
      </c>
      <c r="AD13" s="14">
        <f t="shared" si="3"/>
        <v>23668</v>
      </c>
      <c r="AE13" s="82">
        <f t="shared" si="12"/>
        <v>7760.7135319999998</v>
      </c>
      <c r="AF13" s="82">
        <f>99160-99123.1</f>
        <v>36.899999999994179</v>
      </c>
      <c r="AG13" s="82">
        <f t="shared" si="7"/>
        <v>0</v>
      </c>
      <c r="AH13" s="82">
        <f>31385.3-31372</f>
        <v>13.299999999999272</v>
      </c>
      <c r="AI13" s="86">
        <f t="shared" si="13"/>
        <v>53543.199999999997</v>
      </c>
      <c r="AJ13" s="86">
        <v>53573.4</v>
      </c>
      <c r="AK13" s="47">
        <f t="shared" si="8"/>
        <v>30.200000000004366</v>
      </c>
      <c r="AL13" s="88">
        <f t="shared" si="4"/>
        <v>8587.2231099192413</v>
      </c>
      <c r="AM13" s="82">
        <f t="shared" si="14"/>
        <v>2815.7418705194091</v>
      </c>
      <c r="AN13" s="70">
        <v>98</v>
      </c>
      <c r="AO13" s="77">
        <f t="shared" si="5"/>
        <v>21457.930412000005</v>
      </c>
    </row>
    <row r="14" spans="1:44" x14ac:dyDescent="0.25">
      <c r="A14" s="78">
        <v>44690</v>
      </c>
      <c r="B14" s="85">
        <f>14053415-14046842</f>
        <v>6573</v>
      </c>
      <c r="C14" s="85">
        <f>9010917-9006720</f>
        <v>4197</v>
      </c>
      <c r="D14" s="85">
        <f>1788164-1787283</f>
        <v>881</v>
      </c>
      <c r="E14" s="85">
        <f>13526592-13519903</f>
        <v>6689</v>
      </c>
      <c r="F14" s="85">
        <f>13308983-13302954</f>
        <v>6029</v>
      </c>
      <c r="G14" s="85">
        <f>9209580-9206755</f>
        <v>2825</v>
      </c>
      <c r="H14" s="85">
        <f>10227676-10218436</f>
        <v>9240</v>
      </c>
      <c r="I14" s="85">
        <f>5918545-5916122</f>
        <v>2423</v>
      </c>
      <c r="J14" s="85">
        <f>13685498-13678447</f>
        <v>7051</v>
      </c>
      <c r="K14" s="85">
        <f t="shared" si="15"/>
        <v>36434</v>
      </c>
      <c r="L14" s="14">
        <f t="shared" si="9"/>
        <v>7286.8</v>
      </c>
      <c r="M14" s="82">
        <f>29774.11-29592.982</f>
        <v>181.12800000000061</v>
      </c>
      <c r="N14" s="82">
        <f>4964.037-4960.439</f>
        <v>3.5979999999999563</v>
      </c>
      <c r="O14" s="82">
        <f>10494.203-10493.963</f>
        <v>0.23999999999978172</v>
      </c>
      <c r="P14" s="81">
        <f>12662.837-12588.154</f>
        <v>74.682999999999083</v>
      </c>
      <c r="Q14" s="82">
        <f>29044.888-29028.06</f>
        <v>16.827999999997701</v>
      </c>
      <c r="R14" s="82">
        <f>N14+O14+P14</f>
        <v>78.520999999998821</v>
      </c>
      <c r="S14" s="82">
        <f t="shared" si="1"/>
        <v>615.6046399999907</v>
      </c>
      <c r="T14" s="82">
        <f t="shared" si="2"/>
        <v>197.95599999999831</v>
      </c>
      <c r="U14" s="82">
        <f t="shared" si="16"/>
        <v>1551.9750399999868</v>
      </c>
      <c r="V14" s="82">
        <f>417877-417623.4</f>
        <v>253.59999999997672</v>
      </c>
      <c r="W14" s="82">
        <f>161706.79-161519.87</f>
        <v>186.92000000001281</v>
      </c>
      <c r="X14" s="85" t="s">
        <v>63</v>
      </c>
      <c r="Y14" s="5">
        <v>1059935</v>
      </c>
      <c r="Z14" s="5">
        <f t="shared" si="10"/>
        <v>811</v>
      </c>
      <c r="AA14" s="14">
        <f t="shared" si="6"/>
        <v>5247.17</v>
      </c>
      <c r="AB14" s="86">
        <v>12622740</v>
      </c>
      <c r="AC14" s="86">
        <f t="shared" si="11"/>
        <v>12598601</v>
      </c>
      <c r="AD14" s="14">
        <f t="shared" si="3"/>
        <v>24139</v>
      </c>
      <c r="AE14" s="82">
        <f t="shared" si="12"/>
        <v>7915.153961</v>
      </c>
      <c r="AF14" s="82">
        <f>99197.9-99160</f>
        <v>37.899999999994179</v>
      </c>
      <c r="AG14" s="82">
        <f t="shared" ref="AG14:AG21" si="17">50692.5-50692.5</f>
        <v>0</v>
      </c>
      <c r="AH14" s="82">
        <f>31397.9-31385.3</f>
        <v>12.600000000002183</v>
      </c>
      <c r="AI14" s="86">
        <f t="shared" si="13"/>
        <v>53573.4</v>
      </c>
      <c r="AJ14" s="86">
        <v>53606.9</v>
      </c>
      <c r="AK14" s="47">
        <f t="shared" si="8"/>
        <v>33.5</v>
      </c>
      <c r="AL14" s="88">
        <f t="shared" si="4"/>
        <v>9525.5620590149992</v>
      </c>
      <c r="AM14" s="82">
        <f t="shared" si="14"/>
        <v>3123.4222735889593</v>
      </c>
      <c r="AN14" s="70">
        <v>131</v>
      </c>
      <c r="AO14" s="77">
        <f t="shared" si="5"/>
        <v>22001.099000999988</v>
      </c>
    </row>
    <row r="15" spans="1:44" x14ac:dyDescent="0.25">
      <c r="A15" s="78">
        <v>44691</v>
      </c>
      <c r="B15" s="85">
        <f>14061666-14053415</f>
        <v>8251</v>
      </c>
      <c r="C15" s="85">
        <f>9015154-9010917</f>
        <v>4237</v>
      </c>
      <c r="D15" s="85">
        <f>1789048-1788164</f>
        <v>884</v>
      </c>
      <c r="E15" s="85">
        <f>13533749-13526592</f>
        <v>7157</v>
      </c>
      <c r="F15" s="85">
        <f>13314667-13308983</f>
        <v>5684</v>
      </c>
      <c r="G15" s="85">
        <f>9212266-9209580</f>
        <v>2686</v>
      </c>
      <c r="H15" s="85">
        <f>10236758-10227676</f>
        <v>9082</v>
      </c>
      <c r="I15" s="85">
        <f>5920922-5918545</f>
        <v>2377</v>
      </c>
      <c r="J15" s="85">
        <f>13692474-13685498</f>
        <v>6976</v>
      </c>
      <c r="K15" s="85">
        <f t="shared" si="15"/>
        <v>37981</v>
      </c>
      <c r="L15" s="14">
        <f t="shared" si="9"/>
        <v>7596.2000000000007</v>
      </c>
      <c r="M15" s="82">
        <f>29950.116-29774.11</f>
        <v>176.00600000000122</v>
      </c>
      <c r="N15" s="82">
        <f>4966.977-4964.44</f>
        <v>2.5370000000002619</v>
      </c>
      <c r="O15" s="82">
        <f>10494.228-10494.203</f>
        <v>2.4999999999636202E-2</v>
      </c>
      <c r="P15" s="81">
        <f>12731.601-12662.84</f>
        <v>68.761000000000422</v>
      </c>
      <c r="Q15" s="82">
        <f>29069.397-29044.888</f>
        <v>24.509000000001834</v>
      </c>
      <c r="R15" s="82">
        <f t="shared" si="0"/>
        <v>71.32300000000032</v>
      </c>
      <c r="S15" s="82">
        <f t="shared" si="1"/>
        <v>559.17232000000251</v>
      </c>
      <c r="T15" s="82">
        <f t="shared" si="2"/>
        <v>200.51500000000306</v>
      </c>
      <c r="U15" s="82">
        <f t="shared" si="16"/>
        <v>1572.037600000024</v>
      </c>
      <c r="V15" s="82">
        <f>418068.8-417877</f>
        <v>191.79999999998836</v>
      </c>
      <c r="W15" s="82">
        <f>161878.81-161706.79</f>
        <v>172.01999999998952</v>
      </c>
      <c r="X15" s="85" t="s">
        <v>63</v>
      </c>
      <c r="Y15" s="5">
        <v>1060650</v>
      </c>
      <c r="Z15" s="5">
        <f t="shared" si="10"/>
        <v>715</v>
      </c>
      <c r="AA15" s="14">
        <f t="shared" si="6"/>
        <v>4626.05</v>
      </c>
      <c r="AB15" s="86">
        <v>12644868</v>
      </c>
      <c r="AC15" s="86">
        <f t="shared" si="11"/>
        <v>12622740</v>
      </c>
      <c r="AD15" s="14">
        <f t="shared" si="3"/>
        <v>22128</v>
      </c>
      <c r="AE15" s="82">
        <f t="shared" si="12"/>
        <v>7255.7490719999996</v>
      </c>
      <c r="AF15" s="82">
        <f>99234.3-99197.9</f>
        <v>36.400000000008731</v>
      </c>
      <c r="AG15" s="82">
        <f t="shared" si="17"/>
        <v>0</v>
      </c>
      <c r="AH15" s="82">
        <f>31409-31397.9</f>
        <v>11.099999999998545</v>
      </c>
      <c r="AI15" s="86">
        <f t="shared" si="13"/>
        <v>53606.9</v>
      </c>
      <c r="AJ15" s="86">
        <v>53636.7</v>
      </c>
      <c r="AK15" s="47">
        <f t="shared" si="8"/>
        <v>29.799999999995634</v>
      </c>
      <c r="AL15" s="88">
        <f t="shared" si="4"/>
        <v>8473.4850554807581</v>
      </c>
      <c r="AM15" s="82">
        <f t="shared" si="14"/>
        <v>2778.447276207085</v>
      </c>
      <c r="AN15" s="70">
        <v>169</v>
      </c>
      <c r="AO15" s="87">
        <f t="shared" si="5"/>
        <v>21050.036672000024</v>
      </c>
    </row>
    <row r="16" spans="1:44" x14ac:dyDescent="0.25">
      <c r="A16" s="78">
        <v>44692</v>
      </c>
      <c r="B16" s="85">
        <f>14069493-14061666</f>
        <v>7827</v>
      </c>
      <c r="C16" s="85">
        <f>9019387-9015154</f>
        <v>4233</v>
      </c>
      <c r="D16" s="85">
        <f>1789951-1789048</f>
        <v>903</v>
      </c>
      <c r="E16" s="85">
        <f>13541096-13533749</f>
        <v>7347</v>
      </c>
      <c r="F16" s="85">
        <f>13320567-13314667</f>
        <v>5900</v>
      </c>
      <c r="G16" s="85">
        <f>9215074-9212266</f>
        <v>2808</v>
      </c>
      <c r="H16" s="85">
        <f>10246027-10236758</f>
        <v>9269</v>
      </c>
      <c r="I16" s="85">
        <f>5923295-5920922</f>
        <v>2373</v>
      </c>
      <c r="J16" s="85">
        <f>13699641-13692474</f>
        <v>7167</v>
      </c>
      <c r="K16" s="85">
        <f t="shared" si="15"/>
        <v>38287</v>
      </c>
      <c r="L16" s="14">
        <f t="shared" si="9"/>
        <v>7657.4000000000005</v>
      </c>
      <c r="M16" s="82">
        <f>30133.116-29950.116</f>
        <v>183</v>
      </c>
      <c r="N16" s="82">
        <f>4970.861-4966.977</f>
        <v>3.8840000000000146</v>
      </c>
      <c r="O16" s="82">
        <f>10494.507-10494.228</f>
        <v>0.27900000000045111</v>
      </c>
      <c r="P16" s="81">
        <f>12765.119-12731.601</f>
        <v>33.518000000000029</v>
      </c>
      <c r="Q16" s="82">
        <f>29084.036-29069.397</f>
        <v>14.638999999999214</v>
      </c>
      <c r="R16" s="82">
        <f t="shared" si="0"/>
        <v>37.681000000000495</v>
      </c>
      <c r="S16" s="82">
        <f t="shared" si="1"/>
        <v>295.41904000000386</v>
      </c>
      <c r="T16" s="82">
        <f t="shared" si="2"/>
        <v>197.63899999999921</v>
      </c>
      <c r="U16" s="82">
        <f t="shared" si="16"/>
        <v>1549.4897599999938</v>
      </c>
      <c r="V16" s="82">
        <f>418263.3-418068.8</f>
        <v>194.5</v>
      </c>
      <c r="W16" s="82">
        <f>162010.35-161878.81</f>
        <v>131.54000000000815</v>
      </c>
      <c r="X16" s="85" t="s">
        <v>63</v>
      </c>
      <c r="Y16" s="5">
        <v>1061364</v>
      </c>
      <c r="Z16" s="5">
        <f t="shared" si="10"/>
        <v>714</v>
      </c>
      <c r="AA16" s="14">
        <f t="shared" si="6"/>
        <v>4619.58</v>
      </c>
      <c r="AB16" s="86">
        <v>12667111</v>
      </c>
      <c r="AC16" s="86">
        <f t="shared" si="11"/>
        <v>12644868</v>
      </c>
      <c r="AD16" s="14">
        <f t="shared" si="3"/>
        <v>22243</v>
      </c>
      <c r="AE16" s="82">
        <f t="shared" si="12"/>
        <v>7293.4574569999995</v>
      </c>
      <c r="AF16" s="82">
        <f>99269.2-99234.3</f>
        <v>34.899999999994179</v>
      </c>
      <c r="AG16" s="82">
        <f t="shared" si="17"/>
        <v>0</v>
      </c>
      <c r="AH16" s="82">
        <f>31420.4-31409</f>
        <v>11.400000000001455</v>
      </c>
      <c r="AI16" s="86">
        <f t="shared" si="13"/>
        <v>53636.7</v>
      </c>
      <c r="AJ16" s="86">
        <v>53668.3</v>
      </c>
      <c r="AK16" s="47">
        <f t="shared" si="8"/>
        <v>31.600000000005821</v>
      </c>
      <c r="AL16" s="88">
        <f t="shared" si="4"/>
        <v>8985.3063004456544</v>
      </c>
      <c r="AM16" s="82">
        <f t="shared" si="14"/>
        <v>2946.2729506098294</v>
      </c>
      <c r="AN16" s="70">
        <v>144</v>
      </c>
      <c r="AO16" s="77">
        <f t="shared" si="5"/>
        <v>21119.927216999993</v>
      </c>
    </row>
    <row r="17" spans="1:41" x14ac:dyDescent="0.25">
      <c r="A17" s="78">
        <v>44693</v>
      </c>
      <c r="B17" s="85">
        <f>14077217-14069493</f>
        <v>7724</v>
      </c>
      <c r="C17" s="85">
        <f>9023637-9019387</f>
        <v>4250</v>
      </c>
      <c r="D17" s="85">
        <f>1790862-1789951</f>
        <v>911</v>
      </c>
      <c r="E17" s="85">
        <f>13547833-13541096</f>
        <v>6737</v>
      </c>
      <c r="F17" s="85">
        <f>13326442-13320567</f>
        <v>5875</v>
      </c>
      <c r="G17" s="85">
        <f>9217945-9215074</f>
        <v>2871</v>
      </c>
      <c r="H17" s="85">
        <f>10255298-10246027</f>
        <v>9271</v>
      </c>
      <c r="I17" s="85">
        <f>5925702-5923295</f>
        <v>2407</v>
      </c>
      <c r="J17" s="85">
        <f>13706862-13699641</f>
        <v>7221</v>
      </c>
      <c r="K17" s="85">
        <f t="shared" si="15"/>
        <v>37639</v>
      </c>
      <c r="L17" s="14">
        <f t="shared" si="9"/>
        <v>7527.8</v>
      </c>
      <c r="M17" s="82">
        <f>30322.321-30133.116</f>
        <v>189.20499999999811</v>
      </c>
      <c r="N17" s="82">
        <f>4973.509-4970.861</f>
        <v>2.6480000000001382</v>
      </c>
      <c r="O17" s="82">
        <f>10494.61-10494.507</f>
        <v>0.10300000000097498</v>
      </c>
      <c r="P17" s="81">
        <f>12801.08-12765.119</f>
        <v>35.960999999999331</v>
      </c>
      <c r="Q17" s="82">
        <f>29096.116-29084.036</f>
        <v>12.080000000001746</v>
      </c>
      <c r="R17" s="82">
        <f t="shared" si="0"/>
        <v>38.712000000000444</v>
      </c>
      <c r="S17" s="82">
        <f t="shared" si="1"/>
        <v>303.5020800000035</v>
      </c>
      <c r="T17" s="82">
        <f t="shared" si="2"/>
        <v>201.28499999999985</v>
      </c>
      <c r="U17" s="82">
        <f t="shared" si="16"/>
        <v>1578.0743999999988</v>
      </c>
      <c r="V17" s="82">
        <f>418509.3-418263.3</f>
        <v>246</v>
      </c>
      <c r="W17" s="82">
        <f>162188.39-162010.35</f>
        <v>178.04000000000815</v>
      </c>
      <c r="X17" s="85" t="s">
        <v>63</v>
      </c>
      <c r="Y17" s="5">
        <v>1062150</v>
      </c>
      <c r="Z17" s="5">
        <f t="shared" si="10"/>
        <v>786</v>
      </c>
      <c r="AA17" s="14">
        <f t="shared" si="6"/>
        <v>5085.42</v>
      </c>
      <c r="AB17" s="86">
        <v>12694474</v>
      </c>
      <c r="AC17" s="86">
        <f t="shared" si="11"/>
        <v>12667111</v>
      </c>
      <c r="AD17" s="14">
        <f t="shared" si="3"/>
        <v>27363</v>
      </c>
      <c r="AE17" s="82">
        <f t="shared" si="12"/>
        <v>8972.3003370000006</v>
      </c>
      <c r="AF17" s="82">
        <f>99316.8-99269.2</f>
        <v>47.600000000005821</v>
      </c>
      <c r="AG17" s="82">
        <f t="shared" si="17"/>
        <v>0</v>
      </c>
      <c r="AH17" s="82">
        <f>31432.4-31420.4</f>
        <v>12</v>
      </c>
      <c r="AI17" s="86">
        <f t="shared" si="13"/>
        <v>53668.3</v>
      </c>
      <c r="AJ17" s="86">
        <v>53700</v>
      </c>
      <c r="AK17" s="47">
        <f t="shared" si="8"/>
        <v>31.69999999999709</v>
      </c>
      <c r="AL17" s="88">
        <f t="shared" si="4"/>
        <v>9013.7408140521711</v>
      </c>
      <c r="AM17" s="82">
        <f t="shared" si="14"/>
        <v>2955.5965991868929</v>
      </c>
      <c r="AN17" s="70">
        <v>123</v>
      </c>
      <c r="AO17" s="77">
        <f t="shared" si="5"/>
        <v>23163.594736999999</v>
      </c>
    </row>
    <row r="18" spans="1:41" x14ac:dyDescent="0.25">
      <c r="A18" s="78">
        <v>44694</v>
      </c>
      <c r="B18" s="85">
        <f>14085085-14077217</f>
        <v>7868</v>
      </c>
      <c r="C18" s="85">
        <f>9027789-9023637</f>
        <v>4152</v>
      </c>
      <c r="D18" s="85">
        <f>1791809-1790862</f>
        <v>947</v>
      </c>
      <c r="E18" s="85">
        <f>13554169-13547833</f>
        <v>6336</v>
      </c>
      <c r="F18" s="85">
        <f>13332355-13326442</f>
        <v>5913</v>
      </c>
      <c r="G18" s="85">
        <f>9220724-9217945</f>
        <v>2779</v>
      </c>
      <c r="H18" s="85">
        <f>10264495-10255298</f>
        <v>9197</v>
      </c>
      <c r="I18" s="85">
        <f>5928068-5925702</f>
        <v>2366</v>
      </c>
      <c r="J18" s="85">
        <f>13714077-13706862</f>
        <v>7215</v>
      </c>
      <c r="K18" s="85">
        <f t="shared" si="15"/>
        <v>37192</v>
      </c>
      <c r="L18" s="14">
        <f t="shared" si="9"/>
        <v>7438.4000000000005</v>
      </c>
      <c r="M18" s="82">
        <f>30518.73-30322.321</f>
        <v>196.40899999999965</v>
      </c>
      <c r="N18" s="82">
        <f>4976.733-4973.509</f>
        <v>3.2240000000001601</v>
      </c>
      <c r="O18" s="82">
        <f>10494.834-10494.61</f>
        <v>0.22400000000016007</v>
      </c>
      <c r="P18" s="81">
        <f>12964.78-12801.08</f>
        <v>163.70000000000073</v>
      </c>
      <c r="Q18" s="82">
        <f>29120.206-29096.116</f>
        <v>24.089999999996508</v>
      </c>
      <c r="R18" s="82">
        <f t="shared" si="0"/>
        <v>167.14800000000105</v>
      </c>
      <c r="S18" s="82">
        <f t="shared" si="1"/>
        <v>1310.4403200000081</v>
      </c>
      <c r="T18" s="82">
        <f t="shared" si="2"/>
        <v>220.49899999999616</v>
      </c>
      <c r="U18" s="82">
        <f t="shared" si="16"/>
        <v>1728.7121599999698</v>
      </c>
      <c r="V18" s="82">
        <f>418788.3-418509.5</f>
        <v>278.79999999998836</v>
      </c>
      <c r="W18" s="82">
        <f>162389.16-162188.39</f>
        <v>200.76999999998952</v>
      </c>
      <c r="X18" s="85" t="s">
        <v>63</v>
      </c>
      <c r="Y18" s="5">
        <v>1063002</v>
      </c>
      <c r="Z18" s="5">
        <f t="shared" si="10"/>
        <v>852</v>
      </c>
      <c r="AA18" s="14">
        <f t="shared" si="6"/>
        <v>5512.44</v>
      </c>
      <c r="AB18" s="86">
        <v>12717697</v>
      </c>
      <c r="AC18" s="86">
        <f t="shared" si="11"/>
        <v>12694474</v>
      </c>
      <c r="AD18" s="14">
        <f t="shared" si="3"/>
        <v>23223</v>
      </c>
      <c r="AE18" s="82">
        <f t="shared" si="12"/>
        <v>7614.7984770000003</v>
      </c>
      <c r="AF18" s="81">
        <f>99354.3-99316.8</f>
        <v>37.5</v>
      </c>
      <c r="AG18" s="82">
        <f t="shared" si="17"/>
        <v>0</v>
      </c>
      <c r="AH18" s="81">
        <f>31443.7-31432.4</f>
        <v>11.299999999999272</v>
      </c>
      <c r="AI18" s="86">
        <f t="shared" si="13"/>
        <v>53700</v>
      </c>
      <c r="AJ18" s="86">
        <v>53730.400000000001</v>
      </c>
      <c r="AK18" s="47">
        <f t="shared" si="8"/>
        <v>30.400000000001455</v>
      </c>
      <c r="AL18" s="88">
        <f t="shared" si="4"/>
        <v>8644.0921371364129</v>
      </c>
      <c r="AM18" s="82">
        <f t="shared" si="14"/>
        <v>2834.3891676748926</v>
      </c>
      <c r="AN18" s="70">
        <v>94</v>
      </c>
      <c r="AO18" s="77">
        <f t="shared" si="5"/>
        <v>22294.35063699997</v>
      </c>
    </row>
    <row r="19" spans="1:41" x14ac:dyDescent="0.25">
      <c r="A19" s="78">
        <v>44695</v>
      </c>
      <c r="B19" s="85">
        <f>14093302-14085085</f>
        <v>8217</v>
      </c>
      <c r="C19" s="85">
        <f>9031654-9027789</f>
        <v>3865</v>
      </c>
      <c r="D19" s="85">
        <f>1792723-1791809</f>
        <v>914</v>
      </c>
      <c r="E19" s="85">
        <f>13560392-13554169</f>
        <v>6223</v>
      </c>
      <c r="F19" s="85">
        <f>13338386-13332355</f>
        <v>6031</v>
      </c>
      <c r="G19" s="85">
        <f>9223392-9220724</f>
        <v>2668</v>
      </c>
      <c r="H19" s="85">
        <f>10273644-10264495</f>
        <v>9149</v>
      </c>
      <c r="I19" s="85">
        <f>5930380-5928068</f>
        <v>2312</v>
      </c>
      <c r="J19" s="85">
        <f>13721044-13714077</f>
        <v>6967</v>
      </c>
      <c r="K19" s="85">
        <f t="shared" si="15"/>
        <v>37067</v>
      </c>
      <c r="L19" s="14">
        <f t="shared" si="9"/>
        <v>7413.4000000000005</v>
      </c>
      <c r="M19" s="82">
        <f>30704.703-30518.73</f>
        <v>185.97300000000178</v>
      </c>
      <c r="N19" s="82">
        <f>4979.518-4976.733</f>
        <v>2.7849999999998545</v>
      </c>
      <c r="O19" s="82">
        <f>10494.87-10494.834</f>
        <v>3.6000000000058208E-2</v>
      </c>
      <c r="P19" s="81">
        <f>13037.578-12964.78</f>
        <v>72.797999999998865</v>
      </c>
      <c r="Q19" s="82">
        <f>29132.038-29120.206</f>
        <v>11.832000000002154</v>
      </c>
      <c r="R19" s="82">
        <f t="shared" si="0"/>
        <v>75.618999999998778</v>
      </c>
      <c r="S19" s="82">
        <f t="shared" si="1"/>
        <v>592.85295999999039</v>
      </c>
      <c r="T19" s="82">
        <f t="shared" si="2"/>
        <v>197.80500000000393</v>
      </c>
      <c r="U19" s="82">
        <f t="shared" si="16"/>
        <v>1550.7912000000308</v>
      </c>
      <c r="V19" s="82">
        <f>419062.9-418788.3</f>
        <v>274.60000000003492</v>
      </c>
      <c r="W19" s="82">
        <f>162588.91-162389.16</f>
        <v>199.75</v>
      </c>
      <c r="X19" s="85" t="s">
        <v>63</v>
      </c>
      <c r="Y19" s="5">
        <v>1063838</v>
      </c>
      <c r="Z19" s="5">
        <f t="shared" si="10"/>
        <v>836</v>
      </c>
      <c r="AA19" s="14">
        <f t="shared" si="6"/>
        <v>5408.92</v>
      </c>
      <c r="AB19" s="86">
        <v>12739079</v>
      </c>
      <c r="AC19" s="86">
        <f t="shared" si="11"/>
        <v>12717697</v>
      </c>
      <c r="AD19" s="14">
        <f t="shared" si="3"/>
        <v>21382</v>
      </c>
      <c r="AE19" s="82">
        <f t="shared" si="12"/>
        <v>7011.136418</v>
      </c>
      <c r="AF19" s="82">
        <f>99390-99354.3</f>
        <v>35.69999999999709</v>
      </c>
      <c r="AG19" s="82">
        <f t="shared" si="17"/>
        <v>0</v>
      </c>
      <c r="AH19" s="82">
        <f>31454.8-31443.7</f>
        <v>11.099999999998545</v>
      </c>
      <c r="AI19" s="86">
        <f t="shared" si="13"/>
        <v>53730.400000000001</v>
      </c>
      <c r="AJ19" s="86">
        <v>53760.800000000003</v>
      </c>
      <c r="AK19" s="47">
        <f t="shared" si="8"/>
        <v>30.400000000001455</v>
      </c>
      <c r="AL19" s="88">
        <f t="shared" si="4"/>
        <v>8644.0921371364129</v>
      </c>
      <c r="AM19" s="82">
        <f t="shared" si="14"/>
        <v>2834.3891676748926</v>
      </c>
      <c r="AN19" s="70">
        <v>97</v>
      </c>
      <c r="AO19" s="77">
        <f t="shared" si="5"/>
        <v>21384.24761800003</v>
      </c>
    </row>
    <row r="20" spans="1:41" x14ac:dyDescent="0.25">
      <c r="A20" s="78">
        <v>44696</v>
      </c>
      <c r="B20" s="85">
        <f>14100425-14093302</f>
        <v>7123</v>
      </c>
      <c r="C20" s="85">
        <f>9035500-9031654</f>
        <v>3846</v>
      </c>
      <c r="D20" s="85">
        <f>1793656-1792723</f>
        <v>933</v>
      </c>
      <c r="E20" s="85">
        <f>13566837-13560392</f>
        <v>6445</v>
      </c>
      <c r="F20" s="85">
        <f>13344259-13338386</f>
        <v>5873</v>
      </c>
      <c r="G20" s="85">
        <f>9226102-9223392</f>
        <v>2710</v>
      </c>
      <c r="H20" s="85">
        <f>10282820-10273644</f>
        <v>9176</v>
      </c>
      <c r="I20" s="85">
        <f>5932845-5930380</f>
        <v>2465</v>
      </c>
      <c r="J20" s="85">
        <f>13728191-13721044</f>
        <v>7147</v>
      </c>
      <c r="K20" s="85">
        <f t="shared" si="15"/>
        <v>36106</v>
      </c>
      <c r="L20" s="14">
        <f t="shared" si="9"/>
        <v>7221.2000000000007</v>
      </c>
      <c r="M20" s="82">
        <f>30892.49-30704.703</f>
        <v>187.78700000000026</v>
      </c>
      <c r="N20" s="82">
        <f>4982.387-4979.518</f>
        <v>2.8689999999996871</v>
      </c>
      <c r="O20" s="82">
        <f>10494.899-10494.87</f>
        <v>2.899999999863212E-2</v>
      </c>
      <c r="P20" s="81">
        <f>13109.599-13037.578</f>
        <v>72.02100000000064</v>
      </c>
      <c r="Q20" s="82">
        <f>29156.089-29132.038</f>
        <v>24.050999999999476</v>
      </c>
      <c r="R20" s="82">
        <f t="shared" si="0"/>
        <v>74.91899999999896</v>
      </c>
      <c r="S20" s="82">
        <f t="shared" si="1"/>
        <v>587.36495999999181</v>
      </c>
      <c r="T20" s="82">
        <f t="shared" si="2"/>
        <v>211.83799999999974</v>
      </c>
      <c r="U20" s="82">
        <f t="shared" si="16"/>
        <v>1660.8099199999979</v>
      </c>
      <c r="V20" s="82">
        <f>419340.7-419062.9</f>
        <v>277.79999999998836</v>
      </c>
      <c r="W20" s="82">
        <f>162773.21-162588.91</f>
        <v>184.29999999998836</v>
      </c>
      <c r="X20" s="85" t="s">
        <v>63</v>
      </c>
      <c r="Y20" s="5">
        <v>1064603</v>
      </c>
      <c r="Z20" s="5">
        <f t="shared" si="10"/>
        <v>765</v>
      </c>
      <c r="AA20" s="14">
        <f t="shared" si="6"/>
        <v>4949.55</v>
      </c>
      <c r="AB20" s="86">
        <v>12760802</v>
      </c>
      <c r="AC20" s="86">
        <f t="shared" si="11"/>
        <v>12739079</v>
      </c>
      <c r="AD20" s="14">
        <f t="shared" si="3"/>
        <v>21723</v>
      </c>
      <c r="AE20" s="82">
        <f t="shared" si="12"/>
        <v>7122.9499770000002</v>
      </c>
      <c r="AF20" s="82">
        <f>99424.8-99390</f>
        <v>34.80000000000291</v>
      </c>
      <c r="AG20" s="82">
        <f t="shared" si="17"/>
        <v>0</v>
      </c>
      <c r="AH20" s="82">
        <f>31466.1-31454.8</f>
        <v>11.299999999999272</v>
      </c>
      <c r="AI20" s="86">
        <f t="shared" si="13"/>
        <v>53760.800000000003</v>
      </c>
      <c r="AJ20" s="86">
        <v>53790.1</v>
      </c>
      <c r="AK20" s="47">
        <f t="shared" si="8"/>
        <v>29.299999999995634</v>
      </c>
      <c r="AL20" s="88">
        <f t="shared" si="4"/>
        <v>8331.3124874357582</v>
      </c>
      <c r="AM20" s="82">
        <f t="shared" si="14"/>
        <v>2731.8290333176978</v>
      </c>
      <c r="AN20" s="70">
        <v>98</v>
      </c>
      <c r="AO20" s="77">
        <f t="shared" si="5"/>
        <v>20954.509897</v>
      </c>
    </row>
    <row r="21" spans="1:41" x14ac:dyDescent="0.25">
      <c r="A21" s="78">
        <v>44697</v>
      </c>
      <c r="B21" s="85">
        <f>14107092-14100425</f>
        <v>6667</v>
      </c>
      <c r="C21" s="85">
        <f>9039369-9035500</f>
        <v>3869</v>
      </c>
      <c r="D21" s="85">
        <f>1794543-1793656</f>
        <v>887</v>
      </c>
      <c r="E21" s="85">
        <f>13573103-13566837</f>
        <v>6266</v>
      </c>
      <c r="F21" s="85">
        <f>13350031-13344259</f>
        <v>5772</v>
      </c>
      <c r="G21" s="85">
        <f>9228921-9226102</f>
        <v>2819</v>
      </c>
      <c r="H21" s="85">
        <f>10292063-10282820</f>
        <v>9243</v>
      </c>
      <c r="I21" s="85">
        <f>5935441-5932845</f>
        <v>2596</v>
      </c>
      <c r="J21" s="85">
        <f>13734962-13728191</f>
        <v>6771</v>
      </c>
      <c r="K21" s="85">
        <f t="shared" si="15"/>
        <v>35523</v>
      </c>
      <c r="L21" s="14">
        <f t="shared" si="9"/>
        <v>7104.6</v>
      </c>
      <c r="M21" s="82">
        <f>31082.467-30892.49</f>
        <v>189.97699999999895</v>
      </c>
      <c r="N21" s="82">
        <f>4985.945-4982.387</f>
        <v>3.5579999999999927</v>
      </c>
      <c r="O21" s="82">
        <f>10495.06-10494.899</f>
        <v>0.16100000000005821</v>
      </c>
      <c r="P21" s="81">
        <f>13176.365-13109.599</f>
        <v>66.765999999999622</v>
      </c>
      <c r="Q21" s="82">
        <f>29163.441-29156.089</f>
        <v>7.3519999999989523</v>
      </c>
      <c r="R21" s="82">
        <f t="shared" si="0"/>
        <v>70.484999999999673</v>
      </c>
      <c r="S21" s="82">
        <f t="shared" si="1"/>
        <v>552.60239999999737</v>
      </c>
      <c r="T21" s="82">
        <f t="shared" si="2"/>
        <v>197.3289999999979</v>
      </c>
      <c r="U21" s="82">
        <f t="shared" si="16"/>
        <v>1547.0593599999836</v>
      </c>
      <c r="V21" s="82">
        <f>419600.4-419340.7</f>
        <v>259.70000000001164</v>
      </c>
      <c r="W21" s="82">
        <f>162923.39-162773.21</f>
        <v>150.18000000002212</v>
      </c>
      <c r="X21" s="85" t="s">
        <v>63</v>
      </c>
      <c r="Y21" s="5">
        <v>1065347</v>
      </c>
      <c r="Z21" s="5">
        <f t="shared" si="10"/>
        <v>744</v>
      </c>
      <c r="AA21" s="14">
        <f t="shared" si="6"/>
        <v>4813.6799999999994</v>
      </c>
      <c r="AB21" s="86">
        <v>12783868</v>
      </c>
      <c r="AC21" s="86">
        <f t="shared" si="11"/>
        <v>12760802</v>
      </c>
      <c r="AD21" s="14">
        <f t="shared" si="3"/>
        <v>23066</v>
      </c>
      <c r="AE21" s="82">
        <f t="shared" si="12"/>
        <v>7563.3183339999996</v>
      </c>
      <c r="AF21" s="82">
        <f>99461.8-99424.8</f>
        <v>37</v>
      </c>
      <c r="AG21" s="82">
        <f t="shared" si="17"/>
        <v>0</v>
      </c>
      <c r="AH21" s="82">
        <f>31478.8-31466.1</f>
        <v>12.700000000000728</v>
      </c>
      <c r="AI21" s="86">
        <f t="shared" si="13"/>
        <v>53790.1</v>
      </c>
      <c r="AJ21" s="86">
        <v>53819.8</v>
      </c>
      <c r="AK21" s="47">
        <f t="shared" si="8"/>
        <v>29.700000000004366</v>
      </c>
      <c r="AL21" s="88">
        <f t="shared" si="4"/>
        <v>8445.0505418742414</v>
      </c>
      <c r="AM21" s="82">
        <f t="shared" si="14"/>
        <v>2769.1236276300219</v>
      </c>
      <c r="AN21" s="70">
        <v>97</v>
      </c>
      <c r="AO21" s="77">
        <f t="shared" si="5"/>
        <v>21028.657693999983</v>
      </c>
    </row>
    <row r="22" spans="1:41" x14ac:dyDescent="0.25">
      <c r="A22" s="78">
        <v>44698</v>
      </c>
      <c r="B22" s="85">
        <f>14114570-14107092</f>
        <v>7478</v>
      </c>
      <c r="C22" s="85">
        <f>9043470-9039369</f>
        <v>4101</v>
      </c>
      <c r="D22" s="85">
        <f>1795444-1794543</f>
        <v>901</v>
      </c>
      <c r="E22" s="85">
        <f>13579450-13573103</f>
        <v>6347</v>
      </c>
      <c r="F22" s="85">
        <f>13355835-13350031</f>
        <v>5804</v>
      </c>
      <c r="G22" s="85">
        <f>9231653-9228921</f>
        <v>2732</v>
      </c>
      <c r="H22" s="85">
        <f>10301321-10292063</f>
        <v>9258</v>
      </c>
      <c r="I22" s="85">
        <f>5937937-5935441</f>
        <v>2496</v>
      </c>
      <c r="J22" s="85">
        <f>13741982-13734964</f>
        <v>7018</v>
      </c>
      <c r="K22" s="85">
        <f t="shared" si="15"/>
        <v>36621</v>
      </c>
      <c r="L22" s="14">
        <f t="shared" si="9"/>
        <v>7324.2000000000007</v>
      </c>
      <c r="M22" s="82">
        <f>31261.934-31082.467</f>
        <v>179.46700000000055</v>
      </c>
      <c r="N22" s="82">
        <f>4989.981-4985.945</f>
        <v>4.0360000000000582</v>
      </c>
      <c r="O22" s="82">
        <f>10495.136-10495.06</f>
        <v>7.6000000000931323E-2</v>
      </c>
      <c r="P22" s="81">
        <f>13246.368-13176.365</f>
        <v>70.003000000000611</v>
      </c>
      <c r="Q22" s="82">
        <f>29172.23-29163.441</f>
        <v>8.7890000000006694</v>
      </c>
      <c r="R22" s="82">
        <f t="shared" si="0"/>
        <v>74.115000000001601</v>
      </c>
      <c r="S22" s="82">
        <f t="shared" si="1"/>
        <v>581.0616000000125</v>
      </c>
      <c r="T22" s="82">
        <f t="shared" si="2"/>
        <v>188.25600000000122</v>
      </c>
      <c r="U22" s="82">
        <f t="shared" si="16"/>
        <v>1475.9270400000096</v>
      </c>
      <c r="V22" s="82">
        <f>419867-419600.4</f>
        <v>266.59999999997672</v>
      </c>
      <c r="W22" s="82">
        <f>163083.91-162923.39</f>
        <v>160.51999999998952</v>
      </c>
      <c r="X22" s="85" t="s">
        <v>63</v>
      </c>
      <c r="Y22" s="86">
        <v>1066164</v>
      </c>
      <c r="Z22" s="5">
        <f t="shared" si="10"/>
        <v>817</v>
      </c>
      <c r="AA22" s="14">
        <f t="shared" si="6"/>
        <v>5285.99</v>
      </c>
      <c r="AB22" s="86">
        <v>12808117</v>
      </c>
      <c r="AC22" s="86">
        <f t="shared" si="11"/>
        <v>12783868</v>
      </c>
      <c r="AD22" s="14">
        <f t="shared" si="3"/>
        <v>24249</v>
      </c>
      <c r="AE22" s="82">
        <f t="shared" si="12"/>
        <v>7951.2228509999995</v>
      </c>
      <c r="AF22" s="82">
        <f>99502.6-99461.8</f>
        <v>40.80000000000291</v>
      </c>
      <c r="AG22" s="82">
        <f t="shared" ref="AG22:AG27" si="18">50692.5-50692.5</f>
        <v>0</v>
      </c>
      <c r="AH22" s="82">
        <f>31491.3-31478.8</f>
        <v>12.5</v>
      </c>
      <c r="AI22" s="86">
        <f t="shared" si="13"/>
        <v>53819.8</v>
      </c>
      <c r="AJ22" s="86">
        <v>53850.6</v>
      </c>
      <c r="AK22" s="47">
        <f t="shared" si="8"/>
        <v>30.799999999995634</v>
      </c>
      <c r="AL22" s="88">
        <f t="shared" si="4"/>
        <v>8757.830191570758</v>
      </c>
      <c r="AM22" s="82">
        <f t="shared" si="14"/>
        <v>2871.6837619858597</v>
      </c>
      <c r="AN22" s="70">
        <v>107</v>
      </c>
      <c r="AO22" s="77">
        <f t="shared" si="5"/>
        <v>22037.339891000011</v>
      </c>
    </row>
    <row r="23" spans="1:41" x14ac:dyDescent="0.25">
      <c r="A23" s="78">
        <v>44699</v>
      </c>
      <c r="B23" s="85">
        <f>14121844-14114570</f>
        <v>7274</v>
      </c>
      <c r="C23" s="85">
        <f>9047790-9043470</f>
        <v>4320</v>
      </c>
      <c r="D23" s="85">
        <f>1796338-1795444</f>
        <v>894</v>
      </c>
      <c r="E23" s="85">
        <f>13585842-13579450</f>
        <v>6392</v>
      </c>
      <c r="F23" s="85">
        <f>13361804-13355835</f>
        <v>5969</v>
      </c>
      <c r="G23" s="85">
        <f>9234545-9231653</f>
        <v>2892</v>
      </c>
      <c r="H23" s="85">
        <f>10310538-10301321</f>
        <v>9217</v>
      </c>
      <c r="I23" s="85">
        <f>5940467-5937937</f>
        <v>2530</v>
      </c>
      <c r="J23" s="85">
        <f>13749094-13741982</f>
        <v>7112</v>
      </c>
      <c r="K23" s="85">
        <f t="shared" si="15"/>
        <v>36958</v>
      </c>
      <c r="L23" s="14">
        <f t="shared" si="9"/>
        <v>7391.6</v>
      </c>
      <c r="M23" s="82">
        <f>31465.018-31261.934</f>
        <v>203.08399999999892</v>
      </c>
      <c r="N23" s="82">
        <f>4993.329-4989.981</f>
        <v>3.3479999999999563</v>
      </c>
      <c r="O23" s="82">
        <f>10495.179-10495.136</f>
        <v>4.2999999999665306E-2</v>
      </c>
      <c r="P23" s="81">
        <f>13316.01-13246.368</f>
        <v>69.641999999999825</v>
      </c>
      <c r="Q23" s="82">
        <f>29172.23-29172.23</f>
        <v>0</v>
      </c>
      <c r="R23" s="82">
        <f t="shared" si="0"/>
        <v>73.032999999999447</v>
      </c>
      <c r="S23" s="82">
        <f t="shared" si="1"/>
        <v>572.57871999999566</v>
      </c>
      <c r="T23" s="82">
        <f t="shared" si="2"/>
        <v>203.08399999999892</v>
      </c>
      <c r="U23" s="82">
        <f t="shared" si="16"/>
        <v>1592.1785599999914</v>
      </c>
      <c r="V23" s="82">
        <f>420131-419867</f>
        <v>264</v>
      </c>
      <c r="W23" s="82">
        <f>163267.91-163083.91</f>
        <v>184</v>
      </c>
      <c r="X23" s="85" t="s">
        <v>63</v>
      </c>
      <c r="Y23" s="86">
        <v>1066974</v>
      </c>
      <c r="Z23" s="5">
        <f t="shared" si="10"/>
        <v>810</v>
      </c>
      <c r="AA23" s="14">
        <f t="shared" si="6"/>
        <v>5240.7</v>
      </c>
      <c r="AB23" s="86">
        <v>12832800</v>
      </c>
      <c r="AC23" s="86">
        <f t="shared" si="11"/>
        <v>12808117</v>
      </c>
      <c r="AD23" s="14">
        <f t="shared" si="3"/>
        <v>24683</v>
      </c>
      <c r="AE23" s="82">
        <f t="shared" si="12"/>
        <v>8093.5310170000002</v>
      </c>
      <c r="AF23" s="82">
        <f>99544-99502.6</f>
        <v>41.399999999994179</v>
      </c>
      <c r="AG23" s="82">
        <f t="shared" si="18"/>
        <v>0</v>
      </c>
      <c r="AH23" s="82">
        <f>31503.3-31491.3</f>
        <v>12</v>
      </c>
      <c r="AI23" s="86">
        <f t="shared" si="13"/>
        <v>53850.6</v>
      </c>
      <c r="AJ23" s="86">
        <v>53881.599999999999</v>
      </c>
      <c r="AK23" s="47">
        <f t="shared" si="8"/>
        <v>31</v>
      </c>
      <c r="AL23" s="88">
        <f t="shared" si="4"/>
        <v>8814.6992187899996</v>
      </c>
      <c r="AM23" s="82">
        <f t="shared" si="14"/>
        <v>2890.3310591420222</v>
      </c>
      <c r="AN23" s="70">
        <v>122</v>
      </c>
      <c r="AO23" s="77">
        <f t="shared" si="5"/>
        <v>22318.009576999993</v>
      </c>
    </row>
    <row r="24" spans="1:41" x14ac:dyDescent="0.25">
      <c r="A24" s="78">
        <v>44700</v>
      </c>
      <c r="B24" s="85">
        <f>14127793-14121844</f>
        <v>5949</v>
      </c>
      <c r="C24" s="85">
        <f>9052177-9047790</f>
        <v>4387</v>
      </c>
      <c r="D24" s="85">
        <f>1797259-1796338</f>
        <v>921</v>
      </c>
      <c r="E24" s="85">
        <f>13592450-13585842</f>
        <v>6608</v>
      </c>
      <c r="F24" s="85">
        <f>13367565-13361804</f>
        <v>5761</v>
      </c>
      <c r="G24" s="85">
        <f>9237438-9234545</f>
        <v>2893</v>
      </c>
      <c r="H24" s="85">
        <f>10319503-10310538</f>
        <v>8965</v>
      </c>
      <c r="I24" s="85">
        <f>5942977-5940467</f>
        <v>2510</v>
      </c>
      <c r="J24" s="85">
        <f>13756252-13749094</f>
        <v>7158</v>
      </c>
      <c r="K24" s="85">
        <f t="shared" si="15"/>
        <v>35484</v>
      </c>
      <c r="L24" s="14">
        <f t="shared" si="9"/>
        <v>7096.8</v>
      </c>
      <c r="M24" s="82">
        <f>31685.353-31465.018</f>
        <v>220.33499999999913</v>
      </c>
      <c r="N24" s="82">
        <f>4996.478-4993.329</f>
        <v>3.149000000000342</v>
      </c>
      <c r="O24" s="82">
        <f>10495.361-10495.179</f>
        <v>0.18200000000069849</v>
      </c>
      <c r="P24" s="81">
        <f>13389.732-13316.01</f>
        <v>73.721999999999753</v>
      </c>
      <c r="Q24" s="82">
        <f>29203.007-29172.23</f>
        <v>30.777000000001863</v>
      </c>
      <c r="R24" s="82">
        <f t="shared" si="0"/>
        <v>77.053000000000793</v>
      </c>
      <c r="S24" s="82">
        <f t="shared" si="1"/>
        <v>604.09552000000622</v>
      </c>
      <c r="T24" s="82">
        <f t="shared" si="2"/>
        <v>251.11200000000099</v>
      </c>
      <c r="U24" s="82">
        <f t="shared" si="16"/>
        <v>1968.7180800000078</v>
      </c>
      <c r="V24" s="82">
        <f>420408-420131</f>
        <v>277</v>
      </c>
      <c r="W24" s="82">
        <f>163466.91-163267.91</f>
        <v>199</v>
      </c>
      <c r="X24" s="85" t="s">
        <v>63</v>
      </c>
      <c r="Y24" s="86">
        <v>1067814</v>
      </c>
      <c r="Z24" s="5">
        <f t="shared" si="10"/>
        <v>840</v>
      </c>
      <c r="AA24" s="14">
        <f t="shared" si="6"/>
        <v>5434.8</v>
      </c>
      <c r="AB24" s="86">
        <v>12857350</v>
      </c>
      <c r="AC24" s="86">
        <f t="shared" si="11"/>
        <v>12832800</v>
      </c>
      <c r="AD24" s="14">
        <f t="shared" si="3"/>
        <v>24550</v>
      </c>
      <c r="AE24" s="82">
        <f t="shared" si="12"/>
        <v>8049.9204499999996</v>
      </c>
      <c r="AF24" s="82">
        <f>99585.5-99544</f>
        <v>41.5</v>
      </c>
      <c r="AG24" s="82">
        <f t="shared" si="18"/>
        <v>0</v>
      </c>
      <c r="AH24" s="82">
        <f>31516.3-31503.3</f>
        <v>13</v>
      </c>
      <c r="AI24" s="86">
        <f t="shared" si="13"/>
        <v>53881.599999999999</v>
      </c>
      <c r="AJ24" s="86">
        <v>53916.6</v>
      </c>
      <c r="AK24" s="47">
        <f t="shared" si="8"/>
        <v>35</v>
      </c>
      <c r="AL24" s="88">
        <f t="shared" si="4"/>
        <v>9952.0797631499991</v>
      </c>
      <c r="AM24" s="82">
        <f t="shared" si="14"/>
        <v>3263.2770022571217</v>
      </c>
      <c r="AN24" s="70">
        <v>98</v>
      </c>
      <c r="AO24" s="77">
        <f t="shared" si="5"/>
        <v>22550.23853000001</v>
      </c>
    </row>
    <row r="25" spans="1:41" x14ac:dyDescent="0.25">
      <c r="A25" s="78">
        <v>44701</v>
      </c>
      <c r="B25" s="85">
        <f>14134768-14127793</f>
        <v>6975</v>
      </c>
      <c r="C25" s="85">
        <f>9055940-9052177</f>
        <v>3763</v>
      </c>
      <c r="D25" s="85">
        <f>1798150-1797259</f>
        <v>891</v>
      </c>
      <c r="E25" s="85">
        <f>13599128-13592450</f>
        <v>6678</v>
      </c>
      <c r="F25" s="85">
        <f>13373414-13367565</f>
        <v>5849</v>
      </c>
      <c r="G25" s="85">
        <f>9240129-9237438</f>
        <v>2691</v>
      </c>
      <c r="H25" s="85">
        <f>10328462-10319503</f>
        <v>8959</v>
      </c>
      <c r="I25" s="85">
        <f>5945416-5942977</f>
        <v>2439</v>
      </c>
      <c r="J25" s="85">
        <f>13763444-13756252</f>
        <v>7192</v>
      </c>
      <c r="K25" s="85">
        <f t="shared" si="15"/>
        <v>35806</v>
      </c>
      <c r="L25" s="14">
        <f t="shared" si="9"/>
        <v>7161.2000000000007</v>
      </c>
      <c r="M25" s="82">
        <f>31860.315-31685.353</f>
        <v>174.96199999999953</v>
      </c>
      <c r="N25" s="82">
        <f>4999.562-4996.478</f>
        <v>3.0839999999998327</v>
      </c>
      <c r="O25" s="82">
        <f>10495.581-10495.361</f>
        <v>0.21999999999934516</v>
      </c>
      <c r="P25" s="81">
        <f>13471.881-13389.732</f>
        <v>82.148999999999432</v>
      </c>
      <c r="Q25" s="82">
        <f>29217.612-29203.007</f>
        <v>14.604999999999563</v>
      </c>
      <c r="R25" s="82">
        <f t="shared" si="0"/>
        <v>85.45299999999861</v>
      </c>
      <c r="S25" s="82">
        <f t="shared" si="1"/>
        <v>669.95151999998905</v>
      </c>
      <c r="T25" s="82">
        <f t="shared" si="2"/>
        <v>189.5669999999991</v>
      </c>
      <c r="U25" s="82">
        <f t="shared" si="16"/>
        <v>1486.2052799999929</v>
      </c>
      <c r="V25" s="82">
        <f>420647-420408</f>
        <v>239</v>
      </c>
      <c r="W25" s="82">
        <f>163664.91-163466.91</f>
        <v>198</v>
      </c>
      <c r="X25" s="85" t="s">
        <v>63</v>
      </c>
      <c r="Y25" s="86">
        <v>1068594</v>
      </c>
      <c r="Z25" s="5">
        <f t="shared" si="10"/>
        <v>780</v>
      </c>
      <c r="AA25" s="14">
        <f t="shared" si="6"/>
        <v>5046.5999999999995</v>
      </c>
      <c r="AB25" s="86">
        <v>12882090</v>
      </c>
      <c r="AC25" s="86">
        <f t="shared" si="11"/>
        <v>12857350</v>
      </c>
      <c r="AD25" s="14">
        <f t="shared" si="3"/>
        <v>24740</v>
      </c>
      <c r="AE25" s="82">
        <f t="shared" si="12"/>
        <v>8112.2212600000003</v>
      </c>
      <c r="AF25" s="82">
        <f>99627.8-99585.5</f>
        <v>42.30000000000291</v>
      </c>
      <c r="AG25" s="82">
        <f t="shared" si="18"/>
        <v>0</v>
      </c>
      <c r="AH25" s="82">
        <f>31530-31516.3</f>
        <v>13.700000000000728</v>
      </c>
      <c r="AI25" s="86">
        <f t="shared" si="13"/>
        <v>53916.6</v>
      </c>
      <c r="AJ25" s="86">
        <v>53951.4</v>
      </c>
      <c r="AK25" s="47">
        <f t="shared" si="8"/>
        <v>34.80000000000291</v>
      </c>
      <c r="AL25" s="88">
        <f t="shared" si="4"/>
        <v>9895.2107359328274</v>
      </c>
      <c r="AM25" s="82">
        <f t="shared" si="14"/>
        <v>3244.6297051016381</v>
      </c>
      <c r="AN25" s="70">
        <v>69</v>
      </c>
      <c r="AO25" s="77">
        <f t="shared" si="5"/>
        <v>21806.226539999996</v>
      </c>
    </row>
    <row r="26" spans="1:41" x14ac:dyDescent="0.25">
      <c r="A26" s="78">
        <v>44702</v>
      </c>
      <c r="B26" s="85">
        <f>14141306-14134768</f>
        <v>6538</v>
      </c>
      <c r="C26" s="85">
        <f>9059631-9055940</f>
        <v>3691</v>
      </c>
      <c r="D26" s="85">
        <f>1799089-1798150</f>
        <v>939</v>
      </c>
      <c r="E26" s="85">
        <f>13605920-13599128</f>
        <v>6792</v>
      </c>
      <c r="F26" s="85">
        <f>13379627-13373414</f>
        <v>6213</v>
      </c>
      <c r="G26" s="85">
        <f>9242950-9240129</f>
        <v>2821</v>
      </c>
      <c r="H26" s="85">
        <f>10337585-10328462</f>
        <v>9123</v>
      </c>
      <c r="I26" s="85">
        <f>5947851-5945416</f>
        <v>2435</v>
      </c>
      <c r="J26" s="85">
        <f>13770887-13763444</f>
        <v>7443</v>
      </c>
      <c r="K26" s="85">
        <f t="shared" si="15"/>
        <v>36117</v>
      </c>
      <c r="L26" s="14">
        <f t="shared" si="9"/>
        <v>7223.4000000000005</v>
      </c>
      <c r="M26" s="82">
        <f>32030.526-31860.315</f>
        <v>170.21100000000297</v>
      </c>
      <c r="N26" s="82">
        <f>5003.343-4999.562</f>
        <v>3.7809999999999491</v>
      </c>
      <c r="O26" s="82">
        <f>10496.172-10495.581</f>
        <v>0.59100000000034925</v>
      </c>
      <c r="P26" s="81">
        <f>13552.842-13471.881</f>
        <v>80.96100000000115</v>
      </c>
      <c r="Q26" s="82">
        <f>29254.62-29217.612</f>
        <v>37.007999999997992</v>
      </c>
      <c r="R26" s="82">
        <f t="shared" si="0"/>
        <v>85.333000000001448</v>
      </c>
      <c r="S26" s="82">
        <f t="shared" si="1"/>
        <v>669.01072000001136</v>
      </c>
      <c r="T26" s="82">
        <f t="shared" si="2"/>
        <v>207.21900000000096</v>
      </c>
      <c r="U26" s="82">
        <f t="shared" si="16"/>
        <v>1624.5969600000076</v>
      </c>
      <c r="V26" s="82">
        <f>420898.7-420647</f>
        <v>251.70000000001164</v>
      </c>
      <c r="W26" s="82">
        <f>163859.17-163664.91</f>
        <v>194.26000000000931</v>
      </c>
      <c r="X26" s="85" t="s">
        <v>63</v>
      </c>
      <c r="Y26" s="86">
        <v>1069398</v>
      </c>
      <c r="Z26" s="5">
        <f t="shared" si="10"/>
        <v>804</v>
      </c>
      <c r="AA26" s="14">
        <f t="shared" si="6"/>
        <v>5201.88</v>
      </c>
      <c r="AB26" s="86">
        <v>12908080</v>
      </c>
      <c r="AC26" s="86">
        <f t="shared" si="11"/>
        <v>12882090</v>
      </c>
      <c r="AD26" s="14">
        <f t="shared" si="3"/>
        <v>25990</v>
      </c>
      <c r="AE26" s="82">
        <f t="shared" si="12"/>
        <v>8522.0950099999991</v>
      </c>
      <c r="AF26" s="82">
        <f>99672.2-99627.8</f>
        <v>44.399999999994179</v>
      </c>
      <c r="AG26" s="82">
        <f t="shared" si="18"/>
        <v>0</v>
      </c>
      <c r="AH26" s="82">
        <f>31543.6-31530</f>
        <v>13.599999999998545</v>
      </c>
      <c r="AI26" s="86">
        <f t="shared" si="13"/>
        <v>53951.4</v>
      </c>
      <c r="AJ26" s="86">
        <v>53987.5</v>
      </c>
      <c r="AK26" s="47">
        <f t="shared" si="8"/>
        <v>36.099999999998545</v>
      </c>
      <c r="AL26" s="88">
        <f t="shared" si="4"/>
        <v>10264.859412848586</v>
      </c>
      <c r="AM26" s="82">
        <f t="shared" si="14"/>
        <v>3365.8371366136384</v>
      </c>
      <c r="AN26" s="70">
        <v>85</v>
      </c>
      <c r="AO26" s="77">
        <f t="shared" si="5"/>
        <v>22571.971970000006</v>
      </c>
    </row>
    <row r="27" spans="1:41" x14ac:dyDescent="0.25">
      <c r="A27" s="78">
        <v>44703</v>
      </c>
      <c r="B27" s="85">
        <f>14148383-14141306</f>
        <v>7077</v>
      </c>
      <c r="C27" s="85">
        <f>9063303-9059631</f>
        <v>3672</v>
      </c>
      <c r="D27" s="85">
        <f>1799944-1799089</f>
        <v>855</v>
      </c>
      <c r="E27" s="85">
        <f>13612750-13605920</f>
        <v>6830</v>
      </c>
      <c r="F27" s="85">
        <f>13385323-13379627</f>
        <v>5696</v>
      </c>
      <c r="G27" s="85">
        <f>9245596-9242950</f>
        <v>2646</v>
      </c>
      <c r="H27" s="85">
        <f>10346220-10337585</f>
        <v>8635</v>
      </c>
      <c r="I27" s="85">
        <f>5950202-5947851</f>
        <v>2351</v>
      </c>
      <c r="J27" s="85">
        <f>13777775-13770887</f>
        <v>6888</v>
      </c>
      <c r="K27" s="85">
        <f t="shared" si="15"/>
        <v>35411</v>
      </c>
      <c r="L27" s="14">
        <f t="shared" si="9"/>
        <v>7082.2000000000007</v>
      </c>
      <c r="M27" s="82">
        <f>32222.138-32030.526</f>
        <v>191.61199999999735</v>
      </c>
      <c r="N27" s="82">
        <f>5005.399-5003.343</f>
        <v>2.0560000000004948</v>
      </c>
      <c r="O27" s="82">
        <f>10496.2-10496.172</f>
        <v>2.8000000000247383E-2</v>
      </c>
      <c r="P27" s="81">
        <f>13630.685-13552.842</f>
        <v>77.842999999998938</v>
      </c>
      <c r="Q27" s="82">
        <f>29254.62-29254.62</f>
        <v>0</v>
      </c>
      <c r="R27" s="82">
        <f t="shared" si="0"/>
        <v>79.92699999999968</v>
      </c>
      <c r="S27" s="82">
        <f t="shared" si="1"/>
        <v>626.62767999999744</v>
      </c>
      <c r="T27" s="82">
        <f t="shared" si="2"/>
        <v>191.61199999999735</v>
      </c>
      <c r="U27" s="82">
        <f t="shared" si="16"/>
        <v>1502.2380799999792</v>
      </c>
      <c r="V27" s="82">
        <f>421101-420898.7</f>
        <v>202.29999999998836</v>
      </c>
      <c r="W27" s="82">
        <f>164032.31-163859.17</f>
        <v>173.13999999998487</v>
      </c>
      <c r="X27" s="85" t="s">
        <v>63</v>
      </c>
      <c r="Y27" s="86">
        <v>1070123</v>
      </c>
      <c r="Z27" s="5">
        <f t="shared" si="10"/>
        <v>725</v>
      </c>
      <c r="AA27" s="14">
        <f t="shared" si="6"/>
        <v>4690.75</v>
      </c>
      <c r="AB27" s="86">
        <v>12933606</v>
      </c>
      <c r="AC27" s="86">
        <f t="shared" si="11"/>
        <v>12908080</v>
      </c>
      <c r="AD27" s="14">
        <f t="shared" si="3"/>
        <v>25526</v>
      </c>
      <c r="AE27" s="82">
        <f t="shared" si="12"/>
        <v>8369.9498739999999</v>
      </c>
      <c r="AF27" s="82">
        <f>99715.4-99672.2</f>
        <v>43.19999999999709</v>
      </c>
      <c r="AG27" s="82">
        <f t="shared" si="18"/>
        <v>0</v>
      </c>
      <c r="AH27" s="82">
        <f>31557.2-31543.6</f>
        <v>13.600000000002183</v>
      </c>
      <c r="AI27" s="86">
        <f t="shared" si="13"/>
        <v>53987.5</v>
      </c>
      <c r="AJ27" s="86">
        <v>54024.1</v>
      </c>
      <c r="AK27" s="47">
        <f t="shared" si="8"/>
        <v>36.599999999998545</v>
      </c>
      <c r="AL27" s="88">
        <f t="shared" si="4"/>
        <v>10407.031980893586</v>
      </c>
      <c r="AM27" s="82">
        <f t="shared" si="14"/>
        <v>3412.4553795030256</v>
      </c>
      <c r="AN27" s="70">
        <v>104</v>
      </c>
      <c r="AO27" s="77">
        <f t="shared" si="5"/>
        <v>21645.13795399998</v>
      </c>
    </row>
    <row r="28" spans="1:41" x14ac:dyDescent="0.25">
      <c r="A28" s="78">
        <v>44704</v>
      </c>
      <c r="B28" s="85">
        <f>14155097-14148383</f>
        <v>6714</v>
      </c>
      <c r="C28" s="85">
        <f>9067722-9063303</f>
        <v>4419</v>
      </c>
      <c r="D28" s="85">
        <f>1800856-1799944</f>
        <v>912</v>
      </c>
      <c r="E28" s="85">
        <f>13620583-13612750</f>
        <v>7833</v>
      </c>
      <c r="F28" s="85">
        <f>13391410-13385323</f>
        <v>6087</v>
      </c>
      <c r="G28" s="85">
        <f>9248498-9245596</f>
        <v>2902</v>
      </c>
      <c r="H28" s="85">
        <f>10355194-10346220</f>
        <v>8974</v>
      </c>
      <c r="I28" s="85">
        <f>5952725-5950202</f>
        <v>2523</v>
      </c>
      <c r="J28" s="85">
        <f>13784892-13777775</f>
        <v>7117</v>
      </c>
      <c r="K28" s="85">
        <f t="shared" si="15"/>
        <v>37841</v>
      </c>
      <c r="L28" s="14">
        <f t="shared" si="9"/>
        <v>7568.2000000000007</v>
      </c>
      <c r="M28" s="82">
        <f>32416.164-32222.138</f>
        <v>194.02600000000166</v>
      </c>
      <c r="N28" s="82">
        <f>5008.506-5005.399</f>
        <v>3.1069999999999709</v>
      </c>
      <c r="O28" s="82">
        <f>10496.271-10496.2</f>
        <v>7.0999999999912689E-2</v>
      </c>
      <c r="P28" s="81">
        <f>13697.424-13630.685</f>
        <v>66.739000000001397</v>
      </c>
      <c r="Q28" s="82">
        <f>29273.652-29254.62</f>
        <v>19.031999999999243</v>
      </c>
      <c r="R28" s="82">
        <f t="shared" si="0"/>
        <v>69.917000000001281</v>
      </c>
      <c r="S28" s="82">
        <f t="shared" si="1"/>
        <v>548.14928000000998</v>
      </c>
      <c r="T28" s="82">
        <f t="shared" si="2"/>
        <v>213.0580000000009</v>
      </c>
      <c r="U28" s="82">
        <f t="shared" si="16"/>
        <v>1670.3747200000071</v>
      </c>
      <c r="V28" s="82">
        <f>421239-421101</f>
        <v>138</v>
      </c>
      <c r="W28" s="82">
        <f>164198.18-164032.31</f>
        <v>165.86999999999534</v>
      </c>
      <c r="X28" s="85" t="s">
        <v>63</v>
      </c>
      <c r="Y28" s="86">
        <v>1070753</v>
      </c>
      <c r="Z28" s="5">
        <f t="shared" si="10"/>
        <v>630</v>
      </c>
      <c r="AA28" s="14">
        <f t="shared" si="6"/>
        <v>4076.1</v>
      </c>
      <c r="AB28" s="86">
        <v>12959619</v>
      </c>
      <c r="AC28" s="86">
        <f t="shared" si="11"/>
        <v>12933606</v>
      </c>
      <c r="AD28" s="14">
        <f t="shared" si="3"/>
        <v>26013</v>
      </c>
      <c r="AE28" s="82">
        <f t="shared" si="12"/>
        <v>8529.6366870000002</v>
      </c>
      <c r="AF28" s="82">
        <f>99758.8-99715.4</f>
        <v>43.400000000008731</v>
      </c>
      <c r="AG28" s="82">
        <f t="shared" ref="AG28:AG35" si="19">50692.5-50692.5</f>
        <v>0</v>
      </c>
      <c r="AH28" s="82">
        <f>31570.9-31557.2</f>
        <v>13.700000000000728</v>
      </c>
      <c r="AI28" s="86">
        <f t="shared" si="13"/>
        <v>54024.1</v>
      </c>
      <c r="AJ28" s="86">
        <v>54060</v>
      </c>
      <c r="AK28" s="47">
        <f t="shared" si="8"/>
        <v>35.900000000001455</v>
      </c>
      <c r="AL28" s="88">
        <f t="shared" si="4"/>
        <v>10207.990385631414</v>
      </c>
      <c r="AM28" s="82">
        <f t="shared" si="14"/>
        <v>3347.1898394581549</v>
      </c>
      <c r="AN28" s="70">
        <v>125</v>
      </c>
      <c r="AO28" s="77">
        <f t="shared" si="5"/>
        <v>21844.311407000008</v>
      </c>
    </row>
    <row r="29" spans="1:41" x14ac:dyDescent="0.25">
      <c r="A29" s="78">
        <v>44705</v>
      </c>
      <c r="B29" s="85">
        <f>14160920-14155097</f>
        <v>5823</v>
      </c>
      <c r="C29" s="85">
        <f>9072174-9067722</f>
        <v>4452</v>
      </c>
      <c r="D29" s="85">
        <f>1801778-1800856</f>
        <v>922</v>
      </c>
      <c r="E29" s="85">
        <f>13628457-13620583</f>
        <v>7874</v>
      </c>
      <c r="F29" s="85">
        <f>13397458-13391410</f>
        <v>6048</v>
      </c>
      <c r="G29" s="85">
        <f>9251406-9248498</f>
        <v>2908</v>
      </c>
      <c r="H29" s="85">
        <f>10364040-10355194</f>
        <v>8846</v>
      </c>
      <c r="I29" s="85">
        <f>5955235-5952725</f>
        <v>2510</v>
      </c>
      <c r="J29" s="85">
        <f>13792029-13784892</f>
        <v>7137</v>
      </c>
      <c r="K29" s="85">
        <f t="shared" si="15"/>
        <v>36873</v>
      </c>
      <c r="L29" s="14">
        <f t="shared" si="9"/>
        <v>7374.6</v>
      </c>
      <c r="M29" s="82">
        <f>32612.647-32416.164</f>
        <v>196.48300000000017</v>
      </c>
      <c r="N29" s="82">
        <f>5012.061-5008.506</f>
        <v>3.5549999999993815</v>
      </c>
      <c r="O29" s="82">
        <f>10496.53-10496.271</f>
        <v>0.25900000000001455</v>
      </c>
      <c r="P29" s="81">
        <f>13764.957-13697.424</f>
        <v>67.532999999999447</v>
      </c>
      <c r="Q29" s="82">
        <f>29287.814-29273.652</f>
        <v>14.162000000000262</v>
      </c>
      <c r="R29" s="82">
        <f t="shared" si="0"/>
        <v>71.346999999998843</v>
      </c>
      <c r="S29" s="82">
        <f t="shared" si="1"/>
        <v>559.36047999999096</v>
      </c>
      <c r="T29" s="82">
        <f t="shared" si="2"/>
        <v>210.64500000000044</v>
      </c>
      <c r="U29" s="82">
        <f t="shared" si="16"/>
        <v>1651.4568000000033</v>
      </c>
      <c r="V29" s="82">
        <f>421388.3-421239</f>
        <v>149.29999999998836</v>
      </c>
      <c r="W29" s="82">
        <f>164364.37-164198.18</f>
        <v>166.19000000000233</v>
      </c>
      <c r="X29" s="85" t="s">
        <v>63</v>
      </c>
      <c r="Y29" s="86">
        <v>1071426</v>
      </c>
      <c r="Z29" s="5">
        <f t="shared" si="10"/>
        <v>673</v>
      </c>
      <c r="AA29" s="14">
        <f t="shared" si="6"/>
        <v>4354.3099999999995</v>
      </c>
      <c r="AB29" s="86">
        <v>12986193</v>
      </c>
      <c r="AC29" s="86">
        <f t="shared" si="11"/>
        <v>12959619</v>
      </c>
      <c r="AD29" s="14">
        <f t="shared" si="3"/>
        <v>26574</v>
      </c>
      <c r="AE29" s="82">
        <f t="shared" si="12"/>
        <v>8713.5880259999994</v>
      </c>
      <c r="AF29" s="82">
        <f>99804.3-99758.8</f>
        <v>45.5</v>
      </c>
      <c r="AG29" s="82">
        <f t="shared" si="19"/>
        <v>0</v>
      </c>
      <c r="AH29" s="82">
        <f>31584.8-31570.9</f>
        <v>13.899999999997817</v>
      </c>
      <c r="AI29" s="86">
        <f t="shared" si="13"/>
        <v>54060</v>
      </c>
      <c r="AJ29" s="86">
        <v>54096.4</v>
      </c>
      <c r="AK29" s="47">
        <f t="shared" si="8"/>
        <v>36.400000000001455</v>
      </c>
      <c r="AL29" s="88">
        <f t="shared" si="4"/>
        <v>10350.162953676414</v>
      </c>
      <c r="AM29" s="82">
        <f t="shared" si="14"/>
        <v>3393.8080823475425</v>
      </c>
      <c r="AN29" s="70">
        <v>163</v>
      </c>
      <c r="AO29" s="77">
        <f t="shared" si="5"/>
        <v>22093.954826000001</v>
      </c>
    </row>
    <row r="30" spans="1:41" x14ac:dyDescent="0.25">
      <c r="A30" s="78">
        <v>44706</v>
      </c>
      <c r="B30" s="85">
        <f>14166716-14160920</f>
        <v>5796</v>
      </c>
      <c r="C30" s="85">
        <f>9076858-9072174</f>
        <v>4684</v>
      </c>
      <c r="D30" s="85">
        <f>1802738-1801778</f>
        <v>960</v>
      </c>
      <c r="E30" s="85">
        <f>13636425-13628457</f>
        <v>7968</v>
      </c>
      <c r="F30" s="85">
        <f>13403566-13397458</f>
        <v>6108</v>
      </c>
      <c r="G30" s="85">
        <f>9254379-9251406</f>
        <v>2973</v>
      </c>
      <c r="H30" s="85">
        <f>10372510-10364040</f>
        <v>8470</v>
      </c>
      <c r="I30" s="85">
        <f>5957703-5955235</f>
        <v>2468</v>
      </c>
      <c r="J30" s="85">
        <f>13799482-13792029</f>
        <v>7453</v>
      </c>
      <c r="K30" s="85">
        <f t="shared" si="15"/>
        <v>36959</v>
      </c>
      <c r="L30" s="14">
        <f t="shared" si="9"/>
        <v>7391.8</v>
      </c>
      <c r="M30" s="82">
        <f>32824.993-32612.647</f>
        <v>212.34600000000137</v>
      </c>
      <c r="N30" s="82">
        <f>5016.066-5012.061</f>
        <v>4.0050000000001091</v>
      </c>
      <c r="O30" s="82">
        <f>10496.716-10496.53</f>
        <v>0.18599999999969441</v>
      </c>
      <c r="P30" s="81">
        <f>13842.982-13764.957</f>
        <v>78.024999999999636</v>
      </c>
      <c r="Q30" s="82">
        <f>29305.319-29287.814</f>
        <v>17.505000000001019</v>
      </c>
      <c r="R30" s="82">
        <f t="shared" si="0"/>
        <v>82.21599999999944</v>
      </c>
      <c r="S30" s="82">
        <f t="shared" si="1"/>
        <v>644.57343999999557</v>
      </c>
      <c r="T30" s="82">
        <f t="shared" si="2"/>
        <v>229.85100000000239</v>
      </c>
      <c r="U30" s="82">
        <f t="shared" si="16"/>
        <v>1802.0318400000187</v>
      </c>
      <c r="V30" s="82">
        <f>421532.5-421388.3</f>
        <v>144.20000000001164</v>
      </c>
      <c r="W30" s="82">
        <f>164531.77-164364.37</f>
        <v>167.39999999999418</v>
      </c>
      <c r="X30" s="85" t="s">
        <v>63</v>
      </c>
      <c r="Y30" s="86">
        <v>1072113</v>
      </c>
      <c r="Z30" s="5">
        <f t="shared" si="10"/>
        <v>687</v>
      </c>
      <c r="AA30" s="14">
        <f t="shared" si="6"/>
        <v>4444.8899999999994</v>
      </c>
      <c r="AB30" s="86">
        <v>13011532</v>
      </c>
      <c r="AC30" s="86">
        <f t="shared" si="11"/>
        <v>12986193</v>
      </c>
      <c r="AD30" s="14">
        <f t="shared" si="3"/>
        <v>25339</v>
      </c>
      <c r="AE30" s="82">
        <f t="shared" si="12"/>
        <v>8308.6327610000008</v>
      </c>
      <c r="AF30" s="82">
        <f>99848.1-99804.3</f>
        <v>43.80000000000291</v>
      </c>
      <c r="AG30" s="82">
        <f t="shared" si="19"/>
        <v>0</v>
      </c>
      <c r="AH30" s="82">
        <f>31598.6-31584.8</f>
        <v>13.799999999999272</v>
      </c>
      <c r="AI30" s="86">
        <f t="shared" si="13"/>
        <v>54096.4</v>
      </c>
      <c r="AJ30" s="86">
        <v>54132.1</v>
      </c>
      <c r="AK30" s="47">
        <f t="shared" si="8"/>
        <v>35.69999999999709</v>
      </c>
      <c r="AL30" s="88">
        <f t="shared" si="4"/>
        <v>10151.121358412172</v>
      </c>
      <c r="AM30" s="82">
        <f t="shared" si="14"/>
        <v>3328.5425423019929</v>
      </c>
      <c r="AN30" s="70">
        <v>166</v>
      </c>
      <c r="AO30" s="77">
        <f t="shared" si="5"/>
        <v>21947.354601000021</v>
      </c>
    </row>
    <row r="31" spans="1:41" x14ac:dyDescent="0.25">
      <c r="A31" s="78">
        <v>44707</v>
      </c>
      <c r="B31" s="85">
        <f>14173128-14166716</f>
        <v>6412</v>
      </c>
      <c r="C31" s="85">
        <f>9081470-9076858</f>
        <v>4612</v>
      </c>
      <c r="D31" s="85">
        <f>1803698-1802738</f>
        <v>960</v>
      </c>
      <c r="E31" s="85">
        <f>13644630-13636425</f>
        <v>8205</v>
      </c>
      <c r="F31" s="85">
        <f>13409734-13403566</f>
        <v>6168</v>
      </c>
      <c r="G31" s="85">
        <f>9257548-9254379</f>
        <v>3169</v>
      </c>
      <c r="H31" s="85">
        <f>10381041-10372510</f>
        <v>8531</v>
      </c>
      <c r="I31" s="85">
        <f>5960217-5957703</f>
        <v>2514</v>
      </c>
      <c r="J31" s="85">
        <f>13807006-13799482</f>
        <v>7524</v>
      </c>
      <c r="K31" s="85">
        <f t="shared" si="15"/>
        <v>38057</v>
      </c>
      <c r="L31" s="14">
        <f t="shared" si="9"/>
        <v>7611.4000000000005</v>
      </c>
      <c r="M31" s="82">
        <f>33033.682-32824.993</f>
        <v>208.68899999999849</v>
      </c>
      <c r="N31" s="82">
        <f>5020.984-5016.066</f>
        <v>4.9180000000005748</v>
      </c>
      <c r="O31" s="82">
        <f>10496.875-10496.716</f>
        <v>0.15899999999965075</v>
      </c>
      <c r="P31" s="81">
        <f>13923.831-13842.982</f>
        <v>80.84900000000016</v>
      </c>
      <c r="Q31" s="82">
        <f>29319.805-29305.319</f>
        <v>14.486000000000786</v>
      </c>
      <c r="R31" s="82">
        <f t="shared" si="0"/>
        <v>85.926000000000386</v>
      </c>
      <c r="S31" s="82">
        <f t="shared" si="1"/>
        <v>673.65984000000299</v>
      </c>
      <c r="T31" s="82">
        <f t="shared" si="2"/>
        <v>223.17499999999927</v>
      </c>
      <c r="U31" s="82">
        <f t="shared" si="16"/>
        <v>1749.6919999999943</v>
      </c>
      <c r="V31" s="121">
        <f>421670.7-421532.5</f>
        <v>138.20000000001164</v>
      </c>
      <c r="W31" s="121">
        <f>164706.19-164531.77</f>
        <v>174.42000000001281</v>
      </c>
      <c r="X31" s="85" t="s">
        <v>63</v>
      </c>
      <c r="Y31" s="86">
        <v>1072817</v>
      </c>
      <c r="Z31" s="5">
        <f t="shared" si="10"/>
        <v>704</v>
      </c>
      <c r="AA31" s="14">
        <f t="shared" si="6"/>
        <v>4554.88</v>
      </c>
      <c r="AB31" s="86">
        <v>13037718</v>
      </c>
      <c r="AC31" s="86">
        <f t="shared" si="11"/>
        <v>13011532</v>
      </c>
      <c r="AD31" s="14">
        <f t="shared" si="3"/>
        <v>26186</v>
      </c>
      <c r="AE31" s="82">
        <f t="shared" si="12"/>
        <v>8586.3632139999991</v>
      </c>
      <c r="AF31" s="82">
        <f>99894.2-99848.1</f>
        <v>46.099999999991269</v>
      </c>
      <c r="AG31" s="82">
        <f t="shared" si="19"/>
        <v>0</v>
      </c>
      <c r="AH31" s="82">
        <f>31612.1-31598.6</f>
        <v>13.5</v>
      </c>
      <c r="AI31" s="86">
        <f t="shared" si="13"/>
        <v>54132.1</v>
      </c>
      <c r="AJ31" s="86">
        <v>54168.2</v>
      </c>
      <c r="AK31" s="47">
        <f t="shared" si="8"/>
        <v>36.099999999998545</v>
      </c>
      <c r="AL31" s="88">
        <f t="shared" si="4"/>
        <v>10264.859412848586</v>
      </c>
      <c r="AM31" s="82">
        <f t="shared" si="14"/>
        <v>3365.8371366136384</v>
      </c>
      <c r="AN31" s="70">
        <v>179</v>
      </c>
      <c r="AO31" s="77">
        <f t="shared" si="5"/>
        <v>22502.335213999992</v>
      </c>
    </row>
    <row r="32" spans="1:41" x14ac:dyDescent="0.25">
      <c r="A32" s="78">
        <v>44708</v>
      </c>
      <c r="B32" s="85">
        <f>14180277-14173128</f>
        <v>7149</v>
      </c>
      <c r="C32" s="85">
        <f>9086071-9081470</f>
        <v>4601</v>
      </c>
      <c r="D32" s="85">
        <f>1804610-1803698</f>
        <v>912</v>
      </c>
      <c r="E32" s="85">
        <f>13652652-13644630</f>
        <v>8022</v>
      </c>
      <c r="F32" s="85">
        <f>13415900-13409734</f>
        <v>6166</v>
      </c>
      <c r="G32" s="85">
        <f>9260635-9257548</f>
        <v>3087</v>
      </c>
      <c r="H32" s="85">
        <f>10389956-10381041</f>
        <v>8915</v>
      </c>
      <c r="I32" s="85">
        <f>5962622-5960217</f>
        <v>2405</v>
      </c>
      <c r="J32" s="85">
        <f>13814580-13807006</f>
        <v>7574</v>
      </c>
      <c r="K32" s="85">
        <f t="shared" si="15"/>
        <v>38852</v>
      </c>
      <c r="L32" s="14">
        <f t="shared" si="9"/>
        <v>7770.4000000000005</v>
      </c>
      <c r="M32" s="82">
        <f>33247.351-33033.682</f>
        <v>213.66900000000169</v>
      </c>
      <c r="N32" s="82">
        <f>5024.15-5020.984</f>
        <v>3.1659999999992579</v>
      </c>
      <c r="O32" s="82">
        <f>10496.929-10496.875</f>
        <v>5.4000000000087311E-2</v>
      </c>
      <c r="P32" s="81">
        <f>14010.497-13923.831</f>
        <v>86.665999999999258</v>
      </c>
      <c r="Q32" s="82">
        <f>29343.615-29319.805</f>
        <v>23.81000000000131</v>
      </c>
      <c r="R32" s="82">
        <f t="shared" si="0"/>
        <v>89.885999999998603</v>
      </c>
      <c r="S32" s="82">
        <f t="shared" si="1"/>
        <v>704.70623999998907</v>
      </c>
      <c r="T32" s="82">
        <f t="shared" si="2"/>
        <v>237.479000000003</v>
      </c>
      <c r="U32" s="82">
        <f t="shared" si="16"/>
        <v>1861.8353600000235</v>
      </c>
      <c r="V32" s="121">
        <f>421849.9-421670.7</f>
        <v>179.20000000001164</v>
      </c>
      <c r="W32" s="121">
        <f>164885.12-164706.19</f>
        <v>178.92999999999302</v>
      </c>
      <c r="X32" s="85" t="s">
        <v>63</v>
      </c>
      <c r="Y32" s="86">
        <v>1073598</v>
      </c>
      <c r="Z32" s="5">
        <f t="shared" si="10"/>
        <v>781</v>
      </c>
      <c r="AA32" s="14">
        <f t="shared" si="6"/>
        <v>5053.07</v>
      </c>
      <c r="AB32" s="86">
        <v>13064881</v>
      </c>
      <c r="AC32" s="86">
        <f t="shared" si="11"/>
        <v>13037718</v>
      </c>
      <c r="AD32" s="14">
        <f t="shared" si="3"/>
        <v>27163</v>
      </c>
      <c r="AE32" s="82">
        <f t="shared" si="12"/>
        <v>8906.7205369999992</v>
      </c>
      <c r="AF32" s="82">
        <f>99940.4-99894.2</f>
        <v>46.19999999999709</v>
      </c>
      <c r="AG32" s="82">
        <f t="shared" si="19"/>
        <v>0</v>
      </c>
      <c r="AH32" s="82">
        <f>31626.3-31612.1</f>
        <v>14.200000000000728</v>
      </c>
      <c r="AI32" s="86">
        <f t="shared" si="13"/>
        <v>54168.2</v>
      </c>
      <c r="AJ32" s="86">
        <v>54205.2</v>
      </c>
      <c r="AK32" s="47">
        <f t="shared" si="8"/>
        <v>37</v>
      </c>
      <c r="AL32" s="88">
        <f t="shared" si="4"/>
        <v>10520.770035329999</v>
      </c>
      <c r="AM32" s="82">
        <f t="shared" si="14"/>
        <v>3449.7499738146712</v>
      </c>
      <c r="AN32" s="70">
        <v>145</v>
      </c>
      <c r="AO32" s="77">
        <f t="shared" si="5"/>
        <v>23592.025897000021</v>
      </c>
    </row>
    <row r="33" spans="1:41" x14ac:dyDescent="0.25">
      <c r="A33" s="78">
        <v>44709</v>
      </c>
      <c r="B33" s="85">
        <f>14187736-14180277</f>
        <v>7459</v>
      </c>
      <c r="C33" s="85">
        <f>9090929-9086071</f>
        <v>4858</v>
      </c>
      <c r="D33" s="85">
        <f>1805547-1804610</f>
        <v>937</v>
      </c>
      <c r="E33" s="85">
        <f>13660477-13652652</f>
        <v>7825</v>
      </c>
      <c r="F33" s="85">
        <f>13422127-13415900</f>
        <v>6227</v>
      </c>
      <c r="G33" s="85">
        <f>9263700-9260635</f>
        <v>3065</v>
      </c>
      <c r="H33" s="85">
        <f>10399216-10389956</f>
        <v>9260</v>
      </c>
      <c r="I33" s="85">
        <f>5965039-5962622</f>
        <v>2417</v>
      </c>
      <c r="J33" s="85">
        <f>13822162-13814580</f>
        <v>7582</v>
      </c>
      <c r="K33" s="85">
        <f t="shared" si="15"/>
        <v>39631</v>
      </c>
      <c r="L33" s="14">
        <f t="shared" si="9"/>
        <v>7926.2000000000007</v>
      </c>
      <c r="M33" s="82">
        <f>33445.549-33247.351</f>
        <v>198.19799999999668</v>
      </c>
      <c r="N33" s="82">
        <f>5026.898-5024.15</f>
        <v>2.748000000000502</v>
      </c>
      <c r="O33" s="82">
        <f>10497.26-10496.929</f>
        <v>0.33100000000013097</v>
      </c>
      <c r="P33" s="81">
        <f>14090.722-14010.497</f>
        <v>80.225000000000364</v>
      </c>
      <c r="Q33" s="82">
        <f>29352.07-29343.615</f>
        <v>8.4549999999981083</v>
      </c>
      <c r="R33" s="82">
        <f t="shared" si="0"/>
        <v>83.304000000000997</v>
      </c>
      <c r="S33" s="82">
        <f t="shared" si="1"/>
        <v>653.1033600000078</v>
      </c>
      <c r="T33" s="82">
        <f t="shared" si="2"/>
        <v>206.65299999999479</v>
      </c>
      <c r="U33" s="82">
        <f t="shared" si="16"/>
        <v>1620.1595199999592</v>
      </c>
      <c r="V33" s="121">
        <f>422023.1-421849.9</f>
        <v>173.19999999995343</v>
      </c>
      <c r="W33" s="121">
        <f>165055.41-164885.12</f>
        <v>170.29000000000815</v>
      </c>
      <c r="X33" s="85" t="s">
        <v>63</v>
      </c>
      <c r="Y33" s="86">
        <v>1074354</v>
      </c>
      <c r="Z33" s="5">
        <f t="shared" si="10"/>
        <v>756</v>
      </c>
      <c r="AA33" s="14">
        <f t="shared" si="6"/>
        <v>4891.32</v>
      </c>
      <c r="AB33" s="86">
        <v>13091218</v>
      </c>
      <c r="AC33" s="86">
        <f t="shared" si="11"/>
        <v>13064881</v>
      </c>
      <c r="AD33" s="14">
        <f t="shared" si="3"/>
        <v>26337</v>
      </c>
      <c r="AE33" s="82">
        <f t="shared" si="12"/>
        <v>8635.8759630000004</v>
      </c>
      <c r="AF33" s="82">
        <f>99985.2-99940.4</f>
        <v>44.80000000000291</v>
      </c>
      <c r="AG33" s="82">
        <f t="shared" si="19"/>
        <v>0</v>
      </c>
      <c r="AH33" s="82">
        <f>31640-31626.3</f>
        <v>13.700000000000728</v>
      </c>
      <c r="AI33" s="86">
        <f t="shared" si="13"/>
        <v>54205.2</v>
      </c>
      <c r="AJ33" s="86">
        <v>54239.7</v>
      </c>
      <c r="AK33" s="47">
        <f t="shared" si="8"/>
        <v>34.5</v>
      </c>
      <c r="AL33" s="88">
        <f t="shared" si="4"/>
        <v>9809.9071951049991</v>
      </c>
      <c r="AM33" s="82">
        <f t="shared" si="14"/>
        <v>3216.6587593677341</v>
      </c>
      <c r="AN33" s="70">
        <v>133</v>
      </c>
      <c r="AO33" s="77">
        <f t="shared" si="5"/>
        <v>23073.55548299996</v>
      </c>
    </row>
    <row r="34" spans="1:41" x14ac:dyDescent="0.25">
      <c r="A34" s="78">
        <v>44710</v>
      </c>
      <c r="B34" s="85">
        <f>14194892-14187736</f>
        <v>7156</v>
      </c>
      <c r="C34" s="85">
        <f>9095563-9090929</f>
        <v>4634</v>
      </c>
      <c r="D34" s="85">
        <f>1806484-1805547</f>
        <v>937</v>
      </c>
      <c r="E34" s="85">
        <f>13668270-13660477</f>
        <v>7793</v>
      </c>
      <c r="F34" s="85">
        <f>13428058-13422127</f>
        <v>5931</v>
      </c>
      <c r="G34" s="85">
        <f>9266753-9263700</f>
        <v>3053</v>
      </c>
      <c r="H34" s="85">
        <f>10408493-10399216</f>
        <v>9277</v>
      </c>
      <c r="I34" s="85">
        <f>5967542-5965039</f>
        <v>2503</v>
      </c>
      <c r="J34" s="85">
        <f>13829692-13822162</f>
        <v>7530</v>
      </c>
      <c r="K34" s="85">
        <f t="shared" si="15"/>
        <v>38781</v>
      </c>
      <c r="L34" s="14">
        <f t="shared" si="9"/>
        <v>7756.2000000000007</v>
      </c>
      <c r="M34" s="82">
        <f>33646.291-33445.549</f>
        <v>200.74199999999837</v>
      </c>
      <c r="N34" s="82">
        <f>5029.727-5026.898</f>
        <v>2.8289999999997235</v>
      </c>
      <c r="O34" s="82">
        <f>10497.356-10497.26</f>
        <v>9.5999999999548891E-2</v>
      </c>
      <c r="P34" s="81">
        <f>14170.094-14090.722</f>
        <v>79.371999999999389</v>
      </c>
      <c r="Q34" s="82">
        <f>29378.171-29352.07</f>
        <v>26.100999999998749</v>
      </c>
      <c r="R34" s="82">
        <f t="shared" si="0"/>
        <v>82.296999999998661</v>
      </c>
      <c r="S34" s="82">
        <f t="shared" si="1"/>
        <v>645.20847999998944</v>
      </c>
      <c r="T34" s="82">
        <f t="shared" si="2"/>
        <v>226.84299999999712</v>
      </c>
      <c r="U34" s="82">
        <f t="shared" si="16"/>
        <v>1778.4491199999775</v>
      </c>
      <c r="V34" s="121">
        <f>422180.1-422023.1</f>
        <v>157</v>
      </c>
      <c r="W34" s="121">
        <f>165222.41-165055.41</f>
        <v>167</v>
      </c>
      <c r="X34" s="85" t="s">
        <v>63</v>
      </c>
      <c r="Y34" s="86">
        <v>1075014</v>
      </c>
      <c r="Z34" s="5">
        <f t="shared" si="10"/>
        <v>660</v>
      </c>
      <c r="AA34" s="14">
        <f t="shared" si="6"/>
        <v>4270.2</v>
      </c>
      <c r="AB34" s="86">
        <v>13117948</v>
      </c>
      <c r="AC34" s="86">
        <f t="shared" si="11"/>
        <v>13091218</v>
      </c>
      <c r="AD34" s="14">
        <f t="shared" si="3"/>
        <v>26730</v>
      </c>
      <c r="AE34" s="82">
        <f t="shared" si="12"/>
        <v>8764.7402700000002</v>
      </c>
      <c r="AF34" s="82">
        <f>100028.7-99985.2</f>
        <v>43.5</v>
      </c>
      <c r="AG34" s="82">
        <f t="shared" si="19"/>
        <v>0</v>
      </c>
      <c r="AH34" s="82">
        <f>31654.1-31640</f>
        <v>14.099999999998545</v>
      </c>
      <c r="AI34" s="86">
        <f t="shared" si="13"/>
        <v>54239.7</v>
      </c>
      <c r="AJ34" s="86">
        <v>54275.5</v>
      </c>
      <c r="AK34" s="47">
        <f t="shared" si="8"/>
        <v>35.80000000000291</v>
      </c>
      <c r="AL34" s="88">
        <f t="shared" si="4"/>
        <v>10179.555872022827</v>
      </c>
      <c r="AM34" s="82">
        <f t="shared" si="14"/>
        <v>3337.8661908804129</v>
      </c>
      <c r="AN34" s="70">
        <v>105</v>
      </c>
      <c r="AO34" s="77">
        <f t="shared" si="5"/>
        <v>22569.589389999979</v>
      </c>
    </row>
    <row r="35" spans="1:41" x14ac:dyDescent="0.25">
      <c r="A35" s="78">
        <v>44711</v>
      </c>
      <c r="B35" s="85">
        <f>14202289-14194892</f>
        <v>7397</v>
      </c>
      <c r="C35" s="85">
        <f>9100802-9095563</f>
        <v>5239</v>
      </c>
      <c r="D35" s="85">
        <f>1807404-1806484</f>
        <v>920</v>
      </c>
      <c r="E35" s="85">
        <f>13676241-13668270</f>
        <v>7971</v>
      </c>
      <c r="F35" s="85">
        <f>13434099-13428058</f>
        <v>6041</v>
      </c>
      <c r="G35" s="85">
        <f>9269829-9266753</f>
        <v>3076</v>
      </c>
      <c r="H35" s="85">
        <f>10417970-10408493</f>
        <v>9477</v>
      </c>
      <c r="I35" s="85">
        <f>5970109-5967542</f>
        <v>2567</v>
      </c>
      <c r="J35" s="85">
        <f>13837172-13829692</f>
        <v>7480</v>
      </c>
      <c r="K35" s="85">
        <f t="shared" ref="K35:K36" si="20">SUM(B35:H35)</f>
        <v>40121</v>
      </c>
      <c r="L35" s="14">
        <f t="shared" ref="L35:L36" si="21">K35*0.2</f>
        <v>8024.2000000000007</v>
      </c>
      <c r="M35" s="82">
        <f>33827.41-33646.291</f>
        <v>181.11900000000605</v>
      </c>
      <c r="N35" s="82">
        <f>5033.292-5029.727</f>
        <v>3.5650000000005093</v>
      </c>
      <c r="O35" s="82">
        <f>10497.568-10497.356</f>
        <v>0.21199999999953434</v>
      </c>
      <c r="P35" s="81">
        <f>14246.817-14170.094</f>
        <v>76.722999999999956</v>
      </c>
      <c r="Q35" s="82">
        <f>29391.938-29378.171</f>
        <v>13.766999999999825</v>
      </c>
      <c r="R35" s="82">
        <f t="shared" ref="R35:R36" si="22">N35+O35+P35</f>
        <v>80.5</v>
      </c>
      <c r="S35" s="82">
        <f t="shared" ref="S35:S36" si="23">(N35+O35+P35)*7.84</f>
        <v>631.12</v>
      </c>
      <c r="T35" s="82">
        <f t="shared" ref="T35:T36" si="24">M35+Q35</f>
        <v>194.88600000000588</v>
      </c>
      <c r="U35" s="82">
        <f t="shared" ref="U35:U36" si="25">T35*7.84</f>
        <v>1527.906240000046</v>
      </c>
      <c r="V35" s="121">
        <f>422333.1-422180.1</f>
        <v>153</v>
      </c>
      <c r="W35" s="121">
        <f>165394.41-165222.41</f>
        <v>172</v>
      </c>
      <c r="X35" s="85" t="s">
        <v>63</v>
      </c>
      <c r="Y35" s="86">
        <v>1075710</v>
      </c>
      <c r="Z35" s="5">
        <f t="shared" ref="Z35:Z36" si="26">IF((Y35-Y34&lt;0), "0",Y35-Y34)</f>
        <v>696</v>
      </c>
      <c r="AA35" s="14">
        <f t="shared" ref="AA35:AA36" si="27">Z35*6.47</f>
        <v>4503.12</v>
      </c>
      <c r="AB35" s="86">
        <v>13143948</v>
      </c>
      <c r="AC35" s="86">
        <f t="shared" ref="AC35:AC36" si="28">AB34</f>
        <v>13117948</v>
      </c>
      <c r="AD35" s="14">
        <f t="shared" ref="AD35:AD36" si="29">IF((AB35-AC35&lt;0), "0",AB35-AC35)</f>
        <v>26000</v>
      </c>
      <c r="AE35" s="82">
        <f t="shared" si="12"/>
        <v>8525.3739999999998</v>
      </c>
      <c r="AF35" s="82">
        <f>100071.7-100028.7</f>
        <v>43</v>
      </c>
      <c r="AG35" s="82">
        <f t="shared" si="19"/>
        <v>0</v>
      </c>
      <c r="AH35" s="82">
        <f>31667.7-31654.1</f>
        <v>13.600000000002183</v>
      </c>
      <c r="AI35" s="86">
        <f t="shared" si="13"/>
        <v>54275.5</v>
      </c>
      <c r="AJ35" s="86">
        <v>54311</v>
      </c>
      <c r="AK35" s="47">
        <f t="shared" ref="AK35:AK36" si="30">IF((AJ35-AI35)&lt;0, "0",AJ35-AI35)</f>
        <v>35.5</v>
      </c>
      <c r="AL35" s="88">
        <f t="shared" ref="AL35:AL36" si="31">AK35*(284.34513609)</f>
        <v>10094.252331194999</v>
      </c>
      <c r="AM35" s="82">
        <f t="shared" si="14"/>
        <v>3309.8952451465088</v>
      </c>
      <c r="AN35" s="70">
        <v>103</v>
      </c>
      <c r="AO35" s="77">
        <f t="shared" si="5"/>
        <v>22580.600240000047</v>
      </c>
    </row>
    <row r="36" spans="1:41" x14ac:dyDescent="0.25">
      <c r="A36" s="78">
        <v>44712</v>
      </c>
      <c r="B36" s="85">
        <f>14209232-14202289</f>
        <v>6943</v>
      </c>
      <c r="C36" s="85">
        <f>9105495-9100802</f>
        <v>4693</v>
      </c>
      <c r="D36" s="85">
        <f>1808229-1807404</f>
        <v>825</v>
      </c>
      <c r="E36" s="85">
        <f>13683817-13676241</f>
        <v>7576</v>
      </c>
      <c r="F36" s="85">
        <f>13439820-13434099</f>
        <v>5721</v>
      </c>
      <c r="G36" s="85">
        <f>9272747-9269829</f>
        <v>2918</v>
      </c>
      <c r="H36" s="85">
        <f>10426952-10417970</f>
        <v>8982</v>
      </c>
      <c r="I36" s="85">
        <f>5972546-5970109</f>
        <v>2437</v>
      </c>
      <c r="J36" s="85">
        <f>13844428-13837172</f>
        <v>7256</v>
      </c>
      <c r="K36" s="85">
        <f t="shared" si="20"/>
        <v>37658</v>
      </c>
      <c r="L36" s="14">
        <f t="shared" si="21"/>
        <v>7531.6</v>
      </c>
      <c r="M36" s="82">
        <f>34021.952-33827.41</f>
        <v>194.541999999994</v>
      </c>
      <c r="N36" s="82">
        <f>5036.519-5033.292</f>
        <v>3.2269999999998618</v>
      </c>
      <c r="O36" s="82">
        <f>10497.721-10497.568</f>
        <v>0.15300000000024738</v>
      </c>
      <c r="P36" s="81">
        <f>14316.273-14246.817</f>
        <v>69.456000000000131</v>
      </c>
      <c r="Q36" s="82">
        <f>29422.658-29391.938</f>
        <v>30.720000000001164</v>
      </c>
      <c r="R36" s="82">
        <f t="shared" si="22"/>
        <v>72.83600000000024</v>
      </c>
      <c r="S36" s="82">
        <f t="shared" si="23"/>
        <v>571.03424000000189</v>
      </c>
      <c r="T36" s="82">
        <f t="shared" si="24"/>
        <v>225.26199999999517</v>
      </c>
      <c r="U36" s="82">
        <f t="shared" si="25"/>
        <v>1766.0540799999621</v>
      </c>
      <c r="V36" s="121">
        <f>422498.2-422333.1</f>
        <v>165.10000000003492</v>
      </c>
      <c r="W36" s="121">
        <f>165568.64-165394.41</f>
        <v>174.23000000001048</v>
      </c>
      <c r="X36" s="85" t="s">
        <v>63</v>
      </c>
      <c r="Y36" s="86">
        <v>1076403</v>
      </c>
      <c r="Z36" s="5">
        <f t="shared" si="26"/>
        <v>693</v>
      </c>
      <c r="AA36" s="14">
        <f t="shared" si="27"/>
        <v>4483.71</v>
      </c>
      <c r="AB36" s="86">
        <v>13169511</v>
      </c>
      <c r="AC36" s="86">
        <f t="shared" si="28"/>
        <v>13143948</v>
      </c>
      <c r="AD36" s="14">
        <f t="shared" si="29"/>
        <v>25563</v>
      </c>
      <c r="AE36" s="82">
        <f t="shared" si="12"/>
        <v>8382.0821369999994</v>
      </c>
      <c r="AF36" s="82">
        <f>100114-100071.7</f>
        <v>42.30000000000291</v>
      </c>
      <c r="AG36" s="82">
        <f>50692.5-50692.5</f>
        <v>0</v>
      </c>
      <c r="AH36" s="82">
        <f>31681-31667.7</f>
        <v>13.299999999999272</v>
      </c>
      <c r="AI36" s="86">
        <f t="shared" si="13"/>
        <v>54311</v>
      </c>
      <c r="AJ36" s="86">
        <v>54345.7</v>
      </c>
      <c r="AK36" s="47">
        <f t="shared" si="30"/>
        <v>34.69999999999709</v>
      </c>
      <c r="AL36" s="88">
        <f t="shared" si="31"/>
        <v>9866.7762223221725</v>
      </c>
      <c r="AM36" s="82">
        <f t="shared" si="14"/>
        <v>3235.3060565232181</v>
      </c>
      <c r="AN36" s="70">
        <v>141</v>
      </c>
      <c r="AO36" s="77">
        <f t="shared" si="5"/>
        <v>22163.446216999961</v>
      </c>
    </row>
    <row r="37" spans="1:41" x14ac:dyDescent="0.25">
      <c r="A37" s="75"/>
      <c r="D37" s="6">
        <f>SUM(D6:D36)</f>
        <v>27916</v>
      </c>
      <c r="E37" s="6" t="s">
        <v>93</v>
      </c>
      <c r="G37" s="6">
        <f t="shared" ref="G37:L37" si="32">SUM(G6:G36)</f>
        <v>88888</v>
      </c>
      <c r="H37" s="6">
        <f t="shared" si="32"/>
        <v>281828</v>
      </c>
      <c r="I37" s="6">
        <f t="shared" si="32"/>
        <v>74732</v>
      </c>
      <c r="J37" s="6">
        <f t="shared" si="32"/>
        <v>222130</v>
      </c>
      <c r="K37" s="6">
        <f t="shared" si="32"/>
        <v>1151713</v>
      </c>
      <c r="L37" s="15">
        <f t="shared" si="32"/>
        <v>230342.60000000003</v>
      </c>
      <c r="R37" s="16">
        <f>SUM(R6:R36)</f>
        <v>2442.6570000000002</v>
      </c>
      <c r="T37" s="16">
        <f>SUM(T6:T36)</f>
        <v>6390.1809999999969</v>
      </c>
      <c r="U37" s="16">
        <f t="shared" si="16"/>
        <v>50099.019039999977</v>
      </c>
      <c r="Z37" s="17">
        <f>SUM(Z6:Z36)</f>
        <v>23137</v>
      </c>
      <c r="AA37" s="17">
        <f>SUM(AA6:AA36)</f>
        <v>149696.39000000001</v>
      </c>
      <c r="AD37" s="17">
        <f>SUM(AD6:AD36)</f>
        <v>753721</v>
      </c>
      <c r="AE37" s="16">
        <f>AD37*0.334569</f>
        <v>252171.68124900002</v>
      </c>
      <c r="AF37" s="16">
        <f>SUM(AF6:AF36)</f>
        <v>1256</v>
      </c>
      <c r="AG37" s="16">
        <f>SUM(AG6:AG36)</f>
        <v>0</v>
      </c>
      <c r="AH37" s="16">
        <f>SUM(AH6:AH36)</f>
        <v>410.90000000000146</v>
      </c>
      <c r="AK37" s="41">
        <f>SUM(AK6:AK36)</f>
        <v>1018.6999999999971</v>
      </c>
      <c r="AL37" s="41">
        <f>SUM(AL6:AL36)</f>
        <v>289662.39013488218</v>
      </c>
      <c r="AM37" s="41">
        <f>SUM(AM6:AM36)</f>
        <v>94980.008062837718</v>
      </c>
      <c r="AN37" s="41">
        <f>SUM(AN6:AN36)</f>
        <v>3704</v>
      </c>
      <c r="AO37" s="41">
        <f>SUM(AO6:AO36)</f>
        <v>677282.37121899985</v>
      </c>
    </row>
    <row r="38" spans="1:41" x14ac:dyDescent="0.25">
      <c r="D38" s="6" t="e">
        <f>#REF!*24</f>
        <v>#REF!</v>
      </c>
      <c r="E38" s="6" t="s">
        <v>1</v>
      </c>
      <c r="R38" s="16">
        <v>7.84</v>
      </c>
      <c r="T38" s="16" t="s">
        <v>99</v>
      </c>
      <c r="U38" s="16">
        <f>U37-R39</f>
        <v>30948.588159999978</v>
      </c>
    </row>
    <row r="39" spans="1:41" x14ac:dyDescent="0.25">
      <c r="D39" s="6" t="e">
        <f>D38*31</f>
        <v>#REF!</v>
      </c>
      <c r="E39" s="6" t="s">
        <v>2</v>
      </c>
      <c r="F39" s="6" t="s">
        <v>94</v>
      </c>
      <c r="G39" s="6" t="e">
        <f>D39*0.2</f>
        <v>#REF!</v>
      </c>
      <c r="R39" s="16">
        <f>R37*R38</f>
        <v>19150.43088</v>
      </c>
      <c r="U39" s="16">
        <f>U38/R38</f>
        <v>3947.5239999999972</v>
      </c>
    </row>
    <row r="40" spans="1:41" x14ac:dyDescent="0.25">
      <c r="D40" s="15" t="e">
        <f>D39*0.2</f>
        <v>#REF!</v>
      </c>
    </row>
    <row r="41" spans="1:41" x14ac:dyDescent="0.25">
      <c r="E41" s="67" t="s">
        <v>98</v>
      </c>
    </row>
    <row r="42" spans="1:41" x14ac:dyDescent="0.25">
      <c r="AD42" s="6">
        <f>G42*0.2</f>
        <v>0</v>
      </c>
    </row>
  </sheetData>
  <mergeCells count="13">
    <mergeCell ref="AO2:AO4"/>
    <mergeCell ref="AA2:AA4"/>
    <mergeCell ref="AC2:AC4"/>
    <mergeCell ref="AD2:AD4"/>
    <mergeCell ref="AE2:AE4"/>
    <mergeCell ref="AM2:AM4"/>
    <mergeCell ref="AN2:AN4"/>
    <mergeCell ref="B1:J1"/>
    <mergeCell ref="X1:Y1"/>
    <mergeCell ref="K2:K3"/>
    <mergeCell ref="L2:L3"/>
    <mergeCell ref="S2:S4"/>
    <mergeCell ref="U2:U4"/>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8AABCC40F5CFC45BBCE981A278A7C4E" ma:contentTypeVersion="4" ma:contentTypeDescription="Create a new document." ma:contentTypeScope="" ma:versionID="b91eb22a3c415965adaa06a4ede6a68f">
  <xsd:schema xmlns:xsd="http://www.w3.org/2001/XMLSchema" xmlns:xs="http://www.w3.org/2001/XMLSchema" xmlns:p="http://schemas.microsoft.com/office/2006/metadata/properties" xmlns:ns2="999013b5-db2e-47f1-85a9-df7f954d7a13" xmlns:ns3="a21bcabd-71d1-4587-a317-3c23b4e73213" targetNamespace="http://schemas.microsoft.com/office/2006/metadata/properties" ma:root="true" ma:fieldsID="b499ca2ea6e613fe67e5797409ceb1a7" ns2:_="" ns3:_="">
    <xsd:import namespace="999013b5-db2e-47f1-85a9-df7f954d7a13"/>
    <xsd:import namespace="a21bcabd-71d1-4587-a317-3c23b4e7321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9013b5-db2e-47f1-85a9-df7f954d7a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21bcabd-71d1-4587-a317-3c23b4e7321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a21bcabd-71d1-4587-a317-3c23b4e73213">
      <UserInfo>
        <DisplayName/>
        <AccountId xsi:nil="true"/>
        <AccountType/>
      </UserInfo>
    </SharedWithUsers>
  </documentManagement>
</p:properties>
</file>

<file path=customXml/itemProps1.xml><?xml version="1.0" encoding="utf-8"?>
<ds:datastoreItem xmlns:ds="http://schemas.openxmlformats.org/officeDocument/2006/customXml" ds:itemID="{068C7322-DDD4-4103-9BFC-E4E0AA6EEC1D}">
  <ds:schemaRefs>
    <ds:schemaRef ds:uri="http://schemas.microsoft.com/sharepoint/v3/contenttype/forms"/>
  </ds:schemaRefs>
</ds:datastoreItem>
</file>

<file path=customXml/itemProps2.xml><?xml version="1.0" encoding="utf-8"?>
<ds:datastoreItem xmlns:ds="http://schemas.openxmlformats.org/officeDocument/2006/customXml" ds:itemID="{B7D819B4-D725-455F-AEDD-F2BAEBA7CB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9013b5-db2e-47f1-85a9-df7f954d7a13"/>
    <ds:schemaRef ds:uri="a21bcabd-71d1-4587-a317-3c23b4e732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EB0F865-9138-4E1D-8771-8D60B0AC9DE3}">
  <ds:schemaRefs>
    <ds:schemaRef ds:uri="http://schemas.microsoft.com/office/infopath/2007/PartnerControls"/>
    <ds:schemaRef ds:uri="http://schemas.microsoft.com/office/2006/documentManagement/types"/>
    <ds:schemaRef ds:uri="a21bcabd-71d1-4587-a317-3c23b4e73213"/>
    <ds:schemaRef ds:uri="http://purl.org/dc/terms/"/>
    <ds:schemaRef ds:uri="999013b5-db2e-47f1-85a9-df7f954d7a13"/>
    <ds:schemaRef ds:uri="http://schemas.microsoft.com/office/2006/metadata/properties"/>
    <ds:schemaRef ds:uri="http://schemas.openxmlformats.org/package/2006/metadata/core-properties"/>
    <ds:schemaRef ds:uri="http://purl.org/dc/elements/1.1/"/>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2022-06-09T13:28:30Z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0x010100B8AABCC40F5CFC45BBCE981A278A7C4E</vt:lpwstr>
  </property>
  <property fmtid="{D5CDD505-2E9C-101B-9397-08002B2CF9AE}" pid="3" name="Order">
    <vt:r8>13200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ies>
</file>