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 calcMode="manual" iterate="1" calcCompleted="0" calcOnSave="0" concurrentCalc="0"/>
</workbook>
</file>

<file path=xl/calcChain.xml><?xml version="1.0" encoding="utf-8"?>
<calcChain xmlns="http://schemas.openxmlformats.org/spreadsheetml/2006/main">
  <c r="M31" i="1" l="1"/>
  <c r="R28" i="1"/>
  <c r="K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R26" i="1"/>
  <c r="R22" i="1"/>
  <c r="R20" i="1"/>
  <c r="L34" i="31"/>
  <c r="I34" i="31"/>
  <c r="G37" i="31"/>
  <c r="G34" i="31"/>
  <c r="L33" i="31"/>
  <c r="I33" i="31"/>
  <c r="G33" i="31"/>
  <c r="L32" i="31"/>
  <c r="I32" i="31"/>
  <c r="G32" i="31"/>
  <c r="L31" i="31"/>
  <c r="I31" i="31"/>
  <c r="G31" i="31"/>
  <c r="L28" i="31"/>
  <c r="L29" i="31"/>
  <c r="L30" i="31"/>
  <c r="I28" i="31"/>
  <c r="I29" i="31"/>
  <c r="I30" i="31"/>
  <c r="G28" i="31"/>
  <c r="G29" i="31"/>
  <c r="G30" i="31"/>
  <c r="L27" i="31"/>
  <c r="I27" i="31"/>
  <c r="G27" i="31"/>
  <c r="L26" i="31"/>
  <c r="I26" i="31"/>
  <c r="G26" i="31"/>
  <c r="L20" i="31"/>
  <c r="L21" i="31"/>
  <c r="L22" i="31"/>
  <c r="L23" i="31"/>
  <c r="L24" i="31"/>
  <c r="L25" i="31"/>
  <c r="I20" i="31"/>
  <c r="I21" i="31"/>
  <c r="I22" i="31"/>
  <c r="I23" i="31"/>
  <c r="I24" i="31"/>
  <c r="I25" i="31"/>
  <c r="G20" i="31"/>
  <c r="G21" i="31"/>
  <c r="G22" i="31"/>
  <c r="G23" i="31"/>
  <c r="G24" i="31"/>
  <c r="G25" i="31"/>
  <c r="L19" i="31"/>
  <c r="G19" i="31"/>
  <c r="I19" i="31"/>
  <c r="L18" i="31"/>
  <c r="I18" i="31"/>
  <c r="G18" i="31"/>
  <c r="L17" i="31"/>
  <c r="I17" i="31"/>
  <c r="G17" i="31"/>
  <c r="L13" i="31"/>
  <c r="L14" i="31"/>
  <c r="L15" i="31"/>
  <c r="L16" i="31"/>
  <c r="I13" i="31"/>
  <c r="I14" i="31"/>
  <c r="I15" i="31"/>
  <c r="I16" i="31"/>
  <c r="G13" i="31"/>
  <c r="G14" i="31"/>
  <c r="G15" i="31"/>
  <c r="G16" i="31"/>
  <c r="L12" i="31"/>
  <c r="I12" i="31"/>
  <c r="G12" i="31"/>
  <c r="L11" i="31"/>
  <c r="I11" i="31"/>
  <c r="G11" i="31"/>
  <c r="L10" i="31"/>
  <c r="I10" i="31"/>
  <c r="G10" i="31"/>
  <c r="L6" i="31"/>
  <c r="L7" i="31"/>
  <c r="L8" i="31"/>
  <c r="L9" i="31"/>
  <c r="I6" i="31"/>
  <c r="I7" i="31"/>
  <c r="I8" i="31"/>
  <c r="I9" i="31"/>
  <c r="G6" i="31"/>
  <c r="G7" i="31"/>
  <c r="G8" i="31"/>
  <c r="G9" i="31"/>
  <c r="L5" i="31"/>
  <c r="I5" i="31"/>
  <c r="G5" i="31"/>
  <c r="K32" i="1"/>
  <c r="O7" i="1"/>
  <c r="O6" i="1"/>
  <c r="E2" i="1"/>
  <c r="E3" i="1"/>
  <c r="E4" i="1"/>
  <c r="E5" i="1"/>
  <c r="E6" i="1"/>
  <c r="E7" i="1"/>
  <c r="I5" i="1"/>
  <c r="M10" i="1"/>
  <c r="O8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<sst xmlns="http://schemas.openxmlformats.org/spreadsheetml/2006/main" count="64" uniqueCount="31">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</sst>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[$-409]dd\-mmm\-yy;@"/>
    <numFmt numFmtId="167" formatCode="0.00000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zoomScale="111" zoomScaleNormal="85" workbookViewId="0">
      <selection activeCell="F2" sqref="F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32017</v>
      </c>
      <c r="F2" s="10">
        <v>2.89342E-2</v>
      </c>
      <c r="G2" s="1">
        <f>'Sept 2020'!J5</f>
        <v>0</v>
      </c>
      <c r="H2" s="10">
        <v>0.11245792</v>
      </c>
      <c r="I2" s="1">
        <f>'Sept 2020'!G5*1000</f>
        <v>87000</v>
      </c>
      <c r="J2" s="10">
        <v>2.4474975142476051E-2</v>
      </c>
      <c r="K2" s="1">
        <f ca="1">'Sept 2020'!I5</f>
        <v>320</v>
      </c>
      <c r="L2" s="10">
        <v>1.0407051039697499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32048</v>
      </c>
      <c r="F3" s="10">
        <v>2.89342E-2</v>
      </c>
      <c r="G3" s="1">
        <f>'Sept 2020'!J6</f>
        <v>0</v>
      </c>
      <c r="H3" s="10">
        <v>0.11245792</v>
      </c>
      <c r="I3" s="1">
        <f>'Sept 2020'!G6*1000</f>
        <v>85000</v>
      </c>
      <c r="J3" s="10">
        <v>2.4474975142476051E-2</v>
      </c>
      <c r="K3" s="1">
        <f ca="1">'Sept 2020'!I6</f>
        <v>278</v>
      </c>
      <c r="L3" s="10">
        <v>1.0407051039697499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32826</v>
      </c>
      <c r="F4" s="10">
        <v>2.89342E-2</v>
      </c>
      <c r="G4" s="1">
        <f>'Sept 2020'!J7</f>
        <v>0</v>
      </c>
      <c r="H4" s="10">
        <v>0.11245792</v>
      </c>
      <c r="I4" s="1">
        <f>'Sept 2020'!G7*1000</f>
        <v>87000</v>
      </c>
      <c r="J4" s="10">
        <v>2.4474975142476051E-2</v>
      </c>
      <c r="K4" s="1">
        <f ca="1">'Sept 2020'!I7</f>
        <v>221</v>
      </c>
      <c r="L4" s="10">
        <v>1.0407051039697499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31060</v>
      </c>
      <c r="F5" s="10">
        <v>2.89342E-2</v>
      </c>
      <c r="G5" s="1">
        <f>'Sept 2020'!J8</f>
        <v>0</v>
      </c>
      <c r="H5" s="10">
        <v>0.11245792</v>
      </c>
      <c r="I5" s="1">
        <f>'Sept 2020'!G8*1000</f>
        <v>89000</v>
      </c>
      <c r="J5" s="10">
        <v>2.4474975142476051E-2</v>
      </c>
      <c r="K5" s="1">
        <f ca="1">'Sept 2020'!I8</f>
        <v>256</v>
      </c>
      <c r="L5" s="10">
        <v>1.0407051039697499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32676</v>
      </c>
      <c r="F6" s="10">
        <v>2.89342E-2</v>
      </c>
      <c r="G6" s="1">
        <f>'Sept 2020'!J9</f>
        <v>2970</v>
      </c>
      <c r="H6" s="10">
        <v>0.11245792</v>
      </c>
      <c r="I6" s="1">
        <f>'Sept 2020'!G9*1000</f>
        <v>89000</v>
      </c>
      <c r="J6" s="10">
        <v>2.4474975142476051E-2</v>
      </c>
      <c r="K6" s="1">
        <f ca="1">'Sept 2020'!I9</f>
        <v>276</v>
      </c>
      <c r="L6" s="10">
        <v>1.0407051039697499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31357</v>
      </c>
      <c r="F7" s="10">
        <v>2.89342E-2</v>
      </c>
      <c r="G7" s="1">
        <v>2970</v>
      </c>
      <c r="H7" s="10">
        <v>0.11245792</v>
      </c>
      <c r="I7" s="1">
        <f>'Sept 2020'!G10*1000</f>
        <v>87000</v>
      </c>
      <c r="J7" s="10">
        <v>2.4474975142476051E-2</v>
      </c>
      <c r="K7" s="1">
        <f ca="1">'Sept 2020'!I10</f>
        <v>197</v>
      </c>
      <c r="L7" s="10">
        <v>1.0407051039697499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31357</v>
      </c>
      <c r="F8" s="10">
        <v>2.89342E-2</v>
      </c>
      <c r="G8" s="1">
        <f>'Sept 2020'!J11</f>
        <v>0</v>
      </c>
      <c r="H8" s="10">
        <v>0.11245792</v>
      </c>
      <c r="I8" s="1">
        <f>'Sept 2020'!G11*1000</f>
        <v>81000</v>
      </c>
      <c r="J8" s="10">
        <v>2.4474975142476051E-2</v>
      </c>
      <c r="K8" s="1">
        <f ca="1">'Sept 2020'!I11</f>
        <v>181</v>
      </c>
      <c r="L8" s="10">
        <v>1.0407051039697499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29924</v>
      </c>
      <c r="F9" s="10">
        <v>2.89342E-2</v>
      </c>
      <c r="G9" s="1">
        <f>'Sept 2020'!J12</f>
        <v>0</v>
      </c>
      <c r="H9" s="10">
        <v>0.11245792</v>
      </c>
      <c r="I9" s="1">
        <f>'Sept 2020'!G12*1000</f>
        <v>73000</v>
      </c>
      <c r="J9" s="10">
        <v>2.4474975142476051E-2</v>
      </c>
      <c r="K9" s="1">
        <f ca="1">'Sept 2020'!I12</f>
        <v>202</v>
      </c>
      <c r="L9" s="10">
        <v>1.0407051039697499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30479</v>
      </c>
      <c r="F10" s="10">
        <v>2.89342E-2</v>
      </c>
      <c r="G10" s="1">
        <f>'Sept 2020'!J13</f>
        <v>0</v>
      </c>
      <c r="H10" s="10">
        <v>0.11245792</v>
      </c>
      <c r="I10" s="1">
        <f>'Sept 2020'!G13*1000</f>
        <v>75000</v>
      </c>
      <c r="J10" s="10">
        <v>2.4474975142476051E-2</v>
      </c>
      <c r="K10" s="1">
        <f ca="1">'Sept 2020'!I13</f>
        <v>137</v>
      </c>
      <c r="L10" s="10">
        <v>1.0407051039697499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31676</v>
      </c>
      <c r="F11" s="10">
        <v>2.89342E-2</v>
      </c>
      <c r="G11" s="1">
        <f>'Sept 2020'!J14</f>
        <v>2970</v>
      </c>
      <c r="H11" s="10">
        <v>0.11245792</v>
      </c>
      <c r="I11" s="1">
        <f>'Sept 2020'!G14*1000</f>
        <v>82000</v>
      </c>
      <c r="J11" s="10">
        <v>2.4474975142476051E-2</v>
      </c>
      <c r="K11" s="1">
        <f ca="1">'Sept 2020'!I14</f>
        <v>270</v>
      </c>
      <c r="L11" s="10">
        <v>1.0407051039697499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30695</v>
      </c>
      <c r="F12" s="10">
        <v>2.89342E-2</v>
      </c>
      <c r="G12" s="1">
        <f>'Sept 2020'!J15</f>
        <v>0</v>
      </c>
      <c r="H12" s="10">
        <v>0.11245792</v>
      </c>
      <c r="I12" s="1">
        <f>'Sept 2020'!G15*1000</f>
        <v>81000</v>
      </c>
      <c r="J12" s="10">
        <v>2.4474975142476051E-2</v>
      </c>
      <c r="K12" s="1">
        <f ca="1">'Sept 2020'!I15</f>
        <v>244</v>
      </c>
      <c r="L12" s="10">
        <v>1.0407051039697499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31392</v>
      </c>
      <c r="F13" s="10">
        <v>2.89342E-2</v>
      </c>
      <c r="G13" s="1">
        <f>'Sept 2020'!J16</f>
        <v>0</v>
      </c>
      <c r="H13" s="10">
        <v>0.11245792</v>
      </c>
      <c r="I13" s="1">
        <f>'Sept 2020'!G16*1000</f>
        <v>86000</v>
      </c>
      <c r="J13" s="10">
        <v>2.4474975142476051E-2</v>
      </c>
      <c r="K13" s="1">
        <f ca="1">'Sept 2020'!I16</f>
        <v>197</v>
      </c>
      <c r="L13" s="10">
        <v>1.0407051039697499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30354</v>
      </c>
      <c r="F14" s="10">
        <v>2.89342E-2</v>
      </c>
      <c r="G14" s="1">
        <f>'Sept 2020'!J17</f>
        <v>0</v>
      </c>
      <c r="H14" s="10">
        <v>0.11245792</v>
      </c>
      <c r="I14" s="1">
        <f>'Sept 2020'!G17*1000</f>
        <v>82000</v>
      </c>
      <c r="J14" s="10">
        <v>2.4474975142476051E-2</v>
      </c>
      <c r="K14" s="1">
        <f ca="1">'Sept 2020'!I17</f>
        <v>212</v>
      </c>
      <c r="L14" s="10">
        <v>1.0407051039697499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29902</v>
      </c>
      <c r="F15" s="10">
        <v>2.89342E-2</v>
      </c>
      <c r="G15" s="1">
        <f>'Sept 2020'!J18</f>
        <v>2970</v>
      </c>
      <c r="H15" s="10">
        <v>0.11245792</v>
      </c>
      <c r="I15" s="1">
        <f>'Sept 2020'!G18*1000</f>
        <v>79000</v>
      </c>
      <c r="J15" s="10">
        <v>2.4474975142476051E-2</v>
      </c>
      <c r="K15" s="1">
        <f ca="1">'Sept 2020'!I18</f>
        <v>195</v>
      </c>
      <c r="L15" s="10">
        <v>1.0407051039697499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31484</v>
      </c>
      <c r="F16" s="10">
        <v>2.89342E-2</v>
      </c>
      <c r="G16" s="1">
        <f>'Sept 2020'!J19</f>
        <v>2970</v>
      </c>
      <c r="H16" s="10">
        <v>0.11245792</v>
      </c>
      <c r="I16" s="1">
        <f>'Sept 2020'!G19*1000</f>
        <v>82000</v>
      </c>
      <c r="J16" s="10">
        <v>2.4474975142476051E-2</v>
      </c>
      <c r="K16" s="1">
        <f ca="1">'Sept 2020'!I19</f>
        <v>129</v>
      </c>
      <c r="L16" s="10">
        <v>1.0407051039697499</v>
      </c>
      <c r="M16" s="10">
        <f>'Sept 2020'!L19</f>
        <v>228</v>
      </c>
      <c r="N16" s="10">
        <v>0.56299999999999994</v>
      </c>
      <c r="O16" s="15">
        <f>'Sept 2020'!D19</f>
        <v>64</v>
      </c>
    </row>
    <row r="17" spans="1:18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31912</v>
      </c>
      <c r="F17" s="10">
        <v>2.89342E-2</v>
      </c>
      <c r="G17" s="1">
        <f>'Sept 2020'!J20</f>
        <v>0</v>
      </c>
      <c r="H17" s="10">
        <v>0.11245792</v>
      </c>
      <c r="I17" s="1">
        <f>'Sept 2020'!G20*1000</f>
        <v>83000</v>
      </c>
      <c r="J17" s="10">
        <v>2.4474975142476051E-2</v>
      </c>
      <c r="K17" s="1">
        <f ca="1">'Sept 2020'!I20</f>
        <v>235</v>
      </c>
      <c r="L17" s="10">
        <v>1.0407051039697499</v>
      </c>
      <c r="M17" s="10">
        <f>'Sept 2020'!L20</f>
        <v>317</v>
      </c>
      <c r="N17" s="10">
        <v>0.56299999999999994</v>
      </c>
      <c r="O17" s="15">
        <f>'Sept 2020'!D20</f>
        <v>96</v>
      </c>
    </row>
    <row r="18" spans="1:18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31759</v>
      </c>
      <c r="F18" s="10">
        <v>2.89342E-2</v>
      </c>
      <c r="G18" s="1">
        <f>'Sept 2020'!J21</f>
        <v>0</v>
      </c>
      <c r="H18" s="10">
        <v>0.11245792</v>
      </c>
      <c r="I18" s="1">
        <f>'Sept 2020'!G21*1000</f>
        <v>81000</v>
      </c>
      <c r="J18" s="10">
        <v>2.4474975142476051E-2</v>
      </c>
      <c r="K18" s="1">
        <f ca="1">'Sept 2020'!I21</f>
        <v>210</v>
      </c>
      <c r="L18" s="10">
        <v>1.0407051039697499</v>
      </c>
      <c r="M18" s="10">
        <f>'Sept 2020'!L21</f>
        <v>346</v>
      </c>
      <c r="N18" s="10">
        <v>0.56299999999999994</v>
      </c>
      <c r="O18" s="15">
        <f>'Sept 2020'!D21</f>
        <v>114</v>
      </c>
    </row>
    <row r="19" spans="1:18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32569</v>
      </c>
      <c r="F19" s="10">
        <v>2.89342E-2</v>
      </c>
      <c r="G19" s="1">
        <f>'Sept 2020'!J22</f>
        <v>2970</v>
      </c>
      <c r="H19" s="10">
        <v>0.11245792</v>
      </c>
      <c r="I19" s="1">
        <f>'Sept 2020'!G22*1000</f>
        <v>88000</v>
      </c>
      <c r="J19" s="10">
        <v>2.4474975142476051E-2</v>
      </c>
      <c r="K19" s="1">
        <f ca="1">'Sept 2020'!I22</f>
        <v>292</v>
      </c>
      <c r="L19" s="10">
        <v>1.0407051039697499</v>
      </c>
      <c r="M19" s="10">
        <f>'Sept 2020'!L22</f>
        <v>261</v>
      </c>
      <c r="N19" s="10">
        <v>0.56299999999999994</v>
      </c>
      <c r="O19" s="15">
        <f>'Sept 2020'!D22</f>
        <v>138</v>
      </c>
    </row>
    <row r="20" spans="1:18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31729</v>
      </c>
      <c r="F20" s="10">
        <v>2.89342E-2</v>
      </c>
      <c r="G20" s="1">
        <f>'Sept 2020'!J23</f>
        <v>0</v>
      </c>
      <c r="H20" s="10">
        <v>0.11245792</v>
      </c>
      <c r="I20" s="1">
        <f>'Sept 2020'!G23*1000</f>
        <v>85000</v>
      </c>
      <c r="J20" s="10">
        <v>2.4474975142476051E-2</v>
      </c>
      <c r="K20" s="1">
        <f ca="1">'Sept 2020'!I23</f>
        <v>265</v>
      </c>
      <c r="L20" s="10">
        <v>1.0407051039697499</v>
      </c>
      <c r="M20" s="10">
        <f>'Sept 2020'!L23</f>
        <v>228</v>
      </c>
      <c r="N20" s="10">
        <v>0.56299999999999994</v>
      </c>
      <c r="O20" s="15">
        <f>'Sept 2020'!D23</f>
        <v>94</v>
      </c>
      <c r="R20">
        <f ca="1">23430+34626.122+2497.414</f>
        <v>60553.536</v>
      </c>
    </row>
    <row r="21" spans="1:18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32330</v>
      </c>
      <c r="F21" s="10">
        <v>2.89342E-2</v>
      </c>
      <c r="G21" s="1">
        <f>'Sept 2020'!J24</f>
        <v>0</v>
      </c>
      <c r="H21" s="10">
        <v>0.11245792</v>
      </c>
      <c r="I21" s="1">
        <f>'Sept 2020'!G24*1000</f>
        <v>85000</v>
      </c>
      <c r="J21" s="10">
        <v>2.4474975142476051E-2</v>
      </c>
      <c r="K21" s="1">
        <f ca="1">'Sept 2020'!I24</f>
        <v>259</v>
      </c>
      <c r="L21" s="10">
        <v>1.0407051039697499</v>
      </c>
      <c r="M21" s="10">
        <f>'Sept 2020'!L24</f>
        <v>194</v>
      </c>
      <c r="N21" s="10">
        <v>0.56299999999999994</v>
      </c>
      <c r="O21" s="15">
        <f>'Sept 2020'!D24</f>
        <v>99</v>
      </c>
      <c r="R21">
        <v>2474100</v>
      </c>
    </row>
    <row r="22" spans="1:18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30181</v>
      </c>
      <c r="F22" s="10">
        <v>2.89342E-2</v>
      </c>
      <c r="G22" s="1">
        <f>'Sept 2020'!J25</f>
        <v>2970</v>
      </c>
      <c r="H22" s="10">
        <v>0.11245792</v>
      </c>
      <c r="I22" s="1">
        <f>'Sept 2020'!G25*1000</f>
        <v>81000</v>
      </c>
      <c r="J22" s="10">
        <v>2.4474975142476051E-2</v>
      </c>
      <c r="K22" s="1">
        <f ca="1">'Sept 2020'!I25</f>
        <v>195</v>
      </c>
      <c r="L22" s="10">
        <v>1.0407051039697499</v>
      </c>
      <c r="M22" s="10">
        <f>'Sept 2020'!L25</f>
        <v>278</v>
      </c>
      <c r="N22" s="10">
        <v>0.56299999999999994</v>
      </c>
      <c r="O22" s="15">
        <f>'Sept 2020'!D25</f>
        <v>61</v>
      </c>
      <c r="R22">
        <f ca="1">R20/R21</f>
        <v>2.4474975142476051E-2</v>
      </c>
    </row>
    <row r="23" spans="1:18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30979</v>
      </c>
      <c r="F23" s="10">
        <v>2.89342E-2</v>
      </c>
      <c r="G23" s="1">
        <f>'Sept 2020'!J26</f>
        <v>0</v>
      </c>
      <c r="H23" s="10">
        <v>0.11245792</v>
      </c>
      <c r="I23" s="1">
        <f>'Sept 2020'!G26*1000</f>
        <v>75000</v>
      </c>
      <c r="J23" s="10">
        <v>2.4474975142476051E-2</v>
      </c>
      <c r="K23" s="1">
        <f ca="1">'Sept 2020'!I26</f>
        <v>193</v>
      </c>
      <c r="L23" s="10">
        <v>1.0407051039697499</v>
      </c>
      <c r="M23" s="10">
        <f>'Sept 2020'!L26</f>
        <v>208</v>
      </c>
      <c r="N23" s="10">
        <v>0.56299999999999994</v>
      </c>
      <c r="O23" s="15">
        <f>'Sept 2020'!D26</f>
        <v>63</v>
      </c>
    </row>
    <row r="24" spans="1:18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30549</v>
      </c>
      <c r="F24" s="10">
        <v>2.89342E-2</v>
      </c>
      <c r="G24" s="1">
        <f>'Sept 2020'!J27</f>
        <v>0</v>
      </c>
      <c r="H24" s="10">
        <v>0.11245792</v>
      </c>
      <c r="I24" s="1">
        <f>'Sept 2020'!G27*1000</f>
        <v>81000</v>
      </c>
      <c r="J24" s="10">
        <v>2.4474975142476051E-2</v>
      </c>
      <c r="K24" s="1">
        <f ca="1">'Sept 2020'!I27</f>
        <v>255</v>
      </c>
      <c r="L24" s="10">
        <v>1.0407051039697499</v>
      </c>
      <c r="M24" s="10">
        <f>'Sept 2020'!L27</f>
        <v>222</v>
      </c>
      <c r="N24" s="10">
        <v>0.56299999999999994</v>
      </c>
      <c r="O24" s="15">
        <f>'Sept 2020'!D27</f>
        <v>85</v>
      </c>
    </row>
    <row r="25" spans="1:18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36747</v>
      </c>
      <c r="F25" s="10">
        <v>2.89342E-2</v>
      </c>
      <c r="G25" s="1">
        <f>'Sept 2020'!J28</f>
        <v>0</v>
      </c>
      <c r="H25" s="10">
        <v>0.11245792</v>
      </c>
      <c r="I25" s="1">
        <f>'Sept 2020'!G28*1000</f>
        <v>81000</v>
      </c>
      <c r="J25" s="10">
        <v>2.4474975142476051E-2</v>
      </c>
      <c r="K25" s="1">
        <f ca="1">'Sept 2020'!I28</f>
        <v>159</v>
      </c>
      <c r="L25" s="10">
        <v>1.0407051039697499</v>
      </c>
      <c r="M25" s="10">
        <f>'Sept 2020'!L28</f>
        <v>58</v>
      </c>
      <c r="N25" s="10">
        <v>0.56299999999999994</v>
      </c>
      <c r="O25" s="15">
        <f>'Sept 2020'!D28</f>
        <v>117</v>
      </c>
    </row>
    <row r="26" spans="1:18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35187</v>
      </c>
      <c r="F26" s="10">
        <v>2.89342E-2</v>
      </c>
      <c r="G26" s="1">
        <f>'Sept 2020'!J29</f>
        <v>0</v>
      </c>
      <c r="H26" s="10">
        <v>0.11245792</v>
      </c>
      <c r="I26" s="1">
        <f>'Sept 2020'!G29*1000</f>
        <v>95000</v>
      </c>
      <c r="J26" s="10">
        <v>2.4474975142476051E-2</v>
      </c>
      <c r="K26" s="1">
        <f ca="1">'Sept 2020'!I29</f>
        <v>293</v>
      </c>
      <c r="L26" s="10">
        <v>1.0407051039697499</v>
      </c>
      <c r="M26" s="10">
        <f>'Sept 2020'!L29</f>
        <v>388</v>
      </c>
      <c r="N26" s="10">
        <v>0.56299999999999994</v>
      </c>
      <c r="O26" s="15">
        <f>'Sept 2020'!D29</f>
        <v>111</v>
      </c>
      <c r="R26">
        <f ca="1">490.028+5157.75+445.071+1064.08</f>
        <v>7156.9290000000001</v>
      </c>
    </row>
    <row r="27" spans="1:18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25819</v>
      </c>
      <c r="F27" s="10">
        <v>2.89342E-2</v>
      </c>
      <c r="G27" s="1">
        <f>'Sept 2020'!J30</f>
        <v>2970</v>
      </c>
      <c r="H27" s="10">
        <v>0.11245792</v>
      </c>
      <c r="I27" s="1">
        <f>'Sept 2020'!G30*1000</f>
        <v>82000</v>
      </c>
      <c r="J27" s="10">
        <v>2.4474975142476051E-2</v>
      </c>
      <c r="K27" s="1">
        <f ca="1">'Sept 2020'!I30</f>
        <v>235</v>
      </c>
      <c r="L27" s="10">
        <v>1.0407051039697499</v>
      </c>
      <c r="M27" s="10">
        <f>'Sept 2020'!L30</f>
        <v>215</v>
      </c>
      <c r="N27" s="10">
        <v>0.56299999999999994</v>
      </c>
      <c r="O27" s="15">
        <f>'Sept 2020'!D30</f>
        <v>64</v>
      </c>
      <c r="R27">
        <v>6877</v>
      </c>
    </row>
    <row r="28" spans="1:18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31338</v>
      </c>
      <c r="F28" s="10">
        <v>2.89342E-2</v>
      </c>
      <c r="G28" s="1">
        <f>'Sept 2020'!J31</f>
        <v>0</v>
      </c>
      <c r="H28" s="10">
        <v>0.11245792</v>
      </c>
      <c r="I28" s="1">
        <f>'Sept 2020'!G31*1000</f>
        <v>81000</v>
      </c>
      <c r="J28" s="10">
        <v>2.4474975142476051E-2</v>
      </c>
      <c r="K28" s="1">
        <f ca="1">'Sept 2020'!I31</f>
        <v>167</v>
      </c>
      <c r="L28" s="10">
        <v>1.0407051039697499</v>
      </c>
      <c r="M28" s="10">
        <f>'Sept 2020'!L31</f>
        <v>532</v>
      </c>
      <c r="N28" s="10">
        <v>0.56299999999999994</v>
      </c>
      <c r="O28" s="15">
        <f>'Sept 2020'!D31</f>
        <v>88</v>
      </c>
      <c r="R28">
        <f ca="1">R26/R27</f>
        <v>1.0407051039697544</v>
      </c>
    </row>
    <row r="29" spans="1:18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 ca="1">'Sept 2020'!E32</f>
        <v>31480</v>
      </c>
      <c r="F29" s="10">
        <v>2.89342E-2</v>
      </c>
      <c r="G29" s="1">
        <f>'Sept 2020'!J32</f>
        <v>2970</v>
      </c>
      <c r="H29" s="10">
        <v>0.11245792</v>
      </c>
      <c r="I29" s="1">
        <f>'Sept 2020'!G32*1000</f>
        <v>79000</v>
      </c>
      <c r="J29" s="10">
        <v>2.4474975142476051E-2</v>
      </c>
      <c r="K29" s="1">
        <f ca="1">'Sept 2020'!I32</f>
        <v>309</v>
      </c>
      <c r="L29" s="10">
        <v>1.0407051039697499</v>
      </c>
      <c r="M29" s="10">
        <f>'Sept 2020'!L32</f>
        <v>0</v>
      </c>
      <c r="N29" s="10">
        <v>0.56299999999999994</v>
      </c>
      <c r="O29" s="15">
        <f>'Sept 2020'!D32</f>
        <v>86</v>
      </c>
    </row>
    <row r="30" spans="1:18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31678</v>
      </c>
      <c r="F30" s="10">
        <v>2.89342E-2</v>
      </c>
      <c r="G30" s="1">
        <f>'Sept 2020'!J33</f>
        <v>0</v>
      </c>
      <c r="H30" s="10">
        <v>0.11245792</v>
      </c>
      <c r="I30" s="1">
        <f ca="1">'Sept 2020'!G33*1000</f>
        <v>72000</v>
      </c>
      <c r="J30" s="10">
        <v>2.4474975142476051E-2</v>
      </c>
      <c r="K30" s="1">
        <f ca="1">'Sept 2020'!I33</f>
        <v>294</v>
      </c>
      <c r="L30" s="10">
        <v>1.0407051039697499</v>
      </c>
      <c r="M30" s="10">
        <f>'Sept 2020'!L33</f>
        <v>382</v>
      </c>
      <c r="N30" s="10">
        <v>0.56299999999999994</v>
      </c>
      <c r="O30" s="15">
        <f>'Sept 2020'!D33</f>
        <v>67</v>
      </c>
    </row>
    <row r="31" spans="1:18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30516</v>
      </c>
      <c r="F31" s="10">
        <v>2.89342E-2</v>
      </c>
      <c r="G31" s="1">
        <f>'Sept 2020'!J34</f>
        <v>2970</v>
      </c>
      <c r="H31" s="10">
        <v>0.11245792</v>
      </c>
      <c r="I31" s="1">
        <f ca="1">'Sept 2020'!G34*1000</f>
        <v>80000</v>
      </c>
      <c r="J31" s="10">
        <v>2.4474975142476051E-2</v>
      </c>
      <c r="K31" s="1">
        <f ca="1">'Sept 2020'!I34</f>
        <v>201</v>
      </c>
      <c r="L31" s="10">
        <v>1.0407051039697499</v>
      </c>
      <c r="M31" s="10">
        <f ca="1">'Sept 2020'!L34</f>
        <v>69</v>
      </c>
      <c r="N31" s="10">
        <v>0.56299999999999994</v>
      </c>
      <c r="O31" s="15">
        <f>'Sept 2020'!D34</f>
        <v>88</v>
      </c>
    </row>
    <row r="32" spans="1:18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2.89342E-2</v>
      </c>
      <c r="G32" s="1">
        <f>'Sept 2020'!J35</f>
        <v>0</v>
      </c>
      <c r="H32" s="10">
        <v>0.11245792</v>
      </c>
      <c r="I32" s="1">
        <f>'Sept 2020'!G35*1000</f>
        <v>0</v>
      </c>
      <c r="J32" s="10">
        <v>2.4474975142476051E-2</v>
      </c>
      <c r="K32" s="1">
        <f ca="1">'Sept 2020'!I35</f>
        <v>0</v>
      </c>
      <c r="L32" s="10">
        <v>1.0407051039697499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E34" s="10"/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7"/>
  <sheetViews>
    <sheetView tabSelected="1" workbookViewId="0">
      <selection activeCell="L38" sqref="L3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32017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32048</v>
      </c>
      <c r="F6" s="4">
        <v>177206</v>
      </c>
      <c r="G6" s="8">
        <f t="shared" ref="G6:G34" si="0">F7-F6</f>
        <v>85</v>
      </c>
      <c r="H6" s="7">
        <v>406498</v>
      </c>
      <c r="I6" s="3">
        <f t="shared" ref="I6:I34" si="1">H7-H6</f>
        <v>278</v>
      </c>
      <c r="J6" s="3">
        <v>0</v>
      </c>
      <c r="K6" s="4">
        <v>248337</v>
      </c>
      <c r="L6" s="9">
        <f t="shared" ref="L6:L34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32826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31060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32676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31357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31357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29924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30479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31676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30695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31392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30354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29902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>
        <v>64</v>
      </c>
      <c r="E19" s="13">
        <v>31484</v>
      </c>
      <c r="F19" s="4">
        <v>178282</v>
      </c>
      <c r="G19" s="8">
        <f t="shared" si="0"/>
        <v>82</v>
      </c>
      <c r="H19" s="7">
        <v>409364</v>
      </c>
      <c r="I19" s="3">
        <f t="shared" si="1"/>
        <v>129</v>
      </c>
      <c r="J19" s="3">
        <v>2970</v>
      </c>
      <c r="K19" s="4">
        <v>251784</v>
      </c>
      <c r="L19" s="9">
        <f t="shared" si="2"/>
        <v>228</v>
      </c>
      <c r="N19" s="1"/>
    </row>
    <row r="20" spans="1:14" x14ac:dyDescent="0.2">
      <c r="A20" t="s">
        <v>28</v>
      </c>
      <c r="B20" s="2">
        <v>16</v>
      </c>
      <c r="C20" s="11">
        <v>44090</v>
      </c>
      <c r="D20" s="7">
        <v>96</v>
      </c>
      <c r="E20" s="13">
        <v>31912</v>
      </c>
      <c r="F20" s="4">
        <v>178364</v>
      </c>
      <c r="G20" s="8">
        <f t="shared" si="0"/>
        <v>83</v>
      </c>
      <c r="H20" s="4">
        <v>409493</v>
      </c>
      <c r="I20" s="3">
        <f t="shared" si="1"/>
        <v>235</v>
      </c>
      <c r="J20" s="3">
        <v>0</v>
      </c>
      <c r="K20" s="4">
        <v>252012</v>
      </c>
      <c r="L20" s="9">
        <f t="shared" si="2"/>
        <v>317</v>
      </c>
      <c r="N20" s="1"/>
    </row>
    <row r="21" spans="1:14" x14ac:dyDescent="0.2">
      <c r="B21" s="2">
        <v>17</v>
      </c>
      <c r="C21" s="11">
        <v>44091</v>
      </c>
      <c r="D21" s="7">
        <v>114</v>
      </c>
      <c r="E21" s="12">
        <v>31759</v>
      </c>
      <c r="F21" s="4">
        <v>178447</v>
      </c>
      <c r="G21" s="8">
        <f t="shared" si="0"/>
        <v>81</v>
      </c>
      <c r="H21" s="4">
        <v>409728</v>
      </c>
      <c r="I21" s="3">
        <f t="shared" si="1"/>
        <v>210</v>
      </c>
      <c r="J21" s="3">
        <v>0</v>
      </c>
      <c r="K21" s="4">
        <v>252329</v>
      </c>
      <c r="L21" s="9">
        <f t="shared" si="2"/>
        <v>346</v>
      </c>
      <c r="N21" s="1"/>
    </row>
    <row r="22" spans="1:14" x14ac:dyDescent="0.2">
      <c r="B22" s="2">
        <v>18</v>
      </c>
      <c r="C22" s="11">
        <v>44092</v>
      </c>
      <c r="D22" s="7">
        <v>138</v>
      </c>
      <c r="E22" s="12">
        <v>32569</v>
      </c>
      <c r="F22" s="4">
        <v>178528</v>
      </c>
      <c r="G22" s="8">
        <f t="shared" si="0"/>
        <v>88</v>
      </c>
      <c r="H22" s="4">
        <v>409938</v>
      </c>
      <c r="I22" s="3">
        <f t="shared" si="1"/>
        <v>292</v>
      </c>
      <c r="J22" s="3">
        <v>2970</v>
      </c>
      <c r="K22" s="4">
        <v>252675</v>
      </c>
      <c r="L22" s="9">
        <f t="shared" si="2"/>
        <v>261</v>
      </c>
      <c r="N22" s="1"/>
    </row>
    <row r="23" spans="1:14" x14ac:dyDescent="0.2">
      <c r="B23" s="2">
        <v>19</v>
      </c>
      <c r="C23" s="11">
        <v>44093</v>
      </c>
      <c r="D23" s="7">
        <v>94</v>
      </c>
      <c r="E23" s="13">
        <v>31729</v>
      </c>
      <c r="F23" s="4">
        <v>178616</v>
      </c>
      <c r="G23" s="8">
        <f t="shared" si="0"/>
        <v>85</v>
      </c>
      <c r="H23" s="4">
        <v>410230</v>
      </c>
      <c r="I23" s="3">
        <f t="shared" si="1"/>
        <v>265</v>
      </c>
      <c r="J23" s="3">
        <v>0</v>
      </c>
      <c r="K23" s="4">
        <v>252936</v>
      </c>
      <c r="L23" s="9">
        <f t="shared" si="2"/>
        <v>228</v>
      </c>
      <c r="N23" s="1"/>
    </row>
    <row r="24" spans="1:14" ht="12" customHeight="1" x14ac:dyDescent="0.2">
      <c r="B24" s="2">
        <v>20</v>
      </c>
      <c r="C24" s="11">
        <v>44094</v>
      </c>
      <c r="D24" s="7">
        <v>99</v>
      </c>
      <c r="E24" s="13">
        <v>32330</v>
      </c>
      <c r="F24" s="4">
        <v>178701</v>
      </c>
      <c r="G24" s="8">
        <f t="shared" si="0"/>
        <v>85</v>
      </c>
      <c r="H24" s="31">
        <v>410495</v>
      </c>
      <c r="I24" s="3">
        <f t="shared" si="1"/>
        <v>259</v>
      </c>
      <c r="J24" s="3">
        <v>0</v>
      </c>
      <c r="K24" s="31">
        <v>253164</v>
      </c>
      <c r="L24" s="9">
        <f t="shared" si="2"/>
        <v>194</v>
      </c>
      <c r="N24" s="1"/>
    </row>
    <row r="25" spans="1:14" x14ac:dyDescent="0.2">
      <c r="B25" s="2">
        <v>21</v>
      </c>
      <c r="C25" s="11">
        <v>44095</v>
      </c>
      <c r="D25" s="7">
        <v>61</v>
      </c>
      <c r="E25" s="12">
        <v>30181</v>
      </c>
      <c r="F25" s="4">
        <v>178786</v>
      </c>
      <c r="G25" s="8">
        <f t="shared" si="0"/>
        <v>81</v>
      </c>
      <c r="H25" s="4">
        <v>410754</v>
      </c>
      <c r="I25" s="3">
        <f t="shared" si="1"/>
        <v>195</v>
      </c>
      <c r="J25" s="3">
        <v>2970</v>
      </c>
      <c r="K25" s="4">
        <v>253358</v>
      </c>
      <c r="L25" s="9">
        <f t="shared" si="2"/>
        <v>278</v>
      </c>
      <c r="N25" s="1"/>
    </row>
    <row r="26" spans="1:14" x14ac:dyDescent="0.2">
      <c r="B26" s="2">
        <v>22</v>
      </c>
      <c r="C26" s="11">
        <v>44096</v>
      </c>
      <c r="D26" s="7">
        <v>63</v>
      </c>
      <c r="E26" s="12">
        <v>30979</v>
      </c>
      <c r="F26" s="4">
        <v>178867</v>
      </c>
      <c r="G26" s="8">
        <f t="shared" si="0"/>
        <v>75</v>
      </c>
      <c r="H26" s="4">
        <v>410949</v>
      </c>
      <c r="I26" s="3">
        <f t="shared" si="1"/>
        <v>193</v>
      </c>
      <c r="J26" s="3">
        <v>0</v>
      </c>
      <c r="K26" s="4">
        <v>253636</v>
      </c>
      <c r="L26" s="9">
        <f t="shared" si="2"/>
        <v>208</v>
      </c>
      <c r="N26" s="1"/>
    </row>
    <row r="27" spans="1:14" x14ac:dyDescent="0.2">
      <c r="B27" s="2">
        <v>23</v>
      </c>
      <c r="C27" s="11">
        <v>44097</v>
      </c>
      <c r="D27" s="7">
        <v>85</v>
      </c>
      <c r="E27" s="12">
        <v>30549</v>
      </c>
      <c r="F27" s="4">
        <v>178942</v>
      </c>
      <c r="G27" s="8">
        <f t="shared" si="0"/>
        <v>81</v>
      </c>
      <c r="H27" s="7">
        <v>411142</v>
      </c>
      <c r="I27" s="3">
        <f t="shared" si="1"/>
        <v>255</v>
      </c>
      <c r="J27" s="3">
        <v>0</v>
      </c>
      <c r="K27" s="4">
        <v>253844</v>
      </c>
      <c r="L27" s="9">
        <f t="shared" si="2"/>
        <v>222</v>
      </c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>
        <v>117</v>
      </c>
      <c r="E28" s="12">
        <v>36747</v>
      </c>
      <c r="F28" s="4">
        <v>179023</v>
      </c>
      <c r="G28" s="8">
        <f t="shared" si="0"/>
        <v>81</v>
      </c>
      <c r="H28" s="7">
        <v>411397</v>
      </c>
      <c r="I28" s="3">
        <f t="shared" si="1"/>
        <v>159</v>
      </c>
      <c r="J28" s="3">
        <v>0</v>
      </c>
      <c r="K28" s="4">
        <v>254066</v>
      </c>
      <c r="L28" s="9">
        <f t="shared" si="2"/>
        <v>58</v>
      </c>
      <c r="N28" s="1"/>
    </row>
    <row r="29" spans="1:14" x14ac:dyDescent="0.2">
      <c r="A29" t="s">
        <v>30</v>
      </c>
      <c r="B29" s="2">
        <v>25</v>
      </c>
      <c r="C29" s="11">
        <v>44099</v>
      </c>
      <c r="D29" s="7">
        <v>111</v>
      </c>
      <c r="E29" s="12">
        <v>35187</v>
      </c>
      <c r="F29" s="4">
        <v>179104</v>
      </c>
      <c r="G29" s="8">
        <f t="shared" si="0"/>
        <v>95</v>
      </c>
      <c r="H29" s="7">
        <v>411556</v>
      </c>
      <c r="I29" s="3">
        <f t="shared" si="1"/>
        <v>293</v>
      </c>
      <c r="J29" s="3">
        <v>0</v>
      </c>
      <c r="K29" s="4">
        <v>254124</v>
      </c>
      <c r="L29" s="9">
        <f t="shared" si="2"/>
        <v>388</v>
      </c>
      <c r="N29" s="1"/>
    </row>
    <row r="30" spans="1:14" x14ac:dyDescent="0.2">
      <c r="B30" s="2">
        <v>26</v>
      </c>
      <c r="C30" s="11">
        <v>44100</v>
      </c>
      <c r="D30" s="7">
        <v>64</v>
      </c>
      <c r="E30" s="12">
        <v>25819</v>
      </c>
      <c r="F30" s="4">
        <v>179199</v>
      </c>
      <c r="G30" s="8">
        <f t="shared" si="0"/>
        <v>82</v>
      </c>
      <c r="H30" s="7">
        <v>411849</v>
      </c>
      <c r="I30" s="3">
        <f t="shared" si="1"/>
        <v>235</v>
      </c>
      <c r="J30" s="3">
        <v>2970</v>
      </c>
      <c r="K30" s="33">
        <v>254512</v>
      </c>
      <c r="L30" s="9">
        <f t="shared" si="2"/>
        <v>215</v>
      </c>
      <c r="N30" s="1"/>
    </row>
    <row r="31" spans="1:14" x14ac:dyDescent="0.2">
      <c r="A31" t="s">
        <v>29</v>
      </c>
      <c r="B31" s="2">
        <v>27</v>
      </c>
      <c r="C31" s="11">
        <v>44101</v>
      </c>
      <c r="D31" s="7">
        <v>88</v>
      </c>
      <c r="E31" s="12">
        <v>31338</v>
      </c>
      <c r="F31" s="4">
        <v>179281</v>
      </c>
      <c r="G31" s="8">
        <f t="shared" si="0"/>
        <v>81</v>
      </c>
      <c r="H31" s="7">
        <v>412084</v>
      </c>
      <c r="I31" s="3">
        <f t="shared" si="1"/>
        <v>167</v>
      </c>
      <c r="J31" s="3">
        <v>0</v>
      </c>
      <c r="K31" s="4">
        <v>254727</v>
      </c>
      <c r="L31" s="9">
        <f t="shared" si="2"/>
        <v>532</v>
      </c>
      <c r="N31" s="1"/>
    </row>
    <row r="32" spans="1:14" x14ac:dyDescent="0.2">
      <c r="B32" s="2">
        <v>28</v>
      </c>
      <c r="C32" s="11">
        <v>44102</v>
      </c>
      <c r="D32" s="7">
        <v>86</v>
      </c>
      <c r="E32" s="12">
        <v>31460</v>
      </c>
      <c r="F32" s="26">
        <v>179362</v>
      </c>
      <c r="G32" s="8">
        <f t="shared" si="0"/>
        <v>79</v>
      </c>
      <c r="H32" s="7">
        <v>412251</v>
      </c>
      <c r="I32" s="3">
        <f t="shared" si="1"/>
        <v>309</v>
      </c>
      <c r="J32" s="3">
        <v>2970</v>
      </c>
      <c r="K32" s="4">
        <v>255259</v>
      </c>
      <c r="L32" s="9">
        <f t="shared" si="2"/>
        <v>0</v>
      </c>
      <c r="N32" s="1"/>
    </row>
    <row r="33" spans="2:14" x14ac:dyDescent="0.2">
      <c r="B33" s="23">
        <v>29</v>
      </c>
      <c r="C33" s="11">
        <v>44103</v>
      </c>
      <c r="D33" s="24">
        <v>67</v>
      </c>
      <c r="E33" s="25">
        <v>31678</v>
      </c>
      <c r="F33" s="31">
        <v>179441</v>
      </c>
      <c r="G33" s="8">
        <f t="shared" ca="1" si="0"/>
        <v>72</v>
      </c>
      <c r="H33" s="24">
        <v>412560</v>
      </c>
      <c r="I33" s="3">
        <f t="shared" si="1"/>
        <v>294</v>
      </c>
      <c r="J33" s="27">
        <v>0</v>
      </c>
      <c r="K33" s="32">
        <v>255259</v>
      </c>
      <c r="L33" s="9">
        <f t="shared" si="2"/>
        <v>382</v>
      </c>
      <c r="N33" s="1"/>
    </row>
    <row r="34" spans="2:14" ht="13.5" thickBot="1" x14ac:dyDescent="0.25">
      <c r="B34" s="23">
        <v>30</v>
      </c>
      <c r="C34" s="11">
        <v>44104</v>
      </c>
      <c r="D34" s="22">
        <v>88</v>
      </c>
      <c r="E34" s="3">
        <v>30516</v>
      </c>
      <c r="F34" s="22">
        <v>179513</v>
      </c>
      <c r="G34" s="8">
        <f ca="1">F35-F34</f>
        <v>80.100000000005821</v>
      </c>
      <c r="H34" s="22">
        <v>412854</v>
      </c>
      <c r="I34" s="3">
        <f ca="1">H35-H34</f>
        <v>201</v>
      </c>
      <c r="J34" s="29">
        <v>2970</v>
      </c>
      <c r="K34" s="32">
        <v>255641</v>
      </c>
      <c r="L34" s="9">
        <f ca="1">K35-K34</f>
        <v>69</v>
      </c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>
        <v>179593.1</v>
      </c>
      <c r="G35" s="8"/>
      <c r="H35" s="28">
        <v>413055</v>
      </c>
      <c r="I35" s="3"/>
      <c r="J35" s="29"/>
      <c r="K35" s="32">
        <v>255710</v>
      </c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  <row r="37" spans="2:14" x14ac:dyDescent="0.2">
      <c r="G37" s="43">
        <f ca="1">SUM(G5:G34)</f>
        <v>2474.1000000000058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Mukesh Kumar</cp:lastModifiedBy>
  <dcterms:created xsi:type="dcterms:W3CDTF">2016-09-19T10:41:46Z</dcterms:created>
  <dcterms:modified xsi:type="dcterms:W3CDTF">2020-10-13T08:26:02Z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