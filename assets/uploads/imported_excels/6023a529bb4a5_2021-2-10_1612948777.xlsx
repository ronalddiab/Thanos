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25" i="6" l="1"/>
  <c r="E25" i="6"/>
  <c r="C25" i="6"/>
  <c r="G20" i="4"/>
  <c r="E20" i="4"/>
  <c r="C20" i="4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P21" i="4" l="1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Z43" i="4"/>
  <c r="W43" i="4"/>
  <c r="T43" i="4"/>
  <c r="Q43" i="4"/>
  <c r="G17" i="6"/>
  <c r="G48" i="6" s="1"/>
  <c r="E17" i="6"/>
  <c r="E48" i="6" s="1"/>
  <c r="C17" i="6"/>
  <c r="C48" i="6" s="1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26" i="6"/>
  <c r="G26" i="6"/>
  <c r="E27" i="6"/>
  <c r="G27" i="6"/>
  <c r="E28" i="6"/>
  <c r="G28" i="6"/>
  <c r="E29" i="6"/>
  <c r="G29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P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I18" i="4" l="1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C23" i="4"/>
  <c r="E23" i="4"/>
  <c r="G23" i="4"/>
  <c r="G28" i="4"/>
  <c r="C28" i="4"/>
  <c r="E28" i="4"/>
  <c r="G22" i="4"/>
  <c r="C22" i="4"/>
  <c r="E22" i="4"/>
  <c r="C27" i="4"/>
  <c r="E27" i="4"/>
  <c r="G27" i="4"/>
  <c r="C21" i="4"/>
  <c r="E21" i="4"/>
  <c r="G21" i="4"/>
  <c r="G26" i="4"/>
  <c r="C26" i="4"/>
  <c r="E26" i="4"/>
  <c r="C31" i="4"/>
  <c r="E31" i="4"/>
  <c r="G31" i="4"/>
  <c r="C25" i="4"/>
  <c r="E25" i="4"/>
  <c r="G25" i="4"/>
  <c r="G30" i="4"/>
  <c r="C30" i="4"/>
  <c r="E30" i="4"/>
  <c r="G24" i="4"/>
  <c r="C24" i="4"/>
  <c r="E2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7" i="4"/>
  <c r="L17" i="4"/>
  <c r="N17" i="4" s="1"/>
  <c r="O17" i="4" s="1"/>
  <c r="P17" i="4" s="1"/>
  <c r="I40" i="4"/>
  <c r="I39" i="4"/>
  <c r="L39" i="4"/>
  <c r="N39" i="4" s="1"/>
  <c r="O39" i="4" s="1"/>
  <c r="I41" i="4"/>
  <c r="I14" i="4"/>
  <c r="C43" i="4" l="1"/>
  <c r="O11" i="4"/>
  <c r="P11" i="4" s="1"/>
  <c r="U38" i="10"/>
  <c r="W38" i="10" s="1"/>
  <c r="U33" i="10"/>
  <c r="W33" i="10" s="1"/>
  <c r="U30" i="10"/>
  <c r="W30" i="10" s="1"/>
  <c r="U35" i="10"/>
  <c r="W35" i="10" s="1"/>
  <c r="U31" i="10"/>
  <c r="W31" i="10" s="1"/>
  <c r="U32" i="10"/>
  <c r="W32" i="10" s="1"/>
  <c r="U26" i="10"/>
  <c r="W26" i="10" s="1"/>
  <c r="U16" i="10"/>
  <c r="W16" i="10" s="1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P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P18" i="4" s="1"/>
  <c r="L12" i="4"/>
  <c r="N12" i="4" s="1"/>
  <c r="I3" i="13"/>
  <c r="Y41" i="10"/>
  <c r="L10" i="10"/>
  <c r="U13" i="10"/>
  <c r="W13" i="10" s="1"/>
  <c r="I4" i="4"/>
  <c r="G4" i="4"/>
  <c r="E4" i="4"/>
  <c r="L4" i="4"/>
  <c r="N4" i="4" s="1"/>
  <c r="O4" i="4" s="1"/>
  <c r="P4" i="4" s="1"/>
  <c r="C4" i="4"/>
  <c r="U40" i="10"/>
  <c r="W40" i="10" s="1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I43" i="4" s="1"/>
  <c r="M40" i="10"/>
  <c r="Z38" i="10"/>
  <c r="L24" i="4"/>
  <c r="N24" i="4" s="1"/>
  <c r="O24" i="4" s="1"/>
  <c r="L21" i="4"/>
  <c r="N21" i="4" s="1"/>
  <c r="O21" i="4" s="1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P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F34" i="10"/>
  <c r="D5" i="6"/>
  <c r="L20" i="4"/>
  <c r="N20" i="4" s="1"/>
  <c r="O20" i="4" s="1"/>
  <c r="P20" i="4" s="1"/>
  <c r="L16" i="4"/>
  <c r="N16" i="4" s="1"/>
  <c r="O16" i="4" s="1"/>
  <c r="P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Z41" i="10" l="1"/>
  <c r="E3" i="13"/>
  <c r="F41" i="10"/>
  <c r="O41" i="10"/>
  <c r="W10" i="10"/>
  <c r="O12" i="4"/>
  <c r="N43" i="4"/>
  <c r="U19" i="10"/>
  <c r="W19" i="10" s="1"/>
  <c r="U22" i="10"/>
  <c r="W22" i="10" s="1"/>
  <c r="AJ22" i="10" s="1"/>
  <c r="AK22" i="10" s="1"/>
  <c r="U12" i="10"/>
  <c r="W12" i="10" s="1"/>
  <c r="U15" i="10"/>
  <c r="W15" i="10" s="1"/>
  <c r="U20" i="10"/>
  <c r="W20" i="10" s="1"/>
  <c r="U24" i="10"/>
  <c r="W24" i="10" s="1"/>
  <c r="AJ24" i="10" s="1"/>
  <c r="AK24" i="10" s="1"/>
  <c r="U21" i="10"/>
  <c r="W21" i="10" s="1"/>
  <c r="U23" i="10"/>
  <c r="W23" i="10" s="1"/>
  <c r="U25" i="10"/>
  <c r="W25" i="10" s="1"/>
  <c r="U37" i="10"/>
  <c r="W37" i="10" s="1"/>
  <c r="U39" i="10"/>
  <c r="W39" i="10" s="1"/>
  <c r="U28" i="10"/>
  <c r="W28" i="10" s="1"/>
  <c r="U18" i="10"/>
  <c r="W18" i="10" s="1"/>
  <c r="U17" i="10"/>
  <c r="W17" i="10" s="1"/>
  <c r="U14" i="10"/>
  <c r="W14" i="10" s="1"/>
  <c r="AJ28" i="10"/>
  <c r="AK28" i="10" s="1"/>
  <c r="AJ38" i="10"/>
  <c r="AK38" i="10" s="1"/>
  <c r="AJ20" i="10"/>
  <c r="AK20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M41" i="10" l="1"/>
  <c r="P12" i="4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11" i="10" l="1"/>
  <c r="W41" i="10" s="1"/>
  <c r="U41" i="10"/>
  <c r="G2" i="13"/>
  <c r="O2" i="13" s="1"/>
  <c r="AJ14" i="10"/>
  <c r="AK14" i="10" s="1"/>
  <c r="O7" i="13"/>
  <c r="O30" i="13" s="1"/>
  <c r="AJ11" i="10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<sst xmlns="http://schemas.openxmlformats.org/spreadsheetml/2006/main" count="140" uniqueCount="86">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</sst>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77248"/>
        <c:axId val="167711488"/>
      </c:lineChart>
      <c:dateAx>
        <c:axId val="16427724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11488"/>
        <c:crosses val="autoZero"/>
        <c:auto val="1"/>
        <c:lblOffset val="100"/>
        <c:baseTimeUnit val="days"/>
      </c:dateAx>
      <c:valAx>
        <c:axId val="16771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27724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746560"/>
        <c:axId val="167760640"/>
      </c:lineChart>
      <c:dateAx>
        <c:axId val="167746560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60640"/>
        <c:crosses val="autoZero"/>
        <c:auto val="1"/>
        <c:lblOffset val="100"/>
        <c:baseTimeUnit val="days"/>
      </c:dateAx>
      <c:valAx>
        <c:axId val="1677606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74656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333312"/>
        <c:axId val="170334848"/>
      </c:lineChart>
      <c:dateAx>
        <c:axId val="17033331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4848"/>
        <c:crosses val="autoZero"/>
        <c:auto val="1"/>
        <c:lblOffset val="100"/>
        <c:baseTimeUnit val="days"/>
      </c:dateAx>
      <c:valAx>
        <c:axId val="17033484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33331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2" sqref="N12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9.157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21082.371700000615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9.157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20363.454099999304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9.157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20892.11410000085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9.157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22839.332299999074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9.157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24202.3423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9.157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25280.415200000771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9.157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24681.840500000231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9.157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24566.767000000233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9.157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23630.817599999922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0</v>
      </c>
      <c r="F11" s="160">
        <v>0.99</v>
      </c>
      <c r="G11" s="160">
        <f>'Consommation du 01.02 au 29.01'!U19</f>
        <v>0</v>
      </c>
      <c r="H11" s="160">
        <v>9.157</v>
      </c>
      <c r="I11" s="160">
        <f>'Consommation du 01.02 au 29.01'!Y19*1000</f>
        <v>0</v>
      </c>
      <c r="J11" s="160">
        <v>0.53</v>
      </c>
      <c r="K11" s="160">
        <f>'Consommation du 01.02 au 29.01'!D19</f>
        <v>0</v>
      </c>
      <c r="L11" s="160">
        <v>12.67</v>
      </c>
      <c r="M11" s="159">
        <f>'Consommation du 01.02 au 29.01'!AC19</f>
        <v>0</v>
      </c>
      <c r="N11" s="159"/>
      <c r="O11" s="160">
        <f t="shared" si="0"/>
        <v>0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0</v>
      </c>
      <c r="F12" s="160">
        <v>0.99</v>
      </c>
      <c r="G12" s="160">
        <f>'Consommation du 01.02 au 29.01'!U20</f>
        <v>0</v>
      </c>
      <c r="H12" s="160">
        <v>9.157</v>
      </c>
      <c r="I12" s="160">
        <f>'Consommation du 01.02 au 29.01'!Y20*1000</f>
        <v>0</v>
      </c>
      <c r="J12" s="160">
        <v>0.53</v>
      </c>
      <c r="K12" s="160">
        <f>'Consommation du 01.02 au 29.01'!D20</f>
        <v>0</v>
      </c>
      <c r="L12" s="160">
        <v>12.67</v>
      </c>
      <c r="M12" s="159">
        <f>'Consommation du 01.02 au 29.01'!AC20</f>
        <v>0</v>
      </c>
      <c r="N12" s="159"/>
      <c r="O12" s="160">
        <f t="shared" si="0"/>
        <v>0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0</v>
      </c>
      <c r="F13" s="160">
        <v>0.99</v>
      </c>
      <c r="G13" s="160">
        <f>'Consommation du 01.02 au 29.01'!U21</f>
        <v>0</v>
      </c>
      <c r="H13" s="160">
        <v>9.157</v>
      </c>
      <c r="I13" s="160">
        <f>'Consommation du 01.02 au 29.01'!Y21*1000</f>
        <v>0</v>
      </c>
      <c r="J13" s="160">
        <v>0.53</v>
      </c>
      <c r="K13" s="160">
        <f>'Consommation du 01.02 au 29.01'!D21</f>
        <v>0</v>
      </c>
      <c r="L13" s="160">
        <v>12.67</v>
      </c>
      <c r="M13" s="159">
        <f>'Consommation du 01.02 au 29.01'!AC21</f>
        <v>0</v>
      </c>
      <c r="N13" s="159"/>
      <c r="O13" s="160">
        <f t="shared" si="0"/>
        <v>0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0</v>
      </c>
      <c r="F14" s="160">
        <v>0.99</v>
      </c>
      <c r="G14" s="160">
        <f>'Consommation du 01.02 au 29.01'!U22</f>
        <v>0</v>
      </c>
      <c r="H14" s="160">
        <v>9.157</v>
      </c>
      <c r="I14" s="160">
        <f>'Consommation du 01.02 au 29.01'!Y22*1000</f>
        <v>0</v>
      </c>
      <c r="J14" s="160">
        <v>0.53</v>
      </c>
      <c r="K14" s="160">
        <f>'Consommation du 01.02 au 29.01'!D22</f>
        <v>0</v>
      </c>
      <c r="L14" s="160">
        <v>12.67</v>
      </c>
      <c r="M14" s="159">
        <f>'Consommation du 01.02 au 29.01'!AC22</f>
        <v>0</v>
      </c>
      <c r="N14" s="159"/>
      <c r="O14" s="160">
        <f t="shared" si="0"/>
        <v>0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9.157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9.157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9.157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9.157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9.157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9.157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9.157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9.157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9.157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9.157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9.157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9.157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9.157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9.157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9.157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207539.454800001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20" sqref="X20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166"/>
      <c r="B2" s="167"/>
      <c r="C2" s="167"/>
      <c r="D2" s="167"/>
      <c r="E2" s="167"/>
      <c r="F2" s="168"/>
      <c r="G2" s="169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66"/>
      <c r="AE2" s="168"/>
      <c r="AF2" s="71"/>
      <c r="AH2" s="62"/>
      <c r="AJ2" s="70"/>
    </row>
    <row r="3" spans="1:40" ht="1.5" customHeight="1" x14ac:dyDescent="0.2"/>
    <row r="4" spans="1:40" ht="39" hidden="1" customHeight="1" x14ac:dyDescent="0.2">
      <c r="A4" s="171"/>
      <c r="B4" s="171"/>
      <c r="C4" s="171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171"/>
      <c r="B5" s="171"/>
      <c r="C5" s="171"/>
      <c r="D5" s="3"/>
      <c r="E5" s="3"/>
      <c r="F5" s="3"/>
      <c r="G5" s="3"/>
      <c r="H5" s="3"/>
      <c r="I5" s="3"/>
      <c r="J5" s="3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173"/>
      <c r="E7" s="173"/>
      <c r="F7" s="173"/>
      <c r="G7" s="173"/>
      <c r="H7" s="173"/>
      <c r="I7" s="173"/>
      <c r="J7" s="173"/>
      <c r="K7" s="173"/>
      <c r="L7" s="173"/>
      <c r="M7" s="174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8"/>
      <c r="AC7" s="8"/>
      <c r="AI7" s="3"/>
      <c r="AJ7" s="72"/>
      <c r="AK7" s="72"/>
      <c r="AL7" s="75"/>
    </row>
    <row r="8" spans="1:40" ht="2.25" customHeight="1" thickBot="1" x14ac:dyDescent="0.25">
      <c r="A8" s="175"/>
      <c r="B8" s="176" t="s">
        <v>1</v>
      </c>
      <c r="C8" s="77"/>
      <c r="D8" s="177" t="s">
        <v>3</v>
      </c>
      <c r="E8" s="73"/>
      <c r="F8" s="179" t="s">
        <v>11</v>
      </c>
      <c r="G8" s="180"/>
      <c r="H8" s="181"/>
      <c r="I8" s="73"/>
      <c r="J8" s="88"/>
      <c r="K8" s="88"/>
      <c r="L8" s="88"/>
      <c r="M8" s="185" t="s">
        <v>2</v>
      </c>
      <c r="N8" s="73"/>
      <c r="O8" s="193" t="s">
        <v>11</v>
      </c>
      <c r="P8" s="73"/>
      <c r="Q8" s="193" t="s">
        <v>4</v>
      </c>
      <c r="R8" s="73"/>
      <c r="S8" s="193" t="s">
        <v>5</v>
      </c>
      <c r="T8" s="73"/>
      <c r="U8" s="197" t="s">
        <v>38</v>
      </c>
      <c r="V8" s="73"/>
      <c r="W8" s="193" t="s">
        <v>11</v>
      </c>
      <c r="X8" s="199" t="s">
        <v>67</v>
      </c>
      <c r="Y8" s="201" t="s">
        <v>66</v>
      </c>
      <c r="Z8" s="203" t="s">
        <v>65</v>
      </c>
      <c r="AA8" s="205"/>
      <c r="AB8" s="206" t="s">
        <v>68</v>
      </c>
      <c r="AC8" s="193" t="s">
        <v>64</v>
      </c>
      <c r="AD8" s="195" t="s">
        <v>63</v>
      </c>
      <c r="AE8" s="186" t="s">
        <v>53</v>
      </c>
      <c r="AF8" s="186" t="s">
        <v>56</v>
      </c>
      <c r="AG8" s="188" t="s">
        <v>54</v>
      </c>
      <c r="AH8" s="188" t="s">
        <v>55</v>
      </c>
      <c r="AI8" s="62"/>
      <c r="AJ8" s="125"/>
      <c r="AK8" s="125"/>
      <c r="AL8" s="74"/>
    </row>
    <row r="9" spans="1:40" ht="77.25" customHeight="1" thickBot="1" x14ac:dyDescent="0.25">
      <c r="A9" s="175"/>
      <c r="B9" s="176"/>
      <c r="C9" s="77"/>
      <c r="D9" s="178"/>
      <c r="E9" s="73"/>
      <c r="F9" s="182"/>
      <c r="G9" s="183"/>
      <c r="H9" s="184"/>
      <c r="I9" s="152"/>
      <c r="J9" s="90" t="s">
        <v>6</v>
      </c>
      <c r="K9" s="90" t="s">
        <v>7</v>
      </c>
      <c r="L9" s="90" t="s">
        <v>8</v>
      </c>
      <c r="M9" s="185"/>
      <c r="N9" s="73"/>
      <c r="O9" s="194"/>
      <c r="P9" s="73"/>
      <c r="Q9" s="194"/>
      <c r="R9" s="73"/>
      <c r="S9" s="194"/>
      <c r="T9" s="73"/>
      <c r="U9" s="198"/>
      <c r="V9" s="73"/>
      <c r="W9" s="194"/>
      <c r="X9" s="200"/>
      <c r="Y9" s="202"/>
      <c r="Z9" s="204"/>
      <c r="AA9" s="205"/>
      <c r="AB9" s="207"/>
      <c r="AC9" s="208"/>
      <c r="AD9" s="196"/>
      <c r="AE9" s="187"/>
      <c r="AF9" s="187"/>
      <c r="AG9" s="189"/>
      <c r="AH9" s="189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190">
        <f t="shared" ref="F10:F40" si="0">D10*12.67</f>
        <v>2217.25</v>
      </c>
      <c r="G10" s="191"/>
      <c r="H10" s="192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U10*9.157</f>
        <v>3736.9717000000001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21082.371700000615</v>
      </c>
      <c r="AK10" s="128">
        <f t="shared" ref="AK10:AK40" si="3">AJ10/AC10</f>
        <v>780.82858148150422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190">
        <f t="shared" si="0"/>
        <v>5156.6899999999996</v>
      </c>
      <c r="G11" s="191"/>
      <c r="H11" s="192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>U11*9.157</f>
        <v>1019.1741000000001</v>
      </c>
      <c r="X11" s="165">
        <v>18687.61</v>
      </c>
      <c r="Y11" s="148">
        <f t="shared" si="1"/>
        <v>9.1899999999986903</v>
      </c>
      <c r="Z11" s="64">
        <f t="shared" ref="Z11:Z40" si="6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20363.454099999304</v>
      </c>
      <c r="AK11" s="128">
        <f t="shared" si="3"/>
        <v>969.68829047615736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44230</v>
      </c>
      <c r="C12" s="92"/>
      <c r="D12" s="147">
        <f>'Suivi EAU-ELEC'!C18</f>
        <v>200</v>
      </c>
      <c r="E12" s="95"/>
      <c r="F12" s="190">
        <f t="shared" si="0"/>
        <v>2534</v>
      </c>
      <c r="G12" s="191"/>
      <c r="H12" s="192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ref="W12:W40" si="8">U12*9.157</f>
        <v>1019.1741000000001</v>
      </c>
      <c r="X12" s="65">
        <v>18696.8</v>
      </c>
      <c r="Y12" s="148">
        <f t="shared" si="1"/>
        <v>13.240000000001601</v>
      </c>
      <c r="Z12" s="64">
        <f t="shared" si="6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20892.11410000085</v>
      </c>
      <c r="AK12" s="128">
        <f t="shared" si="3"/>
        <v>1305.7571312500531</v>
      </c>
      <c r="AL12" s="75"/>
    </row>
    <row r="13" spans="1:40" ht="32.25" customHeight="1" thickBot="1" x14ac:dyDescent="0.25">
      <c r="A13" s="73"/>
      <c r="B13" s="91">
        <f t="shared" si="7"/>
        <v>44231</v>
      </c>
      <c r="C13" s="92"/>
      <c r="D13" s="147">
        <f>'Suivi EAU-ELEC'!C19</f>
        <v>188</v>
      </c>
      <c r="E13" s="95"/>
      <c r="F13" s="209">
        <f t="shared" si="0"/>
        <v>2381.96</v>
      </c>
      <c r="G13" s="210"/>
      <c r="H13" s="211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8"/>
        <v>3057.5223000000005</v>
      </c>
      <c r="X13" s="65">
        <v>18710.04</v>
      </c>
      <c r="Y13" s="148">
        <f t="shared" si="1"/>
        <v>13.169999999998254</v>
      </c>
      <c r="Z13" s="64">
        <f t="shared" si="6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22839.332299999074</v>
      </c>
      <c r="AK13" s="128">
        <f t="shared" si="3"/>
        <v>1756.8717153845441</v>
      </c>
      <c r="AL13" s="74"/>
    </row>
    <row r="14" spans="1:40" ht="32.25" customHeight="1" thickBot="1" x14ac:dyDescent="0.25">
      <c r="A14" s="73"/>
      <c r="B14" s="91">
        <f t="shared" si="7"/>
        <v>44232</v>
      </c>
      <c r="C14" s="92"/>
      <c r="D14" s="147">
        <f>'Suivi EAU-ELEC'!C20</f>
        <v>438</v>
      </c>
      <c r="E14" s="95"/>
      <c r="F14" s="190">
        <f t="shared" si="0"/>
        <v>5549.46</v>
      </c>
      <c r="G14" s="191"/>
      <c r="H14" s="192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8"/>
        <v>3057.5223000000005</v>
      </c>
      <c r="X14" s="65">
        <v>18723.21</v>
      </c>
      <c r="Y14" s="148">
        <f t="shared" si="1"/>
        <v>11</v>
      </c>
      <c r="Z14" s="64">
        <f t="shared" si="6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24202.3423</v>
      </c>
      <c r="AK14" s="128">
        <f t="shared" si="3"/>
        <v>1423.6671941176471</v>
      </c>
      <c r="AL14" s="74"/>
    </row>
    <row r="15" spans="1:40" ht="32.25" customHeight="1" thickBot="1" x14ac:dyDescent="0.25">
      <c r="A15" s="73"/>
      <c r="B15" s="91">
        <f t="shared" si="7"/>
        <v>44233</v>
      </c>
      <c r="C15" s="92"/>
      <c r="D15" s="147">
        <f>'Suivi EAU-ELEC'!C21</f>
        <v>188</v>
      </c>
      <c r="E15" s="95"/>
      <c r="F15" s="212">
        <f t="shared" si="0"/>
        <v>2381.96</v>
      </c>
      <c r="G15" s="213"/>
      <c r="H15" s="214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8"/>
        <v>5435.5952000000007</v>
      </c>
      <c r="X15" s="65">
        <v>18734.21</v>
      </c>
      <c r="Y15" s="148">
        <f t="shared" si="1"/>
        <v>14.150000000001455</v>
      </c>
      <c r="Z15" s="64">
        <f t="shared" si="6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25280.415200000771</v>
      </c>
      <c r="AK15" s="128">
        <f t="shared" si="3"/>
        <v>1580.0259500000482</v>
      </c>
      <c r="AL15" s="74"/>
    </row>
    <row r="16" spans="1:40" ht="32.25" customHeight="1" thickBot="1" x14ac:dyDescent="0.25">
      <c r="A16" s="73"/>
      <c r="B16" s="91">
        <f t="shared" si="7"/>
        <v>44234</v>
      </c>
      <c r="C16" s="92"/>
      <c r="D16" s="147">
        <f>'Suivi EAU-ELEC'!C22</f>
        <v>184</v>
      </c>
      <c r="E16" s="95"/>
      <c r="F16" s="209">
        <f t="shared" si="0"/>
        <v>2331.2800000000002</v>
      </c>
      <c r="G16" s="210"/>
      <c r="H16" s="211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8"/>
        <v>5095.8705</v>
      </c>
      <c r="X16" s="65">
        <v>18748.36</v>
      </c>
      <c r="Y16" s="148">
        <f t="shared" si="1"/>
        <v>13.520000000000437</v>
      </c>
      <c r="Z16" s="64">
        <f t="shared" si="6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24681.840500000231</v>
      </c>
      <c r="AK16" s="128">
        <f t="shared" si="3"/>
        <v>2243.8036818182027</v>
      </c>
      <c r="AL16" s="74"/>
    </row>
    <row r="17" spans="1:256" ht="32.25" customHeight="1" thickBot="1" x14ac:dyDescent="0.25">
      <c r="A17" s="73"/>
      <c r="B17" s="91">
        <f t="shared" si="7"/>
        <v>44235</v>
      </c>
      <c r="C17" s="92"/>
      <c r="D17" s="147">
        <f>'Suivi EAU-ELEC'!C23</f>
        <v>371</v>
      </c>
      <c r="E17" s="95"/>
      <c r="F17" s="190">
        <f t="shared" si="0"/>
        <v>4700.57</v>
      </c>
      <c r="G17" s="191"/>
      <c r="H17" s="192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8"/>
        <v>3397.2469999999998</v>
      </c>
      <c r="X17" s="65">
        <v>18761.88</v>
      </c>
      <c r="Y17" s="148">
        <f t="shared" si="1"/>
        <v>13.020000000000437</v>
      </c>
      <c r="Z17" s="64">
        <f t="shared" si="6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24566.767000000233</v>
      </c>
      <c r="AK17" s="128">
        <f t="shared" si="3"/>
        <v>2729.6407777778036</v>
      </c>
      <c r="AL17" s="74"/>
    </row>
    <row r="18" spans="1:256" ht="32.25" customHeight="1" thickBot="1" x14ac:dyDescent="0.25">
      <c r="A18" s="73"/>
      <c r="B18" s="91">
        <f t="shared" si="7"/>
        <v>44236</v>
      </c>
      <c r="C18" s="92"/>
      <c r="D18" s="147">
        <f>'Suivi EAU-ELEC'!C24</f>
        <v>330</v>
      </c>
      <c r="E18" s="95"/>
      <c r="F18" s="212">
        <f t="shared" si="0"/>
        <v>4181.1000000000004</v>
      </c>
      <c r="G18" s="213"/>
      <c r="H18" s="214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8"/>
        <v>2717.7976000000003</v>
      </c>
      <c r="X18" s="65">
        <v>18774.900000000001</v>
      </c>
      <c r="Y18" s="148">
        <f t="shared" si="1"/>
        <v>13.659999999999854</v>
      </c>
      <c r="Z18" s="64">
        <f t="shared" si="6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23630.817599999922</v>
      </c>
      <c r="AK18" s="128">
        <f t="shared" si="3"/>
        <v>2148.2561454545385</v>
      </c>
      <c r="AL18" s="74"/>
    </row>
    <row r="19" spans="1:256" ht="32.25" customHeight="1" thickBot="1" x14ac:dyDescent="0.25">
      <c r="A19" s="73"/>
      <c r="B19" s="91">
        <f t="shared" si="7"/>
        <v>44237</v>
      </c>
      <c r="C19" s="92"/>
      <c r="D19" s="147">
        <f>'Suivi EAU-ELEC'!C25</f>
        <v>0</v>
      </c>
      <c r="E19" s="95"/>
      <c r="F19" s="190">
        <f t="shared" si="0"/>
        <v>0</v>
      </c>
      <c r="G19" s="191"/>
      <c r="H19" s="192"/>
      <c r="I19" s="142"/>
      <c r="J19" s="93">
        <f>'Suivi EAU-ELEC'!E25</f>
        <v>0</v>
      </c>
      <c r="K19" s="94">
        <f>'Suivi EAU-ELEC'!G25</f>
        <v>0</v>
      </c>
      <c r="L19" s="94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5"/>
      <c r="U19" s="60">
        <f>'Suivi Gaz'!O20</f>
        <v>0</v>
      </c>
      <c r="V19" s="58"/>
      <c r="W19" s="59">
        <f t="shared" si="8"/>
        <v>0</v>
      </c>
      <c r="X19" s="65">
        <v>18788.560000000001</v>
      </c>
      <c r="Y19" s="148">
        <f t="shared" si="1"/>
        <v>0</v>
      </c>
      <c r="Z19" s="64">
        <f t="shared" si="6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29">
        <f t="shared" si="2"/>
        <v>0</v>
      </c>
      <c r="AK19" s="128" t="e">
        <f t="shared" si="3"/>
        <v>#DIV/0!</v>
      </c>
      <c r="AL19" s="74"/>
    </row>
    <row r="20" spans="1:256" ht="32.25" customHeight="1" thickBot="1" x14ac:dyDescent="0.25">
      <c r="A20" s="73"/>
      <c r="B20" s="91">
        <f t="shared" si="7"/>
        <v>44238</v>
      </c>
      <c r="C20" s="92"/>
      <c r="D20" s="147">
        <f>'Suivi EAU-ELEC'!C26</f>
        <v>0</v>
      </c>
      <c r="E20" s="95"/>
      <c r="F20" s="209">
        <f t="shared" si="0"/>
        <v>0</v>
      </c>
      <c r="G20" s="210"/>
      <c r="H20" s="211"/>
      <c r="I20" s="142"/>
      <c r="J20" s="93">
        <f>'Suivi EAU-ELEC'!E26</f>
        <v>0</v>
      </c>
      <c r="K20" s="94">
        <f>'Suivi EAU-ELEC'!G26</f>
        <v>0</v>
      </c>
      <c r="L20" s="94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5"/>
      <c r="U20" s="60">
        <f>'Suivi Gaz'!O21</f>
        <v>0</v>
      </c>
      <c r="V20" s="58"/>
      <c r="W20" s="59">
        <f t="shared" si="8"/>
        <v>0</v>
      </c>
      <c r="X20" s="65"/>
      <c r="Y20" s="148">
        <f t="shared" si="1"/>
        <v>0</v>
      </c>
      <c r="Z20" s="64">
        <f t="shared" si="6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29">
        <f t="shared" si="2"/>
        <v>0</v>
      </c>
      <c r="AK20" s="128" t="e">
        <f t="shared" si="3"/>
        <v>#DIV/0!</v>
      </c>
      <c r="AL20" s="74"/>
    </row>
    <row r="21" spans="1:256" ht="32.25" customHeight="1" thickBot="1" x14ac:dyDescent="0.25">
      <c r="A21" s="73"/>
      <c r="B21" s="91">
        <f t="shared" si="7"/>
        <v>44239</v>
      </c>
      <c r="C21" s="92"/>
      <c r="D21" s="147">
        <f>'Suivi EAU-ELEC'!C27</f>
        <v>0</v>
      </c>
      <c r="E21" s="95"/>
      <c r="F21" s="190">
        <f t="shared" si="0"/>
        <v>0</v>
      </c>
      <c r="G21" s="191"/>
      <c r="H21" s="192"/>
      <c r="I21" s="142"/>
      <c r="J21" s="93">
        <f>'Suivi EAU-ELEC'!E27</f>
        <v>0</v>
      </c>
      <c r="K21" s="94">
        <f>'Suivi EAU-ELEC'!G27</f>
        <v>0</v>
      </c>
      <c r="L21" s="94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5"/>
      <c r="U21" s="60">
        <f>'Suivi Gaz'!O22</f>
        <v>0</v>
      </c>
      <c r="V21" s="58"/>
      <c r="W21" s="59">
        <f t="shared" si="8"/>
        <v>0</v>
      </c>
      <c r="X21" s="65"/>
      <c r="Y21" s="148">
        <f t="shared" si="1"/>
        <v>0</v>
      </c>
      <c r="Z21" s="64">
        <f t="shared" si="6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29">
        <f t="shared" si="2"/>
        <v>0</v>
      </c>
      <c r="AK21" s="128" t="e">
        <f>AJ21/AC21</f>
        <v>#DIV/0!</v>
      </c>
      <c r="AL21" s="74"/>
    </row>
    <row r="22" spans="1:256" ht="32.25" customHeight="1" thickBot="1" x14ac:dyDescent="0.25">
      <c r="A22" s="73"/>
      <c r="B22" s="91">
        <f t="shared" si="7"/>
        <v>44240</v>
      </c>
      <c r="C22" s="92"/>
      <c r="D22" s="147">
        <f>'Suivi EAU-ELEC'!C28</f>
        <v>0</v>
      </c>
      <c r="E22" s="95"/>
      <c r="F22" s="212">
        <f t="shared" si="0"/>
        <v>0</v>
      </c>
      <c r="G22" s="213"/>
      <c r="H22" s="214"/>
      <c r="I22" s="142"/>
      <c r="J22" s="93">
        <f>'Suivi EAU-ELEC'!E28</f>
        <v>0</v>
      </c>
      <c r="K22" s="94">
        <f>'Suivi EAU-ELEC'!G28</f>
        <v>0</v>
      </c>
      <c r="L22" s="94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5"/>
      <c r="U22" s="60">
        <f>'Suivi Gaz'!O23</f>
        <v>0</v>
      </c>
      <c r="V22" s="58"/>
      <c r="W22" s="59">
        <f t="shared" si="8"/>
        <v>0</v>
      </c>
      <c r="X22" s="65"/>
      <c r="Y22" s="148">
        <f t="shared" si="1"/>
        <v>0</v>
      </c>
      <c r="Z22" s="64">
        <f t="shared" si="6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29">
        <f t="shared" si="2"/>
        <v>0</v>
      </c>
      <c r="AK22" s="128" t="e">
        <f t="shared" si="3"/>
        <v>#DIV/0!</v>
      </c>
      <c r="AL22" s="74"/>
    </row>
    <row r="23" spans="1:256" ht="32.25" customHeight="1" thickBot="1" x14ac:dyDescent="0.25">
      <c r="A23" s="73"/>
      <c r="B23" s="91">
        <f t="shared" si="7"/>
        <v>44241</v>
      </c>
      <c r="C23" s="92"/>
      <c r="D23" s="147">
        <f>'Suivi EAU-ELEC'!C29</f>
        <v>0</v>
      </c>
      <c r="E23" s="95"/>
      <c r="F23" s="190">
        <f t="shared" si="0"/>
        <v>0</v>
      </c>
      <c r="G23" s="191"/>
      <c r="H23" s="192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8"/>
        <v>0</v>
      </c>
      <c r="X23" s="65"/>
      <c r="Y23" s="148">
        <f t="shared" si="1"/>
        <v>0</v>
      </c>
      <c r="Z23" s="64">
        <f t="shared" si="6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7"/>
        <v>44242</v>
      </c>
      <c r="C24" s="92"/>
      <c r="D24" s="147">
        <f>'Suivi EAU-ELEC'!C30</f>
        <v>0</v>
      </c>
      <c r="E24" s="95"/>
      <c r="F24" s="190">
        <f t="shared" si="0"/>
        <v>0</v>
      </c>
      <c r="G24" s="191"/>
      <c r="H24" s="192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8"/>
        <v>0</v>
      </c>
      <c r="X24" s="65"/>
      <c r="Y24" s="148">
        <f t="shared" si="1"/>
        <v>0</v>
      </c>
      <c r="Z24" s="64">
        <f t="shared" si="6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7"/>
        <v>44243</v>
      </c>
      <c r="C25" s="92"/>
      <c r="D25" s="147">
        <f>'Suivi EAU-ELEC'!C31</f>
        <v>0</v>
      </c>
      <c r="E25" s="95"/>
      <c r="F25" s="190">
        <f t="shared" si="0"/>
        <v>0</v>
      </c>
      <c r="G25" s="191"/>
      <c r="H25" s="192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8"/>
        <v>0</v>
      </c>
      <c r="X25" s="65"/>
      <c r="Y25" s="148">
        <f t="shared" si="1"/>
        <v>0</v>
      </c>
      <c r="Z25" s="64">
        <f t="shared" si="6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7"/>
        <v>44244</v>
      </c>
      <c r="C26" s="92"/>
      <c r="D26" s="147">
        <f>'Suivi EAU-ELEC'!C32</f>
        <v>0</v>
      </c>
      <c r="E26" s="150"/>
      <c r="F26" s="190">
        <f t="shared" si="0"/>
        <v>0</v>
      </c>
      <c r="G26" s="191"/>
      <c r="H26" s="192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8"/>
        <v>0</v>
      </c>
      <c r="X26" s="65"/>
      <c r="Y26" s="148">
        <f t="shared" si="1"/>
        <v>0</v>
      </c>
      <c r="Z26" s="64">
        <f t="shared" si="6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7"/>
        <v>44245</v>
      </c>
      <c r="C27" s="92"/>
      <c r="D27" s="147">
        <f>'Suivi EAU-ELEC'!C33</f>
        <v>0</v>
      </c>
      <c r="E27" s="150"/>
      <c r="F27" s="190">
        <f t="shared" si="0"/>
        <v>0</v>
      </c>
      <c r="G27" s="191"/>
      <c r="H27" s="192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8"/>
        <v>0</v>
      </c>
      <c r="X27" s="65"/>
      <c r="Y27" s="148">
        <f t="shared" si="1"/>
        <v>0</v>
      </c>
      <c r="Z27" s="64">
        <f t="shared" si="6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7"/>
        <v>44246</v>
      </c>
      <c r="C28" s="92"/>
      <c r="D28" s="147">
        <f>'Suivi EAU-ELEC'!C34</f>
        <v>0</v>
      </c>
      <c r="E28" s="150"/>
      <c r="F28" s="209">
        <f t="shared" si="0"/>
        <v>0</v>
      </c>
      <c r="G28" s="210"/>
      <c r="H28" s="211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8"/>
        <v>0</v>
      </c>
      <c r="X28" s="65"/>
      <c r="Y28" s="148">
        <f t="shared" si="1"/>
        <v>0</v>
      </c>
      <c r="Z28" s="64">
        <f t="shared" si="6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7"/>
        <v>44247</v>
      </c>
      <c r="C29" s="92"/>
      <c r="D29" s="147">
        <f>'Suivi EAU-ELEC'!C35</f>
        <v>0</v>
      </c>
      <c r="E29" s="150"/>
      <c r="F29" s="190">
        <f t="shared" si="0"/>
        <v>0</v>
      </c>
      <c r="G29" s="191"/>
      <c r="H29" s="192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8"/>
        <v>0</v>
      </c>
      <c r="X29" s="65"/>
      <c r="Y29" s="148">
        <f t="shared" si="1"/>
        <v>0</v>
      </c>
      <c r="Z29" s="64">
        <f t="shared" si="6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7"/>
        <v>44248</v>
      </c>
      <c r="C30" s="97"/>
      <c r="D30" s="147">
        <f>'Suivi EAU-ELEC'!C36</f>
        <v>0</v>
      </c>
      <c r="E30" s="150"/>
      <c r="F30" s="209">
        <f t="shared" si="0"/>
        <v>0</v>
      </c>
      <c r="G30" s="210"/>
      <c r="H30" s="211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8"/>
        <v>0</v>
      </c>
      <c r="X30" s="65"/>
      <c r="Y30" s="148">
        <f t="shared" si="1"/>
        <v>0</v>
      </c>
      <c r="Z30" s="64">
        <f t="shared" si="6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44249</v>
      </c>
      <c r="C31" s="92"/>
      <c r="D31" s="147">
        <f>'Suivi EAU-ELEC'!C37</f>
        <v>0</v>
      </c>
      <c r="E31" s="95"/>
      <c r="F31" s="190">
        <f t="shared" si="0"/>
        <v>0</v>
      </c>
      <c r="G31" s="191"/>
      <c r="H31" s="192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8"/>
        <v>0</v>
      </c>
      <c r="X31" s="65"/>
      <c r="Y31" s="148">
        <f t="shared" si="1"/>
        <v>0</v>
      </c>
      <c r="Z31" s="64">
        <f t="shared" si="6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7"/>
        <v>44250</v>
      </c>
      <c r="C32" s="92"/>
      <c r="D32" s="147">
        <f>'Suivi EAU-ELEC'!C38</f>
        <v>0</v>
      </c>
      <c r="E32" s="95"/>
      <c r="F32" s="190">
        <f t="shared" si="0"/>
        <v>0</v>
      </c>
      <c r="G32" s="191"/>
      <c r="H32" s="192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8"/>
        <v>0</v>
      </c>
      <c r="X32" s="65"/>
      <c r="Y32" s="148">
        <f t="shared" si="1"/>
        <v>0</v>
      </c>
      <c r="Z32" s="64">
        <f t="shared" si="6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7"/>
        <v>44251</v>
      </c>
      <c r="C33" s="92"/>
      <c r="D33" s="147">
        <f>'Suivi EAU-ELEC'!C39</f>
        <v>0</v>
      </c>
      <c r="E33" s="95"/>
      <c r="F33" s="190">
        <f t="shared" si="0"/>
        <v>0</v>
      </c>
      <c r="G33" s="191"/>
      <c r="H33" s="192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8"/>
        <v>0</v>
      </c>
      <c r="X33" s="65"/>
      <c r="Y33" s="148">
        <f t="shared" si="1"/>
        <v>0</v>
      </c>
      <c r="Z33" s="64">
        <f t="shared" si="6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7"/>
        <v>44252</v>
      </c>
      <c r="C34" s="92"/>
      <c r="D34" s="147">
        <f>'Suivi EAU-ELEC'!C40</f>
        <v>0</v>
      </c>
      <c r="E34" s="95"/>
      <c r="F34" s="190">
        <f t="shared" si="0"/>
        <v>0</v>
      </c>
      <c r="G34" s="191"/>
      <c r="H34" s="192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8"/>
        <v>0</v>
      </c>
      <c r="X34" s="65"/>
      <c r="Y34" s="148">
        <f t="shared" si="1"/>
        <v>0</v>
      </c>
      <c r="Z34" s="64">
        <f t="shared" si="6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7"/>
        <v>44253</v>
      </c>
      <c r="C35" s="92"/>
      <c r="D35" s="147">
        <f>'Suivi EAU-ELEC'!C41</f>
        <v>0</v>
      </c>
      <c r="E35" s="95"/>
      <c r="F35" s="212">
        <f t="shared" si="0"/>
        <v>0</v>
      </c>
      <c r="G35" s="213"/>
      <c r="H35" s="214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8"/>
        <v>0</v>
      </c>
      <c r="X35" s="65"/>
      <c r="Y35" s="148">
        <f t="shared" si="1"/>
        <v>0</v>
      </c>
      <c r="Z35" s="64">
        <f t="shared" si="6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7"/>
        <v>44254</v>
      </c>
      <c r="C36" s="92"/>
      <c r="D36" s="147">
        <f>'Suivi EAU-ELEC'!C42</f>
        <v>0</v>
      </c>
      <c r="E36" s="95"/>
      <c r="F36" s="215">
        <f t="shared" si="0"/>
        <v>0</v>
      </c>
      <c r="G36" s="216"/>
      <c r="H36" s="217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8"/>
        <v>0</v>
      </c>
      <c r="X36" s="65"/>
      <c r="Y36" s="148">
        <f t="shared" si="1"/>
        <v>0</v>
      </c>
      <c r="Z36" s="64">
        <f t="shared" si="6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7"/>
        <v>44255</v>
      </c>
      <c r="C37" s="92"/>
      <c r="D37" s="147">
        <f>'Suivi EAU-ELEC'!C43</f>
        <v>0</v>
      </c>
      <c r="E37" s="95"/>
      <c r="F37" s="218">
        <f t="shared" si="0"/>
        <v>0</v>
      </c>
      <c r="G37" s="219"/>
      <c r="H37" s="220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8"/>
        <v>0</v>
      </c>
      <c r="X37" s="65"/>
      <c r="Y37" s="148">
        <f t="shared" si="1"/>
        <v>0</v>
      </c>
      <c r="Z37" s="64">
        <f t="shared" si="6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7"/>
        <v>44256</v>
      </c>
      <c r="C38" s="92"/>
      <c r="D38" s="147">
        <f>'Suivi EAU-ELEC'!C44</f>
        <v>0</v>
      </c>
      <c r="E38" s="95"/>
      <c r="F38" s="209">
        <f t="shared" si="0"/>
        <v>0</v>
      </c>
      <c r="G38" s="210"/>
      <c r="H38" s="211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8"/>
        <v>0</v>
      </c>
      <c r="X38" s="65"/>
      <c r="Y38" s="148">
        <f t="shared" si="1"/>
        <v>0</v>
      </c>
      <c r="Z38" s="64">
        <f t="shared" si="6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7"/>
        <v>44257</v>
      </c>
      <c r="C39" s="92"/>
      <c r="D39" s="147">
        <f>'Suivi EAU-ELEC'!C45</f>
        <v>0</v>
      </c>
      <c r="E39" s="95"/>
      <c r="F39" s="190">
        <f t="shared" si="0"/>
        <v>0</v>
      </c>
      <c r="G39" s="191"/>
      <c r="H39" s="192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8"/>
        <v>0</v>
      </c>
      <c r="X39" s="65"/>
      <c r="Y39" s="148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7"/>
        <v>44258</v>
      </c>
      <c r="C40" s="92"/>
      <c r="D40" s="147">
        <f>'Suivi EAU-ELEC'!C46</f>
        <v>0</v>
      </c>
      <c r="E40" s="149"/>
      <c r="F40" s="212">
        <f t="shared" si="0"/>
        <v>0</v>
      </c>
      <c r="G40" s="213"/>
      <c r="H40" s="214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8"/>
        <v>0</v>
      </c>
      <c r="X40" s="65"/>
      <c r="Y40" s="148">
        <f t="shared" si="1"/>
        <v>0</v>
      </c>
      <c r="Z40" s="64">
        <f t="shared" si="6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2481</v>
      </c>
      <c r="E41" s="101"/>
      <c r="F41" s="221">
        <f>SUM(F10:H37)</f>
        <v>31434.269999999997</v>
      </c>
      <c r="G41" s="222"/>
      <c r="H41" s="223"/>
      <c r="I41" s="101"/>
      <c r="J41" s="103">
        <f>SUM(J10:J37)</f>
        <v>28632</v>
      </c>
      <c r="K41" s="103">
        <f>SUM(K10:K37)</f>
        <v>43246</v>
      </c>
      <c r="L41" s="103">
        <f>SUM(L10:L37)</f>
        <v>18201</v>
      </c>
      <c r="M41" s="103">
        <f>SUM(M10:M37)</f>
        <v>90079</v>
      </c>
      <c r="N41" s="102"/>
      <c r="O41" s="103">
        <f>SUM(O10:O37)</f>
        <v>89178.21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3116.4000000000005</v>
      </c>
      <c r="V41" s="58"/>
      <c r="W41" s="103">
        <f>SUM(W10:W37)</f>
        <v>28536.874800000005</v>
      </c>
      <c r="X41" s="139"/>
      <c r="Y41" s="103">
        <f>SUM(Y10:Y37)</f>
        <v>110.17000000000189</v>
      </c>
      <c r="Z41" s="103">
        <f>SUM(Z10:Z37)</f>
        <v>58390.100000001003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207539.454800001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4"/>
      <c r="G42" s="224"/>
      <c r="H42" s="224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225" t="s">
        <v>9</v>
      </c>
      <c r="B43" s="226"/>
      <c r="C43" s="227"/>
      <c r="D43" s="109" t="s">
        <v>6</v>
      </c>
      <c r="E43" s="110"/>
      <c r="F43" s="111">
        <v>0.64895000000000003</v>
      </c>
      <c r="G43" s="231">
        <f>J41</f>
        <v>28632</v>
      </c>
      <c r="H43" s="232"/>
      <c r="I43" s="233"/>
      <c r="J43" s="234">
        <f>G43*F43</f>
        <v>18580.736400000002</v>
      </c>
      <c r="K43" s="235"/>
      <c r="L43" s="236">
        <f>J43+J44+J45</f>
        <v>79501.584540000011</v>
      </c>
      <c r="M43" s="237"/>
      <c r="N43" s="237"/>
      <c r="O43" s="237"/>
      <c r="P43" s="237"/>
      <c r="Q43" s="237"/>
      <c r="R43" s="237"/>
      <c r="S43" s="237"/>
      <c r="T43" s="237"/>
      <c r="U43" s="23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228"/>
      <c r="B44" s="229"/>
      <c r="C44" s="230"/>
      <c r="D44" s="112" t="s">
        <v>7</v>
      </c>
      <c r="E44" s="110"/>
      <c r="F44" s="116">
        <v>0.88605</v>
      </c>
      <c r="G44" s="231">
        <f>K41</f>
        <v>43246</v>
      </c>
      <c r="H44" s="232"/>
      <c r="I44" s="233"/>
      <c r="J44" s="234">
        <f>G44*F44</f>
        <v>38318.118300000002</v>
      </c>
      <c r="K44" s="235"/>
      <c r="L44" s="239"/>
      <c r="M44" s="240"/>
      <c r="N44" s="240"/>
      <c r="O44" s="240"/>
      <c r="P44" s="240"/>
      <c r="Q44" s="240"/>
      <c r="R44" s="240"/>
      <c r="S44" s="240"/>
      <c r="T44" s="240"/>
      <c r="U44" s="24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228"/>
      <c r="B45" s="229"/>
      <c r="C45" s="230"/>
      <c r="D45" s="117" t="s">
        <v>8</v>
      </c>
      <c r="E45" s="118"/>
      <c r="F45" s="119">
        <v>1.2418400000000001</v>
      </c>
      <c r="G45" s="245">
        <f>L41</f>
        <v>18201</v>
      </c>
      <c r="H45" s="246"/>
      <c r="I45" s="247"/>
      <c r="J45" s="234">
        <f>G45*F45</f>
        <v>22602.72984</v>
      </c>
      <c r="K45" s="235"/>
      <c r="L45" s="242"/>
      <c r="M45" s="243"/>
      <c r="N45" s="243"/>
      <c r="O45" s="243"/>
      <c r="P45" s="243"/>
      <c r="Q45" s="243"/>
      <c r="R45" s="243"/>
      <c r="S45" s="243"/>
      <c r="T45" s="243"/>
      <c r="U45" s="24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249" t="s">
        <v>10</v>
      </c>
      <c r="B46" s="250"/>
      <c r="C46" s="250"/>
      <c r="D46" s="251"/>
      <c r="E46" s="110"/>
      <c r="F46" s="120">
        <v>12.67</v>
      </c>
      <c r="G46" s="249">
        <f>D41</f>
        <v>2481</v>
      </c>
      <c r="H46" s="250"/>
      <c r="I46" s="251"/>
      <c r="J46" s="252">
        <f>G46*F46</f>
        <v>31434.27</v>
      </c>
      <c r="K46" s="253"/>
      <c r="L46" s="254">
        <f>J46</f>
        <v>31434.27</v>
      </c>
      <c r="M46" s="255"/>
      <c r="N46" s="255"/>
      <c r="O46" s="255"/>
      <c r="P46" s="255"/>
      <c r="Q46" s="255"/>
      <c r="R46" s="255"/>
      <c r="S46" s="255"/>
      <c r="T46" s="255"/>
      <c r="U46" s="256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257" t="s">
        <v>12</v>
      </c>
      <c r="B47" s="258"/>
      <c r="C47" s="258"/>
      <c r="D47" s="259"/>
      <c r="E47" s="110"/>
      <c r="F47" s="121">
        <v>9.157</v>
      </c>
      <c r="G47" s="260">
        <f>U41</f>
        <v>3116.4000000000005</v>
      </c>
      <c r="H47" s="261"/>
      <c r="I47" s="262"/>
      <c r="J47" s="260">
        <f>G47*F47</f>
        <v>28536.874800000005</v>
      </c>
      <c r="K47" s="262"/>
      <c r="L47" s="263">
        <f>J47</f>
        <v>28536.874800000005</v>
      </c>
      <c r="M47" s="264"/>
      <c r="N47" s="264"/>
      <c r="O47" s="264"/>
      <c r="P47" s="264"/>
      <c r="Q47" s="264"/>
      <c r="R47" s="264"/>
      <c r="S47" s="264"/>
      <c r="T47" s="264"/>
      <c r="U47" s="265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  <mergeCell ref="A43:C45"/>
    <mergeCell ref="G43:I43"/>
    <mergeCell ref="J43:K43"/>
    <mergeCell ref="L43:U45"/>
    <mergeCell ref="G44:I44"/>
    <mergeCell ref="J44:K44"/>
    <mergeCell ref="G45:I45"/>
    <mergeCell ref="J45:K45"/>
    <mergeCell ref="F38:H38"/>
    <mergeCell ref="F39:H39"/>
    <mergeCell ref="F40:H40"/>
    <mergeCell ref="F41:H41"/>
    <mergeCell ref="F42:H42"/>
    <mergeCell ref="F33:H33"/>
    <mergeCell ref="F34:H34"/>
    <mergeCell ref="F35:H35"/>
    <mergeCell ref="F36:H36"/>
    <mergeCell ref="F37:H37"/>
    <mergeCell ref="F28:H28"/>
    <mergeCell ref="F29:H29"/>
    <mergeCell ref="F30:H30"/>
    <mergeCell ref="F31:H31"/>
    <mergeCell ref="F32:H32"/>
    <mergeCell ref="F23:H23"/>
    <mergeCell ref="F24:H24"/>
    <mergeCell ref="F25:H25"/>
    <mergeCell ref="F26:H26"/>
    <mergeCell ref="F27:H27"/>
    <mergeCell ref="F18:H18"/>
    <mergeCell ref="F19:H19"/>
    <mergeCell ref="F20:H20"/>
    <mergeCell ref="F21:H21"/>
    <mergeCell ref="F22:H22"/>
    <mergeCell ref="F13:H13"/>
    <mergeCell ref="F14:H14"/>
    <mergeCell ref="F15:H15"/>
    <mergeCell ref="F16:H16"/>
    <mergeCell ref="F17:H17"/>
    <mergeCell ref="F12:H12"/>
    <mergeCell ref="Z8:Z9"/>
    <mergeCell ref="AA8:AA9"/>
    <mergeCell ref="AB8:AB9"/>
    <mergeCell ref="AC8:AC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A8:A9"/>
    <mergeCell ref="B8:B9"/>
    <mergeCell ref="D8:D9"/>
    <mergeCell ref="F8:H9"/>
    <mergeCell ref="M8:M9"/>
    <mergeCell ref="A2:F2"/>
    <mergeCell ref="G2:AC2"/>
    <mergeCell ref="AD2:AE2"/>
    <mergeCell ref="A4:C5"/>
    <mergeCell ref="K5:AA7"/>
    <mergeCell ref="D7:J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21" sqref="B21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66"/>
      <c r="B1" s="266"/>
      <c r="C1" s="267"/>
      <c r="D1" s="268" t="s">
        <v>57</v>
      </c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70"/>
      <c r="AA1" s="271"/>
      <c r="AB1" s="272"/>
      <c r="AC1" s="272"/>
    </row>
    <row r="2" spans="1:31" ht="41.25" customHeight="1" thickBot="1" x14ac:dyDescent="0.4">
      <c r="A2" s="48"/>
      <c r="B2" s="275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6"/>
      <c r="Q2" s="273">
        <v>803</v>
      </c>
      <c r="R2" s="274"/>
      <c r="S2" s="274"/>
      <c r="T2" s="274">
        <v>519</v>
      </c>
      <c r="U2" s="274"/>
      <c r="V2" s="274"/>
      <c r="W2" s="274">
        <v>800</v>
      </c>
      <c r="X2" s="274"/>
      <c r="Y2" s="274"/>
      <c r="Z2" s="274">
        <v>802</v>
      </c>
      <c r="AA2" s="274"/>
      <c r="AB2" s="277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20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42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 t="shared" si="10"/>
        <v>3736.9717000000001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si="10"/>
        <v>1019.1741000000001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0"/>
        <v>1019.1741000000001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20" si="16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20" si="17">IF(AC14&gt;0,((F14-X14)+(Y14-F15)),IF(F15=0, ,(F14-F15)))</f>
        <v>3</v>
      </c>
      <c r="H14" s="20">
        <v>84</v>
      </c>
      <c r="I14" s="18">
        <f t="shared" ref="I14" si="18">IF(AC14&gt;0,((H14-AA14)+(AB14-H15)),IF(H15=0, ,(H14-H15)))</f>
        <v>4</v>
      </c>
      <c r="J14" s="18">
        <f t="shared" ref="J14" si="19">B14+D14+F14+H14</f>
        <v>336</v>
      </c>
      <c r="K14" s="18">
        <f t="shared" ref="K14" si="20">J14/4</f>
        <v>84</v>
      </c>
      <c r="L14" s="18">
        <f t="shared" ref="L14" si="21">IF(AC14&gt;0,((K14-AD14)+(AE14-K15)),IF(K15=0, ,(K14-K15)))</f>
        <v>2.25</v>
      </c>
      <c r="M14" s="18">
        <f t="shared" si="7"/>
        <v>28000</v>
      </c>
      <c r="N14" s="18">
        <f t="shared" ref="N14" si="22">L14*M14/100</f>
        <v>630</v>
      </c>
      <c r="O14" s="18">
        <f t="shared" ref="O14" si="23">N14*0.53</f>
        <v>333.90000000000003</v>
      </c>
      <c r="P14" s="21">
        <f t="shared" si="10"/>
        <v>3057.5223000000005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6">IF(AC15&gt;0,((H15-AA15)+(AB15-H16)),IF(H16=0, ,(H15-H16)))</f>
        <v>2</v>
      </c>
      <c r="J15" s="18">
        <f t="shared" ref="J15:J42" si="27">B15+D15+F15+H15</f>
        <v>327</v>
      </c>
      <c r="K15" s="18">
        <f t="shared" ref="K15:K42" si="28">J15/4</f>
        <v>81.75</v>
      </c>
      <c r="L15" s="18">
        <f t="shared" ref="L15:L19" si="29">IF(AC15&gt;0,((K15-AD15)+(AE15-K16)),IF(K16=0, ,(K15-K16)))</f>
        <v>2.25</v>
      </c>
      <c r="M15" s="18">
        <f t="shared" si="7"/>
        <v>28000</v>
      </c>
      <c r="N15" s="18">
        <f t="shared" ref="N15" si="30">L15*M15/100</f>
        <v>630</v>
      </c>
      <c r="O15" s="18">
        <f t="shared" ref="O15" si="31">N15*0.53</f>
        <v>333.90000000000003</v>
      </c>
      <c r="P15" s="21">
        <f t="shared" si="10"/>
        <v>3057.5223000000005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6"/>
        <v>3</v>
      </c>
      <c r="D16" s="20">
        <v>82</v>
      </c>
      <c r="E16" s="18">
        <f t="shared" si="1"/>
        <v>3</v>
      </c>
      <c r="F16" s="20">
        <v>78</v>
      </c>
      <c r="G16" s="18">
        <f t="shared" si="17"/>
        <v>5</v>
      </c>
      <c r="H16" s="20">
        <v>78</v>
      </c>
      <c r="I16" s="18">
        <f t="shared" si="26"/>
        <v>5</v>
      </c>
      <c r="J16" s="18">
        <f t="shared" si="27"/>
        <v>318</v>
      </c>
      <c r="K16" s="18">
        <f t="shared" si="28"/>
        <v>79.5</v>
      </c>
      <c r="L16" s="18">
        <f t="shared" si="29"/>
        <v>4</v>
      </c>
      <c r="M16" s="18">
        <f t="shared" si="7"/>
        <v>28000</v>
      </c>
      <c r="N16" s="18">
        <f t="shared" ref="N16:N42" si="32">L16*M16/100</f>
        <v>1120</v>
      </c>
      <c r="O16" s="18">
        <f t="shared" ref="O16:O42" si="33">N16*0.53</f>
        <v>593.6</v>
      </c>
      <c r="P16" s="21">
        <f t="shared" si="10"/>
        <v>5435.5952000000007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6"/>
        <v>5</v>
      </c>
      <c r="D17" s="20">
        <v>79</v>
      </c>
      <c r="E17" s="18">
        <f t="shared" si="1"/>
        <v>5</v>
      </c>
      <c r="F17" s="20">
        <v>73</v>
      </c>
      <c r="G17" s="18">
        <f t="shared" si="17"/>
        <v>3</v>
      </c>
      <c r="H17" s="20">
        <v>73</v>
      </c>
      <c r="I17" s="18">
        <f t="shared" si="26"/>
        <v>2</v>
      </c>
      <c r="J17" s="18">
        <f t="shared" si="27"/>
        <v>302</v>
      </c>
      <c r="K17" s="18">
        <f t="shared" si="28"/>
        <v>75.5</v>
      </c>
      <c r="L17" s="18">
        <f t="shared" si="29"/>
        <v>3.75</v>
      </c>
      <c r="M17" s="18">
        <f t="shared" si="7"/>
        <v>28000</v>
      </c>
      <c r="N17" s="18">
        <f t="shared" si="32"/>
        <v>1050</v>
      </c>
      <c r="O17" s="18">
        <f t="shared" si="33"/>
        <v>556.5</v>
      </c>
      <c r="P17" s="21">
        <f t="shared" si="10"/>
        <v>5095.8705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6"/>
        <v>0</v>
      </c>
      <c r="D18" s="20">
        <v>74</v>
      </c>
      <c r="E18" s="18">
        <f t="shared" si="1"/>
        <v>0</v>
      </c>
      <c r="F18" s="20">
        <v>70</v>
      </c>
      <c r="G18" s="18">
        <f t="shared" si="17"/>
        <v>3</v>
      </c>
      <c r="H18" s="20">
        <v>71</v>
      </c>
      <c r="I18" s="18">
        <f t="shared" si="26"/>
        <v>7</v>
      </c>
      <c r="J18" s="18">
        <f t="shared" si="27"/>
        <v>287</v>
      </c>
      <c r="K18" s="18">
        <f t="shared" si="28"/>
        <v>71.75</v>
      </c>
      <c r="L18" s="18">
        <f t="shared" si="29"/>
        <v>2.5</v>
      </c>
      <c r="M18" s="18">
        <f t="shared" si="7"/>
        <v>28000</v>
      </c>
      <c r="N18" s="18">
        <f t="shared" si="32"/>
        <v>700</v>
      </c>
      <c r="O18" s="18">
        <f t="shared" si="33"/>
        <v>371</v>
      </c>
      <c r="P18" s="21">
        <f t="shared" si="10"/>
        <v>3397.2469999999998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4"/>
        <v>71</v>
      </c>
      <c r="AE18" s="49">
        <f t="shared" si="25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6"/>
        <v>2</v>
      </c>
      <c r="D19" s="20">
        <v>84</v>
      </c>
      <c r="E19" s="18">
        <f t="shared" si="1"/>
        <v>0</v>
      </c>
      <c r="F19" s="20">
        <v>84</v>
      </c>
      <c r="G19" s="18">
        <f t="shared" si="17"/>
        <v>4</v>
      </c>
      <c r="H19" s="20">
        <v>82</v>
      </c>
      <c r="I19" s="18">
        <f t="shared" si="26"/>
        <v>2</v>
      </c>
      <c r="J19" s="18">
        <f t="shared" si="27"/>
        <v>333</v>
      </c>
      <c r="K19" s="18">
        <f t="shared" si="28"/>
        <v>83.25</v>
      </c>
      <c r="L19" s="18">
        <f t="shared" si="29"/>
        <v>2</v>
      </c>
      <c r="M19" s="18">
        <f t="shared" si="7"/>
        <v>28000</v>
      </c>
      <c r="N19" s="18">
        <f t="shared" si="32"/>
        <v>560</v>
      </c>
      <c r="O19" s="18">
        <f t="shared" si="33"/>
        <v>296.8</v>
      </c>
      <c r="P19" s="21">
        <f t="shared" si="10"/>
        <v>2717.7976000000003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6"/>
        <v>0</v>
      </c>
      <c r="D20" s="20">
        <v>84</v>
      </c>
      <c r="E20" s="18">
        <f t="shared" si="1"/>
        <v>0</v>
      </c>
      <c r="F20" s="20">
        <v>80</v>
      </c>
      <c r="G20" s="18">
        <f t="shared" si="17"/>
        <v>0</v>
      </c>
      <c r="H20" s="20">
        <v>80</v>
      </c>
      <c r="I20" s="18">
        <f t="shared" ref="I20:I42" si="34">IF(AC20&gt;0,((H20-AA20)+(AB20-H21)),IF(H21=0, ,(H20-H21)))</f>
        <v>0</v>
      </c>
      <c r="J20" s="18">
        <f t="shared" si="27"/>
        <v>325</v>
      </c>
      <c r="K20" s="18">
        <f t="shared" si="28"/>
        <v>81.25</v>
      </c>
      <c r="L20" s="18">
        <f t="shared" ref="L20:L42" si="35">IF(AC20&gt;0,((K20-AD20)+(AE20-K21)),IF(K21=0, ,(K20-K21)))</f>
        <v>0</v>
      </c>
      <c r="M20" s="18">
        <f t="shared" si="7"/>
        <v>28000</v>
      </c>
      <c r="N20" s="18">
        <f t="shared" si="32"/>
        <v>0</v>
      </c>
      <c r="O20" s="18">
        <f t="shared" si="33"/>
        <v>0</v>
      </c>
      <c r="P20" s="21">
        <f t="shared" si="10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4"/>
        <v>44238</v>
      </c>
      <c r="B21" s="20"/>
      <c r="C21" s="18">
        <f t="shared" ref="C20:C42" si="36">IF(AC21&gt;0,((B21-R21)+(S21-B22)),IF(B22=0, ,(B21-B22)))</f>
        <v>0</v>
      </c>
      <c r="D21" s="20"/>
      <c r="E21" s="18">
        <f t="shared" ref="E20:E42" si="37">IF(AC21&gt;0,((D21-U21)+(V21-D22)),IF(D22=0, ,(D21-D22)))</f>
        <v>0</v>
      </c>
      <c r="F21" s="20"/>
      <c r="G21" s="18">
        <f t="shared" ref="G20:G42" si="38">IF(AC21&gt;0,((F21-X21)+(Y21-F22)),IF(F22=0, ,(F21-F22)))</f>
        <v>0</v>
      </c>
      <c r="H21" s="20"/>
      <c r="I21" s="18">
        <f t="shared" si="34"/>
        <v>0</v>
      </c>
      <c r="J21" s="18">
        <f t="shared" si="27"/>
        <v>0</v>
      </c>
      <c r="K21" s="18">
        <f t="shared" si="28"/>
        <v>0</v>
      </c>
      <c r="L21" s="18">
        <f t="shared" si="35"/>
        <v>0</v>
      </c>
      <c r="M21" s="18">
        <f t="shared" si="7"/>
        <v>28000</v>
      </c>
      <c r="N21" s="18">
        <f t="shared" si="32"/>
        <v>0</v>
      </c>
      <c r="O21" s="18">
        <f t="shared" si="33"/>
        <v>0</v>
      </c>
      <c r="P21" s="21">
        <f t="shared" si="10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4"/>
        <v>44239</v>
      </c>
      <c r="B22" s="20"/>
      <c r="C22" s="18">
        <f t="shared" si="36"/>
        <v>0</v>
      </c>
      <c r="D22" s="20"/>
      <c r="E22" s="18">
        <f t="shared" si="37"/>
        <v>0</v>
      </c>
      <c r="F22" s="20"/>
      <c r="G22" s="18">
        <f t="shared" si="38"/>
        <v>0</v>
      </c>
      <c r="H22" s="20"/>
      <c r="I22" s="18">
        <f t="shared" si="34"/>
        <v>0</v>
      </c>
      <c r="J22" s="18">
        <f t="shared" si="27"/>
        <v>0</v>
      </c>
      <c r="K22" s="18">
        <f t="shared" si="28"/>
        <v>0</v>
      </c>
      <c r="L22" s="18">
        <f t="shared" si="35"/>
        <v>0</v>
      </c>
      <c r="M22" s="18">
        <f t="shared" si="7"/>
        <v>28000</v>
      </c>
      <c r="N22" s="18">
        <f t="shared" si="32"/>
        <v>0</v>
      </c>
      <c r="O22" s="18">
        <f t="shared" si="33"/>
        <v>0</v>
      </c>
      <c r="P22" s="21">
        <f t="shared" si="10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4"/>
        <v>44240</v>
      </c>
      <c r="B23" s="20"/>
      <c r="C23" s="18">
        <f t="shared" si="36"/>
        <v>0</v>
      </c>
      <c r="D23" s="20"/>
      <c r="E23" s="18">
        <f t="shared" si="37"/>
        <v>0</v>
      </c>
      <c r="F23" s="20"/>
      <c r="G23" s="18">
        <f t="shared" si="38"/>
        <v>0</v>
      </c>
      <c r="H23" s="20"/>
      <c r="I23" s="18">
        <f t="shared" si="34"/>
        <v>0</v>
      </c>
      <c r="J23" s="18">
        <f t="shared" si="27"/>
        <v>0</v>
      </c>
      <c r="K23" s="18">
        <f t="shared" si="28"/>
        <v>0</v>
      </c>
      <c r="L23" s="18">
        <f t="shared" si="35"/>
        <v>0</v>
      </c>
      <c r="M23" s="18">
        <f t="shared" si="7"/>
        <v>28000</v>
      </c>
      <c r="N23" s="18">
        <f t="shared" si="32"/>
        <v>0</v>
      </c>
      <c r="O23" s="18">
        <f t="shared" si="33"/>
        <v>0</v>
      </c>
      <c r="P23" s="21">
        <f t="shared" si="10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4"/>
        <v>44241</v>
      </c>
      <c r="B24" s="20"/>
      <c r="C24" s="18">
        <f t="shared" si="36"/>
        <v>0</v>
      </c>
      <c r="D24" s="20"/>
      <c r="E24" s="18">
        <f t="shared" si="37"/>
        <v>0</v>
      </c>
      <c r="F24" s="20"/>
      <c r="G24" s="18">
        <f t="shared" si="38"/>
        <v>0</v>
      </c>
      <c r="H24" s="20"/>
      <c r="I24" s="18">
        <f t="shared" si="34"/>
        <v>0</v>
      </c>
      <c r="J24" s="18">
        <f t="shared" si="27"/>
        <v>0</v>
      </c>
      <c r="K24" s="18">
        <f t="shared" si="28"/>
        <v>0</v>
      </c>
      <c r="L24" s="18">
        <f t="shared" si="35"/>
        <v>0</v>
      </c>
      <c r="M24" s="18">
        <f t="shared" si="7"/>
        <v>28000</v>
      </c>
      <c r="N24" s="18">
        <f t="shared" si="32"/>
        <v>0</v>
      </c>
      <c r="O24" s="18">
        <f t="shared" si="33"/>
        <v>0</v>
      </c>
      <c r="P24" s="21">
        <f t="shared" si="10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si="36"/>
        <v>0</v>
      </c>
      <c r="D25" s="20"/>
      <c r="E25" s="18">
        <f t="shared" si="37"/>
        <v>0</v>
      </c>
      <c r="F25" s="20"/>
      <c r="G25" s="18">
        <f t="shared" si="38"/>
        <v>0</v>
      </c>
      <c r="H25" s="20"/>
      <c r="I25" s="18">
        <f t="shared" si="34"/>
        <v>0</v>
      </c>
      <c r="J25" s="18">
        <f t="shared" si="27"/>
        <v>0</v>
      </c>
      <c r="K25" s="18">
        <f t="shared" si="28"/>
        <v>0</v>
      </c>
      <c r="L25" s="18">
        <f t="shared" si="35"/>
        <v>0</v>
      </c>
      <c r="M25" s="18">
        <f t="shared" si="7"/>
        <v>28000</v>
      </c>
      <c r="N25" s="18">
        <f t="shared" si="32"/>
        <v>0</v>
      </c>
      <c r="O25" s="18">
        <f t="shared" si="33"/>
        <v>0</v>
      </c>
      <c r="P25" s="21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36"/>
        <v>0</v>
      </c>
      <c r="D26" s="20"/>
      <c r="E26" s="18">
        <f t="shared" si="37"/>
        <v>0</v>
      </c>
      <c r="F26" s="20"/>
      <c r="G26" s="18">
        <f t="shared" si="38"/>
        <v>0</v>
      </c>
      <c r="H26" s="20"/>
      <c r="I26" s="18">
        <f t="shared" si="34"/>
        <v>0</v>
      </c>
      <c r="J26" s="18">
        <f t="shared" si="27"/>
        <v>0</v>
      </c>
      <c r="K26" s="18">
        <f t="shared" si="28"/>
        <v>0</v>
      </c>
      <c r="L26" s="18">
        <f t="shared" si="35"/>
        <v>0</v>
      </c>
      <c r="M26" s="18">
        <f t="shared" si="7"/>
        <v>28000</v>
      </c>
      <c r="N26" s="18">
        <f t="shared" si="32"/>
        <v>0</v>
      </c>
      <c r="O26" s="18">
        <f t="shared" si="33"/>
        <v>0</v>
      </c>
      <c r="P26" s="21">
        <f t="shared" si="10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36"/>
        <v>0</v>
      </c>
      <c r="D27" s="20"/>
      <c r="E27" s="18">
        <f t="shared" si="37"/>
        <v>0</v>
      </c>
      <c r="F27" s="20"/>
      <c r="G27" s="18">
        <f t="shared" si="38"/>
        <v>0</v>
      </c>
      <c r="H27" s="20"/>
      <c r="I27" s="18">
        <f t="shared" si="34"/>
        <v>0</v>
      </c>
      <c r="J27" s="18">
        <f t="shared" si="27"/>
        <v>0</v>
      </c>
      <c r="K27" s="18">
        <f t="shared" si="28"/>
        <v>0</v>
      </c>
      <c r="L27" s="18">
        <f t="shared" si="35"/>
        <v>0</v>
      </c>
      <c r="M27" s="18">
        <f t="shared" si="7"/>
        <v>28000</v>
      </c>
      <c r="N27" s="18">
        <f t="shared" si="32"/>
        <v>0</v>
      </c>
      <c r="O27" s="18">
        <f t="shared" si="33"/>
        <v>0</v>
      </c>
      <c r="P27" s="21">
        <f t="shared" si="10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36"/>
        <v>0</v>
      </c>
      <c r="D28" s="20"/>
      <c r="E28" s="18">
        <f t="shared" si="37"/>
        <v>0</v>
      </c>
      <c r="F28" s="20"/>
      <c r="G28" s="18">
        <f t="shared" si="38"/>
        <v>0</v>
      </c>
      <c r="H28" s="20"/>
      <c r="I28" s="18">
        <f t="shared" si="34"/>
        <v>0</v>
      </c>
      <c r="J28" s="18">
        <f t="shared" si="27"/>
        <v>0</v>
      </c>
      <c r="K28" s="18">
        <f t="shared" si="28"/>
        <v>0</v>
      </c>
      <c r="L28" s="18">
        <f t="shared" si="35"/>
        <v>0</v>
      </c>
      <c r="M28" s="18">
        <f t="shared" si="7"/>
        <v>28000</v>
      </c>
      <c r="N28" s="18">
        <f t="shared" si="32"/>
        <v>0</v>
      </c>
      <c r="O28" s="18">
        <f t="shared" si="33"/>
        <v>0</v>
      </c>
      <c r="P28" s="21">
        <f t="shared" si="10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36"/>
        <v>0</v>
      </c>
      <c r="D29" s="20"/>
      <c r="E29" s="18">
        <f t="shared" si="37"/>
        <v>0</v>
      </c>
      <c r="F29" s="20"/>
      <c r="G29" s="18">
        <f t="shared" si="38"/>
        <v>0</v>
      </c>
      <c r="H29" s="20"/>
      <c r="I29" s="18">
        <f t="shared" si="34"/>
        <v>0</v>
      </c>
      <c r="J29" s="18">
        <f t="shared" si="27"/>
        <v>0</v>
      </c>
      <c r="K29" s="18">
        <f t="shared" si="28"/>
        <v>0</v>
      </c>
      <c r="L29" s="18">
        <f t="shared" si="35"/>
        <v>0</v>
      </c>
      <c r="M29" s="18">
        <f t="shared" si="7"/>
        <v>28000</v>
      </c>
      <c r="N29" s="18">
        <f t="shared" si="32"/>
        <v>0</v>
      </c>
      <c r="O29" s="18">
        <f t="shared" si="33"/>
        <v>0</v>
      </c>
      <c r="P29" s="2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36"/>
        <v>0</v>
      </c>
      <c r="D30" s="20"/>
      <c r="E30" s="18">
        <f t="shared" si="37"/>
        <v>0</v>
      </c>
      <c r="F30" s="20"/>
      <c r="G30" s="18">
        <f t="shared" si="38"/>
        <v>0</v>
      </c>
      <c r="H30" s="20"/>
      <c r="I30" s="18">
        <f t="shared" si="34"/>
        <v>0</v>
      </c>
      <c r="J30" s="18">
        <f t="shared" si="27"/>
        <v>0</v>
      </c>
      <c r="K30" s="18">
        <f t="shared" si="28"/>
        <v>0</v>
      </c>
      <c r="L30" s="18">
        <f t="shared" si="35"/>
        <v>0</v>
      </c>
      <c r="M30" s="18">
        <f t="shared" si="7"/>
        <v>28000</v>
      </c>
      <c r="N30" s="18">
        <f t="shared" si="32"/>
        <v>0</v>
      </c>
      <c r="O30" s="18">
        <f t="shared" si="33"/>
        <v>0</v>
      </c>
      <c r="P30" s="21">
        <f t="shared" si="10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36"/>
        <v>0</v>
      </c>
      <c r="D31" s="20"/>
      <c r="E31" s="18">
        <f t="shared" si="37"/>
        <v>0</v>
      </c>
      <c r="F31" s="20"/>
      <c r="G31" s="18">
        <f t="shared" si="38"/>
        <v>0</v>
      </c>
      <c r="H31" s="20"/>
      <c r="I31" s="18">
        <f t="shared" si="34"/>
        <v>0</v>
      </c>
      <c r="J31" s="18">
        <f t="shared" si="27"/>
        <v>0</v>
      </c>
      <c r="K31" s="18">
        <f t="shared" si="28"/>
        <v>0</v>
      </c>
      <c r="L31" s="18">
        <f t="shared" si="35"/>
        <v>0</v>
      </c>
      <c r="M31" s="18">
        <f t="shared" si="7"/>
        <v>28000</v>
      </c>
      <c r="N31" s="18">
        <f t="shared" si="32"/>
        <v>0</v>
      </c>
      <c r="O31" s="18">
        <f t="shared" si="33"/>
        <v>0</v>
      </c>
      <c r="P31" s="21">
        <f t="shared" si="10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36"/>
        <v>0</v>
      </c>
      <c r="D32" s="20"/>
      <c r="E32" s="18">
        <f t="shared" si="37"/>
        <v>0</v>
      </c>
      <c r="F32" s="20"/>
      <c r="G32" s="18">
        <f t="shared" si="38"/>
        <v>0</v>
      </c>
      <c r="H32" s="20"/>
      <c r="I32" s="18">
        <f t="shared" si="34"/>
        <v>0</v>
      </c>
      <c r="J32" s="18">
        <f t="shared" si="27"/>
        <v>0</v>
      </c>
      <c r="K32" s="18">
        <f t="shared" si="28"/>
        <v>0</v>
      </c>
      <c r="L32" s="18">
        <f t="shared" si="35"/>
        <v>0</v>
      </c>
      <c r="M32" s="18">
        <f t="shared" si="7"/>
        <v>28000</v>
      </c>
      <c r="N32" s="18">
        <f t="shared" si="32"/>
        <v>0</v>
      </c>
      <c r="O32" s="18">
        <f t="shared" si="33"/>
        <v>0</v>
      </c>
      <c r="P32" s="21">
        <f t="shared" si="10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36"/>
        <v>0</v>
      </c>
      <c r="D33" s="20"/>
      <c r="E33" s="18">
        <f t="shared" si="37"/>
        <v>0</v>
      </c>
      <c r="F33" s="20"/>
      <c r="G33" s="18">
        <f t="shared" si="38"/>
        <v>0</v>
      </c>
      <c r="H33" s="20"/>
      <c r="I33" s="18">
        <f t="shared" si="34"/>
        <v>0</v>
      </c>
      <c r="J33" s="18">
        <f t="shared" si="27"/>
        <v>0</v>
      </c>
      <c r="K33" s="18">
        <f t="shared" si="28"/>
        <v>0</v>
      </c>
      <c r="L33" s="18">
        <f t="shared" si="35"/>
        <v>0</v>
      </c>
      <c r="M33" s="18">
        <f t="shared" si="7"/>
        <v>28000</v>
      </c>
      <c r="N33" s="18">
        <f t="shared" si="32"/>
        <v>0</v>
      </c>
      <c r="O33" s="18">
        <f t="shared" si="33"/>
        <v>0</v>
      </c>
      <c r="P33" s="21">
        <f t="shared" si="10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36"/>
        <v>0</v>
      </c>
      <c r="D34" s="20"/>
      <c r="E34" s="18">
        <f t="shared" si="37"/>
        <v>0</v>
      </c>
      <c r="F34" s="20"/>
      <c r="G34" s="18">
        <f t="shared" si="38"/>
        <v>0</v>
      </c>
      <c r="H34" s="20"/>
      <c r="I34" s="18">
        <f t="shared" si="34"/>
        <v>0</v>
      </c>
      <c r="J34" s="18">
        <f t="shared" si="27"/>
        <v>0</v>
      </c>
      <c r="K34" s="18">
        <f t="shared" si="28"/>
        <v>0</v>
      </c>
      <c r="L34" s="18">
        <f t="shared" si="35"/>
        <v>0</v>
      </c>
      <c r="M34" s="18">
        <f t="shared" si="7"/>
        <v>28000</v>
      </c>
      <c r="N34" s="18">
        <f t="shared" si="32"/>
        <v>0</v>
      </c>
      <c r="O34" s="18">
        <f t="shared" si="33"/>
        <v>0</v>
      </c>
      <c r="P34" s="21">
        <f t="shared" si="10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6"/>
        <v>0</v>
      </c>
      <c r="D35" s="20"/>
      <c r="E35" s="18">
        <f t="shared" si="37"/>
        <v>0</v>
      </c>
      <c r="F35" s="20"/>
      <c r="G35" s="18">
        <f t="shared" si="38"/>
        <v>0</v>
      </c>
      <c r="H35" s="20"/>
      <c r="I35" s="18">
        <f t="shared" si="34"/>
        <v>0</v>
      </c>
      <c r="J35" s="18">
        <f t="shared" si="27"/>
        <v>0</v>
      </c>
      <c r="K35" s="18">
        <f t="shared" si="28"/>
        <v>0</v>
      </c>
      <c r="L35" s="18">
        <f t="shared" si="35"/>
        <v>0</v>
      </c>
      <c r="M35" s="18">
        <f t="shared" si="7"/>
        <v>28000</v>
      </c>
      <c r="N35" s="18">
        <f t="shared" si="32"/>
        <v>0</v>
      </c>
      <c r="O35" s="18">
        <f t="shared" si="33"/>
        <v>0</v>
      </c>
      <c r="P35" s="21">
        <f t="shared" si="10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6"/>
        <v>0</v>
      </c>
      <c r="D36" s="20"/>
      <c r="E36" s="18">
        <f t="shared" si="37"/>
        <v>0</v>
      </c>
      <c r="F36" s="20"/>
      <c r="G36" s="18">
        <f t="shared" si="38"/>
        <v>0</v>
      </c>
      <c r="H36" s="20"/>
      <c r="I36" s="18">
        <f t="shared" si="34"/>
        <v>0</v>
      </c>
      <c r="J36" s="18">
        <f t="shared" si="27"/>
        <v>0</v>
      </c>
      <c r="K36" s="18">
        <f t="shared" si="28"/>
        <v>0</v>
      </c>
      <c r="L36" s="18">
        <f t="shared" si="35"/>
        <v>0</v>
      </c>
      <c r="M36" s="18">
        <f t="shared" si="7"/>
        <v>28000</v>
      </c>
      <c r="N36" s="18">
        <f t="shared" si="32"/>
        <v>0</v>
      </c>
      <c r="O36" s="18">
        <f t="shared" si="33"/>
        <v>0</v>
      </c>
      <c r="P36" s="21">
        <f t="shared" si="10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6"/>
        <v>0</v>
      </c>
      <c r="D37" s="20"/>
      <c r="E37" s="18">
        <f t="shared" si="37"/>
        <v>0</v>
      </c>
      <c r="F37" s="20"/>
      <c r="G37" s="18">
        <f t="shared" si="38"/>
        <v>0</v>
      </c>
      <c r="H37" s="20"/>
      <c r="I37" s="18">
        <f t="shared" si="34"/>
        <v>0</v>
      </c>
      <c r="J37" s="18">
        <f t="shared" si="27"/>
        <v>0</v>
      </c>
      <c r="K37" s="18">
        <f t="shared" si="28"/>
        <v>0</v>
      </c>
      <c r="L37" s="18">
        <f t="shared" si="35"/>
        <v>0</v>
      </c>
      <c r="M37" s="18">
        <f t="shared" si="7"/>
        <v>28000</v>
      </c>
      <c r="N37" s="18">
        <f t="shared" si="32"/>
        <v>0</v>
      </c>
      <c r="O37" s="18">
        <f t="shared" si="33"/>
        <v>0</v>
      </c>
      <c r="P37" s="21">
        <f t="shared" si="10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6"/>
        <v>0</v>
      </c>
      <c r="D38" s="20"/>
      <c r="E38" s="18">
        <f t="shared" si="37"/>
        <v>0</v>
      </c>
      <c r="F38" s="20"/>
      <c r="G38" s="18">
        <f t="shared" si="38"/>
        <v>0</v>
      </c>
      <c r="H38" s="20"/>
      <c r="I38" s="18">
        <f t="shared" si="34"/>
        <v>0</v>
      </c>
      <c r="J38" s="18">
        <f t="shared" si="27"/>
        <v>0</v>
      </c>
      <c r="K38" s="18">
        <f t="shared" si="28"/>
        <v>0</v>
      </c>
      <c r="L38" s="18">
        <f t="shared" si="35"/>
        <v>0</v>
      </c>
      <c r="M38" s="18">
        <f t="shared" si="7"/>
        <v>28000</v>
      </c>
      <c r="N38" s="18">
        <f t="shared" si="32"/>
        <v>0</v>
      </c>
      <c r="O38" s="18">
        <f t="shared" si="33"/>
        <v>0</v>
      </c>
      <c r="P38" s="21">
        <f t="shared" si="10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6"/>
        <v>0</v>
      </c>
      <c r="D39" s="20"/>
      <c r="E39" s="18">
        <f t="shared" si="37"/>
        <v>0</v>
      </c>
      <c r="F39" s="20"/>
      <c r="G39" s="18">
        <f t="shared" si="38"/>
        <v>0</v>
      </c>
      <c r="H39" s="20"/>
      <c r="I39" s="18">
        <f t="shared" si="34"/>
        <v>0</v>
      </c>
      <c r="J39" s="18">
        <f t="shared" si="27"/>
        <v>0</v>
      </c>
      <c r="K39" s="18">
        <f t="shared" si="28"/>
        <v>0</v>
      </c>
      <c r="L39" s="18">
        <f t="shared" si="35"/>
        <v>0</v>
      </c>
      <c r="M39" s="18">
        <f t="shared" si="7"/>
        <v>28000</v>
      </c>
      <c r="N39" s="18">
        <f t="shared" si="32"/>
        <v>0</v>
      </c>
      <c r="O39" s="18">
        <f t="shared" si="33"/>
        <v>0</v>
      </c>
      <c r="P39" s="21">
        <f t="shared" si="10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6"/>
        <v>0</v>
      </c>
      <c r="D40" s="20"/>
      <c r="E40" s="18">
        <f t="shared" si="37"/>
        <v>0</v>
      </c>
      <c r="F40" s="20"/>
      <c r="G40" s="18">
        <f t="shared" si="38"/>
        <v>0</v>
      </c>
      <c r="H40" s="20"/>
      <c r="I40" s="18">
        <f t="shared" si="34"/>
        <v>0</v>
      </c>
      <c r="J40" s="18">
        <f t="shared" si="27"/>
        <v>0</v>
      </c>
      <c r="K40" s="18">
        <f t="shared" si="28"/>
        <v>0</v>
      </c>
      <c r="L40" s="18">
        <f t="shared" si="35"/>
        <v>0</v>
      </c>
      <c r="M40" s="18">
        <f t="shared" si="7"/>
        <v>28000</v>
      </c>
      <c r="N40" s="18">
        <f t="shared" si="32"/>
        <v>0</v>
      </c>
      <c r="O40" s="18">
        <f t="shared" si="33"/>
        <v>0</v>
      </c>
      <c r="P40" s="21">
        <f t="shared" si="10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6"/>
        <v>0</v>
      </c>
      <c r="D41" s="20"/>
      <c r="E41" s="18">
        <f t="shared" si="37"/>
        <v>0</v>
      </c>
      <c r="F41" s="20"/>
      <c r="G41" s="18">
        <f t="shared" si="38"/>
        <v>0</v>
      </c>
      <c r="H41" s="20"/>
      <c r="I41" s="18">
        <f t="shared" si="34"/>
        <v>0</v>
      </c>
      <c r="J41" s="18">
        <f t="shared" si="27"/>
        <v>0</v>
      </c>
      <c r="K41" s="18">
        <f t="shared" si="28"/>
        <v>0</v>
      </c>
      <c r="L41" s="18">
        <f t="shared" si="35"/>
        <v>0</v>
      </c>
      <c r="M41" s="18">
        <f t="shared" si="7"/>
        <v>28000</v>
      </c>
      <c r="N41" s="18">
        <f t="shared" si="32"/>
        <v>0</v>
      </c>
      <c r="O41" s="18">
        <f t="shared" si="33"/>
        <v>0</v>
      </c>
      <c r="P41" s="21">
        <f t="shared" si="10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6"/>
        <v>0</v>
      </c>
      <c r="D42" s="20"/>
      <c r="E42" s="18">
        <f t="shared" si="37"/>
        <v>0</v>
      </c>
      <c r="F42" s="20"/>
      <c r="G42" s="18">
        <f t="shared" si="38"/>
        <v>0</v>
      </c>
      <c r="H42" s="20"/>
      <c r="I42" s="18">
        <f t="shared" si="34"/>
        <v>0</v>
      </c>
      <c r="J42" s="18">
        <f t="shared" si="27"/>
        <v>0</v>
      </c>
      <c r="K42" s="18">
        <f t="shared" si="28"/>
        <v>0</v>
      </c>
      <c r="L42" s="18">
        <f t="shared" si="35"/>
        <v>0</v>
      </c>
      <c r="M42" s="18">
        <f t="shared" si="7"/>
        <v>28000</v>
      </c>
      <c r="N42" s="18">
        <f t="shared" si="32"/>
        <v>0</v>
      </c>
      <c r="O42" s="18">
        <f t="shared" si="33"/>
        <v>0</v>
      </c>
      <c r="P42" s="21">
        <f t="shared" si="10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SUM(C11:C38)</f>
        <v>14</v>
      </c>
      <c r="D43" s="20"/>
      <c r="E43" s="18">
        <f>SUM(E11:E38)</f>
        <v>14</v>
      </c>
      <c r="F43" s="20"/>
      <c r="G43" s="18">
        <f>SUM(G11:G38)</f>
        <v>22</v>
      </c>
      <c r="H43" s="20"/>
      <c r="I43" s="18">
        <f>SUM(I11:I38)</f>
        <v>25</v>
      </c>
      <c r="J43" s="16"/>
      <c r="K43" s="16"/>
      <c r="L43" s="16"/>
      <c r="M43" s="16"/>
      <c r="N43" s="18">
        <f>SUM(N11:N38)</f>
        <v>5880</v>
      </c>
      <c r="O43" s="18">
        <f>N43*0.53</f>
        <v>3116.4</v>
      </c>
      <c r="P43" s="21">
        <f t="shared" ref="P43" si="39">O43*8.2658</f>
        <v>25759.539120000001</v>
      </c>
      <c r="Q43" s="281">
        <f>SUM(Q11:Q38)</f>
        <v>2492</v>
      </c>
      <c r="R43" s="282"/>
      <c r="S43" s="283"/>
      <c r="T43" s="281">
        <f>SUM(T11:T38)</f>
        <v>2346</v>
      </c>
      <c r="U43" s="282"/>
      <c r="V43" s="283"/>
      <c r="W43" s="281">
        <f>SUM(W11:W38)</f>
        <v>2750</v>
      </c>
      <c r="X43" s="282"/>
      <c r="Y43" s="283"/>
      <c r="Z43" s="281">
        <f>SUM(Z11:Z38)</f>
        <v>2694</v>
      </c>
      <c r="AA43" s="282"/>
      <c r="AB43" s="283"/>
      <c r="AC43" s="137">
        <f>SUM(AC11:AC38)</f>
        <v>10282</v>
      </c>
      <c r="AD43" s="138"/>
      <c r="AE43" s="135"/>
    </row>
    <row r="44" spans="1:31" ht="35.25" customHeight="1" thickBot="1" x14ac:dyDescent="0.35">
      <c r="B44" s="284"/>
      <c r="C44" s="285"/>
      <c r="D44" s="285"/>
      <c r="E44" s="285"/>
      <c r="F44" s="285"/>
      <c r="G44" s="285"/>
      <c r="H44" s="285"/>
      <c r="I44" s="286"/>
      <c r="J44" s="16"/>
      <c r="K44" s="16"/>
      <c r="L44" s="16"/>
      <c r="M44" s="16"/>
      <c r="N44" s="16"/>
      <c r="O44" s="16"/>
      <c r="P44" s="16"/>
      <c r="Q44" s="287">
        <f>Q43+T43+W43+Z43</f>
        <v>10282</v>
      </c>
      <c r="R44" s="288"/>
      <c r="S44" s="288"/>
      <c r="T44" s="288"/>
      <c r="U44" s="288"/>
      <c r="V44" s="288"/>
      <c r="W44" s="288"/>
      <c r="X44" s="288"/>
      <c r="Y44" s="288"/>
      <c r="Z44" s="288"/>
      <c r="AA44" s="288"/>
      <c r="AB44" s="289"/>
      <c r="AC44" s="136">
        <f>Q43+T43+W43+Z43</f>
        <v>10282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90" t="s">
        <v>36</v>
      </c>
      <c r="I47" s="291"/>
      <c r="J47" s="292"/>
      <c r="K47" s="28">
        <f>N43</f>
        <v>5880</v>
      </c>
      <c r="L47" s="29">
        <f>O43</f>
        <v>3116.4</v>
      </c>
      <c r="M47" s="29">
        <f>P43</f>
        <v>25759.539120000001</v>
      </c>
    </row>
    <row r="48" spans="1:31" ht="54.75" customHeight="1" thickBot="1" x14ac:dyDescent="0.35">
      <c r="H48" s="278" t="s">
        <v>37</v>
      </c>
      <c r="I48" s="279"/>
      <c r="J48" s="280"/>
      <c r="K48" s="26">
        <f>AC43</f>
        <v>10282</v>
      </c>
      <c r="L48" s="27">
        <f>K48*0.53</f>
        <v>5449.46</v>
      </c>
      <c r="M48" s="27">
        <f>L48*8.2658</f>
        <v>45044.146468000006</v>
      </c>
    </row>
  </sheetData>
  <mergeCells count="16">
    <mergeCell ref="H48:J48"/>
    <mergeCell ref="Q43:S43"/>
    <mergeCell ref="T43:V43"/>
    <mergeCell ref="W43:Y43"/>
    <mergeCell ref="Z43:AB43"/>
    <mergeCell ref="B44:I44"/>
    <mergeCell ref="Q44:AB44"/>
    <mergeCell ref="H47:J47"/>
    <mergeCell ref="A1:C1"/>
    <mergeCell ref="D1:Z1"/>
    <mergeCell ref="AA1:AC1"/>
    <mergeCell ref="Q2:S2"/>
    <mergeCell ref="B2:P2"/>
    <mergeCell ref="T2:V2"/>
    <mergeCell ref="W2:Y2"/>
    <mergeCell ref="Z2:AB2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25" sqref="B25:H25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2481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25" si="1">IF(D10&lt;D9,0,D10-D9)</f>
        <v>3048</v>
      </c>
      <c r="F9" s="42">
        <v>34032290</v>
      </c>
      <c r="G9" s="41">
        <f t="shared" ref="G9:G25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0</v>
      </c>
      <c r="D25" s="42">
        <v>19058908</v>
      </c>
      <c r="E25" s="41">
        <f t="shared" si="1"/>
        <v>0</v>
      </c>
      <c r="F25" s="42">
        <v>34111634</v>
      </c>
      <c r="G25" s="41">
        <f t="shared" si="2"/>
        <v>0</v>
      </c>
      <c r="H25" s="42">
        <v>15108745</v>
      </c>
      <c r="I25" s="41">
        <f t="shared" si="3"/>
        <v>0</v>
      </c>
    </row>
    <row r="26" spans="1:9" ht="21" thickTop="1" thickBot="1" x14ac:dyDescent="0.35">
      <c r="A26" s="39">
        <f t="shared" si="4"/>
        <v>44238</v>
      </c>
      <c r="B26" s="40"/>
      <c r="C26" s="41">
        <f t="shared" si="0"/>
        <v>0</v>
      </c>
      <c r="D26" s="42"/>
      <c r="E26" s="41">
        <f t="shared" ref="E25:E47" si="5">IF(D27&lt;D26,0,D27-D26)</f>
        <v>0</v>
      </c>
      <c r="F26" s="42"/>
      <c r="G26" s="41">
        <f t="shared" ref="G25:G47" si="6">IF(F27&lt;F26,0,F27-F26)</f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44239</v>
      </c>
      <c r="B27" s="40"/>
      <c r="C27" s="41">
        <f t="shared" si="0"/>
        <v>0</v>
      </c>
      <c r="D27" s="42"/>
      <c r="E27" s="41">
        <f t="shared" si="5"/>
        <v>0</v>
      </c>
      <c r="F27" s="42"/>
      <c r="G27" s="41">
        <f t="shared" si="6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44240</v>
      </c>
      <c r="B28" s="40"/>
      <c r="C28" s="41">
        <f t="shared" si="0"/>
        <v>0</v>
      </c>
      <c r="D28" s="42"/>
      <c r="E28" s="41">
        <f t="shared" si="5"/>
        <v>0</v>
      </c>
      <c r="F28" s="42"/>
      <c r="G28" s="41">
        <f t="shared" si="6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44241</v>
      </c>
      <c r="B29" s="40"/>
      <c r="C29" s="41">
        <f t="shared" si="0"/>
        <v>0</v>
      </c>
      <c r="D29" s="42"/>
      <c r="E29" s="41">
        <f t="shared" si="5"/>
        <v>0</v>
      </c>
      <c r="F29" s="42"/>
      <c r="G29" s="41">
        <f t="shared" si="6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si="5"/>
        <v>0</v>
      </c>
      <c r="F30" s="42"/>
      <c r="G30" s="41">
        <f t="shared" si="6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2481</v>
      </c>
      <c r="E48" s="41">
        <f>SUM(E16:E43)</f>
        <v>28632</v>
      </c>
      <c r="F48" s="53"/>
      <c r="G48" s="41">
        <f>SUM(G16:G43)</f>
        <v>43246</v>
      </c>
      <c r="H48" s="53"/>
      <c r="I48" s="41">
        <f>SUM(I16:I43)</f>
        <v>18201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0" priority="1214" stopIfTrue="1" operator="lessThanOrEqual">
      <formula>0</formula>
    </cfRule>
  </conditionalFormatting>
  <conditionalFormatting sqref="C48">
    <cfRule type="cellIs" dxfId="59" priority="876" stopIfTrue="1" operator="lessThanOrEqual">
      <formula>0</formula>
    </cfRule>
  </conditionalFormatting>
  <conditionalFormatting sqref="C48">
    <cfRule type="cellIs" dxfId="58" priority="875" stopIfTrue="1" operator="lessThanOrEqual">
      <formula>0</formula>
    </cfRule>
  </conditionalFormatting>
  <conditionalFormatting sqref="C48">
    <cfRule type="cellIs" dxfId="57" priority="874" stopIfTrue="1" operator="lessThanOrEqual">
      <formula>0</formula>
    </cfRule>
  </conditionalFormatting>
  <conditionalFormatting sqref="C48">
    <cfRule type="cellIs" dxfId="56" priority="873" stopIfTrue="1" operator="lessThanOrEqual">
      <formula>0</formula>
    </cfRule>
  </conditionalFormatting>
  <conditionalFormatting sqref="C9:C10">
    <cfRule type="cellIs" dxfId="55" priority="64" stopIfTrue="1" operator="lessThanOrEqual">
      <formula>0</formula>
    </cfRule>
  </conditionalFormatting>
  <conditionalFormatting sqref="C9:C10">
    <cfRule type="cellIs" dxfId="54" priority="63" stopIfTrue="1" operator="lessThanOrEqual">
      <formula>0</formula>
    </cfRule>
  </conditionalFormatting>
  <conditionalFormatting sqref="C9:C10">
    <cfRule type="cellIs" dxfId="53" priority="62" stopIfTrue="1" operator="lessThanOrEqual">
      <formula>0</formula>
    </cfRule>
  </conditionalFormatting>
  <conditionalFormatting sqref="C9:C10">
    <cfRule type="cellIs" dxfId="52" priority="61" stopIfTrue="1" operator="lessThanOrEqual">
      <formula>0</formula>
    </cfRule>
  </conditionalFormatting>
  <conditionalFormatting sqref="C11:C14">
    <cfRule type="cellIs" dxfId="51" priority="60" stopIfTrue="1" operator="lessThanOrEqual">
      <formula>0</formula>
    </cfRule>
  </conditionalFormatting>
  <conditionalFormatting sqref="C11:C14">
    <cfRule type="cellIs" dxfId="50" priority="59" stopIfTrue="1" operator="lessThanOrEqual">
      <formula>0</formula>
    </cfRule>
  </conditionalFormatting>
  <conditionalFormatting sqref="C11:C14">
    <cfRule type="cellIs" dxfId="49" priority="58" stopIfTrue="1" operator="lessThanOrEqual">
      <formula>0</formula>
    </cfRule>
  </conditionalFormatting>
  <conditionalFormatting sqref="C11:C14">
    <cfRule type="cellIs" dxfId="48" priority="57" stopIfTrue="1" operator="lessThanOrEqual">
      <formula>0</formula>
    </cfRule>
  </conditionalFormatting>
  <conditionalFormatting sqref="C15">
    <cfRule type="cellIs" dxfId="47" priority="56" stopIfTrue="1" operator="lessThanOrEqual">
      <formula>0</formula>
    </cfRule>
  </conditionalFormatting>
  <conditionalFormatting sqref="C15">
    <cfRule type="cellIs" dxfId="46" priority="55" stopIfTrue="1" operator="lessThanOrEqual">
      <formula>0</formula>
    </cfRule>
  </conditionalFormatting>
  <conditionalFormatting sqref="C15">
    <cfRule type="cellIs" dxfId="45" priority="54" stopIfTrue="1" operator="lessThanOrEqual">
      <formula>0</formula>
    </cfRule>
  </conditionalFormatting>
  <conditionalFormatting sqref="C15">
    <cfRule type="cellIs" dxfId="44" priority="53" stopIfTrue="1" operator="lessThanOrEqual">
      <formula>0</formula>
    </cfRule>
  </conditionalFormatting>
  <conditionalFormatting sqref="C16 C26:C47">
    <cfRule type="cellIs" dxfId="43" priority="52" stopIfTrue="1" operator="lessThanOrEqual">
      <formula>0</formula>
    </cfRule>
  </conditionalFormatting>
  <conditionalFormatting sqref="C16 C26:C47">
    <cfRule type="cellIs" dxfId="42" priority="51" stopIfTrue="1" operator="lessThanOrEqual">
      <formula>0</formula>
    </cfRule>
  </conditionalFormatting>
  <conditionalFormatting sqref="C16 C26:C47">
    <cfRule type="cellIs" dxfId="41" priority="50" stopIfTrue="1" operator="lessThanOrEqual">
      <formula>0</formula>
    </cfRule>
  </conditionalFormatting>
  <conditionalFormatting sqref="C16 C26:C47">
    <cfRule type="cellIs" dxfId="40" priority="49" stopIfTrue="1" operator="lessThanOrEqual">
      <formula>0</formula>
    </cfRule>
  </conditionalFormatting>
  <conditionalFormatting sqref="C17">
    <cfRule type="cellIs" dxfId="39" priority="36" stopIfTrue="1" operator="lessThanOrEqual">
      <formula>0</formula>
    </cfRule>
  </conditionalFormatting>
  <conditionalFormatting sqref="C17">
    <cfRule type="cellIs" dxfId="38" priority="35" stopIfTrue="1" operator="lessThanOrEqual">
      <formula>0</formula>
    </cfRule>
  </conditionalFormatting>
  <conditionalFormatting sqref="C17">
    <cfRule type="cellIs" dxfId="37" priority="34" stopIfTrue="1" operator="lessThanOrEqual">
      <formula>0</formula>
    </cfRule>
  </conditionalFormatting>
  <conditionalFormatting sqref="C17">
    <cfRule type="cellIs" dxfId="36" priority="33" stopIfTrue="1" operator="lessThanOrEqual">
      <formula>0</formula>
    </cfRule>
  </conditionalFormatting>
  <conditionalFormatting sqref="E48">
    <cfRule type="cellIs" dxfId="35" priority="32" stopIfTrue="1" operator="lessThanOrEqual">
      <formula>0</formula>
    </cfRule>
  </conditionalFormatting>
  <conditionalFormatting sqref="E48">
    <cfRule type="cellIs" dxfId="34" priority="31" stopIfTrue="1" operator="lessThanOrEqual">
      <formula>0</formula>
    </cfRule>
  </conditionalFormatting>
  <conditionalFormatting sqref="E48">
    <cfRule type="cellIs" dxfId="33" priority="30" stopIfTrue="1" operator="lessThanOrEqual">
      <formula>0</formula>
    </cfRule>
  </conditionalFormatting>
  <conditionalFormatting sqref="E48">
    <cfRule type="cellIs" dxfId="32" priority="29" stopIfTrue="1" operator="lessThanOrEqual">
      <formula>0</formula>
    </cfRule>
  </conditionalFormatting>
  <conditionalFormatting sqref="G48">
    <cfRule type="cellIs" dxfId="31" priority="28" stopIfTrue="1" operator="lessThanOrEqual">
      <formula>0</formula>
    </cfRule>
  </conditionalFormatting>
  <conditionalFormatting sqref="G48">
    <cfRule type="cellIs" dxfId="30" priority="27" stopIfTrue="1" operator="lessThanOrEqual">
      <formula>0</formula>
    </cfRule>
  </conditionalFormatting>
  <conditionalFormatting sqref="G48">
    <cfRule type="cellIs" dxfId="29" priority="26" stopIfTrue="1" operator="lessThanOrEqual">
      <formula>0</formula>
    </cfRule>
  </conditionalFormatting>
  <conditionalFormatting sqref="G48">
    <cfRule type="cellIs" dxfId="28" priority="25" stopIfTrue="1" operator="lessThanOrEqual">
      <formula>0</formula>
    </cfRule>
  </conditionalFormatting>
  <conditionalFormatting sqref="I48">
    <cfRule type="cellIs" dxfId="27" priority="24" stopIfTrue="1" operator="lessThanOrEqual">
      <formula>0</formula>
    </cfRule>
  </conditionalFormatting>
  <conditionalFormatting sqref="I48">
    <cfRule type="cellIs" dxfId="26" priority="23" stopIfTrue="1" operator="lessThanOrEqual">
      <formula>0</formula>
    </cfRule>
  </conditionalFormatting>
  <conditionalFormatting sqref="I48">
    <cfRule type="cellIs" dxfId="25" priority="22" stopIfTrue="1" operator="lessThanOrEqual">
      <formula>0</formula>
    </cfRule>
  </conditionalFormatting>
  <conditionalFormatting sqref="I48">
    <cfRule type="cellIs" dxfId="24" priority="21" stopIfTrue="1" operator="lessThanOrEqual">
      <formula>0</formula>
    </cfRule>
  </conditionalFormatting>
  <conditionalFormatting sqref="C18">
    <cfRule type="cellIs" dxfId="23" priority="20" stopIfTrue="1" operator="lessThanOrEqual">
      <formula>0</formula>
    </cfRule>
  </conditionalFormatting>
  <conditionalFormatting sqref="C18">
    <cfRule type="cellIs" dxfId="22" priority="19" stopIfTrue="1" operator="lessThanOrEqual">
      <formula>0</formula>
    </cfRule>
  </conditionalFormatting>
  <conditionalFormatting sqref="C18">
    <cfRule type="cellIs" dxfId="21" priority="18" stopIfTrue="1" operator="lessThanOrEqual">
      <formula>0</formula>
    </cfRule>
  </conditionalFormatting>
  <conditionalFormatting sqref="C18">
    <cfRule type="cellIs" dxfId="20" priority="17" stopIfTrue="1" operator="lessThanOrEqual">
      <formula>0</formula>
    </cfRule>
  </conditionalFormatting>
  <conditionalFormatting sqref="C19:C21">
    <cfRule type="cellIs" dxfId="19" priority="16" stopIfTrue="1" operator="lessThanOrEqual">
      <formula>0</formula>
    </cfRule>
  </conditionalFormatting>
  <conditionalFormatting sqref="C19:C21">
    <cfRule type="cellIs" dxfId="18" priority="15" stopIfTrue="1" operator="lessThanOrEqual">
      <formula>0</formula>
    </cfRule>
  </conditionalFormatting>
  <conditionalFormatting sqref="C19:C21">
    <cfRule type="cellIs" dxfId="17" priority="14" stopIfTrue="1" operator="lessThanOrEqual">
      <formula>0</formula>
    </cfRule>
  </conditionalFormatting>
  <conditionalFormatting sqref="C19:C21">
    <cfRule type="cellIs" dxfId="16" priority="13" stopIfTrue="1" operator="lessThanOrEqual">
      <formula>0</formula>
    </cfRule>
  </conditionalFormatting>
  <conditionalFormatting sqref="C22:C23">
    <cfRule type="cellIs" dxfId="15" priority="12" stopIfTrue="1" operator="lessThanOrEqual">
      <formula>0</formula>
    </cfRule>
  </conditionalFormatting>
  <conditionalFormatting sqref="C22:C23">
    <cfRule type="cellIs" dxfId="14" priority="11" stopIfTrue="1" operator="lessThanOrEqual">
      <formula>0</formula>
    </cfRule>
  </conditionalFormatting>
  <conditionalFormatting sqref="C22:C23">
    <cfRule type="cellIs" dxfId="13" priority="10" stopIfTrue="1" operator="lessThanOrEqual">
      <formula>0</formula>
    </cfRule>
  </conditionalFormatting>
  <conditionalFormatting sqref="C22:C23">
    <cfRule type="cellIs" dxfId="12" priority="9" stopIfTrue="1" operator="lessThanOrEqual">
      <formula>0</formula>
    </cfRule>
  </conditionalFormatting>
  <conditionalFormatting sqref="C24">
    <cfRule type="cellIs" dxfId="11" priority="8" stopIfTrue="1" operator="lessThanOrEqual">
      <formula>0</formula>
    </cfRule>
  </conditionalFormatting>
  <conditionalFormatting sqref="C24">
    <cfRule type="cellIs" dxfId="10" priority="7" stopIfTrue="1" operator="lessThanOrEqual">
      <formula>0</formula>
    </cfRule>
  </conditionalFormatting>
  <conditionalFormatting sqref="C24">
    <cfRule type="cellIs" dxfId="9" priority="6" stopIfTrue="1" operator="lessThanOrEqual">
      <formula>0</formula>
    </cfRule>
  </conditionalFormatting>
  <conditionalFormatting sqref="C24">
    <cfRule type="cellIs" dxfId="8" priority="5" stopIfTrue="1" operator="lessThanOrEqual">
      <formula>0</formula>
    </cfRule>
  </conditionalFormatting>
  <conditionalFormatting sqref="C25">
    <cfRule type="cellIs" dxfId="7" priority="4" stopIfTrue="1" operator="lessThanOrEqual">
      <formula>0</formula>
    </cfRule>
  </conditionalFormatting>
  <conditionalFormatting sqref="C25">
    <cfRule type="cellIs" dxfId="5" priority="3" stopIfTrue="1" operator="lessThanOrEqual">
      <formula>0</formula>
    </cfRule>
  </conditionalFormatting>
  <conditionalFormatting sqref="C25">
    <cfRule type="cellIs" dxfId="3" priority="2" stopIfTrue="1" operator="lessThanOrEqual">
      <formula>0</formula>
    </cfRule>
  </conditionalFormatting>
  <conditionalFormatting sqref="C2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2021-02-10T09:18:36Z</dcterms:modified>
</cp:coreProperties>
</file>