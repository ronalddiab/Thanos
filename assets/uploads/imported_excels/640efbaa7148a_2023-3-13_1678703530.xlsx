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5"/>
  <workbookPr filterPrivacy="1" defaultThemeVersion="124226"/>
  <xr:revisionPtr revIDLastSave="0" documentId="13_ncr:1_{D66CB989-5C36-4189-BD2A-3585D69F11C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Reading'!$A$1:$R$31</definedName>
  </definedNames>
  <calcPr calcId="191029" calcOnSave="0" concurrentCalc="0"/>
</workbook>
</file>

<file path=xl/calcChain.xml><?xml version="1.0" encoding="utf-8"?>
<calcChain xmlns="http://schemas.openxmlformats.org/spreadsheetml/2006/main">
  <c r="L8" i="2" l="1"/>
  <c r="G9" i="4"/>
  <c r="AA14" i="8"/>
  <c r="U14" i="8"/>
  <c r="W14" i="8"/>
  <c r="M14" i="8"/>
  <c r="I13" i="8"/>
  <c r="U7" i="8"/>
  <c r="U8" i="8"/>
  <c r="U9" i="8"/>
  <c r="U10" i="8"/>
  <c r="U11" i="8"/>
  <c r="U12" i="8"/>
  <c r="U13" i="8"/>
  <c r="U6" i="8"/>
  <c r="U5" i="8"/>
  <c r="E9" i="8"/>
  <c r="V9" i="8"/>
  <c r="E10" i="8"/>
  <c r="V10" i="8"/>
  <c r="E11" i="8"/>
  <c r="V11" i="8"/>
  <c r="E12" i="8"/>
  <c r="V12" i="8"/>
  <c r="E13" i="8"/>
  <c r="V13" i="8"/>
  <c r="E14" i="8"/>
  <c r="V14" i="8"/>
  <c r="U15" i="8"/>
  <c r="E15" i="8"/>
  <c r="V15" i="8"/>
  <c r="U16" i="8"/>
  <c r="E16" i="8"/>
  <c r="V16" i="8"/>
  <c r="U17" i="8"/>
  <c r="E17" i="8"/>
  <c r="V17" i="8"/>
  <c r="U18" i="8"/>
  <c r="E18" i="8"/>
  <c r="V18" i="8"/>
  <c r="U19" i="8"/>
  <c r="E19" i="8"/>
  <c r="V19" i="8"/>
  <c r="U20" i="8"/>
  <c r="E20" i="8"/>
  <c r="V20" i="8"/>
  <c r="U21" i="8"/>
  <c r="E21" i="8"/>
  <c r="V21" i="8"/>
  <c r="U22" i="8"/>
  <c r="E22" i="8"/>
  <c r="V22" i="8"/>
  <c r="U23" i="8"/>
  <c r="E23" i="8"/>
  <c r="V23" i="8"/>
  <c r="U24" i="8"/>
  <c r="E24" i="8"/>
  <c r="V24" i="8"/>
  <c r="U25" i="8"/>
  <c r="E25" i="8"/>
  <c r="V25" i="8"/>
  <c r="U26" i="8"/>
  <c r="E26" i="8"/>
  <c r="V26" i="8"/>
  <c r="U27" i="8"/>
  <c r="E27" i="8"/>
  <c r="V27" i="8"/>
  <c r="U28" i="8"/>
  <c r="E28" i="8"/>
  <c r="V28" i="8"/>
  <c r="U29" i="8"/>
  <c r="E29" i="8"/>
  <c r="V29" i="8"/>
  <c r="U30" i="8"/>
  <c r="E30" i="8"/>
  <c r="V30" i="8"/>
  <c r="U31" i="8"/>
  <c r="E31" i="8"/>
  <c r="V31" i="8"/>
  <c r="E7" i="8"/>
  <c r="V7" i="8"/>
  <c r="E8" i="8"/>
  <c r="V8" i="8"/>
  <c r="E5" i="8"/>
  <c r="V5" i="8"/>
  <c r="E6" i="8"/>
  <c r="V6" i="8"/>
  <c r="U4" i="8"/>
  <c r="E4" i="8"/>
  <c r="V4" i="8"/>
  <c r="I10" i="8"/>
  <c r="K10" i="8"/>
  <c r="M10" i="8"/>
  <c r="O10" i="8"/>
  <c r="G10" i="8"/>
  <c r="Q10" i="8"/>
  <c r="S10" i="8"/>
  <c r="W10" i="8"/>
  <c r="Y10" i="8"/>
  <c r="AA10" i="8"/>
  <c r="C10" i="8"/>
  <c r="F10" i="8"/>
  <c r="B7" i="8"/>
  <c r="AC7" i="8"/>
  <c r="I7" i="8"/>
  <c r="K7" i="8"/>
  <c r="M7" i="8"/>
  <c r="O7" i="8"/>
  <c r="G7" i="8"/>
  <c r="Q7" i="8"/>
  <c r="S7" i="8"/>
  <c r="W7" i="8"/>
  <c r="Y7" i="8"/>
  <c r="AA7" i="8"/>
  <c r="C7" i="8"/>
  <c r="H7" i="8"/>
  <c r="I5" i="2"/>
  <c r="J5" i="2"/>
  <c r="K5" i="2"/>
  <c r="H5" i="2"/>
  <c r="V5" i="2"/>
  <c r="U5" i="2"/>
  <c r="T5" i="2"/>
  <c r="S5" i="2"/>
  <c r="R5" i="2"/>
  <c r="Q5" i="2"/>
  <c r="P5" i="2"/>
  <c r="O5" i="2"/>
  <c r="N5" i="2"/>
  <c r="M5" i="2"/>
  <c r="L5" i="2"/>
  <c r="J6" i="2"/>
  <c r="E5" i="2"/>
  <c r="C6" i="4"/>
  <c r="F5" i="2"/>
  <c r="D6" i="4"/>
  <c r="G5" i="2"/>
  <c r="E6" i="4"/>
  <c r="AC18" i="8"/>
  <c r="AC19" i="8"/>
  <c r="AC20" i="8"/>
  <c r="L3" i="2"/>
  <c r="G4" i="4"/>
  <c r="L4" i="2"/>
  <c r="G5" i="4"/>
  <c r="G6" i="4"/>
  <c r="L6" i="2"/>
  <c r="G7" i="4"/>
  <c r="L7" i="2"/>
  <c r="G8" i="4"/>
  <c r="L9" i="2"/>
  <c r="G10" i="4"/>
  <c r="L10" i="2"/>
  <c r="G11" i="4"/>
  <c r="L11" i="2"/>
  <c r="G12" i="4"/>
  <c r="L12" i="2"/>
  <c r="G13" i="4"/>
  <c r="L13" i="2"/>
  <c r="G14" i="4"/>
  <c r="L14" i="2"/>
  <c r="G15" i="4"/>
  <c r="L15" i="2"/>
  <c r="G16" i="4"/>
  <c r="L16" i="2"/>
  <c r="G17" i="4"/>
  <c r="L17" i="2"/>
  <c r="G18" i="4"/>
  <c r="L18" i="2"/>
  <c r="G19" i="4"/>
  <c r="L19" i="2"/>
  <c r="G20" i="4"/>
  <c r="L20" i="2"/>
  <c r="G21" i="4"/>
  <c r="L21" i="2"/>
  <c r="G22" i="4"/>
  <c r="L22" i="2"/>
  <c r="G23" i="4"/>
  <c r="L23" i="2"/>
  <c r="G24" i="4"/>
  <c r="L24" i="2"/>
  <c r="G25" i="4"/>
  <c r="L25" i="2"/>
  <c r="G26" i="4"/>
  <c r="L26" i="2"/>
  <c r="G27" i="4"/>
  <c r="L27" i="2"/>
  <c r="G28" i="4"/>
  <c r="L28" i="2"/>
  <c r="G29" i="4"/>
  <c r="L29" i="2"/>
  <c r="G30" i="4"/>
  <c r="L30" i="2"/>
  <c r="L31" i="2"/>
  <c r="L32" i="2"/>
  <c r="L2" i="2"/>
  <c r="G3" i="4"/>
  <c r="AC5" i="8"/>
  <c r="AC6" i="8"/>
  <c r="AC8" i="8"/>
  <c r="AC9" i="8"/>
  <c r="AC10" i="8"/>
  <c r="AC11" i="8"/>
  <c r="AC12" i="8"/>
  <c r="AC13" i="8"/>
  <c r="AC14" i="8"/>
  <c r="AC15" i="8"/>
  <c r="AC16" i="8"/>
  <c r="AC17" i="8"/>
  <c r="AC21" i="8"/>
  <c r="AC22" i="8"/>
  <c r="AC23" i="8"/>
  <c r="AC24" i="8"/>
  <c r="AC25" i="8"/>
  <c r="AC26" i="8"/>
  <c r="AC27" i="8"/>
  <c r="AC28" i="8"/>
  <c r="AC29" i="8"/>
  <c r="AC30" i="8"/>
  <c r="AC31" i="8"/>
  <c r="AC4" i="8"/>
  <c r="AC32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E32" i="2"/>
  <c r="F32" i="2"/>
  <c r="G32" i="2"/>
  <c r="I32" i="2"/>
  <c r="J32" i="2"/>
  <c r="K32" i="2"/>
  <c r="M32" i="2"/>
  <c r="N32" i="2"/>
  <c r="O32" i="2"/>
  <c r="P32" i="2"/>
  <c r="Q32" i="2"/>
  <c r="R32" i="2"/>
  <c r="S32" i="2"/>
  <c r="T32" i="2"/>
  <c r="U32" i="2"/>
  <c r="V32" i="2"/>
  <c r="W32" i="2"/>
  <c r="H32" i="2"/>
  <c r="I2" i="2"/>
  <c r="O33" i="6"/>
  <c r="N33" i="6"/>
  <c r="M33" i="6"/>
  <c r="G33" i="6"/>
  <c r="I33" i="6"/>
  <c r="E33" i="6"/>
  <c r="B10" i="8"/>
  <c r="AD10" i="8"/>
  <c r="G11" i="8"/>
  <c r="C11" i="8"/>
  <c r="AD11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E20" i="2"/>
  <c r="C21" i="4"/>
  <c r="K33" i="6"/>
  <c r="B18" i="8"/>
  <c r="B4" i="8"/>
  <c r="B5" i="8"/>
  <c r="B6" i="8"/>
  <c r="B8" i="8"/>
  <c r="B9" i="8"/>
  <c r="B11" i="8"/>
  <c r="B12" i="8"/>
  <c r="B13" i="8"/>
  <c r="B14" i="8"/>
  <c r="B15" i="8"/>
  <c r="B16" i="8"/>
  <c r="C16" i="8"/>
  <c r="AD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N17" i="2"/>
  <c r="N18" i="2"/>
  <c r="N19" i="2"/>
  <c r="N20" i="2"/>
  <c r="N21" i="2"/>
  <c r="C18" i="8"/>
  <c r="AD18" i="8"/>
  <c r="C19" i="8"/>
  <c r="AD19" i="8"/>
  <c r="C20" i="8"/>
  <c r="AD20" i="8"/>
  <c r="C21" i="8"/>
  <c r="AD21" i="8"/>
  <c r="C22" i="8"/>
  <c r="AD22" i="8"/>
  <c r="F11" i="2"/>
  <c r="F12" i="2"/>
  <c r="D13" i="4"/>
  <c r="F13" i="2"/>
  <c r="D14" i="4"/>
  <c r="F14" i="2"/>
  <c r="D15" i="4"/>
  <c r="F15" i="2"/>
  <c r="D16" i="4"/>
  <c r="S5" i="8"/>
  <c r="S6" i="8"/>
  <c r="S8" i="8"/>
  <c r="S9" i="8"/>
  <c r="Y29" i="8"/>
  <c r="Y30" i="8"/>
  <c r="Y31" i="8"/>
  <c r="W29" i="8"/>
  <c r="W30" i="8"/>
  <c r="W31" i="8"/>
  <c r="C31" i="8"/>
  <c r="AD31" i="8"/>
  <c r="S30" i="8"/>
  <c r="S31" i="8"/>
  <c r="Q30" i="8"/>
  <c r="Q31" i="8"/>
  <c r="O31" i="8"/>
  <c r="M31" i="8"/>
  <c r="G31" i="8"/>
  <c r="K31" i="8"/>
  <c r="I31" i="8"/>
  <c r="U28" i="2"/>
  <c r="V28" i="2"/>
  <c r="A23" i="4"/>
  <c r="A24" i="4"/>
  <c r="A25" i="4"/>
  <c r="A26" i="4"/>
  <c r="A27" i="4"/>
  <c r="A28" i="4"/>
  <c r="A29" i="4"/>
  <c r="A30" i="4"/>
  <c r="W28" i="2"/>
  <c r="K29" i="4"/>
  <c r="W29" i="2"/>
  <c r="K30" i="4"/>
  <c r="W30" i="2"/>
  <c r="W31" i="2"/>
  <c r="V29" i="2"/>
  <c r="V30" i="2"/>
  <c r="V31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Q30" i="2"/>
  <c r="Q31" i="2"/>
  <c r="P28" i="2"/>
  <c r="P29" i="2"/>
  <c r="O29" i="2"/>
  <c r="B30" i="3"/>
  <c r="H30" i="3"/>
  <c r="P30" i="2"/>
  <c r="P31" i="2"/>
  <c r="O28" i="2"/>
  <c r="O30" i="2"/>
  <c r="O31" i="2"/>
  <c r="N28" i="2"/>
  <c r="N29" i="2"/>
  <c r="M29" i="2"/>
  <c r="N30" i="2"/>
  <c r="N31" i="2"/>
  <c r="M31" i="2"/>
  <c r="M28" i="2"/>
  <c r="M30" i="2"/>
  <c r="K29" i="2"/>
  <c r="K30" i="2"/>
  <c r="K31" i="2"/>
  <c r="J29" i="2"/>
  <c r="I29" i="2"/>
  <c r="J30" i="2"/>
  <c r="J31" i="2"/>
  <c r="I30" i="2"/>
  <c r="I31" i="2"/>
  <c r="G29" i="2"/>
  <c r="E30" i="4"/>
  <c r="G30" i="2"/>
  <c r="E30" i="2"/>
  <c r="F30" i="2"/>
  <c r="G31" i="2"/>
  <c r="F29" i="2"/>
  <c r="D30" i="4"/>
  <c r="F31" i="2"/>
  <c r="E29" i="2"/>
  <c r="C30" i="4"/>
  <c r="E31" i="2"/>
  <c r="E26" i="2"/>
  <c r="C27" i="4"/>
  <c r="E27" i="2"/>
  <c r="C28" i="4"/>
  <c r="E28" i="2"/>
  <c r="C29" i="4"/>
  <c r="U34" i="1"/>
  <c r="V34" i="1"/>
  <c r="W34" i="1"/>
  <c r="N22" i="2"/>
  <c r="N23" i="2"/>
  <c r="N24" i="2"/>
  <c r="N25" i="2"/>
  <c r="N26" i="2"/>
  <c r="N27" i="2"/>
  <c r="J23" i="2"/>
  <c r="J24" i="2"/>
  <c r="G20" i="8"/>
  <c r="K21" i="8"/>
  <c r="I21" i="8"/>
  <c r="M21" i="8"/>
  <c r="O21" i="8"/>
  <c r="G21" i="8"/>
  <c r="Q21" i="8"/>
  <c r="S21" i="8"/>
  <c r="W21" i="8"/>
  <c r="Y21" i="8"/>
  <c r="P3" i="2"/>
  <c r="P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" i="2"/>
  <c r="Q3" i="2"/>
  <c r="Q4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C13" i="8"/>
  <c r="AD13" i="8"/>
  <c r="M19" i="8"/>
  <c r="M20" i="8"/>
  <c r="B33" i="4"/>
  <c r="R3" i="2"/>
  <c r="R4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K14" i="8"/>
  <c r="C14" i="8"/>
  <c r="AD14" i="8"/>
  <c r="G24" i="8"/>
  <c r="G25" i="8"/>
  <c r="C25" i="8"/>
  <c r="AD25" i="8"/>
  <c r="G19" i="8"/>
  <c r="G22" i="8"/>
  <c r="G5" i="8"/>
  <c r="S4" i="8"/>
  <c r="Q5" i="8"/>
  <c r="Q6" i="8"/>
  <c r="Q8" i="8"/>
  <c r="Q9" i="8"/>
  <c r="Q11" i="8"/>
  <c r="Q12" i="8"/>
  <c r="Q13" i="8"/>
  <c r="Q14" i="8"/>
  <c r="Q15" i="8"/>
  <c r="Q16" i="8"/>
  <c r="Q17" i="8"/>
  <c r="Q18" i="8"/>
  <c r="Q19" i="8"/>
  <c r="Q20" i="8"/>
  <c r="Q22" i="8"/>
  <c r="Q23" i="8"/>
  <c r="Q24" i="8"/>
  <c r="Q25" i="8"/>
  <c r="Q26" i="8"/>
  <c r="Q27" i="8"/>
  <c r="Q28" i="8"/>
  <c r="Q29" i="8"/>
  <c r="Q4" i="8"/>
  <c r="C4" i="8"/>
  <c r="AD4" i="8"/>
  <c r="S11" i="8"/>
  <c r="S12" i="8"/>
  <c r="S13" i="8"/>
  <c r="S14" i="8"/>
  <c r="S15" i="8"/>
  <c r="S16" i="8"/>
  <c r="S17" i="8"/>
  <c r="S18" i="8"/>
  <c r="S19" i="8"/>
  <c r="S20" i="8"/>
  <c r="S22" i="8"/>
  <c r="S23" i="8"/>
  <c r="S24" i="8"/>
  <c r="S25" i="8"/>
  <c r="S26" i="8"/>
  <c r="S27" i="8"/>
  <c r="S28" i="8"/>
  <c r="C28" i="8"/>
  <c r="AD28" i="8"/>
  <c r="S29" i="8"/>
  <c r="W5" i="8"/>
  <c r="W6" i="8"/>
  <c r="AD7" i="8"/>
  <c r="W8" i="8"/>
  <c r="W9" i="8"/>
  <c r="W11" i="8"/>
  <c r="W12" i="8"/>
  <c r="W13" i="8"/>
  <c r="W15" i="8"/>
  <c r="W16" i="8"/>
  <c r="W17" i="8"/>
  <c r="W18" i="8"/>
  <c r="W19" i="8"/>
  <c r="W20" i="8"/>
  <c r="W22" i="8"/>
  <c r="W23" i="8"/>
  <c r="W24" i="8"/>
  <c r="W25" i="8"/>
  <c r="W26" i="8"/>
  <c r="W27" i="8"/>
  <c r="W28" i="8"/>
  <c r="W4" i="8"/>
  <c r="G6" i="8"/>
  <c r="G8" i="8"/>
  <c r="G9" i="8"/>
  <c r="G12" i="8"/>
  <c r="G13" i="8"/>
  <c r="G14" i="8"/>
  <c r="G15" i="8"/>
  <c r="G16" i="8"/>
  <c r="G17" i="8"/>
  <c r="G18" i="8"/>
  <c r="G23" i="8"/>
  <c r="G26" i="8"/>
  <c r="G27" i="8"/>
  <c r="C27" i="8"/>
  <c r="AD27" i="8"/>
  <c r="G28" i="8"/>
  <c r="G29" i="8"/>
  <c r="G30" i="8"/>
  <c r="C30" i="8"/>
  <c r="AD30" i="8"/>
  <c r="Y6" i="8"/>
  <c r="Y8" i="8"/>
  <c r="Y9" i="8"/>
  <c r="Y11" i="8"/>
  <c r="Y12" i="8"/>
  <c r="Y13" i="8"/>
  <c r="Y14" i="8"/>
  <c r="Y15" i="8"/>
  <c r="Y16" i="8"/>
  <c r="Y17" i="8"/>
  <c r="Y18" i="8"/>
  <c r="Y19" i="8"/>
  <c r="Y20" i="8"/>
  <c r="Y22" i="8"/>
  <c r="Y23" i="8"/>
  <c r="Y24" i="8"/>
  <c r="Y25" i="8"/>
  <c r="Y26" i="8"/>
  <c r="Y27" i="8"/>
  <c r="Y28" i="8"/>
  <c r="Y5" i="8"/>
  <c r="Y4" i="8"/>
  <c r="S22" i="2"/>
  <c r="S23" i="2"/>
  <c r="O14" i="2"/>
  <c r="N14" i="2"/>
  <c r="S14" i="2"/>
  <c r="T14" i="2"/>
  <c r="U14" i="2"/>
  <c r="V14" i="2"/>
  <c r="W14" i="2"/>
  <c r="K15" i="4"/>
  <c r="B9" i="4"/>
  <c r="B10" i="4"/>
  <c r="B11" i="4"/>
  <c r="B12" i="4"/>
  <c r="O5" i="8"/>
  <c r="O6" i="8"/>
  <c r="O8" i="8"/>
  <c r="O9" i="8"/>
  <c r="O11" i="8"/>
  <c r="O12" i="8"/>
  <c r="O13" i="8"/>
  <c r="O14" i="8"/>
  <c r="O15" i="8"/>
  <c r="O16" i="8"/>
  <c r="O17" i="8"/>
  <c r="O18" i="8"/>
  <c r="O19" i="8"/>
  <c r="O20" i="8"/>
  <c r="O22" i="8"/>
  <c r="O23" i="8"/>
  <c r="C23" i="8"/>
  <c r="AD23" i="8"/>
  <c r="O24" i="8"/>
  <c r="O25" i="8"/>
  <c r="O26" i="8"/>
  <c r="O27" i="8"/>
  <c r="O28" i="8"/>
  <c r="O29" i="8"/>
  <c r="O30" i="8"/>
  <c r="O4" i="8"/>
  <c r="M5" i="8"/>
  <c r="M6" i="8"/>
  <c r="M8" i="8"/>
  <c r="C8" i="8"/>
  <c r="AD8" i="8"/>
  <c r="M9" i="8"/>
  <c r="M11" i="8"/>
  <c r="M12" i="8"/>
  <c r="M13" i="8"/>
  <c r="M15" i="8"/>
  <c r="M16" i="8"/>
  <c r="M17" i="8"/>
  <c r="M18" i="8"/>
  <c r="M22" i="8"/>
  <c r="M23" i="8"/>
  <c r="M24" i="8"/>
  <c r="M25" i="8"/>
  <c r="M26" i="8"/>
  <c r="C26" i="8"/>
  <c r="AD26" i="8"/>
  <c r="M27" i="8"/>
  <c r="M28" i="8"/>
  <c r="M29" i="8"/>
  <c r="M30" i="8"/>
  <c r="M4" i="8"/>
  <c r="K5" i="8"/>
  <c r="K6" i="8"/>
  <c r="K8" i="8"/>
  <c r="K9" i="8"/>
  <c r="K11" i="8"/>
  <c r="K12" i="8"/>
  <c r="K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8" i="8"/>
  <c r="I9" i="8"/>
  <c r="I11" i="8"/>
  <c r="I12" i="8"/>
  <c r="I14" i="8"/>
  <c r="I15" i="8"/>
  <c r="I16" i="8"/>
  <c r="I17" i="8"/>
  <c r="I18" i="8"/>
  <c r="I19" i="8"/>
  <c r="I20" i="8"/>
  <c r="I22" i="8"/>
  <c r="I23" i="8"/>
  <c r="I24" i="8"/>
  <c r="C24" i="8"/>
  <c r="AD24" i="8"/>
  <c r="I25" i="8"/>
  <c r="I26" i="8"/>
  <c r="I27" i="8"/>
  <c r="I28" i="8"/>
  <c r="I29" i="8"/>
  <c r="I30" i="8"/>
  <c r="I4" i="8"/>
  <c r="G4" i="8"/>
  <c r="C9" i="8"/>
  <c r="AD9" i="8"/>
  <c r="C5" i="8"/>
  <c r="AD5" i="8"/>
  <c r="C6" i="8"/>
  <c r="AD6" i="8"/>
  <c r="C12" i="8"/>
  <c r="AD12" i="8"/>
  <c r="C15" i="8"/>
  <c r="AD15" i="8"/>
  <c r="C17" i="8"/>
  <c r="AD17" i="8"/>
  <c r="C29" i="8"/>
  <c r="AD29" i="8"/>
  <c r="E25" i="2"/>
  <c r="C26" i="4"/>
  <c r="V26" i="2"/>
  <c r="N3" i="2"/>
  <c r="N4" i="2"/>
  <c r="N6" i="2"/>
  <c r="N7" i="2"/>
  <c r="N8" i="2"/>
  <c r="N9" i="2"/>
  <c r="N10" i="2"/>
  <c r="N11" i="2"/>
  <c r="N12" i="2"/>
  <c r="N13" i="2"/>
  <c r="N15" i="2"/>
  <c r="N16" i="2"/>
  <c r="N2" i="2"/>
  <c r="O12" i="2"/>
  <c r="J22" i="2"/>
  <c r="W21" i="2"/>
  <c r="K22" i="4"/>
  <c r="V21" i="2"/>
  <c r="U21" i="2"/>
  <c r="T21" i="2"/>
  <c r="S21" i="2"/>
  <c r="O21" i="2"/>
  <c r="M21" i="2"/>
  <c r="K21" i="2"/>
  <c r="J21" i="2"/>
  <c r="I21" i="2"/>
  <c r="G21" i="2"/>
  <c r="E22" i="4"/>
  <c r="F21" i="2"/>
  <c r="D22" i="4"/>
  <c r="E21" i="2"/>
  <c r="C22" i="4"/>
  <c r="K6" i="2"/>
  <c r="K7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W6" i="2"/>
  <c r="K7" i="4"/>
  <c r="W7" i="2"/>
  <c r="K8" i="4"/>
  <c r="V6" i="2"/>
  <c r="V7" i="2"/>
  <c r="U6" i="2"/>
  <c r="U7" i="2"/>
  <c r="T6" i="2"/>
  <c r="T7" i="2"/>
  <c r="S6" i="2"/>
  <c r="S7" i="2"/>
  <c r="O6" i="2"/>
  <c r="O7" i="2"/>
  <c r="M6" i="2"/>
  <c r="M7" i="2"/>
  <c r="E15" i="2"/>
  <c r="C16" i="4"/>
  <c r="E16" i="2"/>
  <c r="C17" i="4"/>
  <c r="E17" i="2"/>
  <c r="C18" i="4"/>
  <c r="U25" i="2"/>
  <c r="B20" i="4"/>
  <c r="B3" i="4"/>
  <c r="K19" i="2"/>
  <c r="E19" i="2"/>
  <c r="C20" i="4"/>
  <c r="E22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F3" i="2"/>
  <c r="D4" i="4"/>
  <c r="F4" i="2"/>
  <c r="D5" i="4"/>
  <c r="F8" i="2"/>
  <c r="D9" i="4"/>
  <c r="F9" i="2"/>
  <c r="F10" i="2"/>
  <c r="D11" i="4"/>
  <c r="F16" i="2"/>
  <c r="D17" i="4"/>
  <c r="F17" i="2"/>
  <c r="D18" i="4"/>
  <c r="F18" i="2"/>
  <c r="D19" i="4"/>
  <c r="F19" i="2"/>
  <c r="D20" i="4"/>
  <c r="F20" i="2"/>
  <c r="D21" i="4"/>
  <c r="F22" i="2"/>
  <c r="D23" i="4"/>
  <c r="F23" i="2"/>
  <c r="D24" i="4"/>
  <c r="F24" i="2"/>
  <c r="F25" i="2"/>
  <c r="D26" i="4"/>
  <c r="F26" i="2"/>
  <c r="D27" i="4"/>
  <c r="F27" i="2"/>
  <c r="D28" i="4"/>
  <c r="F28" i="2"/>
  <c r="D29" i="4"/>
  <c r="D3" i="4"/>
  <c r="B4" i="3"/>
  <c r="H4" i="3"/>
  <c r="B5" i="3"/>
  <c r="B6" i="3"/>
  <c r="B7" i="3"/>
  <c r="H7" i="3"/>
  <c r="B8" i="3"/>
  <c r="H8" i="3"/>
  <c r="B9" i="3"/>
  <c r="H9" i="3"/>
  <c r="B10" i="3"/>
  <c r="H10" i="3"/>
  <c r="B11" i="3"/>
  <c r="H11" i="3"/>
  <c r="B12" i="3"/>
  <c r="H12" i="3"/>
  <c r="B13" i="3"/>
  <c r="H13" i="3"/>
  <c r="B14" i="3"/>
  <c r="H14" i="3"/>
  <c r="B15" i="3"/>
  <c r="H15" i="3"/>
  <c r="B16" i="3"/>
  <c r="B17" i="3"/>
  <c r="H17" i="3"/>
  <c r="B18" i="3"/>
  <c r="H18" i="3"/>
  <c r="B19" i="3"/>
  <c r="H19" i="3"/>
  <c r="B20" i="3"/>
  <c r="H20" i="3"/>
  <c r="W19" i="2"/>
  <c r="K20" i="4"/>
  <c r="B21" i="3"/>
  <c r="H21" i="3"/>
  <c r="B22" i="3"/>
  <c r="H22" i="3"/>
  <c r="B23" i="3"/>
  <c r="B24" i="3"/>
  <c r="H24" i="3"/>
  <c r="B25" i="3"/>
  <c r="H25" i="3"/>
  <c r="B26" i="3"/>
  <c r="H26" i="3"/>
  <c r="B27" i="3"/>
  <c r="H27" i="3"/>
  <c r="B28" i="3"/>
  <c r="H28" i="3"/>
  <c r="B29" i="3"/>
  <c r="B3" i="3"/>
  <c r="H3" i="3"/>
  <c r="S16" i="2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W3" i="2"/>
  <c r="K4" i="4"/>
  <c r="A30" i="3"/>
  <c r="E3" i="2"/>
  <c r="C4" i="4"/>
  <c r="V18" i="2"/>
  <c r="W5" i="2"/>
  <c r="K13" i="2"/>
  <c r="J9" i="2"/>
  <c r="I9" i="2"/>
  <c r="E9" i="2"/>
  <c r="C10" i="4"/>
  <c r="W8" i="2"/>
  <c r="K9" i="4"/>
  <c r="V8" i="2"/>
  <c r="U8" i="2"/>
  <c r="T8" i="2"/>
  <c r="S8" i="2"/>
  <c r="O8" i="2"/>
  <c r="M8" i="2"/>
  <c r="K8" i="2"/>
  <c r="J8" i="2"/>
  <c r="I8" i="2"/>
  <c r="G8" i="2"/>
  <c r="E9" i="4"/>
  <c r="E8" i="2"/>
  <c r="C9" i="4"/>
  <c r="I18" i="2"/>
  <c r="I17" i="2"/>
  <c r="S3" i="2"/>
  <c r="S4" i="2"/>
  <c r="S9" i="2"/>
  <c r="S10" i="2"/>
  <c r="S11" i="2"/>
  <c r="S12" i="2"/>
  <c r="S13" i="2"/>
  <c r="S15" i="2"/>
  <c r="S17" i="2"/>
  <c r="S18" i="2"/>
  <c r="S19" i="2"/>
  <c r="S20" i="2"/>
  <c r="S24" i="2"/>
  <c r="S25" i="2"/>
  <c r="S26" i="2"/>
  <c r="S27" i="2"/>
  <c r="S2" i="2"/>
  <c r="E4" i="2"/>
  <c r="C5" i="4"/>
  <c r="E10" i="2"/>
  <c r="C11" i="4"/>
  <c r="E11" i="2"/>
  <c r="E12" i="2"/>
  <c r="C13" i="4"/>
  <c r="E13" i="2"/>
  <c r="E14" i="2"/>
  <c r="C15" i="4"/>
  <c r="E18" i="2"/>
  <c r="C19" i="4"/>
  <c r="E23" i="2"/>
  <c r="E24" i="2"/>
  <c r="C25" i="4"/>
  <c r="W4" i="2"/>
  <c r="K5" i="4"/>
  <c r="W9" i="2"/>
  <c r="K10" i="4"/>
  <c r="W10" i="2"/>
  <c r="K11" i="4"/>
  <c r="W11" i="2"/>
  <c r="K12" i="4"/>
  <c r="W12" i="2"/>
  <c r="K13" i="4"/>
  <c r="W13" i="2"/>
  <c r="W15" i="2"/>
  <c r="K16" i="4"/>
  <c r="W16" i="2"/>
  <c r="K17" i="4"/>
  <c r="W17" i="2"/>
  <c r="K18" i="4"/>
  <c r="W18" i="2"/>
  <c r="W20" i="2"/>
  <c r="K21" i="4"/>
  <c r="W22" i="2"/>
  <c r="W23" i="2"/>
  <c r="K24" i="4"/>
  <c r="W24" i="2"/>
  <c r="W25" i="2"/>
  <c r="K26" i="4"/>
  <c r="W26" i="2"/>
  <c r="K27" i="4"/>
  <c r="W27" i="2"/>
  <c r="K28" i="4"/>
  <c r="W2" i="2"/>
  <c r="K3" i="4"/>
  <c r="O3" i="2"/>
  <c r="O4" i="2"/>
  <c r="O9" i="2"/>
  <c r="O10" i="2"/>
  <c r="O11" i="2"/>
  <c r="O13" i="2"/>
  <c r="O15" i="2"/>
  <c r="O16" i="2"/>
  <c r="O17" i="2"/>
  <c r="O18" i="2"/>
  <c r="O19" i="2"/>
  <c r="O20" i="2"/>
  <c r="O22" i="2"/>
  <c r="O23" i="2"/>
  <c r="O24" i="2"/>
  <c r="O25" i="2"/>
  <c r="O26" i="2"/>
  <c r="O27" i="2"/>
  <c r="O2" i="2"/>
  <c r="I3" i="2"/>
  <c r="J3" i="2"/>
  <c r="K3" i="2"/>
  <c r="I4" i="2"/>
  <c r="J4" i="2"/>
  <c r="K4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G3" i="2"/>
  <c r="E4" i="4"/>
  <c r="G4" i="2"/>
  <c r="G9" i="2"/>
  <c r="G10" i="2"/>
  <c r="E11" i="4"/>
  <c r="G11" i="2"/>
  <c r="F12" i="3"/>
  <c r="G12" i="2"/>
  <c r="E13" i="4"/>
  <c r="G13" i="2"/>
  <c r="E14" i="4"/>
  <c r="G14" i="2"/>
  <c r="E15" i="4"/>
  <c r="G15" i="2"/>
  <c r="E16" i="4"/>
  <c r="G16" i="2"/>
  <c r="E17" i="4"/>
  <c r="G17" i="2"/>
  <c r="E18" i="4"/>
  <c r="G18" i="2"/>
  <c r="E19" i="4"/>
  <c r="G19" i="2"/>
  <c r="E20" i="4"/>
  <c r="G20" i="2"/>
  <c r="G22" i="2"/>
  <c r="G23" i="2"/>
  <c r="E24" i="4"/>
  <c r="G24" i="2"/>
  <c r="E25" i="4"/>
  <c r="G25" i="2"/>
  <c r="E26" i="4"/>
  <c r="G26" i="2"/>
  <c r="E27" i="4"/>
  <c r="G27" i="2"/>
  <c r="E28" i="4"/>
  <c r="G28" i="2"/>
  <c r="E29" i="4"/>
  <c r="E3" i="4"/>
  <c r="C3" i="4"/>
  <c r="M3" i="2"/>
  <c r="M4" i="2"/>
  <c r="M9" i="2"/>
  <c r="M10" i="2"/>
  <c r="M11" i="2"/>
  <c r="M12" i="2"/>
  <c r="M13" i="2"/>
  <c r="M14" i="2"/>
  <c r="M15" i="2"/>
  <c r="M16" i="2"/>
  <c r="M17" i="2"/>
  <c r="M18" i="2"/>
  <c r="M19" i="2"/>
  <c r="M20" i="2"/>
  <c r="M22" i="2"/>
  <c r="M23" i="2"/>
  <c r="M24" i="2"/>
  <c r="M25" i="2"/>
  <c r="M26" i="2"/>
  <c r="M27" i="2"/>
  <c r="M2" i="2"/>
  <c r="T10" i="2"/>
  <c r="T11" i="2"/>
  <c r="T12" i="2"/>
  <c r="T13" i="2"/>
  <c r="T15" i="2"/>
  <c r="T16" i="2"/>
  <c r="T17" i="2"/>
  <c r="T18" i="2"/>
  <c r="T19" i="2"/>
  <c r="T20" i="2"/>
  <c r="T22" i="2"/>
  <c r="T23" i="2"/>
  <c r="T24" i="2"/>
  <c r="T25" i="2"/>
  <c r="T26" i="2"/>
  <c r="T27" i="2"/>
  <c r="T3" i="2"/>
  <c r="T4" i="2"/>
  <c r="T9" i="2"/>
  <c r="T2" i="2"/>
  <c r="A29" i="3"/>
  <c r="V3" i="2"/>
  <c r="V4" i="2"/>
  <c r="V9" i="2"/>
  <c r="V10" i="2"/>
  <c r="V11" i="2"/>
  <c r="V12" i="2"/>
  <c r="V13" i="2"/>
  <c r="V15" i="2"/>
  <c r="V16" i="2"/>
  <c r="V17" i="2"/>
  <c r="V19" i="2"/>
  <c r="V20" i="2"/>
  <c r="V22" i="2"/>
  <c r="V23" i="2"/>
  <c r="V24" i="2"/>
  <c r="V25" i="2"/>
  <c r="V27" i="2"/>
  <c r="V2" i="2"/>
  <c r="U3" i="2"/>
  <c r="U4" i="2"/>
  <c r="U9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6" i="2"/>
  <c r="U27" i="2"/>
  <c r="U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M12" i="3"/>
  <c r="M4" i="3"/>
  <c r="M22" i="3"/>
  <c r="H20" i="4"/>
  <c r="H29" i="4"/>
  <c r="L19" i="3"/>
  <c r="M25" i="3"/>
  <c r="M19" i="3"/>
  <c r="I27" i="4"/>
  <c r="N25" i="8"/>
  <c r="H19" i="4"/>
  <c r="L18" i="3"/>
  <c r="M17" i="3"/>
  <c r="M11" i="3"/>
  <c r="M3" i="3"/>
  <c r="M31" i="3"/>
  <c r="E3" i="3"/>
  <c r="F3" i="3"/>
  <c r="D3" i="3"/>
  <c r="F10" i="3"/>
  <c r="M6" i="3"/>
  <c r="H6" i="3"/>
  <c r="M5" i="3"/>
  <c r="H5" i="3"/>
  <c r="M23" i="3"/>
  <c r="H23" i="3"/>
  <c r="M10" i="3"/>
  <c r="M16" i="3"/>
  <c r="H16" i="3"/>
  <c r="M29" i="3"/>
  <c r="H29" i="3"/>
  <c r="E21" i="3"/>
  <c r="H11" i="4"/>
  <c r="D17" i="3"/>
  <c r="E14" i="3"/>
  <c r="H30" i="2"/>
  <c r="Z25" i="8"/>
  <c r="L12" i="3"/>
  <c r="X11" i="8"/>
  <c r="D11" i="3"/>
  <c r="M21" i="3"/>
  <c r="E13" i="3"/>
  <c r="M28" i="3"/>
  <c r="L22" i="3"/>
  <c r="L29" i="3"/>
  <c r="I28" i="3"/>
  <c r="M30" i="3"/>
  <c r="D14" i="3"/>
  <c r="M13" i="3"/>
  <c r="F5" i="3"/>
  <c r="D6" i="3"/>
  <c r="D21" i="3"/>
  <c r="D5" i="3"/>
  <c r="F21" i="3"/>
  <c r="H3" i="4"/>
  <c r="D17" i="8"/>
  <c r="T8" i="8"/>
  <c r="Z10" i="8"/>
  <c r="D4" i="8"/>
  <c r="L10" i="8"/>
  <c r="N20" i="8"/>
  <c r="F18" i="8"/>
  <c r="F6" i="8"/>
  <c r="J14" i="8"/>
  <c r="D28" i="8"/>
  <c r="P18" i="8"/>
  <c r="J29" i="8"/>
  <c r="T11" i="8"/>
  <c r="Z4" i="8"/>
  <c r="F15" i="4"/>
  <c r="H6" i="4"/>
  <c r="G30" i="3"/>
  <c r="L21" i="3"/>
  <c r="H2" i="2"/>
  <c r="M14" i="3"/>
  <c r="D29" i="3"/>
  <c r="M7" i="3"/>
  <c r="L7" i="3"/>
  <c r="I29" i="3"/>
  <c r="B32" i="8"/>
  <c r="M24" i="3"/>
  <c r="L14" i="3"/>
  <c r="D10" i="8"/>
  <c r="J12" i="4"/>
  <c r="H29" i="2"/>
  <c r="K7" i="3"/>
  <c r="D23" i="3"/>
  <c r="J17" i="4"/>
  <c r="D28" i="3"/>
  <c r="K19" i="4"/>
  <c r="E24" i="3"/>
  <c r="F14" i="3"/>
  <c r="L5" i="3"/>
  <c r="N31" i="8"/>
  <c r="D30" i="3"/>
  <c r="F30" i="3"/>
  <c r="K29" i="3"/>
  <c r="J29" i="4"/>
  <c r="F23" i="3"/>
  <c r="L10" i="3"/>
  <c r="H8" i="2"/>
  <c r="D13" i="3"/>
  <c r="F27" i="4"/>
  <c r="J22" i="4"/>
  <c r="M8" i="3"/>
  <c r="E10" i="3"/>
  <c r="F25" i="3"/>
  <c r="I6" i="3"/>
  <c r="J13" i="4"/>
  <c r="L25" i="3"/>
  <c r="D24" i="3"/>
  <c r="H9" i="4"/>
  <c r="L20" i="3"/>
  <c r="K12" i="3"/>
  <c r="L23" i="3"/>
  <c r="I8" i="3"/>
  <c r="Z14" i="8"/>
  <c r="L28" i="3"/>
  <c r="J27" i="4"/>
  <c r="I26" i="4"/>
  <c r="J26" i="4"/>
  <c r="I25" i="3"/>
  <c r="C24" i="4"/>
  <c r="L24" i="3"/>
  <c r="I25" i="4"/>
  <c r="F25" i="4"/>
  <c r="H25" i="4"/>
  <c r="J24" i="4"/>
  <c r="I24" i="3"/>
  <c r="D24" i="8"/>
  <c r="D22" i="3"/>
  <c r="J23" i="3"/>
  <c r="F24" i="4"/>
  <c r="E23" i="3"/>
  <c r="H23" i="4"/>
  <c r="H22" i="4"/>
  <c r="D22" i="8"/>
  <c r="H23" i="8"/>
  <c r="P22" i="8"/>
  <c r="F23" i="8"/>
  <c r="R22" i="8"/>
  <c r="N23" i="8"/>
  <c r="I22" i="3"/>
  <c r="E22" i="3"/>
  <c r="K21" i="3"/>
  <c r="K22" i="3"/>
  <c r="J22" i="8"/>
  <c r="H22" i="8"/>
  <c r="J21" i="3"/>
  <c r="I21" i="3"/>
  <c r="N21" i="8"/>
  <c r="J20" i="4"/>
  <c r="J20" i="8"/>
  <c r="J19" i="8"/>
  <c r="R20" i="8"/>
  <c r="F19" i="4"/>
  <c r="H18" i="4"/>
  <c r="F19" i="3"/>
  <c r="R18" i="8"/>
  <c r="D18" i="8"/>
  <c r="N17" i="8"/>
  <c r="J18" i="8"/>
  <c r="N18" i="8"/>
  <c r="Z18" i="8"/>
  <c r="H18" i="8"/>
  <c r="I16" i="4"/>
  <c r="F16" i="4"/>
  <c r="H16" i="2"/>
  <c r="H16" i="4"/>
  <c r="E17" i="3"/>
  <c r="K17" i="3"/>
  <c r="H15" i="4"/>
  <c r="L16" i="8"/>
  <c r="H14" i="4"/>
  <c r="I15" i="3"/>
  <c r="I14" i="3"/>
  <c r="X14" i="8"/>
  <c r="J14" i="3"/>
  <c r="L13" i="3"/>
  <c r="J14" i="4"/>
  <c r="I13" i="3"/>
  <c r="P14" i="8"/>
  <c r="G12" i="3"/>
  <c r="F12" i="4"/>
  <c r="K13" i="3"/>
  <c r="R12" i="8"/>
  <c r="R13" i="8"/>
  <c r="Z11" i="8"/>
  <c r="R11" i="8"/>
  <c r="P10" i="8"/>
  <c r="R10" i="8"/>
  <c r="J10" i="8"/>
  <c r="N10" i="8"/>
  <c r="F11" i="3"/>
  <c r="D10" i="3"/>
  <c r="L11" i="3"/>
  <c r="G10" i="3"/>
  <c r="I11" i="3"/>
  <c r="K10" i="3"/>
  <c r="J9" i="4"/>
  <c r="K11" i="3"/>
  <c r="E10" i="4"/>
  <c r="H9" i="8"/>
  <c r="J8" i="3"/>
  <c r="J7" i="4"/>
  <c r="L8" i="3"/>
  <c r="I8" i="4"/>
  <c r="H7" i="2"/>
  <c r="F8" i="4"/>
  <c r="H7" i="4"/>
  <c r="E7" i="3"/>
  <c r="I7" i="3"/>
  <c r="T7" i="8"/>
  <c r="D7" i="3"/>
  <c r="I18" i="4"/>
  <c r="I23" i="4"/>
  <c r="G9" i="3"/>
  <c r="E6" i="3"/>
  <c r="F26" i="8"/>
  <c r="H8" i="8"/>
  <c r="R14" i="8"/>
  <c r="X29" i="8"/>
  <c r="F16" i="8"/>
  <c r="H6" i="2"/>
  <c r="H18" i="2"/>
  <c r="G29" i="3"/>
  <c r="L26" i="8"/>
  <c r="D14" i="8"/>
  <c r="F14" i="8"/>
  <c r="J18" i="4"/>
  <c r="H17" i="2"/>
  <c r="D15" i="3"/>
  <c r="J7" i="3"/>
  <c r="L14" i="8"/>
  <c r="H27" i="4"/>
  <c r="I29" i="4"/>
  <c r="D11" i="8"/>
  <c r="F29" i="3"/>
  <c r="J5" i="4"/>
  <c r="C14" i="4"/>
  <c r="E25" i="3"/>
  <c r="I10" i="3"/>
  <c r="H14" i="8"/>
  <c r="T14" i="8"/>
  <c r="H26" i="4"/>
  <c r="Z30" i="8"/>
  <c r="E12" i="3"/>
  <c r="F12" i="8"/>
  <c r="I12" i="4"/>
  <c r="I9" i="4"/>
  <c r="F10" i="4"/>
  <c r="H19" i="2"/>
  <c r="R26" i="8"/>
  <c r="F30" i="4"/>
  <c r="H17" i="4"/>
  <c r="I13" i="4"/>
  <c r="H15" i="2"/>
  <c r="J28" i="4"/>
  <c r="F11" i="4"/>
  <c r="J24" i="3"/>
  <c r="D12" i="3"/>
  <c r="F22" i="4"/>
  <c r="I6" i="4"/>
  <c r="J6" i="4"/>
  <c r="K6" i="3"/>
  <c r="F6" i="3"/>
  <c r="X5" i="8"/>
  <c r="I4" i="4"/>
  <c r="I5" i="4"/>
  <c r="K5" i="3"/>
  <c r="E5" i="4"/>
  <c r="Z5" i="8"/>
  <c r="J5" i="8"/>
  <c r="F5" i="8"/>
  <c r="J4" i="3"/>
  <c r="G3" i="3"/>
  <c r="G4" i="3"/>
  <c r="F3" i="4"/>
  <c r="J3" i="4"/>
  <c r="H4" i="4"/>
  <c r="I3" i="3"/>
  <c r="T29" i="8"/>
  <c r="AA20" i="8"/>
  <c r="AB20" i="8"/>
  <c r="F15" i="8"/>
  <c r="Z22" i="8"/>
  <c r="F21" i="8"/>
  <c r="Z20" i="8"/>
  <c r="F8" i="8"/>
  <c r="L25" i="8"/>
  <c r="P28" i="8"/>
  <c r="F24" i="8"/>
  <c r="Z8" i="8"/>
  <c r="J28" i="8"/>
  <c r="N14" i="8"/>
  <c r="X28" i="8"/>
  <c r="X12" i="8"/>
  <c r="R8" i="8"/>
  <c r="L28" i="8"/>
  <c r="N24" i="8"/>
  <c r="Z29" i="8"/>
  <c r="J11" i="8"/>
  <c r="P25" i="8"/>
  <c r="Z15" i="8"/>
  <c r="J25" i="8"/>
  <c r="L19" i="8"/>
  <c r="R16" i="8"/>
  <c r="F22" i="8"/>
  <c r="H16" i="8"/>
  <c r="X22" i="8"/>
  <c r="P19" i="8"/>
  <c r="H5" i="8"/>
  <c r="H4" i="8"/>
  <c r="N22" i="8"/>
  <c r="P16" i="8"/>
  <c r="P6" i="8"/>
  <c r="J4" i="8"/>
  <c r="J16" i="8"/>
  <c r="T28" i="8"/>
  <c r="L8" i="8"/>
  <c r="H24" i="8"/>
  <c r="AA30" i="8"/>
  <c r="AB30" i="8"/>
  <c r="J12" i="8"/>
  <c r="L5" i="8"/>
  <c r="T24" i="8"/>
  <c r="H13" i="8"/>
  <c r="H20" i="8"/>
  <c r="J26" i="8"/>
  <c r="N12" i="8"/>
  <c r="T22" i="8"/>
  <c r="AA27" i="8"/>
  <c r="AB27" i="8"/>
  <c r="P8" i="8"/>
  <c r="L4" i="8"/>
  <c r="P4" i="8"/>
  <c r="F4" i="8"/>
  <c r="R4" i="8"/>
  <c r="N4" i="8"/>
  <c r="I7" i="4"/>
  <c r="H10" i="2"/>
  <c r="H23" i="2"/>
  <c r="K14" i="4"/>
  <c r="J8" i="4"/>
  <c r="H24" i="4"/>
  <c r="I20" i="4"/>
  <c r="H12" i="4"/>
  <c r="J29" i="3"/>
  <c r="H28" i="4"/>
  <c r="J25" i="4"/>
  <c r="G23" i="3"/>
  <c r="D25" i="3"/>
  <c r="G25" i="3"/>
  <c r="F29" i="4"/>
  <c r="H14" i="2"/>
  <c r="G6" i="3"/>
  <c r="I19" i="4"/>
  <c r="J15" i="4"/>
  <c r="I11" i="4"/>
  <c r="G17" i="3"/>
  <c r="E27" i="3"/>
  <c r="F17" i="4"/>
  <c r="E29" i="3"/>
  <c r="G22" i="3"/>
  <c r="J23" i="4"/>
  <c r="G7" i="3"/>
  <c r="H21" i="2"/>
  <c r="E28" i="3"/>
  <c r="F9" i="3"/>
  <c r="E12" i="4"/>
  <c r="H27" i="2"/>
  <c r="F21" i="4"/>
  <c r="G14" i="3"/>
  <c r="H4" i="2"/>
  <c r="J17" i="3"/>
  <c r="F9" i="4"/>
  <c r="I22" i="4"/>
  <c r="I15" i="4"/>
  <c r="J25" i="3"/>
  <c r="K28" i="3"/>
  <c r="J16" i="4"/>
  <c r="J5" i="3"/>
  <c r="W33" i="2"/>
  <c r="H8" i="4"/>
  <c r="H26" i="2"/>
  <c r="F13" i="4"/>
  <c r="F4" i="4"/>
  <c r="I14" i="4"/>
  <c r="I24" i="4"/>
  <c r="L30" i="3"/>
  <c r="G24" i="3"/>
  <c r="F28" i="3"/>
  <c r="G19" i="3"/>
  <c r="F20" i="4"/>
  <c r="F22" i="3"/>
  <c r="I4" i="3"/>
  <c r="C12" i="4"/>
  <c r="H9" i="2"/>
  <c r="H24" i="2"/>
  <c r="I21" i="4"/>
  <c r="H13" i="4"/>
  <c r="E21" i="4"/>
  <c r="J19" i="4"/>
  <c r="J30" i="4"/>
  <c r="F7" i="4"/>
  <c r="L4" i="3"/>
  <c r="K24" i="3"/>
  <c r="J10" i="4"/>
  <c r="H25" i="2"/>
  <c r="F18" i="4"/>
  <c r="H11" i="2"/>
  <c r="J28" i="3"/>
  <c r="J6" i="3"/>
  <c r="J10" i="3"/>
  <c r="G11" i="3"/>
  <c r="K3" i="3"/>
  <c r="L3" i="3"/>
  <c r="E33" i="2"/>
  <c r="E4" i="3"/>
  <c r="J4" i="4"/>
  <c r="F7" i="3"/>
  <c r="F24" i="3"/>
  <c r="I5" i="3"/>
  <c r="I3" i="4"/>
  <c r="R33" i="2"/>
  <c r="L6" i="3"/>
  <c r="J11" i="4"/>
  <c r="I10" i="4"/>
  <c r="J3" i="3"/>
  <c r="H13" i="2"/>
  <c r="K6" i="4"/>
  <c r="I26" i="3"/>
  <c r="D25" i="4"/>
  <c r="D10" i="4"/>
  <c r="F23" i="4"/>
  <c r="I12" i="3"/>
  <c r="F26" i="4"/>
  <c r="H3" i="2"/>
  <c r="I23" i="3"/>
  <c r="G5" i="3"/>
  <c r="K14" i="3"/>
  <c r="K25" i="4"/>
  <c r="D12" i="4"/>
  <c r="J22" i="3"/>
  <c r="G13" i="3"/>
  <c r="H10" i="4"/>
  <c r="J12" i="3"/>
  <c r="H28" i="2"/>
  <c r="I33" i="2"/>
  <c r="U33" i="2"/>
  <c r="O33" i="2"/>
  <c r="J13" i="3"/>
  <c r="H12" i="2"/>
  <c r="H20" i="2"/>
  <c r="K25" i="3"/>
  <c r="F14" i="4"/>
  <c r="I17" i="4"/>
  <c r="P33" i="2"/>
  <c r="G21" i="3"/>
  <c r="E23" i="4"/>
  <c r="G28" i="3"/>
  <c r="E5" i="3"/>
  <c r="K23" i="4"/>
  <c r="J19" i="3"/>
  <c r="F28" i="4"/>
  <c r="H22" i="2"/>
  <c r="N33" i="2"/>
  <c r="K33" i="2"/>
  <c r="H5" i="4"/>
  <c r="J21" i="4"/>
  <c r="Q33" i="2"/>
  <c r="F5" i="4"/>
  <c r="K23" i="3"/>
  <c r="F18" i="3"/>
  <c r="J11" i="3"/>
  <c r="I28" i="4"/>
  <c r="F13" i="3"/>
  <c r="J33" i="2"/>
  <c r="H21" i="4"/>
  <c r="F16" i="3"/>
  <c r="F6" i="4"/>
  <c r="E11" i="3"/>
  <c r="L33" i="2"/>
  <c r="H12" i="8"/>
  <c r="F20" i="8"/>
  <c r="F29" i="8"/>
  <c r="N13" i="8"/>
  <c r="P26" i="8"/>
  <c r="H6" i="8"/>
  <c r="T25" i="8"/>
  <c r="D15" i="8"/>
  <c r="J8" i="8"/>
  <c r="L18" i="8"/>
  <c r="X27" i="8"/>
  <c r="R9" i="8"/>
  <c r="J24" i="8"/>
  <c r="J7" i="8"/>
  <c r="N27" i="8"/>
  <c r="Z13" i="8"/>
  <c r="X26" i="8"/>
  <c r="X10" i="8"/>
  <c r="AA11" i="8"/>
  <c r="AB11" i="8"/>
  <c r="H29" i="8"/>
  <c r="T19" i="8"/>
  <c r="T10" i="8"/>
  <c r="J21" i="8"/>
  <c r="X6" i="8"/>
  <c r="L15" i="8"/>
  <c r="N26" i="8"/>
  <c r="Z28" i="8"/>
  <c r="X8" i="8"/>
  <c r="Z21" i="8"/>
  <c r="T31" i="8"/>
  <c r="D20" i="8"/>
  <c r="T15" i="8"/>
  <c r="L13" i="8"/>
  <c r="Z27" i="8"/>
  <c r="R5" i="8"/>
  <c r="R19" i="8"/>
  <c r="L12" i="8"/>
  <c r="N6" i="8"/>
  <c r="X7" i="8"/>
  <c r="L27" i="8"/>
  <c r="T13" i="8"/>
  <c r="H11" i="8"/>
  <c r="T12" i="8"/>
  <c r="J6" i="8"/>
  <c r="T5" i="8"/>
  <c r="P29" i="8"/>
  <c r="P13" i="8"/>
  <c r="N30" i="8"/>
  <c r="J13" i="8"/>
  <c r="AA6" i="8"/>
  <c r="AB6" i="8"/>
  <c r="N15" i="8"/>
  <c r="X4" i="8"/>
  <c r="H25" i="8"/>
  <c r="N19" i="8"/>
  <c r="J9" i="8"/>
  <c r="Z7" i="8"/>
  <c r="P21" i="8"/>
  <c r="T6" i="8"/>
  <c r="Z19" i="8"/>
  <c r="Z6" i="8"/>
  <c r="R7" i="8"/>
  <c r="F13" i="8"/>
  <c r="N28" i="8"/>
  <c r="P11" i="8"/>
  <c r="H30" i="8"/>
  <c r="R6" i="8"/>
  <c r="D12" i="8"/>
  <c r="AA13" i="8"/>
  <c r="AB13" i="8"/>
  <c r="L30" i="8"/>
  <c r="N11" i="8"/>
  <c r="P9" i="8"/>
  <c r="X16" i="8"/>
  <c r="T4" i="8"/>
  <c r="X21" i="8"/>
  <c r="T9" i="8"/>
  <c r="D26" i="8"/>
  <c r="F9" i="8"/>
  <c r="R21" i="8"/>
  <c r="T30" i="8"/>
  <c r="AA4" i="8"/>
  <c r="J17" i="8"/>
  <c r="L29" i="8"/>
  <c r="X15" i="8"/>
  <c r="H28" i="8"/>
  <c r="T21" i="8"/>
  <c r="T20" i="8"/>
  <c r="D25" i="8"/>
  <c r="AA8" i="8"/>
  <c r="AB8" i="8"/>
  <c r="S32" i="8"/>
  <c r="D7" i="8"/>
  <c r="J30" i="8"/>
  <c r="N9" i="8"/>
  <c r="X30" i="8"/>
  <c r="P12" i="8"/>
  <c r="F7" i="8"/>
  <c r="AA15" i="8"/>
  <c r="AB15" i="8"/>
  <c r="L11" i="8"/>
  <c r="P23" i="8"/>
  <c r="J27" i="8"/>
  <c r="H21" i="8"/>
  <c r="T18" i="8"/>
  <c r="AB14" i="8"/>
  <c r="N29" i="8"/>
  <c r="F30" i="8"/>
  <c r="AA28" i="8"/>
  <c r="AB28" i="8"/>
  <c r="M32" i="8"/>
  <c r="H27" i="8"/>
  <c r="X13" i="8"/>
  <c r="T26" i="8"/>
  <c r="R15" i="8"/>
  <c r="H19" i="8"/>
  <c r="D30" i="8"/>
  <c r="N7" i="8"/>
  <c r="H26" i="8"/>
  <c r="P30" i="8"/>
  <c r="Z12" i="8"/>
  <c r="F25" i="8"/>
  <c r="P7" i="8"/>
  <c r="R30" i="8"/>
  <c r="X17" i="8"/>
  <c r="L7" i="8"/>
  <c r="Z26" i="8"/>
  <c r="T23" i="8"/>
  <c r="R29" i="8"/>
  <c r="AA19" i="8"/>
  <c r="AB19" i="8"/>
  <c r="H10" i="8"/>
  <c r="P17" i="8"/>
  <c r="H17" i="8"/>
  <c r="X9" i="8"/>
  <c r="R28" i="8"/>
  <c r="L21" i="8"/>
  <c r="O32" i="8"/>
  <c r="AA25" i="8"/>
  <c r="AB25" i="8"/>
  <c r="AA22" i="8"/>
  <c r="AB22" i="8"/>
  <c r="X24" i="8"/>
  <c r="Z16" i="8"/>
  <c r="AA17" i="8"/>
  <c r="AB17" i="8"/>
  <c r="I32" i="8"/>
  <c r="P15" i="8"/>
  <c r="X23" i="8"/>
  <c r="Z24" i="8"/>
  <c r="C32" i="8"/>
  <c r="AD32" i="8"/>
  <c r="L24" i="8"/>
  <c r="AA23" i="8"/>
  <c r="AB23" i="8"/>
  <c r="Z23" i="8"/>
  <c r="AA9" i="8"/>
  <c r="AB9" i="8"/>
  <c r="AA26" i="8"/>
  <c r="AB26" i="8"/>
  <c r="Y32" i="8"/>
  <c r="AA12" i="8"/>
  <c r="AB12" i="8"/>
  <c r="AA5" i="8"/>
  <c r="AB5" i="8"/>
  <c r="X19" i="8"/>
  <c r="Z9" i="8"/>
  <c r="L17" i="8"/>
  <c r="N8" i="8"/>
  <c r="X25" i="8"/>
  <c r="AA21" i="8"/>
  <c r="AB21" i="8"/>
  <c r="D13" i="8"/>
  <c r="P5" i="8"/>
  <c r="T16" i="8"/>
  <c r="N5" i="8"/>
  <c r="F19" i="8"/>
  <c r="D27" i="8"/>
  <c r="P20" i="8"/>
  <c r="D6" i="8"/>
  <c r="F11" i="8"/>
  <c r="AA18" i="8"/>
  <c r="AB18" i="8"/>
  <c r="J23" i="8"/>
  <c r="L6" i="8"/>
  <c r="L9" i="8"/>
  <c r="Z17" i="8"/>
  <c r="F27" i="8"/>
  <c r="X20" i="8"/>
  <c r="N16" i="8"/>
  <c r="R25" i="8"/>
  <c r="AB10" i="8"/>
  <c r="R27" i="8"/>
  <c r="R23" i="8"/>
  <c r="AB7" i="8"/>
  <c r="D23" i="8"/>
  <c r="AA29" i="8"/>
  <c r="AB29" i="8"/>
  <c r="AA24" i="8"/>
  <c r="AB24" i="8"/>
  <c r="L20" i="8"/>
  <c r="AA16" i="8"/>
  <c r="AB16" i="8"/>
  <c r="D5" i="8"/>
  <c r="X18" i="8"/>
  <c r="D21" i="8"/>
  <c r="L23" i="8"/>
  <c r="F17" i="8"/>
  <c r="T27" i="8"/>
  <c r="D9" i="8"/>
  <c r="F28" i="8"/>
  <c r="H15" i="8"/>
  <c r="T17" i="8"/>
  <c r="J15" i="8"/>
  <c r="P24" i="8"/>
  <c r="D19" i="8"/>
  <c r="P27" i="8"/>
  <c r="Q32" i="8"/>
  <c r="D16" i="8"/>
  <c r="R17" i="8"/>
  <c r="L22" i="8"/>
  <c r="R24" i="8"/>
  <c r="D20" i="3"/>
  <c r="I27" i="3"/>
  <c r="F8" i="3"/>
  <c r="D27" i="3"/>
  <c r="I9" i="3"/>
  <c r="K9" i="3"/>
  <c r="G27" i="3"/>
  <c r="J20" i="3"/>
  <c r="G20" i="3"/>
  <c r="J27" i="3"/>
  <c r="I20" i="3"/>
  <c r="M9" i="3"/>
  <c r="L9" i="3"/>
  <c r="G8" i="3"/>
  <c r="E9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E18" i="3"/>
  <c r="M18" i="3"/>
  <c r="J16" i="3"/>
  <c r="G16" i="3"/>
  <c r="D16" i="3"/>
  <c r="K16" i="3"/>
  <c r="J18" i="3"/>
  <c r="I16" i="3"/>
  <c r="E16" i="3"/>
  <c r="K18" i="3"/>
  <c r="L16" i="3"/>
  <c r="I18" i="3"/>
  <c r="G18" i="3"/>
  <c r="G15" i="3"/>
  <c r="E15" i="3"/>
  <c r="L17" i="3"/>
  <c r="F15" i="3"/>
  <c r="K15" i="3"/>
  <c r="D18" i="3"/>
  <c r="D29" i="8"/>
  <c r="F27" i="3"/>
  <c r="L15" i="3"/>
  <c r="M15" i="3"/>
  <c r="J15" i="3"/>
  <c r="E26" i="3"/>
  <c r="I19" i="3"/>
  <c r="J26" i="3"/>
  <c r="F4" i="3"/>
  <c r="F26" i="3"/>
  <c r="K4" i="3"/>
  <c r="D26" i="3"/>
  <c r="D4" i="3"/>
  <c r="D19" i="3"/>
  <c r="M26" i="3"/>
  <c r="K26" i="3"/>
  <c r="L26" i="3"/>
  <c r="K19" i="3"/>
  <c r="G26" i="3"/>
  <c r="E19" i="3"/>
  <c r="D8" i="8"/>
  <c r="B31" i="4"/>
  <c r="G32" i="8"/>
  <c r="V33" i="2"/>
  <c r="K32" i="8"/>
  <c r="E32" i="8"/>
  <c r="W32" i="8"/>
  <c r="S33" i="2"/>
  <c r="T33" i="2"/>
  <c r="H31" i="2"/>
  <c r="M33" i="2"/>
  <c r="AA31" i="8"/>
  <c r="AB31" i="8"/>
  <c r="Z31" i="8"/>
  <c r="F31" i="8"/>
  <c r="J31" i="8"/>
  <c r="D31" i="8"/>
  <c r="X31" i="8"/>
  <c r="P31" i="8"/>
  <c r="L31" i="8"/>
  <c r="R31" i="8"/>
  <c r="H31" i="8"/>
  <c r="I30" i="4"/>
  <c r="J30" i="3"/>
  <c r="H30" i="4"/>
  <c r="F33" i="2"/>
  <c r="E30" i="3"/>
  <c r="K30" i="3"/>
  <c r="G33" i="2"/>
  <c r="I30" i="3"/>
  <c r="C14" i="3"/>
  <c r="C28" i="3"/>
  <c r="C19" i="3"/>
  <c r="C20" i="3"/>
  <c r="C26" i="3"/>
  <c r="C22" i="3"/>
  <c r="C3" i="3"/>
  <c r="C31" i="3"/>
  <c r="C21" i="3"/>
  <c r="C15" i="3"/>
  <c r="C17" i="3"/>
  <c r="C18" i="3"/>
  <c r="C9" i="3"/>
  <c r="C16" i="3"/>
  <c r="C12" i="3"/>
  <c r="C13" i="3"/>
  <c r="C11" i="3"/>
  <c r="C10" i="3"/>
  <c r="C23" i="3"/>
  <c r="C7" i="3"/>
  <c r="C30" i="3"/>
  <c r="C29" i="3"/>
  <c r="C8" i="3"/>
  <c r="C25" i="3"/>
  <c r="C5" i="3"/>
  <c r="C27" i="3"/>
  <c r="C24" i="3"/>
  <c r="C4" i="3"/>
  <c r="C6" i="3"/>
  <c r="L3" i="4"/>
  <c r="D32" i="8"/>
  <c r="AB4" i="8"/>
  <c r="AA32" i="8"/>
  <c r="AB32" i="8"/>
  <c r="L16" i="4"/>
  <c r="C31" i="4"/>
  <c r="C33" i="4"/>
  <c r="L9" i="4"/>
  <c r="L27" i="4"/>
  <c r="L26" i="4"/>
  <c r="L24" i="4"/>
  <c r="L22" i="4"/>
  <c r="L20" i="4"/>
  <c r="L18" i="4"/>
  <c r="L17" i="4"/>
  <c r="L14" i="4"/>
  <c r="L15" i="4"/>
  <c r="K31" i="4"/>
  <c r="K33" i="4"/>
  <c r="L13" i="4"/>
  <c r="L12" i="4"/>
  <c r="L11" i="4"/>
  <c r="L10" i="4"/>
  <c r="L8" i="4"/>
  <c r="G31" i="4"/>
  <c r="G33" i="4"/>
  <c r="L29" i="4"/>
  <c r="L19" i="4"/>
  <c r="L6" i="4"/>
  <c r="L4" i="4"/>
  <c r="E31" i="4"/>
  <c r="E33" i="4"/>
  <c r="H31" i="4"/>
  <c r="H33" i="4"/>
  <c r="L32" i="8"/>
  <c r="L28" i="4"/>
  <c r="F31" i="4"/>
  <c r="F33" i="4"/>
  <c r="L7" i="4"/>
  <c r="L5" i="4"/>
  <c r="L23" i="4"/>
  <c r="D31" i="4"/>
  <c r="D33" i="4"/>
  <c r="L21" i="4"/>
  <c r="L25" i="4"/>
  <c r="J31" i="4"/>
  <c r="J33" i="4"/>
  <c r="N32" i="8"/>
  <c r="J32" i="8"/>
  <c r="R32" i="8"/>
  <c r="T32" i="8"/>
  <c r="H32" i="8"/>
  <c r="P32" i="8"/>
  <c r="X32" i="8"/>
  <c r="Z32" i="8"/>
  <c r="F32" i="8"/>
  <c r="F31" i="3"/>
  <c r="L31" i="3"/>
  <c r="G31" i="3"/>
  <c r="H31" i="3"/>
  <c r="E31" i="3"/>
  <c r="K31" i="3"/>
  <c r="D31" i="3"/>
  <c r="I31" i="4"/>
  <c r="I33" i="4"/>
  <c r="J31" i="3"/>
  <c r="I31" i="3"/>
  <c r="L30" i="4"/>
  <c r="L31" i="4"/>
  <c r="L33" i="4"/>
  <c r="M33" i="4"/>
  <c r="N31" i="3"/>
  <c r="M31" i="4"/>
</calcChain>
</file>

<file path=xl/sharedStrings.xml><?xml version="1.0" encoding="utf-8"?>
<sst xmlns="http://schemas.openxmlformats.org/spreadsheetml/2006/main" count="239" uniqueCount="130">
  <si>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</si>
  <si>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</si>
  <si>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</si>
  <si>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</si>
  <si>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</si>
  <si>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</si>
  <si>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</si>
  <si>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</si>
  <si>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</si>
  <si>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</si>
  <si>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</si>
  <si>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</si>
  <si>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</si>
  <si>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</si>
  <si>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</si>
  <si>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</si>
  <si>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</si>
  <si>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</si>
  <si>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</si>
  <si>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</si>
  <si>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</si>
  <si>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</si>
  <si>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</si>
  <si>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</si>
  <si>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</si>
  <si>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</si>
  <si>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</si>
  <si>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</si>
  <si>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</si>
  <si>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</si>
  <si>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</si>
  <si>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</si>
  <si>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</si>
  <si>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</si>
  <si>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</si>
  <si>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</si>
  <si>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</si>
  <si>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</si>
  <si>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</si>
  <si>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</si>
  <si>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</si>
  <si>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</si>
  <si>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</si>
  <si>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</si>
  <si>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</si>
  <si>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</si>
  <si>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</si>
  <si>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</si>
  <si>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</si>
  <si>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</si>
  <si>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</si>
  <si>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</si>
  <si>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</si>
  <si>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</si>
  <si>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</si>
  <si>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</si>
  <si>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</si>
  <si>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</si>
  <si>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</si>
  <si>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</si>
  <si>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</si>
  <si>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</si>
  <si>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</si>
  <si>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</si>
  <si>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</si>
  <si>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</si>
  <si>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</si>
  <si>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</si>
  <si>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</si>
  <si>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</si>
  <si>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</si>
  <si>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</si>
  <si>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</si>
  <si>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</si>
  <si>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</si>
  <si>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</si>
  <si>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</si>
  <si>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</si>
  <si>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</si>
  <si>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</si>
  <si>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</si>
  <si>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</si>
  <si>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</si>
  <si>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</si>
  <si>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</si>
  <si>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</si>
  <si>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</si>
  <si>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</si>
  <si>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</si>
  <si>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</si>
  <si>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</si>
  <si>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</si>
  <si>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</si>
  <si>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</si>
  <si>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</si>
  <si>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</si>
  <si>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</si>
  <si>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</si>
  <si>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</si>
  <si>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</si>
  <si>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</si>
  <si>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</si>
  <si>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</si>
  <si>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</si>
  <si>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</si>
  <si>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</si>
  <si>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</si>
  <si>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</si>
  <si>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</si>
  <si>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</si>
  <si>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</si>
  <si>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</si>
  <si>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 xml:space="preserve">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</si>
  <si>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</si>
  <si>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</si>
  <si>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</si>
  <si>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</si>
  <si>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</si>
  <si>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</si>
  <si>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</si>
  <si>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</si>
  <si>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</si>
  <si>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M - Block /PC</t>
  </si>
  <si>
    <t xml:space="preserve"> B&amp;C Block</t>
  </si>
  <si>
    <t>Meter 18</t>
  </si>
  <si>
    <t>STP Product</t>
  </si>
  <si>
    <t>Total STP product</t>
  </si>
  <si>
    <t xml:space="preserve">STP -1 </t>
  </si>
  <si>
    <t>STP -1 MWH</t>
  </si>
  <si>
    <t>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</si>
</sst>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/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-716690</c:v>
                </c:pt>
                <c:pt idx="1">
                  <c:v>-3958800</c:v>
                </c:pt>
                <c:pt idx="2">
                  <c:v>-383300</c:v>
                </c:pt>
                <c:pt idx="3">
                  <c:v>-1541700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consumption'!$E$2:$Z$3</c:f>
              <c:multiLvlStrCache>
                <c:ptCount val="22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  <c:pt idx="20">
                    <c:v>M3</c:v>
                  </c:pt>
                  <c:pt idx="21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SPA</c:v>
                  </c:pt>
                  <c:pt idx="18">
                    <c:v>Laundry</c:v>
                  </c:pt>
                  <c:pt idx="20">
                    <c:v>Second stage</c:v>
                  </c:pt>
                </c:lvl>
              </c:multiLvlStrCache>
            </c:multiLvlStrRef>
          </c:cat>
          <c:val>
            <c:numRef>
              <c:f>'Water consumption'!$E$32:$Z$32</c:f>
              <c:numCache>
                <c:formatCode>0.00%</c:formatCode>
                <c:ptCount val="22"/>
                <c:pt idx="0" formatCode="0.00">
                  <c:v>-2769</c:v>
                </c:pt>
                <c:pt idx="1">
                  <c:v>3.0856493347299917E-2</c:v>
                </c:pt>
                <c:pt idx="2" formatCode="_(* #,##0.00_);_(* \(#,##0.00\);_(* &quot;-&quot;??_);_(@_)">
                  <c:v>-307406</c:v>
                </c:pt>
                <c:pt idx="3">
                  <c:v>3.4255945084579555</c:v>
                </c:pt>
                <c:pt idx="4" formatCode="0.00">
                  <c:v>-33745</c:v>
                </c:pt>
                <c:pt idx="5">
                  <c:v>0.37603913615190887</c:v>
                </c:pt>
                <c:pt idx="6" formatCode="0.00">
                  <c:v>-47591</c:v>
                </c:pt>
                <c:pt idx="7">
                  <c:v>0.53033274643963535</c:v>
                </c:pt>
                <c:pt idx="8" formatCode="0.00">
                  <c:v>-1271</c:v>
                </c:pt>
                <c:pt idx="9">
                  <c:v>1.4163453609396243E-2</c:v>
                </c:pt>
                <c:pt idx="10" formatCode="0.00">
                  <c:v>-2651</c:v>
                </c:pt>
                <c:pt idx="11">
                  <c:v>2.9541554302525128E-2</c:v>
                </c:pt>
                <c:pt idx="12" formatCode="0.00">
                  <c:v>-28108</c:v>
                </c:pt>
                <c:pt idx="13">
                  <c:v>0.31322293788584549</c:v>
                </c:pt>
                <c:pt idx="14" formatCode="_(* #,##0.00_);_(* \(#,##0.00\);_(* &quot;-&quot;??_);_(@_)">
                  <c:v>-291053</c:v>
                </c:pt>
                <c:pt idx="15">
                  <c:v>3.2433640152443779</c:v>
                </c:pt>
                <c:pt idx="18" formatCode="0.00">
                  <c:v>-126434</c:v>
                </c:pt>
                <c:pt idx="19">
                  <c:v>1.4089237558225056</c:v>
                </c:pt>
                <c:pt idx="20" formatCode="0.00">
                  <c:v>-24460</c:v>
                </c:pt>
                <c:pt idx="21">
                  <c:v>0.27257126301009604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4157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-89738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consumption'!$AA$2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consumption'!$AA$32</c:f>
              <c:numCache>
                <c:formatCode>_(* #,##0.00_);_(* \(#,##0.00\);_(* "-"??_);_(@_)</c:formatCode>
                <c:ptCount val="1"/>
                <c:pt idx="0">
                  <c:v>-865488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36</xdr:row>
      <xdr:rowOff>74084</xdr:rowOff>
    </xdr:from>
    <xdr:to>
      <xdr:col>17</xdr:col>
      <xdr:colOff>603250</xdr:colOff>
      <xdr:row>55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115" zoomScaleNormal="115" workbookViewId="0">
      <selection activeCell="O13" sqref="O13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12" customWidth="1"/>
    <col min="7" max="7" width="10.28515625" style="35" customWidth="1"/>
    <col min="8" max="8" width="10.42578125" style="112" customWidth="1"/>
    <col min="9" max="9" width="10.85546875" style="35" customWidth="1"/>
    <col min="10" max="10" width="9.85546875" style="112" customWidth="1"/>
    <col min="11" max="11" width="9.85546875" style="35" customWidth="1"/>
    <col min="12" max="12" width="9.5703125" style="119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87" t="s">
        <v>4</v>
      </c>
      <c r="F1" s="110" t="s">
        <v>5</v>
      </c>
      <c r="G1" s="33" t="s">
        <v>114</v>
      </c>
      <c r="H1" s="113" t="s">
        <v>108</v>
      </c>
      <c r="I1" s="33" t="s">
        <v>109</v>
      </c>
      <c r="J1" s="115" t="s">
        <v>110</v>
      </c>
      <c r="K1" s="33" t="s">
        <v>113</v>
      </c>
      <c r="L1" s="34" t="s">
        <v>107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3</v>
      </c>
      <c r="D2" s="86">
        <v>2023</v>
      </c>
      <c r="E2" s="45">
        <v>19380.000000000393</v>
      </c>
      <c r="F2" s="89"/>
      <c r="G2" s="84">
        <v>5327</v>
      </c>
      <c r="H2" s="114"/>
      <c r="I2" s="52">
        <v>351</v>
      </c>
      <c r="J2" s="116"/>
      <c r="K2" s="81"/>
      <c r="L2" s="117"/>
      <c r="M2" s="58">
        <v>39.6</v>
      </c>
      <c r="N2" s="58">
        <v>91</v>
      </c>
      <c r="O2" s="58">
        <v>242</v>
      </c>
    </row>
    <row r="3" spans="1:15" ht="15" x14ac:dyDescent="0.25">
      <c r="A3" s="36" t="s">
        <v>9</v>
      </c>
      <c r="B3" s="37">
        <f>B2+1</f>
        <v>2</v>
      </c>
      <c r="C3" s="38">
        <v>3</v>
      </c>
      <c r="D3" s="86">
        <v>2023</v>
      </c>
      <c r="E3" s="45">
        <v>21049.999999998989</v>
      </c>
      <c r="F3" s="89"/>
      <c r="G3" s="84">
        <v>5689</v>
      </c>
      <c r="H3" s="114"/>
      <c r="I3" s="52">
        <v>347</v>
      </c>
      <c r="J3" s="116"/>
      <c r="K3" s="81"/>
      <c r="L3" s="117"/>
      <c r="M3" s="58">
        <v>37.5</v>
      </c>
      <c r="N3" s="58">
        <v>87</v>
      </c>
      <c r="O3" s="58">
        <v>219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3</v>
      </c>
      <c r="D4" s="86">
        <v>2023</v>
      </c>
      <c r="E4" s="45">
        <v>19280.000000000258</v>
      </c>
      <c r="F4" s="89"/>
      <c r="G4" s="127">
        <v>5310</v>
      </c>
      <c r="H4" s="114"/>
      <c r="I4" s="52">
        <v>327</v>
      </c>
      <c r="J4" s="116"/>
      <c r="K4" s="81"/>
      <c r="L4" s="117"/>
      <c r="M4" s="58">
        <v>41.7</v>
      </c>
      <c r="N4" s="58">
        <v>101</v>
      </c>
      <c r="O4" s="58">
        <v>237</v>
      </c>
    </row>
    <row r="5" spans="1:15" ht="15" x14ac:dyDescent="0.25">
      <c r="A5" s="36" t="s">
        <v>9</v>
      </c>
      <c r="B5" s="37">
        <f t="shared" si="0"/>
        <v>4</v>
      </c>
      <c r="C5" s="38">
        <v>3</v>
      </c>
      <c r="D5" s="86">
        <v>2023</v>
      </c>
      <c r="E5" s="45">
        <v>19240.000000000182</v>
      </c>
      <c r="F5" s="89"/>
      <c r="G5" s="127">
        <v>5325</v>
      </c>
      <c r="H5" s="114"/>
      <c r="I5" s="52">
        <v>344</v>
      </c>
      <c r="J5" s="116"/>
      <c r="K5" s="81"/>
      <c r="L5" s="117"/>
      <c r="M5" s="58">
        <v>42.7</v>
      </c>
      <c r="N5" s="58">
        <v>106</v>
      </c>
      <c r="O5" s="58">
        <v>246</v>
      </c>
    </row>
    <row r="6" spans="1:15" ht="15" x14ac:dyDescent="0.25">
      <c r="A6" s="36" t="s">
        <v>9</v>
      </c>
      <c r="B6" s="37">
        <f t="shared" si="0"/>
        <v>5</v>
      </c>
      <c r="C6" s="38">
        <v>3</v>
      </c>
      <c r="D6" s="86">
        <v>2023</v>
      </c>
      <c r="E6" s="45">
        <v>20170.000000000186</v>
      </c>
      <c r="F6" s="89"/>
      <c r="G6" s="127">
        <v>5551</v>
      </c>
      <c r="H6" s="114"/>
      <c r="I6" s="52">
        <v>352</v>
      </c>
      <c r="J6" s="116"/>
      <c r="K6" s="81"/>
      <c r="L6" s="117"/>
      <c r="M6" s="58">
        <v>43.8</v>
      </c>
      <c r="N6" s="58">
        <v>113</v>
      </c>
      <c r="O6" s="58">
        <v>273</v>
      </c>
    </row>
    <row r="7" spans="1:15" ht="15" x14ac:dyDescent="0.25">
      <c r="A7" s="36" t="s">
        <v>9</v>
      </c>
      <c r="B7" s="37">
        <f t="shared" si="0"/>
        <v>6</v>
      </c>
      <c r="C7" s="38">
        <v>3</v>
      </c>
      <c r="D7" s="86">
        <v>2023</v>
      </c>
      <c r="E7" s="45">
        <v>18279.999999999232</v>
      </c>
      <c r="F7" s="89"/>
      <c r="G7" s="127">
        <v>5251</v>
      </c>
      <c r="H7" s="114"/>
      <c r="I7" s="52">
        <v>337</v>
      </c>
      <c r="J7" s="116"/>
      <c r="K7" s="81"/>
      <c r="L7" s="117"/>
      <c r="M7" s="58">
        <v>37.5</v>
      </c>
      <c r="N7" s="58">
        <v>92</v>
      </c>
      <c r="O7" s="58">
        <v>236</v>
      </c>
    </row>
    <row r="8" spans="1:15" ht="15" x14ac:dyDescent="0.25">
      <c r="A8" s="36" t="s">
        <v>9</v>
      </c>
      <c r="B8" s="37">
        <f t="shared" si="0"/>
        <v>7</v>
      </c>
      <c r="C8" s="38">
        <v>3</v>
      </c>
      <c r="D8" s="86">
        <v>2023</v>
      </c>
      <c r="E8" s="45">
        <v>20030.000000000146</v>
      </c>
      <c r="F8" s="89"/>
      <c r="G8" s="127">
        <v>5195</v>
      </c>
      <c r="H8" s="114"/>
      <c r="I8" s="52">
        <v>295</v>
      </c>
      <c r="J8" s="116"/>
      <c r="K8" s="81"/>
      <c r="L8" s="117"/>
      <c r="M8" s="58">
        <v>37.5</v>
      </c>
      <c r="N8" s="58">
        <v>81</v>
      </c>
      <c r="O8" s="58">
        <v>229</v>
      </c>
    </row>
    <row r="9" spans="1:15" ht="15" x14ac:dyDescent="0.25">
      <c r="A9" s="36" t="s">
        <v>9</v>
      </c>
      <c r="B9" s="37">
        <f t="shared" si="0"/>
        <v>8</v>
      </c>
      <c r="C9" s="38">
        <v>3</v>
      </c>
      <c r="D9" s="86">
        <v>2023</v>
      </c>
      <c r="E9" s="45">
        <v>21310</v>
      </c>
      <c r="F9" s="89"/>
      <c r="G9" s="127">
        <v>6041</v>
      </c>
      <c r="H9" s="114"/>
      <c r="I9" s="52">
        <v>372</v>
      </c>
      <c r="J9" s="116"/>
      <c r="K9" s="81"/>
      <c r="L9" s="117"/>
      <c r="M9" s="58">
        <v>41.7</v>
      </c>
      <c r="N9" s="58">
        <v>88</v>
      </c>
      <c r="O9" s="58">
        <v>245</v>
      </c>
    </row>
    <row r="10" spans="1:15" ht="15" x14ac:dyDescent="0.25">
      <c r="A10" s="36" t="s">
        <v>9</v>
      </c>
      <c r="B10" s="37">
        <f t="shared" si="0"/>
        <v>9</v>
      </c>
      <c r="C10" s="38">
        <v>3</v>
      </c>
      <c r="D10" s="86">
        <v>2023</v>
      </c>
      <c r="E10" s="45">
        <v>20250.000000000568</v>
      </c>
      <c r="F10" s="89"/>
      <c r="G10" s="84">
        <v>5626</v>
      </c>
      <c r="H10" s="114"/>
      <c r="I10" s="52">
        <v>363</v>
      </c>
      <c r="J10" s="116"/>
      <c r="K10" s="81"/>
      <c r="L10" s="117"/>
      <c r="M10" s="58">
        <v>47.9</v>
      </c>
      <c r="N10" s="58">
        <v>111</v>
      </c>
      <c r="O10" s="58">
        <v>286</v>
      </c>
    </row>
    <row r="11" spans="1:15" ht="15" x14ac:dyDescent="0.25">
      <c r="A11" s="36" t="s">
        <v>9</v>
      </c>
      <c r="B11" s="37">
        <f t="shared" si="0"/>
        <v>10</v>
      </c>
      <c r="C11" s="38">
        <v>3</v>
      </c>
      <c r="D11" s="86">
        <v>2023</v>
      </c>
      <c r="E11" s="45">
        <v>20509.999999999254</v>
      </c>
      <c r="F11" s="89"/>
      <c r="G11" s="84">
        <v>5758</v>
      </c>
      <c r="H11" s="114"/>
      <c r="I11" s="52">
        <v>339</v>
      </c>
      <c r="J11" s="116"/>
      <c r="K11" s="81"/>
      <c r="L11" s="117"/>
      <c r="M11" s="58">
        <v>42.7</v>
      </c>
      <c r="N11" s="58">
        <v>105</v>
      </c>
      <c r="O11" s="58">
        <v>316</v>
      </c>
    </row>
    <row r="12" spans="1:15" ht="15" x14ac:dyDescent="0.25">
      <c r="A12" s="36" t="s">
        <v>9</v>
      </c>
      <c r="B12" s="37">
        <f t="shared" si="0"/>
        <v>11</v>
      </c>
      <c r="C12" s="38">
        <v>3</v>
      </c>
      <c r="D12" s="86">
        <v>2023</v>
      </c>
      <c r="E12" s="45">
        <v>20139.999999999247</v>
      </c>
      <c r="F12" s="89"/>
      <c r="G12" s="84">
        <v>5568</v>
      </c>
      <c r="H12" s="114"/>
      <c r="I12" s="52">
        <v>378</v>
      </c>
      <c r="J12" s="116"/>
      <c r="K12" s="81"/>
      <c r="L12" s="117"/>
      <c r="M12" s="58">
        <v>40.6</v>
      </c>
      <c r="N12" s="58">
        <v>91</v>
      </c>
      <c r="O12" s="58">
        <v>249</v>
      </c>
    </row>
    <row r="13" spans="1:15" ht="15" x14ac:dyDescent="0.25">
      <c r="A13" s="36" t="s">
        <v>9</v>
      </c>
      <c r="B13" s="37">
        <f t="shared" si="0"/>
        <v>12</v>
      </c>
      <c r="C13" s="38">
        <v>3</v>
      </c>
      <c r="D13" s="86">
        <v>2023</v>
      </c>
      <c r="E13" s="45">
        <v>20059.999999999945</v>
      </c>
      <c r="F13" s="89"/>
      <c r="G13" s="84">
        <v>5627</v>
      </c>
      <c r="H13" s="114"/>
      <c r="I13" s="52">
        <v>352</v>
      </c>
      <c r="J13" s="116"/>
      <c r="K13" s="81"/>
      <c r="L13" s="117"/>
      <c r="M13" s="58">
        <v>37.5</v>
      </c>
      <c r="N13" s="58">
        <v>86</v>
      </c>
      <c r="O13" s="58">
        <v>231</v>
      </c>
    </row>
    <row r="14" spans="1:15" ht="15" x14ac:dyDescent="0.25">
      <c r="A14" s="36" t="s">
        <v>9</v>
      </c>
      <c r="B14" s="37">
        <f t="shared" si="0"/>
        <v>13</v>
      </c>
      <c r="C14" s="38">
        <v>3</v>
      </c>
      <c r="D14" s="86">
        <v>2023</v>
      </c>
      <c r="E14" s="45"/>
      <c r="F14" s="89"/>
      <c r="G14" s="84"/>
      <c r="H14" s="114"/>
      <c r="I14" s="52"/>
      <c r="J14" s="116"/>
      <c r="K14" s="81"/>
      <c r="L14" s="117"/>
      <c r="M14" s="58"/>
      <c r="N14" s="58"/>
      <c r="O14" s="58"/>
    </row>
    <row r="15" spans="1:15" ht="15" x14ac:dyDescent="0.25">
      <c r="A15" s="36" t="s">
        <v>9</v>
      </c>
      <c r="B15" s="37">
        <f t="shared" si="0"/>
        <v>14</v>
      </c>
      <c r="C15" s="38">
        <v>3</v>
      </c>
      <c r="D15" s="86">
        <v>2023</v>
      </c>
      <c r="E15" s="45"/>
      <c r="F15" s="89"/>
      <c r="G15" s="84"/>
      <c r="H15" s="114"/>
      <c r="I15" s="52"/>
      <c r="J15" s="116"/>
      <c r="K15" s="81"/>
      <c r="L15" s="117"/>
      <c r="M15" s="58"/>
      <c r="N15" s="58"/>
      <c r="O15" s="58"/>
    </row>
    <row r="16" spans="1:15" ht="15" x14ac:dyDescent="0.25">
      <c r="A16" s="36" t="s">
        <v>9</v>
      </c>
      <c r="B16" s="37">
        <f t="shared" si="0"/>
        <v>15</v>
      </c>
      <c r="C16" s="38">
        <v>3</v>
      </c>
      <c r="D16" s="86">
        <v>2023</v>
      </c>
      <c r="E16" s="45"/>
      <c r="F16" s="89"/>
      <c r="G16" s="84"/>
      <c r="H16" s="114"/>
      <c r="I16" s="52"/>
      <c r="J16" s="116"/>
      <c r="K16" s="81"/>
      <c r="L16" s="117"/>
      <c r="M16" s="58"/>
      <c r="N16" s="58"/>
      <c r="O16" s="58"/>
    </row>
    <row r="17" spans="1:15" ht="15" x14ac:dyDescent="0.25">
      <c r="A17" s="36" t="s">
        <v>9</v>
      </c>
      <c r="B17" s="37">
        <f t="shared" si="0"/>
        <v>16</v>
      </c>
      <c r="C17" s="38">
        <v>3</v>
      </c>
      <c r="D17" s="86">
        <v>2023</v>
      </c>
      <c r="E17" s="45"/>
      <c r="F17" s="89"/>
      <c r="G17" s="84"/>
      <c r="H17" s="114"/>
      <c r="I17" s="52"/>
      <c r="J17" s="116"/>
      <c r="K17" s="81"/>
      <c r="L17" s="117"/>
      <c r="M17" s="58"/>
      <c r="N17" s="58"/>
      <c r="O17" s="58"/>
    </row>
    <row r="18" spans="1:15" ht="15" x14ac:dyDescent="0.25">
      <c r="A18" s="36" t="s">
        <v>9</v>
      </c>
      <c r="B18" s="37">
        <f t="shared" si="0"/>
        <v>17</v>
      </c>
      <c r="C18" s="38">
        <v>3</v>
      </c>
      <c r="D18" s="86">
        <v>2023</v>
      </c>
      <c r="E18" s="45"/>
      <c r="F18" s="89"/>
      <c r="G18" s="84"/>
      <c r="H18" s="114"/>
      <c r="I18" s="52"/>
      <c r="J18" s="116"/>
      <c r="K18" s="81"/>
      <c r="L18" s="117"/>
      <c r="M18" s="58"/>
      <c r="N18" s="58"/>
      <c r="O18" s="58"/>
    </row>
    <row r="19" spans="1:15" ht="15" x14ac:dyDescent="0.25">
      <c r="A19" s="36" t="s">
        <v>9</v>
      </c>
      <c r="B19" s="37">
        <f t="shared" si="0"/>
        <v>18</v>
      </c>
      <c r="C19" s="38">
        <v>3</v>
      </c>
      <c r="D19" s="86">
        <v>2023</v>
      </c>
      <c r="E19" s="45"/>
      <c r="F19" s="89"/>
      <c r="G19" s="84"/>
      <c r="H19" s="114"/>
      <c r="I19" s="52"/>
      <c r="J19" s="116"/>
      <c r="K19" s="81"/>
      <c r="L19" s="117"/>
      <c r="M19" s="58"/>
      <c r="N19" s="58"/>
      <c r="O19" s="58"/>
    </row>
    <row r="20" spans="1:15" ht="15" x14ac:dyDescent="0.25">
      <c r="A20" s="36" t="s">
        <v>9</v>
      </c>
      <c r="B20" s="37">
        <f t="shared" si="0"/>
        <v>19</v>
      </c>
      <c r="C20" s="38">
        <v>3</v>
      </c>
      <c r="D20" s="86">
        <v>2023</v>
      </c>
      <c r="E20" s="45"/>
      <c r="F20" s="89"/>
      <c r="G20" s="84"/>
      <c r="H20" s="114"/>
      <c r="I20" s="52"/>
      <c r="J20" s="116"/>
      <c r="K20" s="81"/>
      <c r="L20" s="117"/>
      <c r="M20" s="58"/>
      <c r="N20" s="58"/>
      <c r="O20" s="58"/>
    </row>
    <row r="21" spans="1:15" ht="15" x14ac:dyDescent="0.25">
      <c r="A21" s="36" t="s">
        <v>9</v>
      </c>
      <c r="B21" s="37">
        <f t="shared" si="0"/>
        <v>20</v>
      </c>
      <c r="C21" s="38">
        <v>3</v>
      </c>
      <c r="D21" s="86">
        <v>2023</v>
      </c>
      <c r="E21" s="45"/>
      <c r="F21" s="89"/>
      <c r="G21" s="84"/>
      <c r="H21" s="114"/>
      <c r="I21" s="52"/>
      <c r="J21" s="116"/>
      <c r="K21" s="81"/>
      <c r="L21" s="117"/>
      <c r="M21" s="58"/>
      <c r="N21" s="58"/>
      <c r="O21" s="58"/>
    </row>
    <row r="22" spans="1:15" ht="15" x14ac:dyDescent="0.25">
      <c r="A22" s="36" t="s">
        <v>9</v>
      </c>
      <c r="B22" s="37">
        <f t="shared" si="0"/>
        <v>21</v>
      </c>
      <c r="C22" s="38">
        <v>3</v>
      </c>
      <c r="D22" s="86">
        <v>2023</v>
      </c>
      <c r="E22" s="45"/>
      <c r="F22" s="89"/>
      <c r="G22" s="84"/>
      <c r="H22" s="114"/>
      <c r="I22" s="52"/>
      <c r="J22" s="116"/>
      <c r="K22" s="81"/>
      <c r="L22" s="117"/>
      <c r="M22" s="58"/>
      <c r="N22" s="58"/>
      <c r="O22" s="58"/>
    </row>
    <row r="23" spans="1:15" ht="15" x14ac:dyDescent="0.25">
      <c r="A23" s="36" t="s">
        <v>9</v>
      </c>
      <c r="B23" s="37">
        <f t="shared" si="0"/>
        <v>22</v>
      </c>
      <c r="C23" s="38">
        <v>3</v>
      </c>
      <c r="D23" s="86">
        <v>2023</v>
      </c>
      <c r="E23" s="45"/>
      <c r="F23" s="89"/>
      <c r="G23" s="84"/>
      <c r="H23" s="114"/>
      <c r="I23" s="52"/>
      <c r="J23" s="116"/>
      <c r="K23" s="81"/>
      <c r="L23" s="117"/>
      <c r="M23" s="58"/>
      <c r="N23" s="58"/>
      <c r="O23" s="58"/>
    </row>
    <row r="24" spans="1:15" ht="15" x14ac:dyDescent="0.25">
      <c r="A24" s="36" t="s">
        <v>9</v>
      </c>
      <c r="B24" s="37">
        <f t="shared" si="0"/>
        <v>23</v>
      </c>
      <c r="C24" s="38">
        <v>3</v>
      </c>
      <c r="D24" s="86">
        <v>2023</v>
      </c>
      <c r="E24" s="45"/>
      <c r="F24" s="89"/>
      <c r="G24" s="84"/>
      <c r="H24" s="114"/>
      <c r="I24" s="52"/>
      <c r="J24" s="116"/>
      <c r="K24" s="81"/>
      <c r="L24" s="117"/>
      <c r="M24" s="58"/>
      <c r="N24" s="58"/>
      <c r="O24" s="58"/>
    </row>
    <row r="25" spans="1:15" ht="15" x14ac:dyDescent="0.25">
      <c r="A25" s="36" t="s">
        <v>9</v>
      </c>
      <c r="B25" s="37">
        <f t="shared" si="0"/>
        <v>24</v>
      </c>
      <c r="C25" s="38">
        <v>3</v>
      </c>
      <c r="D25" s="86">
        <v>2023</v>
      </c>
      <c r="E25" s="45"/>
      <c r="F25" s="89"/>
      <c r="G25" s="84"/>
      <c r="H25" s="114"/>
      <c r="I25" s="52"/>
      <c r="J25" s="116"/>
      <c r="K25" s="81"/>
      <c r="L25" s="117"/>
      <c r="M25" s="58"/>
      <c r="N25" s="58"/>
      <c r="O25" s="58"/>
    </row>
    <row r="26" spans="1:15" ht="15" x14ac:dyDescent="0.25">
      <c r="A26" s="36" t="s">
        <v>9</v>
      </c>
      <c r="B26" s="37">
        <f>B25+1</f>
        <v>25</v>
      </c>
      <c r="C26" s="38">
        <v>3</v>
      </c>
      <c r="D26" s="86">
        <v>2023</v>
      </c>
      <c r="E26" s="45"/>
      <c r="F26" s="89"/>
      <c r="G26" s="84"/>
      <c r="H26" s="114"/>
      <c r="I26" s="52"/>
      <c r="J26" s="116"/>
      <c r="K26" s="81"/>
      <c r="L26" s="117"/>
      <c r="M26" s="58"/>
      <c r="N26" s="58"/>
      <c r="O26" s="58"/>
    </row>
    <row r="27" spans="1:15" ht="15" x14ac:dyDescent="0.25">
      <c r="A27" s="36" t="s">
        <v>9</v>
      </c>
      <c r="B27" s="37">
        <f t="shared" si="0"/>
        <v>26</v>
      </c>
      <c r="C27" s="38">
        <v>3</v>
      </c>
      <c r="D27" s="86">
        <v>2023</v>
      </c>
      <c r="E27" s="45"/>
      <c r="F27" s="89"/>
      <c r="G27" s="84"/>
      <c r="H27" s="114"/>
      <c r="I27" s="52"/>
      <c r="J27" s="116"/>
      <c r="K27" s="81"/>
      <c r="L27" s="117"/>
      <c r="M27" s="58"/>
      <c r="N27" s="58"/>
      <c r="O27" s="58"/>
    </row>
    <row r="28" spans="1:15" ht="15" x14ac:dyDescent="0.25">
      <c r="A28" s="36" t="s">
        <v>9</v>
      </c>
      <c r="B28" s="37">
        <f t="shared" si="0"/>
        <v>27</v>
      </c>
      <c r="C28" s="38">
        <v>3</v>
      </c>
      <c r="D28" s="86">
        <v>2023</v>
      </c>
      <c r="E28" s="45"/>
      <c r="F28" s="89"/>
      <c r="G28" s="84"/>
      <c r="H28" s="114"/>
      <c r="I28" s="52"/>
      <c r="J28" s="116"/>
      <c r="K28" s="81"/>
      <c r="L28" s="117"/>
      <c r="M28" s="58"/>
      <c r="N28" s="58"/>
      <c r="O28" s="58"/>
    </row>
    <row r="29" spans="1:15" ht="15" x14ac:dyDescent="0.25">
      <c r="A29" s="36" t="s">
        <v>9</v>
      </c>
      <c r="B29" s="37">
        <f t="shared" si="0"/>
        <v>28</v>
      </c>
      <c r="C29" s="38">
        <v>3</v>
      </c>
      <c r="D29" s="86">
        <v>2023</v>
      </c>
      <c r="E29" s="45"/>
      <c r="F29" s="89"/>
      <c r="G29" s="84"/>
      <c r="H29" s="114"/>
      <c r="I29" s="52"/>
      <c r="J29" s="116"/>
      <c r="K29" s="81"/>
      <c r="L29" s="117"/>
      <c r="M29" s="58"/>
      <c r="N29" s="58"/>
      <c r="O29" s="58"/>
    </row>
    <row r="30" spans="1:15" ht="15" x14ac:dyDescent="0.25">
      <c r="A30" s="36" t="s">
        <v>9</v>
      </c>
      <c r="B30" s="37">
        <f t="shared" si="0"/>
        <v>29</v>
      </c>
      <c r="C30" s="38">
        <v>3</v>
      </c>
      <c r="D30" s="86">
        <v>2023</v>
      </c>
      <c r="E30" s="45"/>
      <c r="F30" s="89"/>
      <c r="G30" s="84"/>
      <c r="H30" s="114"/>
      <c r="I30" s="52"/>
      <c r="J30" s="116"/>
      <c r="K30" s="81"/>
      <c r="L30" s="117"/>
      <c r="M30" s="58"/>
      <c r="N30" s="58"/>
      <c r="O30" s="58"/>
    </row>
    <row r="31" spans="1:15" ht="15" x14ac:dyDescent="0.25">
      <c r="A31" s="36" t="s">
        <v>9</v>
      </c>
      <c r="B31" s="37">
        <f>B30+1</f>
        <v>30</v>
      </c>
      <c r="C31" s="38">
        <v>3</v>
      </c>
      <c r="D31" s="86">
        <v>2023</v>
      </c>
      <c r="E31" s="45"/>
      <c r="F31" s="89"/>
      <c r="G31" s="84"/>
      <c r="H31" s="114"/>
      <c r="I31" s="52"/>
      <c r="J31" s="116"/>
      <c r="K31" s="81"/>
      <c r="L31" s="117"/>
      <c r="M31" s="58"/>
      <c r="N31" s="58"/>
      <c r="O31" s="58"/>
    </row>
    <row r="32" spans="1:15" ht="15" x14ac:dyDescent="0.25">
      <c r="A32" s="36" t="s">
        <v>9</v>
      </c>
      <c r="B32" s="37">
        <f>B31+1</f>
        <v>31</v>
      </c>
      <c r="C32" s="38">
        <v>3</v>
      </c>
      <c r="D32" s="86">
        <v>2023</v>
      </c>
      <c r="E32" s="45"/>
      <c r="F32" s="89"/>
      <c r="G32" s="84"/>
      <c r="H32" s="114"/>
      <c r="I32" s="52"/>
      <c r="J32" s="116"/>
      <c r="K32" s="81"/>
      <c r="L32" s="117"/>
      <c r="M32" s="58"/>
      <c r="N32" s="58"/>
      <c r="O32" s="58"/>
    </row>
    <row r="33" spans="1:15" ht="18.75" customHeight="1" x14ac:dyDescent="0.2">
      <c r="A33" s="129" t="s">
        <v>39</v>
      </c>
      <c r="B33" s="129"/>
      <c r="C33" s="129"/>
      <c r="D33" s="129"/>
      <c r="E33" s="80">
        <f>SUM(E2:E32)</f>
        <v>239699.99999999837</v>
      </c>
      <c r="F33" s="111">
        <v>0</v>
      </c>
      <c r="G33" s="80">
        <f>SUM(G2:G32)</f>
        <v>66268</v>
      </c>
      <c r="H33" s="111">
        <v>0</v>
      </c>
      <c r="I33" s="80">
        <f>SUM(I2:I32)</f>
        <v>4157</v>
      </c>
      <c r="J33" s="111">
        <v>0</v>
      </c>
      <c r="K33" s="79">
        <f>SUM(K2:K31)</f>
        <v>0</v>
      </c>
      <c r="L33" s="118">
        <v>0</v>
      </c>
      <c r="M33" s="80">
        <f>SUM(M2:M32)</f>
        <v>490.7</v>
      </c>
      <c r="N33" s="80">
        <f>SUM(N2:N32)</f>
        <v>1152</v>
      </c>
      <c r="O33" s="80">
        <f>SUM(O2:O32)</f>
        <v>3009</v>
      </c>
    </row>
    <row r="40" spans="1:15" x14ac:dyDescent="0.2">
      <c r="C40" s="35" t="s">
        <v>112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zoomScale="80" zoomScaleNormal="80" workbookViewId="0">
      <pane xSplit="4" ySplit="1" topLeftCell="H2" activePane="bottomRight" state="frozen"/>
      <selection pane="topRight" activeCell="C1" sqref="C1"/>
      <selection pane="bottomLeft" activeCell="A4" sqref="A4"/>
      <selection pane="bottomRight" activeCell="P7" sqref="P7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42578125" customWidth="1"/>
    <col min="14" max="14" width="19.28515625" customWidth="1"/>
    <col min="15" max="20" width="15.28515625" bestFit="1" customWidth="1"/>
    <col min="21" max="21" width="19.5703125" customWidth="1"/>
    <col min="22" max="22" width="20.28515625" customWidth="1"/>
    <col min="23" max="23" width="19" customWidth="1"/>
  </cols>
  <sheetData>
    <row r="1" spans="1:23" ht="25.5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20" t="s">
        <v>119</v>
      </c>
      <c r="F1" s="120" t="s">
        <v>120</v>
      </c>
      <c r="G1" s="121" t="s">
        <v>121</v>
      </c>
      <c r="H1" s="121" t="s">
        <v>102</v>
      </c>
      <c r="I1" s="122" t="s">
        <v>116</v>
      </c>
      <c r="J1" s="122" t="s">
        <v>117</v>
      </c>
      <c r="K1" s="122" t="s">
        <v>118</v>
      </c>
      <c r="L1" s="123" t="s">
        <v>127</v>
      </c>
      <c r="M1" s="123" t="s">
        <v>122</v>
      </c>
      <c r="N1" s="123" t="s">
        <v>123</v>
      </c>
      <c r="O1" s="124" t="s">
        <v>31</v>
      </c>
      <c r="P1" s="124" t="s">
        <v>32</v>
      </c>
      <c r="Q1" s="124" t="s">
        <v>33</v>
      </c>
      <c r="R1" s="124" t="s">
        <v>34</v>
      </c>
      <c r="S1" s="124" t="s">
        <v>35</v>
      </c>
      <c r="T1" s="124" t="s">
        <v>36</v>
      </c>
      <c r="U1" s="124" t="s">
        <v>37</v>
      </c>
      <c r="V1" s="125" t="s">
        <v>38</v>
      </c>
      <c r="W1" s="126" t="s">
        <v>90</v>
      </c>
    </row>
    <row r="2" spans="1:23" x14ac:dyDescent="0.25">
      <c r="A2" s="36" t="s">
        <v>9</v>
      </c>
      <c r="B2" s="37">
        <v>1</v>
      </c>
      <c r="C2" s="38">
        <v>2</v>
      </c>
      <c r="D2" s="86">
        <v>2023</v>
      </c>
      <c r="E2" s="3">
        <v>480</v>
      </c>
      <c r="F2" s="2">
        <v>2500</v>
      </c>
      <c r="G2" s="2">
        <v>260</v>
      </c>
      <c r="H2" s="2">
        <f>I2+J2+K2</f>
        <v>1230.000000000075</v>
      </c>
      <c r="I2" s="2">
        <f>('Kwh Reading'!J5-'Kwh Reading'!J4)*1000</f>
        <v>570.00000000005002</v>
      </c>
      <c r="J2" s="2">
        <f>('Kwh Reading'!K5-'Kwh Reading'!K4)*1000</f>
        <v>310.00000000005912</v>
      </c>
      <c r="K2" s="2">
        <f>('Kwh Reading'!L5-'Kwh Reading'!L4)*1000</f>
        <v>349.99999999996589</v>
      </c>
      <c r="L2" s="2">
        <f>('Kwh Reading'!R5-'Kwh Reading'!R4)</f>
        <v>137</v>
      </c>
      <c r="M2" s="2">
        <f>('Kwh Reading'!I5-'Kwh Reading'!I4)*1000</f>
        <v>290.00000000002046</v>
      </c>
      <c r="N2" s="2">
        <f>('Kwh Reading'!B5-'Kwh Reading'!B4)*1000000</f>
        <v>1199.9999999998679</v>
      </c>
      <c r="O2" s="2">
        <f>('Kwh Reading'!M5-'Kwh Reading'!M4)*1000</f>
        <v>419.99999999995907</v>
      </c>
      <c r="P2" s="2">
        <f>('Kwh Reading'!H5-'Kwh Reading'!H4)*1000000</f>
        <v>700.00000000014495</v>
      </c>
      <c r="Q2" s="2">
        <f>('Kwh Reading'!P5-'Kwh Reading'!P4)*1000000</f>
        <v>500.00000000016701</v>
      </c>
      <c r="R2" s="2">
        <f>('Kwh Reading'!G5-'Kwh Reading'!G4)*1000000</f>
        <v>499.99999999994492</v>
      </c>
      <c r="S2" s="2">
        <f>('Kwh Reading'!Q5-'Kwh Reading'!Q4)*1000</f>
        <v>409.99999999996817</v>
      </c>
      <c r="T2" s="2">
        <f>('Kwh Reading'!N5-'Kwh Reading'!N4)*1000</f>
        <v>419.99999999995907</v>
      </c>
      <c r="U2" s="2">
        <f>'Kwh Reading'!E5-'Kwh Reading'!E4</f>
        <v>2773.9799999985844</v>
      </c>
      <c r="V2" s="2">
        <f>'Kwh Reading'!D5-'Kwh Reading'!D4</f>
        <v>1805.1499999999942</v>
      </c>
      <c r="W2" s="21">
        <f>('Kwh Reading'!O5-'Kwh Reading'!O4)*1000</f>
        <v>219.99999999997044</v>
      </c>
    </row>
    <row r="3" spans="1:23" x14ac:dyDescent="0.25">
      <c r="A3" s="36" t="s">
        <v>9</v>
      </c>
      <c r="B3" s="37">
        <f>B2+1</f>
        <v>2</v>
      </c>
      <c r="C3" s="38">
        <v>2</v>
      </c>
      <c r="D3" s="86">
        <v>2023</v>
      </c>
      <c r="E3" s="3">
        <f>('Kwh Reading'!S6-'Kwh Reading'!S5)*1000</f>
        <v>559.99999999994543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1309.9999999998317</v>
      </c>
      <c r="I3" s="2">
        <f>('Kwh Reading'!J6-'Kwh Reading'!J5)*1000</f>
        <v>589.99999999991815</v>
      </c>
      <c r="J3" s="2">
        <f>('Kwh Reading'!K6-'Kwh Reading'!K5)*1000</f>
        <v>349.99999999990905</v>
      </c>
      <c r="K3" s="2">
        <f>('Kwh Reading'!L6-'Kwh Reading'!L5)*1000</f>
        <v>370.00000000000455</v>
      </c>
      <c r="L3" s="2">
        <f>('Kwh Reading'!R6-'Kwh Reading'!R5)</f>
        <v>127.5</v>
      </c>
      <c r="M3" s="2">
        <f>('Kwh Reading'!I6-'Kwh Reading'!I5)*1000</f>
        <v>310.00000000000227</v>
      </c>
      <c r="N3" s="2">
        <f>('Kwh Reading'!B6-'Kwh Reading'!B5)*1000000</f>
        <v>1200.0000000000898</v>
      </c>
      <c r="O3" s="2">
        <f>('Kwh Reading'!M6-'Kwh Reading'!M5)*1000</f>
        <v>519.99999999998181</v>
      </c>
      <c r="P3" s="2">
        <f>('Kwh Reading'!H6-'Kwh Reading'!H5)*1000000</f>
        <v>799.99999999991189</v>
      </c>
      <c r="Q3" s="2">
        <f>('Kwh Reading'!P6-'Kwh Reading'!P5)*1000000</f>
        <v>499.99999999994492</v>
      </c>
      <c r="R3" s="2">
        <f>('Kwh Reading'!G6-'Kwh Reading'!G5)*1000000</f>
        <v>599.99999999993395</v>
      </c>
      <c r="S3" s="2">
        <f>('Kwh Reading'!Q6-'Kwh Reading'!Q5)*1000</f>
        <v>490.00000000000909</v>
      </c>
      <c r="T3" s="2">
        <f>('Kwh Reading'!N6-'Kwh Reading'!N5)*1000</f>
        <v>500</v>
      </c>
      <c r="U3" s="2">
        <f>'Kwh Reading'!E6-'Kwh Reading'!E5</f>
        <v>3114.1300000008196</v>
      </c>
      <c r="V3" s="2">
        <f>'Kwh Reading'!D6-'Kwh Reading'!D5</f>
        <v>1870.7300000000105</v>
      </c>
      <c r="W3" s="21">
        <f>('Kwh Reading'!O6-'Kwh Reading'!O5)*1000</f>
        <v>209.99999999997954</v>
      </c>
    </row>
    <row r="4" spans="1:23" x14ac:dyDescent="0.25">
      <c r="A4" s="36" t="s">
        <v>9</v>
      </c>
      <c r="B4" s="37">
        <f t="shared" ref="B4:B32" si="1">B3+1</f>
        <v>3</v>
      </c>
      <c r="C4" s="38">
        <v>2</v>
      </c>
      <c r="D4" s="86">
        <v>2023</v>
      </c>
      <c r="E4" s="3">
        <f>('Kwh Reading'!S7-'Kwh Reading'!S6)*1000</f>
        <v>529.99999999997272</v>
      </c>
      <c r="F4" s="2">
        <f>('Kwh Reading'!F7-'Kwh Reading'!F6)*1000000</f>
        <v>2399.9999999997358</v>
      </c>
      <c r="G4" s="2">
        <f>('Kwh Reading'!C7-'Kwh Reading'!C6)*1000</f>
        <v>259.99999999999091</v>
      </c>
      <c r="H4" s="2">
        <f t="shared" si="0"/>
        <v>1180.0000000001774</v>
      </c>
      <c r="I4" s="2">
        <f>('Kwh Reading'!J7-'Kwh Reading'!J6)*1000</f>
        <v>510.00000000010459</v>
      </c>
      <c r="J4" s="2">
        <f>('Kwh Reading'!K7-'Kwh Reading'!K6)*1000</f>
        <v>320.00000000005002</v>
      </c>
      <c r="K4" s="2">
        <f>('Kwh Reading'!L7-'Kwh Reading'!L6)*1000</f>
        <v>350.00000000002274</v>
      </c>
      <c r="L4" s="2">
        <f>('Kwh Reading'!R7-'Kwh Reading'!R6)</f>
        <v>127.29999999999927</v>
      </c>
      <c r="M4" s="2">
        <f>('Kwh Reading'!I7-'Kwh Reading'!I6)*1000</f>
        <v>279.99999999997272</v>
      </c>
      <c r="N4" s="2">
        <f>('Kwh Reading'!B7-'Kwh Reading'!B6)*1000000</f>
        <v>1100.000000000101</v>
      </c>
      <c r="O4" s="2">
        <f>('Kwh Reading'!M7-'Kwh Reading'!M6)*1000</f>
        <v>450.00000000004547</v>
      </c>
      <c r="P4" s="2">
        <f>('Kwh Reading'!H7-'Kwh Reading'!H6)*1000000</f>
        <v>599.99999999993395</v>
      </c>
      <c r="Q4" s="2">
        <f>('Kwh Reading'!P7-'Kwh Reading'!P6)*1000000</f>
        <v>599.99999999993395</v>
      </c>
      <c r="R4" s="2">
        <f>('Kwh Reading'!G7-'Kwh Reading'!G6)*1000000</f>
        <v>600.00000000015598</v>
      </c>
      <c r="S4" s="2">
        <f>('Kwh Reading'!Q7-'Kwh Reading'!Q6)*1000</f>
        <v>379.99999999999545</v>
      </c>
      <c r="T4" s="2">
        <f>('Kwh Reading'!N7-'Kwh Reading'!N6)*1000</f>
        <v>379.99999999999545</v>
      </c>
      <c r="U4" s="2">
        <f>'Kwh Reading'!E7-'Kwh Reading'!E6</f>
        <v>2725.6999999992549</v>
      </c>
      <c r="V4" s="2">
        <f>'Kwh Reading'!D7-'Kwh Reading'!D6</f>
        <v>1757.5999999999767</v>
      </c>
      <c r="W4" s="21">
        <f>('Kwh Reading'!O7-'Kwh Reading'!O6)*1000</f>
        <v>210.00000000003638</v>
      </c>
    </row>
    <row r="5" spans="1:23" x14ac:dyDescent="0.25">
      <c r="A5" s="36" t="s">
        <v>9</v>
      </c>
      <c r="B5" s="37">
        <f t="shared" si="1"/>
        <v>4</v>
      </c>
      <c r="C5" s="38">
        <v>2</v>
      </c>
      <c r="D5" s="86">
        <v>2023</v>
      </c>
      <c r="E5" s="3">
        <f>('Kwh Reading'!S8-'Kwh Reading'!S7)*1000</f>
        <v>300.00000000006821</v>
      </c>
      <c r="F5" s="2">
        <f>('Kwh Reading'!F8-'Kwh Reading'!F7)*1000000</f>
        <v>2400.0000000001796</v>
      </c>
      <c r="G5" s="2">
        <f>('Kwh Reading'!C8-'Kwh Reading'!C7)*1000</f>
        <v>270.00000000003865</v>
      </c>
      <c r="H5" s="2">
        <f>I5+J5+K5</f>
        <v>1109.9999999999568</v>
      </c>
      <c r="I5" s="2">
        <f>('Kwh Reading'!J8-'Kwh Reading'!J7)*1000</f>
        <v>399.99999999997726</v>
      </c>
      <c r="J5" s="2">
        <f>('Kwh Reading'!K8-'Kwh Reading'!K7)*1000</f>
        <v>350.00000000002274</v>
      </c>
      <c r="K5" s="2">
        <f>('Kwh Reading'!L8-'Kwh Reading'!L7)*1000</f>
        <v>359.9999999999568</v>
      </c>
      <c r="L5" s="2">
        <f>('Kwh Reading'!R8-'Kwh Reading'!R7)</f>
        <v>118.5</v>
      </c>
      <c r="M5" s="2">
        <f>('Kwh Reading'!I8-'Kwh Reading'!I7)*1000</f>
        <v>300.00000000001137</v>
      </c>
      <c r="N5" s="2">
        <f>('Kwh Reading'!B8-'Kwh Reading'!B7)*1000000</f>
        <v>1199.9999999998679</v>
      </c>
      <c r="O5" s="2">
        <f>('Kwh Reading'!M8-'Kwh Reading'!M7)*1000</f>
        <v>470.00000000002728</v>
      </c>
      <c r="P5" s="2">
        <f>('Kwh Reading'!H8-'Kwh Reading'!H7)*1000000</f>
        <v>700.00000000014495</v>
      </c>
      <c r="Q5" s="2">
        <f>('Kwh Reading'!P8-'Kwh Reading'!P7)*1000000</f>
        <v>499.99999999994492</v>
      </c>
      <c r="R5" s="2">
        <f>('Kwh Reading'!G8-'Kwh Reading'!G7)*1000000</f>
        <v>499.99999999994492</v>
      </c>
      <c r="S5" s="2">
        <f>('Kwh Reading'!Q8-'Kwh Reading'!Q7)*1000</f>
        <v>400.00000000009095</v>
      </c>
      <c r="T5" s="2">
        <f>('Kwh Reading'!N8-'Kwh Reading'!N7)*1000</f>
        <v>389.99999999998636</v>
      </c>
      <c r="U5" s="2">
        <f>'Kwh Reading'!E8-'Kwh Reading'!E7</f>
        <v>2568.2599999997765</v>
      </c>
      <c r="V5" s="2">
        <f>'Kwh Reading'!D8-'Kwh Reading'!D7</f>
        <v>1866.6100000000151</v>
      </c>
      <c r="W5" s="21">
        <f>('Kwh Reading'!O8-'Kwh Reading'!O7)*1000</f>
        <v>259.99999999999091</v>
      </c>
    </row>
    <row r="6" spans="1:23" x14ac:dyDescent="0.25">
      <c r="A6" s="36" t="s">
        <v>9</v>
      </c>
      <c r="B6" s="37">
        <f t="shared" si="1"/>
        <v>5</v>
      </c>
      <c r="C6" s="38">
        <v>2</v>
      </c>
      <c r="D6" s="86">
        <v>2023</v>
      </c>
      <c r="E6" s="3">
        <f>('Kwh Reading'!S9-'Kwh Reading'!S8)*1000</f>
        <v>549.99999999995453</v>
      </c>
      <c r="F6" s="2">
        <f>('Kwh Reading'!F9-'Kwh Reading'!F8)*1000000</f>
        <v>2499.9999999999468</v>
      </c>
      <c r="G6" s="2">
        <f>('Kwh Reading'!C9-'Kwh Reading'!C8)*1000</f>
        <v>269.99999999998181</v>
      </c>
      <c r="H6" s="2">
        <f t="shared" si="0"/>
        <v>1369.9999999999477</v>
      </c>
      <c r="I6" s="2">
        <f>('Kwh Reading'!J9-'Kwh Reading'!J8)*1000</f>
        <v>569.99999999993634</v>
      </c>
      <c r="J6" s="2">
        <f>('Kwh Reading'!K9-'Kwh Reading'!K8)*1000</f>
        <v>360.00000000001364</v>
      </c>
      <c r="K6" s="2">
        <f>('Kwh Reading'!L9-'Kwh Reading'!L8)*1000</f>
        <v>439.99999999999773</v>
      </c>
      <c r="L6" s="2">
        <f>('Kwh Reading'!R9-'Kwh Reading'!R8)</f>
        <v>128.90000000000146</v>
      </c>
      <c r="M6" s="2">
        <f>('Kwh Reading'!I9-'Kwh Reading'!I8)*1000</f>
        <v>300.00000000001137</v>
      </c>
      <c r="N6" s="2">
        <f>('Kwh Reading'!B9-'Kwh Reading'!B8)*1000000</f>
        <v>1200.0000000000898</v>
      </c>
      <c r="O6" s="2">
        <f>('Kwh Reading'!M9-'Kwh Reading'!M8)*1000</f>
        <v>519.99999999998181</v>
      </c>
      <c r="P6" s="2">
        <f>('Kwh Reading'!H9-'Kwh Reading'!H8)*1000000</f>
        <v>699.99999999992292</v>
      </c>
      <c r="Q6" s="2">
        <f>('Kwh Reading'!P9-'Kwh Reading'!P8)*1000000</f>
        <v>500.00000000016701</v>
      </c>
      <c r="R6" s="2">
        <f>('Kwh Reading'!G9-'Kwh Reading'!G8)*1000000</f>
        <v>599.99999999993395</v>
      </c>
      <c r="S6" s="2">
        <f>('Kwh Reading'!Q9-'Kwh Reading'!Q8)*1000</f>
        <v>439.99999999994088</v>
      </c>
      <c r="T6" s="2">
        <f>('Kwh Reading'!N9-'Kwh Reading'!N8)*1000</f>
        <v>419.99999999995907</v>
      </c>
      <c r="U6" s="2">
        <f>'Kwh Reading'!E9-'Kwh Reading'!E8</f>
        <v>3017.4500000011176</v>
      </c>
      <c r="V6" s="2">
        <f>'Kwh Reading'!D9-'Kwh Reading'!D8</f>
        <v>1977.8399999999965</v>
      </c>
      <c r="W6" s="21">
        <f>('Kwh Reading'!O9-'Kwh Reading'!O8)*1000</f>
        <v>230.00000000001819</v>
      </c>
    </row>
    <row r="7" spans="1:23" x14ac:dyDescent="0.25">
      <c r="A7" s="36" t="s">
        <v>9</v>
      </c>
      <c r="B7" s="37">
        <f t="shared" si="1"/>
        <v>6</v>
      </c>
      <c r="C7" s="38">
        <v>2</v>
      </c>
      <c r="D7" s="86">
        <v>2023</v>
      </c>
      <c r="E7" s="3">
        <f>('Kwh Reading'!S10-'Kwh Reading'!S9)*1000</f>
        <v>550.00000000006821</v>
      </c>
      <c r="F7" s="2">
        <f>('Kwh Reading'!F10-'Kwh Reading'!F9)*1000000</f>
        <v>2399.9999999997358</v>
      </c>
      <c r="G7" s="2">
        <f>('Kwh Reading'!C10-'Kwh Reading'!C9)*1000</f>
        <v>269.99999999998181</v>
      </c>
      <c r="H7" s="2">
        <f t="shared" si="0"/>
        <v>1430.0000000001205</v>
      </c>
      <c r="I7" s="2">
        <f>('Kwh Reading'!J10-'Kwh Reading'!J9)*1000</f>
        <v>650.00000000009095</v>
      </c>
      <c r="J7" s="2">
        <f>('Kwh Reading'!K10-'Kwh Reading'!K9)*1000</f>
        <v>379.99999999999545</v>
      </c>
      <c r="K7" s="2">
        <f>('Kwh Reading'!L10-'Kwh Reading'!L9)*1000</f>
        <v>400.00000000003411</v>
      </c>
      <c r="L7" s="2">
        <f>('Kwh Reading'!R10-'Kwh Reading'!R9)</f>
        <v>120.89999999999782</v>
      </c>
      <c r="M7" s="2">
        <f>('Kwh Reading'!I10-'Kwh Reading'!I9)*1000</f>
        <v>240.00000000000909</v>
      </c>
      <c r="N7" s="2">
        <f>('Kwh Reading'!B10-'Kwh Reading'!B9)*1000000</f>
        <v>999.99999999988984</v>
      </c>
      <c r="O7" s="2">
        <f>('Kwh Reading'!M10-'Kwh Reading'!M9)*1000</f>
        <v>429.99999999994998</v>
      </c>
      <c r="P7" s="2">
        <f>('Kwh Reading'!H10-'Kwh Reading'!H9)*1000000</f>
        <v>499.99999999994492</v>
      </c>
      <c r="Q7" s="2">
        <f>('Kwh Reading'!P10-'Kwh Reading'!P9)*1000000</f>
        <v>499.99999999994492</v>
      </c>
      <c r="R7" s="2">
        <f>('Kwh Reading'!G10-'Kwh Reading'!G9)*1000000</f>
        <v>499.99999999994492</v>
      </c>
      <c r="S7" s="2">
        <f>('Kwh Reading'!Q10-'Kwh Reading'!Q9)*1000</f>
        <v>310.00000000005912</v>
      </c>
      <c r="T7" s="2">
        <f>('Kwh Reading'!N10-'Kwh Reading'!N9)*1000</f>
        <v>350.00000000002274</v>
      </c>
      <c r="U7" s="2">
        <f>'Kwh Reading'!E10-'Kwh Reading'!E9</f>
        <v>2472.160000000149</v>
      </c>
      <c r="V7" s="2">
        <f>'Kwh Reading'!D10-'Kwh Reading'!D9</f>
        <v>1538.5499999999884</v>
      </c>
      <c r="W7" s="21">
        <f>('Kwh Reading'!O10-'Kwh Reading'!O9)*1000</f>
        <v>250</v>
      </c>
    </row>
    <row r="8" spans="1:23" x14ac:dyDescent="0.25">
      <c r="A8" s="36" t="s">
        <v>9</v>
      </c>
      <c r="B8" s="37">
        <f t="shared" si="1"/>
        <v>7</v>
      </c>
      <c r="C8" s="38">
        <v>2</v>
      </c>
      <c r="D8" s="86">
        <v>2023</v>
      </c>
      <c r="E8" s="3">
        <f>('Kwh Reading'!S11-'Kwh Reading'!S10)*1000</f>
        <v>549.99999999995453</v>
      </c>
      <c r="F8" s="2">
        <f>('Kwh Reading'!F11-'Kwh Reading'!F10)*1000000</f>
        <v>2400.0000000001796</v>
      </c>
      <c r="G8" s="2">
        <f>('Kwh Reading'!C11-'Kwh Reading'!C10)*1000</f>
        <v>280.00000000002956</v>
      </c>
      <c r="H8" s="2">
        <f t="shared" si="0"/>
        <v>1399.9999999999773</v>
      </c>
      <c r="I8" s="2">
        <f>('Kwh Reading'!J11-'Kwh Reading'!J10)*1000</f>
        <v>639.99999999998636</v>
      </c>
      <c r="J8" s="2">
        <f>('Kwh Reading'!K11-'Kwh Reading'!K10)*1000</f>
        <v>360.00000000001364</v>
      </c>
      <c r="K8" s="2">
        <f>('Kwh Reading'!L11-'Kwh Reading'!L10)*1000</f>
        <v>399.99999999997726</v>
      </c>
      <c r="L8" s="2">
        <f>('Kwh Reading'!R11-'Kwh Reading'!R10)</f>
        <v>136.10000000000218</v>
      </c>
      <c r="M8" s="2">
        <f>('Kwh Reading'!I11-'Kwh Reading'!I10)*1000</f>
        <v>279.99999999997272</v>
      </c>
      <c r="N8" s="2">
        <f>('Kwh Reading'!B11-'Kwh Reading'!B10)*1000000</f>
        <v>1100.000000000101</v>
      </c>
      <c r="O8" s="2">
        <f>('Kwh Reading'!M11-'Kwh Reading'!M10)*1000</f>
        <v>480.00000000001819</v>
      </c>
      <c r="P8" s="2">
        <f>('Kwh Reading'!H11-'Kwh Reading'!H10)*1000000</f>
        <v>600.00000000015598</v>
      </c>
      <c r="Q8" s="2">
        <f>('Kwh Reading'!P11-'Kwh Reading'!P10)*1000000</f>
        <v>499.99999999994492</v>
      </c>
      <c r="R8" s="2">
        <f>('Kwh Reading'!G11-'Kwh Reading'!G10)*1000000</f>
        <v>600.00000000015598</v>
      </c>
      <c r="S8" s="2">
        <f>('Kwh Reading'!Q11-'Kwh Reading'!Q10)*1000</f>
        <v>289.99999999996362</v>
      </c>
      <c r="T8" s="2">
        <f>('Kwh Reading'!N11-'Kwh Reading'!N10)*1000</f>
        <v>420.00000000007276</v>
      </c>
      <c r="U8" s="26">
        <f>'Kwh Reading'!E11-'Kwh Reading'!E10</f>
        <v>2962.320000000298</v>
      </c>
      <c r="V8" s="26">
        <f>'Kwh Reading'!D11-'Kwh Reading'!D10</f>
        <v>2057.2200000000012</v>
      </c>
      <c r="W8" s="21">
        <f>('Kwh Reading'!O11-'Kwh Reading'!O10)*1000</f>
        <v>209.99999999997954</v>
      </c>
    </row>
    <row r="9" spans="1:23" x14ac:dyDescent="0.25">
      <c r="A9" s="36" t="s">
        <v>9</v>
      </c>
      <c r="B9" s="37">
        <f t="shared" si="1"/>
        <v>8</v>
      </c>
      <c r="C9" s="38">
        <v>2</v>
      </c>
      <c r="D9" s="86">
        <v>2023</v>
      </c>
      <c r="E9" s="3">
        <f>('Kwh Reading'!S12-'Kwh Reading'!S11)*1000</f>
        <v>549.99999999995453</v>
      </c>
      <c r="F9" s="2">
        <f>('Kwh Reading'!F12-'Kwh Reading'!F11)*1000000</f>
        <v>2400.0000000001796</v>
      </c>
      <c r="G9" s="2">
        <f>('Kwh Reading'!C12-'Kwh Reading'!C11)*1000</f>
        <v>259.99999999999091</v>
      </c>
      <c r="H9" s="2">
        <f t="shared" si="0"/>
        <v>1309.9999999999454</v>
      </c>
      <c r="I9" s="2">
        <f>('Kwh Reading'!J12-'Kwh Reading'!J11)*1000</f>
        <v>569.99999999993634</v>
      </c>
      <c r="J9" s="2">
        <f>('Kwh Reading'!K12-'Kwh Reading'!K11)*1000</f>
        <v>379.99999999999545</v>
      </c>
      <c r="K9" s="2">
        <f>('Kwh Reading'!L12-'Kwh Reading'!L11)*1000</f>
        <v>360.00000000001364</v>
      </c>
      <c r="L9" s="2">
        <f>('Kwh Reading'!R12-'Kwh Reading'!R11)</f>
        <v>119.5</v>
      </c>
      <c r="M9" s="2">
        <f>('Kwh Reading'!I12-'Kwh Reading'!I11)*1000</f>
        <v>290.00000000002046</v>
      </c>
      <c r="N9" s="2">
        <f>('Kwh Reading'!B12-'Kwh Reading'!B11)*1000000</f>
        <v>1299.9999999998568</v>
      </c>
      <c r="O9" s="2">
        <f>('Kwh Reading'!M12-'Kwh Reading'!M11)*1000</f>
        <v>509.99999999999091</v>
      </c>
      <c r="P9" s="2">
        <f>('Kwh Reading'!H12-'Kwh Reading'!H11)*1000000</f>
        <v>699.99999999992292</v>
      </c>
      <c r="Q9" s="2">
        <f>('Kwh Reading'!P12-'Kwh Reading'!P11)*1000000</f>
        <v>599.99999999993395</v>
      </c>
      <c r="R9" s="2">
        <f>('Kwh Reading'!G12-'Kwh Reading'!G11)*1000000</f>
        <v>599.99999999993395</v>
      </c>
      <c r="S9" s="2">
        <f>('Kwh Reading'!Q12-'Kwh Reading'!Q11)*1000</f>
        <v>360.00000000001364</v>
      </c>
      <c r="T9" s="2">
        <f>('Kwh Reading'!N12-'Kwh Reading'!N11)*1000</f>
        <v>429.99999999994998</v>
      </c>
      <c r="U9" s="26">
        <f>'Kwh Reading'!E12-'Kwh Reading'!E11</f>
        <v>3034.2999999988824</v>
      </c>
      <c r="V9" s="26">
        <f>'Kwh Reading'!D12-'Kwh Reading'!D11</f>
        <v>2274.320000000007</v>
      </c>
      <c r="W9" s="21">
        <f>('Kwh Reading'!O12-'Kwh Reading'!O11)*1000</f>
        <v>269.99999999998181</v>
      </c>
    </row>
    <row r="10" spans="1:23" x14ac:dyDescent="0.25">
      <c r="A10" s="36" t="s">
        <v>9</v>
      </c>
      <c r="B10" s="37">
        <f t="shared" si="1"/>
        <v>9</v>
      </c>
      <c r="C10" s="38">
        <v>2</v>
      </c>
      <c r="D10" s="86">
        <v>2023</v>
      </c>
      <c r="E10" s="3">
        <f>('Kwh Reading'!S13-'Kwh Reading'!S12)*1000</f>
        <v>550.00000000006821</v>
      </c>
      <c r="F10" s="2">
        <f>('Kwh Reading'!F13-'Kwh Reading'!F12)*1000000</f>
        <v>2399.9999999997358</v>
      </c>
      <c r="G10" s="2">
        <f>('Kwh Reading'!C13-'Kwh Reading'!C12)*1000</f>
        <v>259.99999999999091</v>
      </c>
      <c r="H10" s="2">
        <f t="shared" si="0"/>
        <v>1179.99999999995</v>
      </c>
      <c r="I10" s="2">
        <f>('Kwh Reading'!J13-'Kwh Reading'!J12)*1000</f>
        <v>509.99999999999091</v>
      </c>
      <c r="J10" s="2">
        <f>('Kwh Reading'!K13-'Kwh Reading'!K12)*1000</f>
        <v>319.99999999993634</v>
      </c>
      <c r="K10" s="2">
        <f>('Kwh Reading'!L13-'Kwh Reading'!L12)*1000</f>
        <v>350.00000000002274</v>
      </c>
      <c r="L10" s="2">
        <f>('Kwh Reading'!R13-'Kwh Reading'!R12)</f>
        <v>135.39999999999782</v>
      </c>
      <c r="M10" s="2">
        <f>('Kwh Reading'!I13-'Kwh Reading'!I12)*1000</f>
        <v>289.99999999996362</v>
      </c>
      <c r="N10" s="2">
        <f>('Kwh Reading'!B13-'Kwh Reading'!B12)*1000000</f>
        <v>1200.0000000000898</v>
      </c>
      <c r="O10" s="2">
        <f>('Kwh Reading'!M13-'Kwh Reading'!M12)*1000</f>
        <v>550.00000000006821</v>
      </c>
      <c r="P10" s="2">
        <f>('Kwh Reading'!H13-'Kwh Reading'!H12)*1000000</f>
        <v>599.99999999993395</v>
      </c>
      <c r="Q10" s="2">
        <f>('Kwh Reading'!P13-'Kwh Reading'!P12)*1000000</f>
        <v>500.00000000016701</v>
      </c>
      <c r="R10" s="2">
        <f>('Kwh Reading'!G13-'Kwh Reading'!G12)*1000000</f>
        <v>599.99999999993395</v>
      </c>
      <c r="S10" s="2">
        <f>('Kwh Reading'!Q13-'Kwh Reading'!Q12)*1000</f>
        <v>299.99999999995453</v>
      </c>
      <c r="T10" s="2">
        <f>('Kwh Reading'!N13-'Kwh Reading'!N12)*1000</f>
        <v>399.99999999997726</v>
      </c>
      <c r="U10" s="26">
        <f>'Kwh Reading'!E13-'Kwh Reading'!E12</f>
        <v>2992.2599999997765</v>
      </c>
      <c r="V10" s="26">
        <f>'Kwh Reading'!D13-'Kwh Reading'!D12</f>
        <v>2109.820000000007</v>
      </c>
      <c r="W10" s="21">
        <f>('Kwh Reading'!O13-'Kwh Reading'!O12)*1000</f>
        <v>259.99999999999091</v>
      </c>
    </row>
    <row r="11" spans="1:23" x14ac:dyDescent="0.25">
      <c r="A11" s="36" t="s">
        <v>9</v>
      </c>
      <c r="B11" s="37">
        <f t="shared" si="1"/>
        <v>10</v>
      </c>
      <c r="C11" s="38">
        <v>2</v>
      </c>
      <c r="D11" s="86">
        <v>2023</v>
      </c>
      <c r="E11" s="3">
        <f>('Kwh Reading'!S14-'Kwh Reading'!S13)*1000</f>
        <v>559.99999999994543</v>
      </c>
      <c r="F11" s="2">
        <f>('Kwh Reading'!F14-'Kwh Reading'!F13)*1000000</f>
        <v>2400.0000000001796</v>
      </c>
      <c r="G11" s="2">
        <f>('Kwh Reading'!C14-'Kwh Reading'!C13)*1000</f>
        <v>269.99999999998181</v>
      </c>
      <c r="H11" s="2">
        <f t="shared" si="0"/>
        <v>1270.0000000000387</v>
      </c>
      <c r="I11" s="2">
        <f>('Kwh Reading'!J14-'Kwh Reading'!J13)*1000</f>
        <v>570.00000000005002</v>
      </c>
      <c r="J11" s="2">
        <f>('Kwh Reading'!K14-'Kwh Reading'!K13)*1000</f>
        <v>360.00000000001364</v>
      </c>
      <c r="K11" s="2">
        <f>('Kwh Reading'!L14-'Kwh Reading'!L13)*1000</f>
        <v>339.99999999997499</v>
      </c>
      <c r="L11" s="2">
        <f>('Kwh Reading'!R14-'Kwh Reading'!R13)</f>
        <v>131.60000000000218</v>
      </c>
      <c r="M11" s="2">
        <f>('Kwh Reading'!I14-'Kwh Reading'!I13)*1000</f>
        <v>300.00000000001137</v>
      </c>
      <c r="N11" s="2">
        <f>('Kwh Reading'!B14-'Kwh Reading'!B13)*1000000</f>
        <v>1100.000000000101</v>
      </c>
      <c r="O11" s="2">
        <f>('Kwh Reading'!M14-'Kwh Reading'!M13)*1000</f>
        <v>509.99999999999091</v>
      </c>
      <c r="P11" s="2">
        <f>('Kwh Reading'!H14-'Kwh Reading'!H13)*1000000</f>
        <v>600.00000000015598</v>
      </c>
      <c r="Q11" s="2">
        <f>('Kwh Reading'!P14-'Kwh Reading'!P13)*1000000</f>
        <v>499.99999999994492</v>
      </c>
      <c r="R11" s="2">
        <f>('Kwh Reading'!G14-'Kwh Reading'!G13)*1000000</f>
        <v>500.00000000016701</v>
      </c>
      <c r="S11" s="2">
        <f>('Kwh Reading'!Q14-'Kwh Reading'!Q13)*1000</f>
        <v>399.99999999997726</v>
      </c>
      <c r="T11" s="2">
        <f>('Kwh Reading'!N14-'Kwh Reading'!N13)*1000</f>
        <v>470.00000000002728</v>
      </c>
      <c r="U11" s="26">
        <f>'Kwh Reading'!E14-'Kwh Reading'!E13</f>
        <v>3003.2100000008941</v>
      </c>
      <c r="V11" s="26">
        <f>'Kwh Reading'!D14-'Kwh Reading'!D13</f>
        <v>2105.2600000000093</v>
      </c>
      <c r="W11" s="21">
        <f>('Kwh Reading'!O14-'Kwh Reading'!O13)*1000</f>
        <v>260.00000000004775</v>
      </c>
    </row>
    <row r="12" spans="1:23" x14ac:dyDescent="0.25">
      <c r="A12" s="36" t="s">
        <v>9</v>
      </c>
      <c r="B12" s="37">
        <f t="shared" si="1"/>
        <v>11</v>
      </c>
      <c r="C12" s="38">
        <v>2</v>
      </c>
      <c r="D12" s="86">
        <v>2023</v>
      </c>
      <c r="E12" s="3">
        <f>('Kwh Reading'!S15-'Kwh Reading'!S14)*1000</f>
        <v>330.00000000004093</v>
      </c>
      <c r="F12" s="2">
        <f>('Kwh Reading'!F15-'Kwh Reading'!F14)*1000000</f>
        <v>2499.9999999999468</v>
      </c>
      <c r="G12" s="2">
        <f>('Kwh Reading'!C15-'Kwh Reading'!C14)*1000</f>
        <v>270.00000000003865</v>
      </c>
      <c r="H12" s="2">
        <f t="shared" si="0"/>
        <v>1350.0000000000227</v>
      </c>
      <c r="I12" s="2">
        <f>('Kwh Reading'!J15-'Kwh Reading'!J14)*1000</f>
        <v>610.00000000001364</v>
      </c>
      <c r="J12" s="2">
        <f>('Kwh Reading'!K15-'Kwh Reading'!K14)*1000</f>
        <v>399.99999999997726</v>
      </c>
      <c r="K12" s="2">
        <f>('Kwh Reading'!L15-'Kwh Reading'!L14)*1000</f>
        <v>340.00000000003183</v>
      </c>
      <c r="L12" s="2">
        <f>('Kwh Reading'!R15-'Kwh Reading'!R14)</f>
        <v>136.20000000000073</v>
      </c>
      <c r="M12" s="2">
        <f>('Kwh Reading'!I15-'Kwh Reading'!I14)*1000</f>
        <v>330.00000000004093</v>
      </c>
      <c r="N12" s="2">
        <f>('Kwh Reading'!B15-'Kwh Reading'!B14)*1000000</f>
        <v>1199.9999999998679</v>
      </c>
      <c r="O12" s="2">
        <f>('Kwh Reading'!M15-'Kwh Reading'!M14)*1000</f>
        <v>559.99999999994543</v>
      </c>
      <c r="P12" s="2">
        <f>('Kwh Reading'!H15-'Kwh Reading'!H14)*1000000</f>
        <v>699.99999999992292</v>
      </c>
      <c r="Q12" s="2">
        <f>('Kwh Reading'!P15-'Kwh Reading'!P14)*1000000</f>
        <v>499.99999999994492</v>
      </c>
      <c r="R12" s="2">
        <f>('Kwh Reading'!G15-'Kwh Reading'!G14)*1000000</f>
        <v>599.99999999993395</v>
      </c>
      <c r="S12" s="2">
        <f>('Kwh Reading'!Q15-'Kwh Reading'!Q14)*1000</f>
        <v>379.99999999999545</v>
      </c>
      <c r="T12" s="2">
        <f>('Kwh Reading'!N15-'Kwh Reading'!N14)*1000</f>
        <v>409.99999999996817</v>
      </c>
      <c r="U12" s="26">
        <f>'Kwh Reading'!E15-'Kwh Reading'!E14</f>
        <v>2567.109999999404</v>
      </c>
      <c r="V12" s="26">
        <f>'Kwh Reading'!D15-'Kwh Reading'!D14</f>
        <v>2037.6899999999732</v>
      </c>
      <c r="W12" s="21">
        <f>('Kwh Reading'!O15-'Kwh Reading'!O14)*1000</f>
        <v>259.99999999999091</v>
      </c>
    </row>
    <row r="13" spans="1:23" x14ac:dyDescent="0.25">
      <c r="A13" s="36" t="s">
        <v>9</v>
      </c>
      <c r="B13" s="37">
        <f t="shared" si="1"/>
        <v>12</v>
      </c>
      <c r="C13" s="38">
        <v>2</v>
      </c>
      <c r="D13" s="86">
        <v>2023</v>
      </c>
      <c r="E13" s="3">
        <f>('Kwh Reading'!S16-'Kwh Reading'!S15)*1000</f>
        <v>590.00000000003183</v>
      </c>
      <c r="F13" s="2">
        <f>('Kwh Reading'!F16-'Kwh Reading'!F15)*1000000</f>
        <v>2400.0000000001796</v>
      </c>
      <c r="G13" s="2">
        <f>('Kwh Reading'!C16-'Kwh Reading'!C15)*1000</f>
        <v>259.99999999999091</v>
      </c>
      <c r="H13" s="2">
        <f t="shared" si="0"/>
        <v>1389.9999999999864</v>
      </c>
      <c r="I13" s="2">
        <f>('Kwh Reading'!J16-'Kwh Reading'!J15)*1000</f>
        <v>629.99999999999545</v>
      </c>
      <c r="J13" s="2">
        <f>('Kwh Reading'!K16-'Kwh Reading'!K15)*1000</f>
        <v>379.99999999999545</v>
      </c>
      <c r="K13" s="2">
        <f>('Kwh Reading'!L16-'Kwh Reading'!L15)*1000</f>
        <v>379.99999999999545</v>
      </c>
      <c r="L13" s="2">
        <f>('Kwh Reading'!R16-'Kwh Reading'!R15)</f>
        <v>128.89999999999782</v>
      </c>
      <c r="M13" s="2">
        <f>('Kwh Reading'!I16-'Kwh Reading'!I15)*1000</f>
        <v>339.99999999997499</v>
      </c>
      <c r="N13" s="2">
        <f>('Kwh Reading'!B16-'Kwh Reading'!B15)*1000000</f>
        <v>1200.0000000000898</v>
      </c>
      <c r="O13" s="21">
        <f>('Kwh Reading'!M16-'Kwh Reading'!M15)*1000</f>
        <v>560.00000000005912</v>
      </c>
      <c r="P13" s="2">
        <f>('Kwh Reading'!H16-'Kwh Reading'!H15)*1000000</f>
        <v>699.99999999992292</v>
      </c>
      <c r="Q13" s="2">
        <f>('Kwh Reading'!P16-'Kwh Reading'!P15)*1000000</f>
        <v>600.00000000015598</v>
      </c>
      <c r="R13" s="2">
        <f>('Kwh Reading'!G16-'Kwh Reading'!G15)*1000000</f>
        <v>599.99999999993395</v>
      </c>
      <c r="S13" s="2">
        <f>('Kwh Reading'!Q16-'Kwh Reading'!Q15)*1000</f>
        <v>360.00000000001364</v>
      </c>
      <c r="T13" s="2">
        <f>('Kwh Reading'!N16-'Kwh Reading'!N15)*1000</f>
        <v>410.00000000008185</v>
      </c>
      <c r="U13" s="26">
        <f>'Kwh Reading'!E16-'Kwh Reading'!E15</f>
        <v>3014.320000000298</v>
      </c>
      <c r="V13" s="26">
        <f>'Kwh Reading'!D16-'Kwh Reading'!D15</f>
        <v>2071.1200000000244</v>
      </c>
      <c r="W13" s="21">
        <f>('Kwh Reading'!O16-'Kwh Reading'!O15)*1000</f>
        <v>240.00000000000909</v>
      </c>
    </row>
    <row r="14" spans="1:23" x14ac:dyDescent="0.25">
      <c r="A14" s="36" t="s">
        <v>9</v>
      </c>
      <c r="B14" s="37">
        <f t="shared" si="1"/>
        <v>13</v>
      </c>
      <c r="C14" s="38">
        <v>2</v>
      </c>
      <c r="D14" s="86">
        <v>2023</v>
      </c>
      <c r="E14" s="3">
        <f>('Kwh Reading'!S17-'Kwh Reading'!S16)*1000</f>
        <v>-722570</v>
      </c>
      <c r="F14" s="2">
        <f>('Kwh Reading'!F17-'Kwh Reading'!F16)*1000000</f>
        <v>-3988100</v>
      </c>
      <c r="G14" s="2">
        <f>('Kwh Reading'!C17-'Kwh Reading'!C16)*1000</f>
        <v>-386490</v>
      </c>
      <c r="H14" s="2">
        <f t="shared" si="0"/>
        <v>-1557230</v>
      </c>
      <c r="I14" s="2">
        <f>('Kwh Reading'!J17-'Kwh Reading'!J16)*1000</f>
        <v>-614970</v>
      </c>
      <c r="J14" s="2">
        <f>('Kwh Reading'!K17-'Kwh Reading'!K16)*1000</f>
        <v>-552660</v>
      </c>
      <c r="K14" s="2">
        <f>('Kwh Reading'!L17-'Kwh Reading'!L16)*1000</f>
        <v>-389600</v>
      </c>
      <c r="L14" s="2">
        <f>('Kwh Reading'!R17-'Kwh Reading'!R16)</f>
        <v>-29092.799999999999</v>
      </c>
      <c r="M14" s="2">
        <f>('Kwh Reading'!I17-'Kwh Reading'!I16)*1000</f>
        <v>-420810</v>
      </c>
      <c r="N14" s="2">
        <f>('Kwh Reading'!B17-'Kwh Reading'!B16)*1000000</f>
        <v>-1681100</v>
      </c>
      <c r="O14" s="2">
        <f>('Kwh Reading'!M17-'Kwh Reading'!M16)*1000</f>
        <v>-920580</v>
      </c>
      <c r="P14" s="2">
        <f>('Kwh Reading'!H17-'Kwh Reading'!H16)*1000000</f>
        <v>-1153900</v>
      </c>
      <c r="Q14" s="2">
        <f>('Kwh Reading'!P17-'Kwh Reading'!P16)*1000000</f>
        <v>-1111900</v>
      </c>
      <c r="R14" s="2">
        <f>('Kwh Reading'!G17-'Kwh Reading'!G16)*1000000</f>
        <v>-1220200</v>
      </c>
      <c r="S14" s="2">
        <f>('Kwh Reading'!Q17-'Kwh Reading'!Q16)*1000</f>
        <v>-805530</v>
      </c>
      <c r="T14" s="2">
        <f>('Kwh Reading'!N17-'Kwh Reading'!N16)*1000</f>
        <v>-831200</v>
      </c>
      <c r="U14" s="26">
        <f>'Kwh Reading'!E17-'Kwh Reading'!E16</f>
        <v>-9824563</v>
      </c>
      <c r="V14" s="26">
        <f>'Kwh Reading'!D17-'Kwh Reading'!D16</f>
        <v>-253718.48</v>
      </c>
      <c r="W14" s="21">
        <f>('Kwh Reading'!O17-'Kwh Reading'!O16)*1000</f>
        <v>-286290</v>
      </c>
    </row>
    <row r="15" spans="1:23" x14ac:dyDescent="0.25">
      <c r="A15" s="36" t="s">
        <v>9</v>
      </c>
      <c r="B15" s="37">
        <f t="shared" si="1"/>
        <v>14</v>
      </c>
      <c r="C15" s="38">
        <v>2</v>
      </c>
      <c r="D15" s="86">
        <v>2023</v>
      </c>
      <c r="E15" s="3">
        <f>('Kwh Reading'!S18-'Kwh Reading'!S17)*1000</f>
        <v>0</v>
      </c>
      <c r="F15" s="2">
        <f>('Kwh Reading'!F18-'Kwh Reading'!F17)*1000000</f>
        <v>0</v>
      </c>
      <c r="G15" s="2">
        <f>('Kwh Reading'!C18-'Kwh Reading'!C17)*1000</f>
        <v>0</v>
      </c>
      <c r="H15" s="2">
        <f t="shared" si="0"/>
        <v>0</v>
      </c>
      <c r="I15" s="2">
        <f>('Kwh Reading'!J18-'Kwh Reading'!J17)*1000</f>
        <v>0</v>
      </c>
      <c r="J15" s="2">
        <f>('Kwh Reading'!K18-'Kwh Reading'!K17)*1000</f>
        <v>0</v>
      </c>
      <c r="K15" s="2">
        <f>('Kwh Reading'!L18-'Kwh Reading'!L17)*1000</f>
        <v>0</v>
      </c>
      <c r="L15" s="2">
        <f>('Kwh Reading'!R18-'Kwh Reading'!R17)</f>
        <v>0</v>
      </c>
      <c r="M15" s="2">
        <f>('Kwh Reading'!I18-'Kwh Reading'!I17)*1000</f>
        <v>0</v>
      </c>
      <c r="N15" s="2">
        <f>('Kwh Reading'!B18-'Kwh Reading'!B17)*1000000</f>
        <v>0</v>
      </c>
      <c r="O15" s="2">
        <f>('Kwh Reading'!M18-'Kwh Reading'!M17)*1000</f>
        <v>0</v>
      </c>
      <c r="P15" s="2">
        <f>('Kwh Reading'!H18-'Kwh Reading'!H17)*1000000</f>
        <v>0</v>
      </c>
      <c r="Q15" s="2">
        <f>('Kwh Reading'!P18-'Kwh Reading'!P17)*1000000</f>
        <v>0</v>
      </c>
      <c r="R15" s="2">
        <f>('Kwh Reading'!G18-'Kwh Reading'!G17)*1000000</f>
        <v>0</v>
      </c>
      <c r="S15" s="2">
        <f>('Kwh Reading'!Q18-'Kwh Reading'!Q17)*1000</f>
        <v>0</v>
      </c>
      <c r="T15" s="2">
        <f>('Kwh Reading'!N18-'Kwh Reading'!N17)*1000</f>
        <v>0</v>
      </c>
      <c r="U15" s="26">
        <f>'Kwh Reading'!E18-'Kwh Reading'!E17</f>
        <v>0</v>
      </c>
      <c r="V15" s="26">
        <f>'Kwh Reading'!D18-'Kwh Reading'!D17</f>
        <v>0</v>
      </c>
      <c r="W15" s="21">
        <f>('Kwh Reading'!O18-'Kwh Reading'!O17)*1000</f>
        <v>0</v>
      </c>
    </row>
    <row r="16" spans="1:23" x14ac:dyDescent="0.25">
      <c r="A16" s="36" t="s">
        <v>9</v>
      </c>
      <c r="B16" s="37">
        <f t="shared" si="1"/>
        <v>15</v>
      </c>
      <c r="C16" s="38">
        <v>2</v>
      </c>
      <c r="D16" s="86">
        <v>2023</v>
      </c>
      <c r="E16" s="3">
        <f>('Kwh Reading'!S19-'Kwh Reading'!S18)*1000</f>
        <v>0</v>
      </c>
      <c r="F16" s="2">
        <f>('Kwh Reading'!F19-'Kwh Reading'!F18)*1000000</f>
        <v>0</v>
      </c>
      <c r="G16" s="2">
        <f>('Kwh Reading'!C19-'Kwh Reading'!C18)*1000</f>
        <v>0</v>
      </c>
      <c r="H16" s="2">
        <f t="shared" si="0"/>
        <v>0</v>
      </c>
      <c r="I16" s="2">
        <f>('Kwh Reading'!J19-'Kwh Reading'!J18)*1000</f>
        <v>0</v>
      </c>
      <c r="J16" s="2">
        <f>('Kwh Reading'!K19-'Kwh Reading'!K18)*1000</f>
        <v>0</v>
      </c>
      <c r="K16" s="2">
        <f>('Kwh Reading'!L19-'Kwh Reading'!L18)*1000</f>
        <v>0</v>
      </c>
      <c r="L16" s="2">
        <f>('Kwh Reading'!R19-'Kwh Reading'!R18)</f>
        <v>0</v>
      </c>
      <c r="M16" s="2">
        <f>('Kwh Reading'!I19-'Kwh Reading'!I18)*1000</f>
        <v>0</v>
      </c>
      <c r="N16" s="2">
        <f>('Kwh Reading'!B19-'Kwh Reading'!B18)*1000000</f>
        <v>0</v>
      </c>
      <c r="O16" s="2">
        <f>('Kwh Reading'!M19-'Kwh Reading'!M18)*1000</f>
        <v>0</v>
      </c>
      <c r="P16" s="2">
        <f>('Kwh Reading'!H19-'Kwh Reading'!H18)*1000000</f>
        <v>0</v>
      </c>
      <c r="Q16" s="21">
        <f>('Kwh Reading'!P19-'Kwh Reading'!P18)*1000000</f>
        <v>0</v>
      </c>
      <c r="R16" s="2">
        <f>('Kwh Reading'!G19-'Kwh Reading'!G18)*1000000</f>
        <v>0</v>
      </c>
      <c r="S16" s="2">
        <f>('Kwh Reading'!Q19-'Kwh Reading'!Q18)*1000</f>
        <v>0</v>
      </c>
      <c r="T16" s="2">
        <f>('Kwh Reading'!N19-'Kwh Reading'!N18)*1000</f>
        <v>0</v>
      </c>
      <c r="U16" s="26">
        <f>'Kwh Reading'!E19-'Kwh Reading'!E18</f>
        <v>0</v>
      </c>
      <c r="V16" s="26">
        <f>'Kwh Reading'!D19-'Kwh Reading'!D18</f>
        <v>0</v>
      </c>
      <c r="W16" s="21">
        <f>('Kwh Reading'!O19-'Kwh Reading'!O18)*1000</f>
        <v>0</v>
      </c>
    </row>
    <row r="17" spans="1:23" x14ac:dyDescent="0.25">
      <c r="A17" s="36" t="s">
        <v>9</v>
      </c>
      <c r="B17" s="37">
        <f t="shared" si="1"/>
        <v>16</v>
      </c>
      <c r="C17" s="38">
        <v>2</v>
      </c>
      <c r="D17" s="86">
        <v>2023</v>
      </c>
      <c r="E17" s="3">
        <f>('Kwh Reading'!S20-'Kwh Reading'!S19)*1000</f>
        <v>0</v>
      </c>
      <c r="F17" s="2">
        <f>('Kwh Reading'!F20-'Kwh Reading'!F19)*1000000</f>
        <v>0</v>
      </c>
      <c r="G17" s="2">
        <f>('Kwh Reading'!C20-'Kwh Reading'!C19)*1000</f>
        <v>0</v>
      </c>
      <c r="H17" s="2">
        <f t="shared" si="0"/>
        <v>0</v>
      </c>
      <c r="I17" s="2">
        <f>('Kwh Reading'!J20-'Kwh Reading'!J19)*1000</f>
        <v>0</v>
      </c>
      <c r="J17" s="2">
        <f>('Kwh Reading'!K20-'Kwh Reading'!K19)*1000</f>
        <v>0</v>
      </c>
      <c r="K17" s="2">
        <f>('Kwh Reading'!L20-'Kwh Reading'!L19)*1000</f>
        <v>0</v>
      </c>
      <c r="L17" s="2">
        <f>('Kwh Reading'!R20-'Kwh Reading'!R19)</f>
        <v>0</v>
      </c>
      <c r="M17" s="2">
        <f>('Kwh Reading'!I20-'Kwh Reading'!I19)*1000</f>
        <v>0</v>
      </c>
      <c r="N17" s="2">
        <f>('Kwh Reading'!B20-'Kwh Reading'!B19)*1000000</f>
        <v>0</v>
      </c>
      <c r="O17" s="2">
        <f>('Kwh Reading'!M20-'Kwh Reading'!M19)*1000</f>
        <v>0</v>
      </c>
      <c r="P17" s="2">
        <f>('Kwh Reading'!H20-'Kwh Reading'!H19)*1000000</f>
        <v>0</v>
      </c>
      <c r="Q17" s="2">
        <f>('Kwh Reading'!P20-'Kwh Reading'!P19)*1000000</f>
        <v>0</v>
      </c>
      <c r="R17" s="2">
        <f>('Kwh Reading'!G20-'Kwh Reading'!G19)*1000000</f>
        <v>0</v>
      </c>
      <c r="S17" s="2">
        <f>('Kwh Reading'!Q20-'Kwh Reading'!Q19)*1000</f>
        <v>0</v>
      </c>
      <c r="T17" s="2">
        <f>('Kwh Reading'!N20-'Kwh Reading'!N19)*1000</f>
        <v>0</v>
      </c>
      <c r="U17" s="26">
        <f>'Kwh Reading'!E20-'Kwh Reading'!E19</f>
        <v>0</v>
      </c>
      <c r="V17" s="26">
        <f>'Kwh Reading'!D20-'Kwh Reading'!D19</f>
        <v>0</v>
      </c>
      <c r="W17" s="21">
        <f>('Kwh Reading'!O20-'Kwh Reading'!O19)*1000</f>
        <v>0</v>
      </c>
    </row>
    <row r="18" spans="1:23" x14ac:dyDescent="0.25">
      <c r="A18" s="36" t="s">
        <v>9</v>
      </c>
      <c r="B18" s="37">
        <f t="shared" si="1"/>
        <v>17</v>
      </c>
      <c r="C18" s="38">
        <v>2</v>
      </c>
      <c r="D18" s="86">
        <v>2023</v>
      </c>
      <c r="E18" s="3">
        <f>('Kwh Reading'!S21-'Kwh Reading'!S20)*1000</f>
        <v>0</v>
      </c>
      <c r="F18" s="2">
        <f>('Kwh Reading'!F21-'Kwh Reading'!F20)*1000000</f>
        <v>0</v>
      </c>
      <c r="G18" s="2">
        <f>('Kwh Reading'!C21-'Kwh Reading'!C20)*1000</f>
        <v>0</v>
      </c>
      <c r="H18" s="2">
        <f t="shared" si="0"/>
        <v>0</v>
      </c>
      <c r="I18" s="2">
        <f>('Kwh Reading'!J21-'Kwh Reading'!J20)*1000</f>
        <v>0</v>
      </c>
      <c r="J18" s="2">
        <f>('Kwh Reading'!K21-'Kwh Reading'!K20)*1000</f>
        <v>0</v>
      </c>
      <c r="K18" s="21">
        <f>('Kwh Reading'!L21-'Kwh Reading'!L20)*1000</f>
        <v>0</v>
      </c>
      <c r="L18" s="2">
        <f>('Kwh Reading'!R21-'Kwh Reading'!R20)</f>
        <v>0</v>
      </c>
      <c r="M18" s="2">
        <f>('Kwh Reading'!I21-'Kwh Reading'!I20)*1000</f>
        <v>0</v>
      </c>
      <c r="N18" s="2">
        <f>('Kwh Reading'!B21-'Kwh Reading'!B20)*1000000</f>
        <v>0</v>
      </c>
      <c r="O18" s="2">
        <f>('Kwh Reading'!M21-'Kwh Reading'!M20)*1000</f>
        <v>0</v>
      </c>
      <c r="P18" s="2">
        <f>('Kwh Reading'!H21-'Kwh Reading'!H20)*1000000</f>
        <v>0</v>
      </c>
      <c r="Q18" s="2">
        <f>('Kwh Reading'!P21-'Kwh Reading'!P20)*1000000</f>
        <v>0</v>
      </c>
      <c r="R18" s="2">
        <f>('Kwh Reading'!G21-'Kwh Reading'!G20)*1000000</f>
        <v>0</v>
      </c>
      <c r="S18" s="2">
        <f>('Kwh Reading'!Q21-'Kwh Reading'!Q20)*1000</f>
        <v>0</v>
      </c>
      <c r="T18" s="2">
        <f>('Kwh Reading'!N21-'Kwh Reading'!N20)*1000</f>
        <v>0</v>
      </c>
      <c r="U18" s="26">
        <f>'Kwh Reading'!E21-'Kwh Reading'!E20</f>
        <v>0</v>
      </c>
      <c r="V18" s="26">
        <f>'Kwh Reading'!D21-'Kwh Reading'!D20</f>
        <v>0</v>
      </c>
      <c r="W18" s="21">
        <f>('Kwh Reading'!O21-'Kwh Reading'!O20)*1000</f>
        <v>0</v>
      </c>
    </row>
    <row r="19" spans="1:23" ht="16.5" customHeight="1" x14ac:dyDescent="0.25">
      <c r="A19" s="36" t="s">
        <v>9</v>
      </c>
      <c r="B19" s="37">
        <f t="shared" si="1"/>
        <v>18</v>
      </c>
      <c r="C19" s="38">
        <v>2</v>
      </c>
      <c r="D19" s="86">
        <v>2023</v>
      </c>
      <c r="E19" s="3">
        <f>('Kwh Reading'!S22-'Kwh Reading'!S21)*1000</f>
        <v>0</v>
      </c>
      <c r="F19" s="2">
        <f>('Kwh Reading'!F22-'Kwh Reading'!F21)*1000000</f>
        <v>0</v>
      </c>
      <c r="G19" s="2">
        <f>('Kwh Reading'!C22-'Kwh Reading'!C21)*1000</f>
        <v>0</v>
      </c>
      <c r="H19" s="2">
        <f t="shared" si="0"/>
        <v>0</v>
      </c>
      <c r="I19" s="2">
        <f>('Kwh Reading'!J22-'Kwh Reading'!J21)*1000</f>
        <v>0</v>
      </c>
      <c r="J19" s="2">
        <f>('Kwh Reading'!K22-'Kwh Reading'!K21)*1000</f>
        <v>0</v>
      </c>
      <c r="K19" s="2">
        <f>('Kwh Reading'!L22-'Kwh Reading'!L21)*1000</f>
        <v>0</v>
      </c>
      <c r="L19" s="2">
        <f>('Kwh Reading'!R22-'Kwh Reading'!R21)</f>
        <v>0</v>
      </c>
      <c r="M19" s="2">
        <f>('Kwh Reading'!I22-'Kwh Reading'!I21)*1000</f>
        <v>0</v>
      </c>
      <c r="N19" s="2">
        <f>('Kwh Reading'!B22-'Kwh Reading'!B21)*1000000</f>
        <v>0</v>
      </c>
      <c r="O19" s="2">
        <f>('Kwh Reading'!M22-'Kwh Reading'!M21)*1000</f>
        <v>0</v>
      </c>
      <c r="P19" s="2">
        <f>('Kwh Reading'!H22-'Kwh Reading'!H21)*1000000</f>
        <v>0</v>
      </c>
      <c r="Q19" s="2">
        <f>('Kwh Reading'!P22-'Kwh Reading'!P21)*1000000</f>
        <v>0</v>
      </c>
      <c r="R19" s="2">
        <f>('Kwh Reading'!G22-'Kwh Reading'!G21)*1000000</f>
        <v>0</v>
      </c>
      <c r="S19" s="2">
        <f>('Kwh Reading'!Q22-'Kwh Reading'!Q21)*1000</f>
        <v>0</v>
      </c>
      <c r="T19" s="2">
        <f>('Kwh Reading'!N22-'Kwh Reading'!N21)*1000</f>
        <v>0</v>
      </c>
      <c r="U19" s="26">
        <f>'Kwh Reading'!E22-'Kwh Reading'!E21</f>
        <v>0</v>
      </c>
      <c r="V19" s="26">
        <f>'Kwh Reading'!D22-'Kwh Reading'!D21</f>
        <v>0</v>
      </c>
      <c r="W19" s="21">
        <f>('Kwh Reading'!O22-'Kwh Reading'!O21)*1000</f>
        <v>0</v>
      </c>
    </row>
    <row r="20" spans="1:23" x14ac:dyDescent="0.25">
      <c r="A20" s="36" t="s">
        <v>9</v>
      </c>
      <c r="B20" s="37">
        <f t="shared" si="1"/>
        <v>19</v>
      </c>
      <c r="C20" s="38">
        <v>2</v>
      </c>
      <c r="D20" s="86">
        <v>2023</v>
      </c>
      <c r="E20" s="3">
        <f>('Kwh Reading'!S23-'Kwh Reading'!S22)*1000</f>
        <v>0</v>
      </c>
      <c r="F20" s="2">
        <f>('Kwh Reading'!F23-'Kwh Reading'!F22)*1000000</f>
        <v>0</v>
      </c>
      <c r="G20" s="2">
        <f>('Kwh Reading'!C23-'Kwh Reading'!C22)*1000</f>
        <v>0</v>
      </c>
      <c r="H20" s="2">
        <f t="shared" si="0"/>
        <v>0</v>
      </c>
      <c r="I20" s="2">
        <f>('Kwh Reading'!J23-'Kwh Reading'!J22)*1000</f>
        <v>0</v>
      </c>
      <c r="J20" s="2">
        <f>('Kwh Reading'!K23-'Kwh Reading'!K22)*1000</f>
        <v>0</v>
      </c>
      <c r="K20" s="2">
        <f>('Kwh Reading'!L23-'Kwh Reading'!L22)*1000</f>
        <v>0</v>
      </c>
      <c r="L20" s="2">
        <f>('Kwh Reading'!R23-'Kwh Reading'!R22)</f>
        <v>0</v>
      </c>
      <c r="M20" s="2">
        <f>('Kwh Reading'!I23-'Kwh Reading'!I22)*1000</f>
        <v>0</v>
      </c>
      <c r="N20" s="2">
        <f>('Kwh Reading'!B23-'Kwh Reading'!B22)*1000000</f>
        <v>0</v>
      </c>
      <c r="O20" s="21">
        <f>('Kwh Reading'!M23-'Kwh Reading'!M22)*1000</f>
        <v>0</v>
      </c>
      <c r="P20" s="2">
        <f>('Kwh Reading'!H23-'Kwh Reading'!H22)*1000000</f>
        <v>0</v>
      </c>
      <c r="Q20" s="2">
        <f>('Kwh Reading'!P23-'Kwh Reading'!P22)*1000000</f>
        <v>0</v>
      </c>
      <c r="R20" s="2">
        <f>('Kwh Reading'!G23-'Kwh Reading'!G22)*1000000</f>
        <v>0</v>
      </c>
      <c r="S20" s="2">
        <f>('Kwh Reading'!Q23-'Kwh Reading'!Q22)*1000</f>
        <v>0</v>
      </c>
      <c r="T20" s="2">
        <f>('Kwh Reading'!N23-'Kwh Reading'!N22)*1000</f>
        <v>0</v>
      </c>
      <c r="U20" s="26">
        <f>'Kwh Reading'!E23-'Kwh Reading'!E22</f>
        <v>0</v>
      </c>
      <c r="V20" s="26">
        <f>'Kwh Reading'!D23-'Kwh Reading'!D22</f>
        <v>0</v>
      </c>
      <c r="W20" s="21">
        <f>('Kwh Reading'!O23-'Kwh Reading'!O22)*1000</f>
        <v>0</v>
      </c>
    </row>
    <row r="21" spans="1:23" x14ac:dyDescent="0.25">
      <c r="A21" s="36" t="s">
        <v>9</v>
      </c>
      <c r="B21" s="37">
        <f t="shared" si="1"/>
        <v>20</v>
      </c>
      <c r="C21" s="38">
        <v>2</v>
      </c>
      <c r="D21" s="86">
        <v>2023</v>
      </c>
      <c r="E21" s="3">
        <f>('Kwh Reading'!S24-'Kwh Reading'!S23)*1000</f>
        <v>0</v>
      </c>
      <c r="F21" s="2">
        <f>('Kwh Reading'!F24-'Kwh Reading'!F23)*1000000</f>
        <v>0</v>
      </c>
      <c r="G21" s="2">
        <f>('Kwh Reading'!C24-'Kwh Reading'!C23)*1000</f>
        <v>0</v>
      </c>
      <c r="H21" s="2">
        <f t="shared" si="0"/>
        <v>0</v>
      </c>
      <c r="I21" s="2">
        <f>('Kwh Reading'!J24-'Kwh Reading'!J23)*1000</f>
        <v>0</v>
      </c>
      <c r="J21" s="2">
        <f>('Kwh Reading'!K24-'Kwh Reading'!K23)*1000</f>
        <v>0</v>
      </c>
      <c r="K21" s="2">
        <f>('Kwh Reading'!L24-'Kwh Reading'!L23)*1000</f>
        <v>0</v>
      </c>
      <c r="L21" s="2">
        <f>('Kwh Reading'!R24-'Kwh Reading'!R23)</f>
        <v>0</v>
      </c>
      <c r="M21" s="2">
        <f>('Kwh Reading'!I24-'Kwh Reading'!I23)*1000</f>
        <v>0</v>
      </c>
      <c r="N21" s="2">
        <f>('Kwh Reading'!B24-'Kwh Reading'!B23)*1000000</f>
        <v>0</v>
      </c>
      <c r="O21" s="2">
        <f>('Kwh Reading'!M24-'Kwh Reading'!M23)*1000</f>
        <v>0</v>
      </c>
      <c r="P21" s="2">
        <f>('Kwh Reading'!H24-'Kwh Reading'!H23)*1000000</f>
        <v>0</v>
      </c>
      <c r="Q21" s="2">
        <f>('Kwh Reading'!P24-'Kwh Reading'!P23)*1000000</f>
        <v>0</v>
      </c>
      <c r="R21" s="2">
        <f>('Kwh Reading'!G24-'Kwh Reading'!G23)*1000000</f>
        <v>0</v>
      </c>
      <c r="S21" s="2">
        <f>('Kwh Reading'!Q24-'Kwh Reading'!Q23)*1000</f>
        <v>0</v>
      </c>
      <c r="T21" s="2">
        <f>('Kwh Reading'!N24-'Kwh Reading'!N23)*1000</f>
        <v>0</v>
      </c>
      <c r="U21" s="26">
        <f>'Kwh Reading'!E24-'Kwh Reading'!E23</f>
        <v>0</v>
      </c>
      <c r="V21" s="108">
        <f>'Kwh Reading'!D24-'Kwh Reading'!D23</f>
        <v>0</v>
      </c>
      <c r="W21" s="21">
        <f>('Kwh Reading'!O24-'Kwh Reading'!O23)*1000</f>
        <v>0</v>
      </c>
    </row>
    <row r="22" spans="1:23" x14ac:dyDescent="0.25">
      <c r="A22" s="36" t="s">
        <v>9</v>
      </c>
      <c r="B22" s="37">
        <f t="shared" si="1"/>
        <v>21</v>
      </c>
      <c r="C22" s="38">
        <v>2</v>
      </c>
      <c r="D22" s="86">
        <v>2023</v>
      </c>
      <c r="E22" s="3">
        <f>('Kwh Reading'!S25-'Kwh Reading'!S24)*1000</f>
        <v>0</v>
      </c>
      <c r="F22" s="2">
        <f>('Kwh Reading'!F25-'Kwh Reading'!F24)*1000000</f>
        <v>0</v>
      </c>
      <c r="G22" s="2">
        <f>('Kwh Reading'!C25-'Kwh Reading'!C24)*1000</f>
        <v>0</v>
      </c>
      <c r="H22" s="2">
        <f t="shared" si="0"/>
        <v>0</v>
      </c>
      <c r="I22" s="2">
        <f>('Kwh Reading'!J25-'Kwh Reading'!J24)*1000</f>
        <v>0</v>
      </c>
      <c r="J22" s="2">
        <f>('Kwh Reading'!K25-'Kwh Reading'!K24)*1000</f>
        <v>0</v>
      </c>
      <c r="K22" s="2">
        <f>('Kwh Reading'!L25-'Kwh Reading'!L24)*1000</f>
        <v>0</v>
      </c>
      <c r="L22" s="2">
        <f>('Kwh Reading'!R25-'Kwh Reading'!R24)</f>
        <v>0</v>
      </c>
      <c r="M22" s="2">
        <f>('Kwh Reading'!I25-'Kwh Reading'!I24)*1000</f>
        <v>0</v>
      </c>
      <c r="N22" s="2">
        <f>('Kwh Reading'!B25-'Kwh Reading'!B24)*1000000</f>
        <v>0</v>
      </c>
      <c r="O22" s="2">
        <f>('Kwh Reading'!M25-'Kwh Reading'!M24)*1000</f>
        <v>0</v>
      </c>
      <c r="P22" s="2">
        <f>('Kwh Reading'!H25-'Kwh Reading'!H24)*1000000</f>
        <v>0</v>
      </c>
      <c r="Q22" s="2">
        <f>('Kwh Reading'!P25-'Kwh Reading'!P24)*1000000</f>
        <v>0</v>
      </c>
      <c r="R22" s="2">
        <f>('Kwh Reading'!G25-'Kwh Reading'!G24)*1000000</f>
        <v>0</v>
      </c>
      <c r="S22" s="2">
        <f>('Kwh Reading'!Q25-'Kwh Reading'!Q24)*1000</f>
        <v>0</v>
      </c>
      <c r="T22" s="2">
        <f>('Kwh Reading'!N25-'Kwh Reading'!N24)*1000</f>
        <v>0</v>
      </c>
      <c r="U22" s="2">
        <f>'Kwh Reading'!E25-'Kwh Reading'!E24</f>
        <v>0</v>
      </c>
      <c r="V22" s="2">
        <f>'Kwh Reading'!D25-'Kwh Reading'!D24</f>
        <v>0</v>
      </c>
      <c r="W22" s="21">
        <f>('Kwh Reading'!O25-'Kwh Reading'!O24)*1000</f>
        <v>0</v>
      </c>
    </row>
    <row r="23" spans="1:23" x14ac:dyDescent="0.25">
      <c r="A23" s="36" t="s">
        <v>9</v>
      </c>
      <c r="B23" s="37">
        <f t="shared" si="1"/>
        <v>22</v>
      </c>
      <c r="C23" s="38">
        <v>2</v>
      </c>
      <c r="D23" s="86">
        <v>2023</v>
      </c>
      <c r="E23" s="3">
        <f>('Kwh Reading'!S26-'Kwh Reading'!S25)*1000</f>
        <v>0</v>
      </c>
      <c r="F23" s="2">
        <f>('Kwh Reading'!F26-'Kwh Reading'!F25)*1000000</f>
        <v>0</v>
      </c>
      <c r="G23" s="2">
        <f>('Kwh Reading'!C26-'Kwh Reading'!C25)*1000</f>
        <v>0</v>
      </c>
      <c r="H23" s="2">
        <f t="shared" si="0"/>
        <v>0</v>
      </c>
      <c r="I23" s="2">
        <f>('Kwh Reading'!J26-'Kwh Reading'!J25)*1000</f>
        <v>0</v>
      </c>
      <c r="J23" s="2">
        <f>('Kwh Reading'!K26-'Kwh Reading'!K25)*1000</f>
        <v>0</v>
      </c>
      <c r="K23" s="2">
        <f>('Kwh Reading'!L26-'Kwh Reading'!L25)*1000</f>
        <v>0</v>
      </c>
      <c r="L23" s="2">
        <f>('Kwh Reading'!R26-'Kwh Reading'!R25)</f>
        <v>0</v>
      </c>
      <c r="M23" s="2">
        <f>('Kwh Reading'!I26-'Kwh Reading'!I25)*1000</f>
        <v>0</v>
      </c>
      <c r="N23" s="2">
        <f>('Kwh Reading'!B26-'Kwh Reading'!B25)*1000000</f>
        <v>0</v>
      </c>
      <c r="O23" s="2">
        <f>('Kwh Reading'!M26-'Kwh Reading'!M25)*1000</f>
        <v>0</v>
      </c>
      <c r="P23" s="2">
        <f>('Kwh Reading'!H26-'Kwh Reading'!H25)*1000000</f>
        <v>0</v>
      </c>
      <c r="Q23" s="2">
        <f>('Kwh Reading'!P26-'Kwh Reading'!P25)*1000000</f>
        <v>0</v>
      </c>
      <c r="R23" s="2">
        <f>('Kwh Reading'!G26-'Kwh Reading'!G25)*1000000</f>
        <v>0</v>
      </c>
      <c r="S23" s="2">
        <f>('Kwh Reading'!Q26-'Kwh Reading'!Q25)*1000</f>
        <v>0</v>
      </c>
      <c r="T23" s="2">
        <f>('Kwh Reading'!N26-'Kwh Reading'!N25)*1000</f>
        <v>0</v>
      </c>
      <c r="U23" s="2">
        <f>'Kwh Reading'!E26-'Kwh Reading'!E25</f>
        <v>0</v>
      </c>
      <c r="V23" s="2">
        <f>'Kwh Reading'!D26-'Kwh Reading'!D25</f>
        <v>0</v>
      </c>
      <c r="W23" s="21">
        <f>('Kwh Reading'!O26-'Kwh Reading'!O25)*1000</f>
        <v>0</v>
      </c>
    </row>
    <row r="24" spans="1:23" x14ac:dyDescent="0.25">
      <c r="A24" s="36" t="s">
        <v>9</v>
      </c>
      <c r="B24" s="37">
        <f t="shared" si="1"/>
        <v>23</v>
      </c>
      <c r="C24" s="38">
        <v>2</v>
      </c>
      <c r="D24" s="86">
        <v>2023</v>
      </c>
      <c r="E24" s="3">
        <f>('Kwh Reading'!S27-'Kwh Reading'!S26)*1000</f>
        <v>0</v>
      </c>
      <c r="F24" s="2">
        <f>('Kwh Reading'!F27-'Kwh Reading'!F26)*1000000</f>
        <v>0</v>
      </c>
      <c r="G24" s="2">
        <f>('Kwh Reading'!C27-'Kwh Reading'!C26)*1000</f>
        <v>0</v>
      </c>
      <c r="H24" s="2">
        <f t="shared" si="0"/>
        <v>0</v>
      </c>
      <c r="I24" s="2">
        <f>('Kwh Reading'!J27-'Kwh Reading'!J26)*1000</f>
        <v>0</v>
      </c>
      <c r="J24" s="2">
        <f>('Kwh Reading'!K27-'Kwh Reading'!K26)*1000</f>
        <v>0</v>
      </c>
      <c r="K24" s="2">
        <f>('Kwh Reading'!L27-'Kwh Reading'!L26)*1000</f>
        <v>0</v>
      </c>
      <c r="L24" s="2">
        <f>('Kwh Reading'!R27-'Kwh Reading'!R26)</f>
        <v>0</v>
      </c>
      <c r="M24" s="2">
        <f>('Kwh Reading'!I27-'Kwh Reading'!I26)*1000</f>
        <v>0</v>
      </c>
      <c r="N24" s="2">
        <f>('Kwh Reading'!B27-'Kwh Reading'!B26)*1000000</f>
        <v>0</v>
      </c>
      <c r="O24" s="2">
        <f>('Kwh Reading'!M27-'Kwh Reading'!M26)*1000</f>
        <v>0</v>
      </c>
      <c r="P24" s="2">
        <f>('Kwh Reading'!H27-'Kwh Reading'!H26)*1000000</f>
        <v>0</v>
      </c>
      <c r="Q24" s="2">
        <f>('Kwh Reading'!P27-'Kwh Reading'!P26)*1000000</f>
        <v>0</v>
      </c>
      <c r="R24" s="2">
        <f>('Kwh Reading'!G27-'Kwh Reading'!G26)*1000000</f>
        <v>0</v>
      </c>
      <c r="S24" s="2">
        <f>('Kwh Reading'!Q27-'Kwh Reading'!Q26)*1000</f>
        <v>0</v>
      </c>
      <c r="T24" s="2">
        <f>('Kwh Reading'!N27-'Kwh Reading'!N26)*1000</f>
        <v>0</v>
      </c>
      <c r="U24" s="2">
        <f>'Kwh Reading'!E27-'Kwh Reading'!E26</f>
        <v>0</v>
      </c>
      <c r="V24" s="2">
        <f>'Kwh Reading'!D27-'Kwh Reading'!D26</f>
        <v>0</v>
      </c>
      <c r="W24" s="21">
        <f>('Kwh Reading'!O27-'Kwh Reading'!O26)*1000</f>
        <v>0</v>
      </c>
    </row>
    <row r="25" spans="1:23" s="95" customFormat="1" x14ac:dyDescent="0.25">
      <c r="A25" s="36" t="s">
        <v>9</v>
      </c>
      <c r="B25" s="37">
        <f t="shared" si="1"/>
        <v>24</v>
      </c>
      <c r="C25" s="38">
        <v>2</v>
      </c>
      <c r="D25" s="86">
        <v>2023</v>
      </c>
      <c r="E25" s="94">
        <f>('Kwh Reading'!S28-'Kwh Reading'!S27)*1000</f>
        <v>0</v>
      </c>
      <c r="F25" s="21">
        <f>('Kwh Reading'!F28-'Kwh Reading'!F27)*1000000</f>
        <v>0</v>
      </c>
      <c r="G25" s="21">
        <f>('Kwh Reading'!C28-'Kwh Reading'!C27)*1000</f>
        <v>0</v>
      </c>
      <c r="H25" s="2">
        <f t="shared" si="0"/>
        <v>0</v>
      </c>
      <c r="I25" s="21">
        <f>('Kwh Reading'!J28-'Kwh Reading'!J27)*1000</f>
        <v>0</v>
      </c>
      <c r="J25" s="21">
        <f>('Kwh Reading'!K28-'Kwh Reading'!K27)*1000</f>
        <v>0</v>
      </c>
      <c r="K25" s="21">
        <f>('Kwh Reading'!L28-'Kwh Reading'!L27)*1000</f>
        <v>0</v>
      </c>
      <c r="L25" s="2">
        <f>('Kwh Reading'!R28-'Kwh Reading'!R27)</f>
        <v>0</v>
      </c>
      <c r="M25" s="21">
        <f>('Kwh Reading'!I28-'Kwh Reading'!I27)*1000</f>
        <v>0</v>
      </c>
      <c r="N25" s="2">
        <f>('Kwh Reading'!B28-'Kwh Reading'!B27)*1000000</f>
        <v>0</v>
      </c>
      <c r="O25" s="21">
        <f>('Kwh Reading'!M28-'Kwh Reading'!M27)*1000</f>
        <v>0</v>
      </c>
      <c r="P25" s="2">
        <f>('Kwh Reading'!H28-'Kwh Reading'!H27)*1000000</f>
        <v>0</v>
      </c>
      <c r="Q25" s="2">
        <f>('Kwh Reading'!P28-'Kwh Reading'!P27)*1000000</f>
        <v>0</v>
      </c>
      <c r="R25" s="21">
        <f>('Kwh Reading'!G28-'Kwh Reading'!G27)*1000000</f>
        <v>0</v>
      </c>
      <c r="S25" s="21">
        <f>('Kwh Reading'!Q28-'Kwh Reading'!Q27)*1000</f>
        <v>0</v>
      </c>
      <c r="T25" s="21">
        <f>('Kwh Reading'!N28-'Kwh Reading'!N27)*1000</f>
        <v>0</v>
      </c>
      <c r="U25" s="21">
        <f>'Kwh Reading'!E28-'Kwh Reading'!E27</f>
        <v>0</v>
      </c>
      <c r="V25" s="21">
        <f>'Kwh Reading'!D28-'Kwh Reading'!D27</f>
        <v>0</v>
      </c>
      <c r="W25" s="21">
        <f>('Kwh Reading'!O28-'Kwh Reading'!O27)*1000</f>
        <v>0</v>
      </c>
    </row>
    <row r="26" spans="1:23" s="95" customFormat="1" x14ac:dyDescent="0.25">
      <c r="A26" s="36" t="s">
        <v>9</v>
      </c>
      <c r="B26" s="37">
        <f>B25+1</f>
        <v>25</v>
      </c>
      <c r="C26" s="38">
        <v>2</v>
      </c>
      <c r="D26" s="86">
        <v>2023</v>
      </c>
      <c r="E26" s="94">
        <f>('Kwh Reading'!S29-'Kwh Reading'!S28)*1000</f>
        <v>0</v>
      </c>
      <c r="F26" s="21">
        <f>('Kwh Reading'!F29-'Kwh Reading'!F28)*1000000</f>
        <v>0</v>
      </c>
      <c r="G26" s="21">
        <f>('Kwh Reading'!C29-'Kwh Reading'!C28)*1000</f>
        <v>0</v>
      </c>
      <c r="H26" s="2">
        <f t="shared" si="0"/>
        <v>0</v>
      </c>
      <c r="I26" s="21">
        <f>('Kwh Reading'!J29-'Kwh Reading'!J28)*1000</f>
        <v>0</v>
      </c>
      <c r="J26" s="21">
        <f>('Kwh Reading'!K29-'Kwh Reading'!K28)*1000</f>
        <v>0</v>
      </c>
      <c r="K26" s="21">
        <f>('Kwh Reading'!L29-'Kwh Reading'!L28)*1000</f>
        <v>0</v>
      </c>
      <c r="L26" s="2">
        <f>('Kwh Reading'!R29-'Kwh Reading'!R28)</f>
        <v>0</v>
      </c>
      <c r="M26" s="21">
        <f>('Kwh Reading'!I29-'Kwh Reading'!I28)*1000</f>
        <v>0</v>
      </c>
      <c r="N26" s="2">
        <f>('Kwh Reading'!B29-'Kwh Reading'!B28)*1000000</f>
        <v>0</v>
      </c>
      <c r="O26" s="21">
        <f>('Kwh Reading'!M29-'Kwh Reading'!M28)*1000</f>
        <v>0</v>
      </c>
      <c r="P26" s="2">
        <f>('Kwh Reading'!H29-'Kwh Reading'!H28)*1000000</f>
        <v>0</v>
      </c>
      <c r="Q26" s="2">
        <f>('Kwh Reading'!P29-'Kwh Reading'!P28)*1000000</f>
        <v>0</v>
      </c>
      <c r="R26" s="21">
        <f>('Kwh Reading'!G29-'Kwh Reading'!G28)*1000000</f>
        <v>0</v>
      </c>
      <c r="S26" s="21">
        <f>('Kwh Reading'!Q29-'Kwh Reading'!Q28)*1000</f>
        <v>0</v>
      </c>
      <c r="T26" s="21">
        <f>('Kwh Reading'!N29-'Kwh Reading'!N28)*1000</f>
        <v>0</v>
      </c>
      <c r="U26" s="21">
        <f>'Kwh Reading'!E29-'Kwh Reading'!E28</f>
        <v>0</v>
      </c>
      <c r="V26" s="21">
        <f>'Kwh Reading'!D29-'Kwh Reading'!D28</f>
        <v>0</v>
      </c>
      <c r="W26" s="21">
        <f>('Kwh Reading'!O29-'Kwh Reading'!O28)*1000</f>
        <v>0</v>
      </c>
    </row>
    <row r="27" spans="1:23" x14ac:dyDescent="0.25">
      <c r="A27" s="36" t="s">
        <v>9</v>
      </c>
      <c r="B27" s="37">
        <f t="shared" si="1"/>
        <v>26</v>
      </c>
      <c r="C27" s="38">
        <v>2</v>
      </c>
      <c r="D27" s="86">
        <v>2023</v>
      </c>
      <c r="E27" s="3">
        <f>('Kwh Reading'!S30-'Kwh Reading'!S29)*1000</f>
        <v>0</v>
      </c>
      <c r="F27" s="2">
        <f>('Kwh Reading'!F30-'Kwh Reading'!F29)*1000000</f>
        <v>0</v>
      </c>
      <c r="G27" s="2">
        <f>('Kwh Reading'!C30-'Kwh Reading'!C29)*1000</f>
        <v>0</v>
      </c>
      <c r="H27" s="2">
        <f t="shared" si="0"/>
        <v>0</v>
      </c>
      <c r="I27" s="2">
        <f>('Kwh Reading'!J30-'Kwh Reading'!J29)*1000</f>
        <v>0</v>
      </c>
      <c r="J27" s="2">
        <f>('Kwh Reading'!K30-'Kwh Reading'!K29)*1000</f>
        <v>0</v>
      </c>
      <c r="K27" s="2">
        <f>('Kwh Reading'!L30-'Kwh Reading'!L29)*1000</f>
        <v>0</v>
      </c>
      <c r="L27" s="2">
        <f>('Kwh Reading'!R30-'Kwh Reading'!R29)</f>
        <v>0</v>
      </c>
      <c r="M27" s="2">
        <f>('Kwh Reading'!I30-'Kwh Reading'!I29)*1000</f>
        <v>0</v>
      </c>
      <c r="N27" s="2">
        <f>('Kwh Reading'!B30-'Kwh Reading'!B29)*1000000</f>
        <v>0</v>
      </c>
      <c r="O27" s="2">
        <f>('Kwh Reading'!M30-'Kwh Reading'!M29)*1000</f>
        <v>0</v>
      </c>
      <c r="P27" s="2">
        <f>('Kwh Reading'!H30-'Kwh Reading'!H29)*1000000</f>
        <v>0</v>
      </c>
      <c r="Q27" s="2">
        <f>('Kwh Reading'!P30-'Kwh Reading'!P29)*1000000</f>
        <v>0</v>
      </c>
      <c r="R27" s="2">
        <f>('Kwh Reading'!G30-'Kwh Reading'!G29)*1000000</f>
        <v>0</v>
      </c>
      <c r="S27" s="2">
        <f>('Kwh Reading'!Q30-'Kwh Reading'!Q29)*1000</f>
        <v>0</v>
      </c>
      <c r="T27" s="2">
        <f>('Kwh Reading'!N30-'Kwh Reading'!N29)*1000</f>
        <v>0</v>
      </c>
      <c r="U27" s="2">
        <f>'Kwh Reading'!E30-'Kwh Reading'!E29</f>
        <v>0</v>
      </c>
      <c r="V27" s="2">
        <f>'Kwh Reading'!D30-'Kwh Reading'!D29</f>
        <v>0</v>
      </c>
      <c r="W27" s="21">
        <f>('Kwh Reading'!O30-'Kwh Reading'!O29)*1000</f>
        <v>0</v>
      </c>
    </row>
    <row r="28" spans="1:23" x14ac:dyDescent="0.25">
      <c r="A28" s="36" t="s">
        <v>9</v>
      </c>
      <c r="B28" s="37">
        <f t="shared" si="1"/>
        <v>27</v>
      </c>
      <c r="C28" s="38">
        <v>2</v>
      </c>
      <c r="D28" s="86">
        <v>2023</v>
      </c>
      <c r="E28" s="3">
        <f>('Kwh Reading'!S31-'Kwh Reading'!S30)*1000</f>
        <v>0</v>
      </c>
      <c r="F28" s="2">
        <f>('Kwh Reading'!F31-'Kwh Reading'!F30)*1000000</f>
        <v>0</v>
      </c>
      <c r="G28" s="2">
        <f>('Kwh Reading'!C31-'Kwh Reading'!C30)*1000</f>
        <v>0</v>
      </c>
      <c r="H28" s="2">
        <f t="shared" si="0"/>
        <v>0</v>
      </c>
      <c r="I28" s="2">
        <f>('Kwh Reading'!J31-'Kwh Reading'!J30)*1000</f>
        <v>0</v>
      </c>
      <c r="J28" s="2">
        <f>('Kwh Reading'!K31-'Kwh Reading'!K30)*1000</f>
        <v>0</v>
      </c>
      <c r="K28" s="2">
        <f>('Kwh Reading'!L31-'Kwh Reading'!L30)*1000</f>
        <v>0</v>
      </c>
      <c r="L28" s="2">
        <f>('Kwh Reading'!R31-'Kwh Reading'!R30)</f>
        <v>0</v>
      </c>
      <c r="M28" s="2">
        <f>('Kwh Reading'!I31-'Kwh Reading'!I30)*1000</f>
        <v>0</v>
      </c>
      <c r="N28" s="2">
        <f>('Kwh Reading'!B31-'Kwh Reading'!B30)*1000000</f>
        <v>0</v>
      </c>
      <c r="O28" s="2">
        <f>('Kwh Reading'!M31-'Kwh Reading'!M30)*1000</f>
        <v>0</v>
      </c>
      <c r="P28" s="2">
        <f>('Kwh Reading'!H31-'Kwh Reading'!H30)*1000000</f>
        <v>0</v>
      </c>
      <c r="Q28" s="2">
        <f>('Kwh Reading'!P31-'Kwh Reading'!P30)*1000000</f>
        <v>0</v>
      </c>
      <c r="R28" s="2">
        <f>('Kwh Reading'!G31-'Kwh Reading'!G30)*1000000</f>
        <v>0</v>
      </c>
      <c r="S28" s="2">
        <f>('Kwh Reading'!Q31-'Kwh Reading'!Q30)*1000</f>
        <v>0</v>
      </c>
      <c r="T28" s="2">
        <f>('Kwh Reading'!N31-'Kwh Reading'!N30)*1000</f>
        <v>0</v>
      </c>
      <c r="U28" s="2">
        <f>'Kwh Reading'!E31-'Kwh Reading'!E30</f>
        <v>0</v>
      </c>
      <c r="V28" s="2">
        <f>'Kwh Reading'!D31-'Kwh Reading'!D30</f>
        <v>0</v>
      </c>
      <c r="W28" s="21">
        <f>('Kwh Reading'!O31-'Kwh Reading'!O30)*1000</f>
        <v>0</v>
      </c>
    </row>
    <row r="29" spans="1:23" x14ac:dyDescent="0.25">
      <c r="A29" s="36" t="s">
        <v>9</v>
      </c>
      <c r="B29" s="37">
        <f t="shared" si="1"/>
        <v>28</v>
      </c>
      <c r="C29" s="38">
        <v>2</v>
      </c>
      <c r="D29" s="86">
        <v>2023</v>
      </c>
      <c r="E29" s="3">
        <f>('Kwh Reading'!S32-'Kwh Reading'!S31)*1000</f>
        <v>0</v>
      </c>
      <c r="F29" s="2">
        <f>('Kwh Reading'!F32-'Kwh Reading'!F31)*1000000</f>
        <v>0</v>
      </c>
      <c r="G29" s="2">
        <f>('Kwh Reading'!C32-'Kwh Reading'!C31)*1000</f>
        <v>0</v>
      </c>
      <c r="H29" s="2">
        <f t="shared" si="0"/>
        <v>0</v>
      </c>
      <c r="I29" s="2">
        <f>('Kwh Reading'!J32-'Kwh Reading'!J31)*1000</f>
        <v>0</v>
      </c>
      <c r="J29" s="2">
        <f>('Kwh Reading'!K32-'Kwh Reading'!K31)*1000</f>
        <v>0</v>
      </c>
      <c r="K29" s="2">
        <f>('Kwh Reading'!L32-'Kwh Reading'!L31)*1000</f>
        <v>0</v>
      </c>
      <c r="L29" s="2">
        <f>('Kwh Reading'!R32-'Kwh Reading'!R31)</f>
        <v>0</v>
      </c>
      <c r="M29" s="2">
        <f>('Kwh Reading'!I32-'Kwh Reading'!I31)*1000</f>
        <v>0</v>
      </c>
      <c r="N29" s="2">
        <f>('Kwh Reading'!B32-'Kwh Reading'!B31)*1000000</f>
        <v>0</v>
      </c>
      <c r="O29" s="2">
        <f>('Kwh Reading'!M32-'Kwh Reading'!M31)*1000</f>
        <v>0</v>
      </c>
      <c r="P29" s="2">
        <f>('Kwh Reading'!H32-'Kwh Reading'!H31)*1000000</f>
        <v>0</v>
      </c>
      <c r="Q29" s="2">
        <f>('Kwh Reading'!P32-'Kwh Reading'!P31)*1000000</f>
        <v>0</v>
      </c>
      <c r="R29" s="2">
        <f>('Kwh Reading'!G32-'Kwh Reading'!G31)*1000000</f>
        <v>0</v>
      </c>
      <c r="S29" s="2">
        <f>('Kwh Reading'!Q32-'Kwh Reading'!Q31)*1000</f>
        <v>0</v>
      </c>
      <c r="T29" s="2">
        <f>('Kwh Reading'!N32-'Kwh Reading'!N31)*1000</f>
        <v>0</v>
      </c>
      <c r="U29" s="2">
        <f>'Kwh Reading'!E32-'Kwh Reading'!E31</f>
        <v>0</v>
      </c>
      <c r="V29" s="2">
        <f>'Kwh Reading'!D32-'Kwh Reading'!D31</f>
        <v>0</v>
      </c>
      <c r="W29" s="21">
        <f>('Kwh Reading'!O32-'Kwh Reading'!O31)*1000</f>
        <v>0</v>
      </c>
    </row>
    <row r="30" spans="1:23" x14ac:dyDescent="0.25">
      <c r="A30" s="36" t="s">
        <v>9</v>
      </c>
      <c r="B30" s="37">
        <f t="shared" si="1"/>
        <v>29</v>
      </c>
      <c r="C30" s="38">
        <v>2</v>
      </c>
      <c r="D30" s="86">
        <v>2023</v>
      </c>
      <c r="E30" s="3">
        <f>('Kwh Reading'!S33-'Kwh Reading'!S32)*1000</f>
        <v>0</v>
      </c>
      <c r="F30" s="2">
        <f>('Kwh Reading'!F33-'Kwh Reading'!F32)*1000000</f>
        <v>0</v>
      </c>
      <c r="G30" s="2">
        <f>('Kwh Reading'!C33-'Kwh Reading'!C32)*1000</f>
        <v>0</v>
      </c>
      <c r="H30" s="2">
        <f t="shared" si="0"/>
        <v>0</v>
      </c>
      <c r="I30" s="2">
        <f>('Kwh Reading'!J33-'Kwh Reading'!J32)*1000</f>
        <v>0</v>
      </c>
      <c r="J30" s="2">
        <f>('Kwh Reading'!K33-'Kwh Reading'!K32)*1000</f>
        <v>0</v>
      </c>
      <c r="K30" s="2">
        <f>('Kwh Reading'!L33-'Kwh Reading'!L32)*1000</f>
        <v>0</v>
      </c>
      <c r="L30" s="2">
        <f>('Kwh Reading'!R33-'Kwh Reading'!R32)</f>
        <v>0</v>
      </c>
      <c r="M30" s="2">
        <f>('Kwh Reading'!I33-'Kwh Reading'!I32)*1000</f>
        <v>0</v>
      </c>
      <c r="N30" s="2">
        <f>('Kwh Reading'!B33-'Kwh Reading'!B32)*1000000</f>
        <v>0</v>
      </c>
      <c r="O30" s="2">
        <f>('Kwh Reading'!M33-'Kwh Reading'!M32)*1000</f>
        <v>0</v>
      </c>
      <c r="P30" s="2">
        <f>('Kwh Reading'!H33-'Kwh Reading'!H32)*1000000</f>
        <v>0</v>
      </c>
      <c r="Q30" s="2">
        <f>('Kwh Reading'!P33-'Kwh Reading'!P32)*1000000</f>
        <v>0</v>
      </c>
      <c r="R30" s="2">
        <f>('Kwh Reading'!G33-'Kwh Reading'!G32)*1000000</f>
        <v>0</v>
      </c>
      <c r="S30" s="2">
        <f>('Kwh Reading'!Q33-'Kwh Reading'!Q32)*1000</f>
        <v>0</v>
      </c>
      <c r="T30" s="2">
        <f>('Kwh Reading'!N33-'Kwh Reading'!N32)*1000</f>
        <v>0</v>
      </c>
      <c r="U30" s="2">
        <f>'Kwh Reading'!E33-'Kwh Reading'!E32</f>
        <v>0</v>
      </c>
      <c r="V30" s="2">
        <f>'Kwh Reading'!D33-'Kwh Reading'!D32</f>
        <v>0</v>
      </c>
      <c r="W30" s="21">
        <f>('Kwh Reading'!O33-'Kwh Reading'!O32)*1000</f>
        <v>0</v>
      </c>
    </row>
    <row r="31" spans="1:23" x14ac:dyDescent="0.25">
      <c r="A31" s="36" t="s">
        <v>9</v>
      </c>
      <c r="B31" s="37">
        <f t="shared" si="1"/>
        <v>30</v>
      </c>
      <c r="C31" s="38">
        <v>2</v>
      </c>
      <c r="D31" s="86">
        <v>2023</v>
      </c>
      <c r="E31" s="3">
        <f>('Kwh Reading'!S34-'Kwh Reading'!S33)*1000</f>
        <v>0</v>
      </c>
      <c r="F31" s="2">
        <f>('Kwh Reading'!F34-'Kwh Reading'!F33)*1000000</f>
        <v>0</v>
      </c>
      <c r="G31" s="2">
        <f>('Kwh Reading'!C34-'Kwh Reading'!C33)*1000</f>
        <v>0</v>
      </c>
      <c r="H31" s="2">
        <f t="shared" si="0"/>
        <v>0</v>
      </c>
      <c r="I31" s="2">
        <f>('Kwh Reading'!J34-'Kwh Reading'!J33)*1000</f>
        <v>0</v>
      </c>
      <c r="J31" s="2">
        <f>('Kwh Reading'!K34-'Kwh Reading'!K33)*1000</f>
        <v>0</v>
      </c>
      <c r="K31" s="2">
        <f>('Kwh Reading'!L34-'Kwh Reading'!L33)*1000</f>
        <v>0</v>
      </c>
      <c r="L31" s="2">
        <f>('Kwh Reading'!R34-'Kwh Reading'!R33)</f>
        <v>0</v>
      </c>
      <c r="M31" s="2">
        <f>('Kwh Reading'!I34-'Kwh Reading'!I33)*1000</f>
        <v>0</v>
      </c>
      <c r="N31" s="2">
        <f>('Kwh Reading'!B34-'Kwh Reading'!B33)*1000000</f>
        <v>0</v>
      </c>
      <c r="O31" s="2">
        <f>('Kwh Reading'!M34-'Kwh Reading'!M33)*1000</f>
        <v>0</v>
      </c>
      <c r="P31" s="2">
        <f>('Kwh Reading'!H34-'Kwh Reading'!H33)*1000000</f>
        <v>0</v>
      </c>
      <c r="Q31" s="2">
        <f>('Kwh Reading'!P34-'Kwh Reading'!P33)*1000000</f>
        <v>0</v>
      </c>
      <c r="R31" s="2">
        <f>('Kwh Reading'!G34-'Kwh Reading'!G33)*1000000</f>
        <v>0</v>
      </c>
      <c r="S31" s="2">
        <f>('Kwh Reading'!Q34-'Kwh Reading'!Q33)*1000</f>
        <v>0</v>
      </c>
      <c r="T31" s="2">
        <f>('Kwh Reading'!N34-'Kwh Reading'!N33)*1000</f>
        <v>0</v>
      </c>
      <c r="U31" s="2">
        <f>'Kwh Reading'!E34-'Kwh Reading'!E33</f>
        <v>0</v>
      </c>
      <c r="V31" s="2">
        <f>'Kwh Reading'!D34-'Kwh Reading'!D33</f>
        <v>0</v>
      </c>
      <c r="W31" s="21">
        <f>('Kwh Reading'!O34-'Kwh Reading'!O33)*1000</f>
        <v>0</v>
      </c>
    </row>
    <row r="32" spans="1:23" x14ac:dyDescent="0.25">
      <c r="A32" s="36" t="s">
        <v>9</v>
      </c>
      <c r="B32" s="37">
        <f t="shared" si="1"/>
        <v>31</v>
      </c>
      <c r="C32" s="38">
        <v>2</v>
      </c>
      <c r="D32" s="86">
        <v>2023</v>
      </c>
      <c r="E32" s="3">
        <f>('Kwh Reading'!S35-'Kwh Reading'!S34)*1000</f>
        <v>0</v>
      </c>
      <c r="F32" s="2">
        <f>('Kwh Reading'!F35-'Kwh Reading'!F34)*1000000</f>
        <v>0</v>
      </c>
      <c r="G32" s="2">
        <f>('Kwh Reading'!C35-'Kwh Reading'!C34)*1000</f>
        <v>0</v>
      </c>
      <c r="H32" s="2">
        <f t="shared" ref="H32" si="2">I32+J32+K32</f>
        <v>0</v>
      </c>
      <c r="I32" s="2">
        <f>('Kwh Reading'!J35-'Kwh Reading'!J34)*1000</f>
        <v>0</v>
      </c>
      <c r="J32" s="2">
        <f>('Kwh Reading'!K35-'Kwh Reading'!K34)*1000</f>
        <v>0</v>
      </c>
      <c r="K32" s="2">
        <f>('Kwh Reading'!L35-'Kwh Reading'!L34)*1000</f>
        <v>0</v>
      </c>
      <c r="L32" s="2">
        <f>('Kwh Reading'!R35-'Kwh Reading'!R34)</f>
        <v>0</v>
      </c>
      <c r="M32" s="2">
        <f>('Kwh Reading'!I35-'Kwh Reading'!I34)*1000</f>
        <v>0</v>
      </c>
      <c r="N32" s="2">
        <f>('Kwh Reading'!B35-'Kwh Reading'!B34)*1000000</f>
        <v>0</v>
      </c>
      <c r="O32" s="2">
        <f>('Kwh Reading'!M35-'Kwh Reading'!M34)*1000</f>
        <v>0</v>
      </c>
      <c r="P32" s="2">
        <f>('Kwh Reading'!H35-'Kwh Reading'!H34)*1000000</f>
        <v>0</v>
      </c>
      <c r="Q32" s="2">
        <f>('Kwh Reading'!P35-'Kwh Reading'!P34)*1000000</f>
        <v>0</v>
      </c>
      <c r="R32" s="2">
        <f>('Kwh Reading'!G35-'Kwh Reading'!G34)*1000000</f>
        <v>0</v>
      </c>
      <c r="S32" s="2">
        <f>('Kwh Reading'!Q35-'Kwh Reading'!Q34)*1000</f>
        <v>0</v>
      </c>
      <c r="T32" s="2">
        <f>('Kwh Reading'!N35-'Kwh Reading'!N34)*1000</f>
        <v>0</v>
      </c>
      <c r="U32" s="2">
        <f>'Kwh Reading'!E35-'Kwh Reading'!E34</f>
        <v>0</v>
      </c>
      <c r="V32" s="2">
        <f>'Kwh Reading'!D35-'Kwh Reading'!D34</f>
        <v>0</v>
      </c>
      <c r="W32" s="21">
        <f>('Kwh Reading'!O35-'Kwh Reading'!O34)*1000</f>
        <v>0</v>
      </c>
    </row>
    <row r="33" spans="1:23" x14ac:dyDescent="0.25">
      <c r="A33" s="109" t="s">
        <v>39</v>
      </c>
      <c r="B33" s="109"/>
      <c r="C33" s="109"/>
      <c r="D33" s="109"/>
      <c r="E33" s="60">
        <f>SUM(E2:E31)</f>
        <v>-716470</v>
      </c>
      <c r="F33" s="60">
        <f>SUM(F2:F31)</f>
        <v>-3958800</v>
      </c>
      <c r="G33" s="60">
        <f>SUM(G2:G31)</f>
        <v>-383300</v>
      </c>
      <c r="H33" s="60"/>
      <c r="I33" s="60">
        <f>SUM(I2:I31)</f>
        <v>-608150</v>
      </c>
      <c r="J33" s="60">
        <f t="shared" ref="J33:W33" si="3">SUM(J2:J31)</f>
        <v>-548390</v>
      </c>
      <c r="K33" s="60">
        <f t="shared" si="3"/>
        <v>-385160</v>
      </c>
      <c r="L33" s="60">
        <f t="shared" si="3"/>
        <v>-27545</v>
      </c>
      <c r="M33" s="60">
        <f t="shared" si="3"/>
        <v>-417260</v>
      </c>
      <c r="N33" s="60">
        <f t="shared" si="3"/>
        <v>-1667100</v>
      </c>
      <c r="O33" s="60">
        <f t="shared" si="3"/>
        <v>-914600</v>
      </c>
      <c r="P33" s="60">
        <f t="shared" si="3"/>
        <v>-1146000</v>
      </c>
      <c r="Q33" s="60">
        <f t="shared" si="3"/>
        <v>-1105599.9999999998</v>
      </c>
      <c r="R33" s="60">
        <f t="shared" si="3"/>
        <v>-1213400</v>
      </c>
      <c r="S33" s="60">
        <f t="shared" si="3"/>
        <v>-801010</v>
      </c>
      <c r="T33" s="60">
        <f t="shared" si="3"/>
        <v>-826200</v>
      </c>
      <c r="U33" s="60">
        <f t="shared" si="3"/>
        <v>-9790317.8000000007</v>
      </c>
      <c r="V33" s="60">
        <f t="shared" si="3"/>
        <v>-230246.57</v>
      </c>
      <c r="W33" s="60">
        <f t="shared" si="3"/>
        <v>-283410</v>
      </c>
    </row>
    <row r="38" spans="1:23" x14ac:dyDescent="0.25">
      <c r="U38" s="63"/>
    </row>
    <row r="39" spans="1:23" x14ac:dyDescent="0.25">
      <c r="C39" s="35" t="s">
        <v>112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1"/>
  <sheetViews>
    <sheetView zoomScale="70" zoomScaleNormal="70" workbookViewId="0">
      <pane ySplit="1" topLeftCell="A2" activePane="bottomLeft" state="frozen"/>
      <selection pane="bottomLeft" activeCell="R12" sqref="R12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8" width="10.85546875" customWidth="1"/>
    <col min="19" max="19" width="10.85546875" style="11" customWidth="1"/>
    <col min="21" max="21" width="10.140625" customWidth="1"/>
    <col min="22" max="22" width="11.28515625" customWidth="1"/>
    <col min="23" max="23" width="10.5703125" customWidth="1"/>
  </cols>
  <sheetData>
    <row r="1" spans="1:24" ht="26.25" x14ac:dyDescent="0.25">
      <c r="A1" s="135" t="s">
        <v>10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61"/>
      <c r="U1" s="61"/>
    </row>
    <row r="2" spans="1:24" s="12" customFormat="1" ht="33" customHeight="1" x14ac:dyDescent="0.25">
      <c r="A2" s="22" t="s">
        <v>2</v>
      </c>
      <c r="B2" s="130" t="s">
        <v>111</v>
      </c>
      <c r="C2" s="130" t="s">
        <v>11</v>
      </c>
      <c r="D2" s="130" t="s">
        <v>12</v>
      </c>
      <c r="E2" s="130" t="s">
        <v>13</v>
      </c>
      <c r="F2" s="130" t="s">
        <v>14</v>
      </c>
      <c r="G2" s="137" t="s">
        <v>115</v>
      </c>
      <c r="H2" s="139" t="s">
        <v>15</v>
      </c>
      <c r="I2" s="130" t="s">
        <v>16</v>
      </c>
      <c r="J2" s="142" t="s">
        <v>17</v>
      </c>
      <c r="K2" s="143"/>
      <c r="L2" s="144"/>
      <c r="M2" s="137" t="s">
        <v>18</v>
      </c>
      <c r="N2" s="139" t="s">
        <v>19</v>
      </c>
      <c r="O2" s="140" t="s">
        <v>20</v>
      </c>
      <c r="P2" s="139" t="s">
        <v>21</v>
      </c>
      <c r="Q2" s="132" t="s">
        <v>22</v>
      </c>
      <c r="R2" s="130" t="s">
        <v>128</v>
      </c>
      <c r="S2" s="130" t="s">
        <v>23</v>
      </c>
      <c r="U2" s="134" t="s">
        <v>6</v>
      </c>
      <c r="V2" s="134" t="s">
        <v>7</v>
      </c>
      <c r="W2" s="134" t="s">
        <v>8</v>
      </c>
    </row>
    <row r="3" spans="1:24" s="12" customFormat="1" ht="45" customHeight="1" x14ac:dyDescent="0.25">
      <c r="A3" s="23"/>
      <c r="B3" s="131"/>
      <c r="C3" s="131"/>
      <c r="D3" s="131"/>
      <c r="E3" s="131"/>
      <c r="F3" s="131"/>
      <c r="G3" s="138"/>
      <c r="H3" s="139"/>
      <c r="I3" s="131"/>
      <c r="J3" s="13" t="s">
        <v>24</v>
      </c>
      <c r="K3" s="13" t="s">
        <v>25</v>
      </c>
      <c r="L3" s="13" t="s">
        <v>26</v>
      </c>
      <c r="M3" s="138"/>
      <c r="N3" s="139"/>
      <c r="O3" s="141"/>
      <c r="P3" s="139"/>
      <c r="Q3" s="133"/>
      <c r="R3" s="131"/>
      <c r="S3" s="131"/>
      <c r="U3" s="134"/>
      <c r="V3" s="134"/>
      <c r="W3" s="134"/>
    </row>
    <row r="4" spans="1:24" ht="21" customHeight="1" x14ac:dyDescent="0.25">
      <c r="A4" s="6">
        <v>44986</v>
      </c>
      <c r="B4" s="85">
        <v>1.6671</v>
      </c>
      <c r="C4" s="85">
        <v>383.3</v>
      </c>
      <c r="D4" s="85">
        <v>230246.57</v>
      </c>
      <c r="E4" s="85">
        <v>9790317.8000000007</v>
      </c>
      <c r="F4" s="85">
        <v>3.9590000000000001</v>
      </c>
      <c r="G4" s="85">
        <v>1.2134</v>
      </c>
      <c r="H4" s="85">
        <v>1.1459999999999999</v>
      </c>
      <c r="I4" s="85">
        <v>417.26</v>
      </c>
      <c r="J4" s="85">
        <v>608.15</v>
      </c>
      <c r="K4" s="85">
        <v>548.39</v>
      </c>
      <c r="L4" s="85">
        <v>385.16</v>
      </c>
      <c r="M4" s="85">
        <v>914.6</v>
      </c>
      <c r="N4" s="85">
        <v>826.2</v>
      </c>
      <c r="O4" s="85">
        <v>283.41000000000003</v>
      </c>
      <c r="P4" s="85">
        <v>1.1055999999999999</v>
      </c>
      <c r="Q4" s="85">
        <v>801.01</v>
      </c>
      <c r="R4" s="85">
        <v>27545</v>
      </c>
      <c r="S4" s="85">
        <v>716.41</v>
      </c>
      <c r="U4" s="58"/>
      <c r="V4" s="58"/>
      <c r="W4" s="58"/>
      <c r="X4" s="12"/>
    </row>
    <row r="5" spans="1:24" ht="21" customHeight="1" x14ac:dyDescent="0.25">
      <c r="A5" s="6">
        <v>44987</v>
      </c>
      <c r="B5" s="85">
        <v>1.6682999999999999</v>
      </c>
      <c r="C5" s="85">
        <v>383.56</v>
      </c>
      <c r="D5" s="85">
        <v>232051.72</v>
      </c>
      <c r="E5" s="85">
        <v>9793091.7799999993</v>
      </c>
      <c r="F5" s="85">
        <v>3.9613</v>
      </c>
      <c r="G5" s="85">
        <v>1.2139</v>
      </c>
      <c r="H5" s="85">
        <v>1.1467000000000001</v>
      </c>
      <c r="I5" s="85">
        <v>417.55</v>
      </c>
      <c r="J5" s="85">
        <v>608.72</v>
      </c>
      <c r="K5" s="85">
        <v>548.70000000000005</v>
      </c>
      <c r="L5" s="85">
        <v>385.51</v>
      </c>
      <c r="M5" s="85">
        <v>915.02</v>
      </c>
      <c r="N5" s="85">
        <v>826.62</v>
      </c>
      <c r="O5" s="85">
        <v>283.63</v>
      </c>
      <c r="P5" s="85">
        <v>1.1061000000000001</v>
      </c>
      <c r="Q5" s="85">
        <v>801.42</v>
      </c>
      <c r="R5" s="85">
        <v>27682</v>
      </c>
      <c r="S5" s="85">
        <v>716.95</v>
      </c>
      <c r="U5" s="58"/>
      <c r="V5" s="58"/>
      <c r="W5" s="58"/>
      <c r="X5" s="12"/>
    </row>
    <row r="6" spans="1:24" ht="21" customHeight="1" x14ac:dyDescent="0.25">
      <c r="A6" s="6">
        <v>44988</v>
      </c>
      <c r="B6" s="85">
        <v>1.6695</v>
      </c>
      <c r="C6" s="85">
        <v>383.82</v>
      </c>
      <c r="D6" s="85">
        <v>233922.45</v>
      </c>
      <c r="E6" s="85">
        <v>9796205.9100000001</v>
      </c>
      <c r="F6" s="85">
        <v>3.9639000000000002</v>
      </c>
      <c r="G6" s="85">
        <v>1.2144999999999999</v>
      </c>
      <c r="H6" s="85">
        <v>1.1475</v>
      </c>
      <c r="I6" s="85">
        <v>417.86</v>
      </c>
      <c r="J6" s="85">
        <v>609.30999999999995</v>
      </c>
      <c r="K6" s="85">
        <v>549.04999999999995</v>
      </c>
      <c r="L6" s="85">
        <v>385.88</v>
      </c>
      <c r="M6" s="85">
        <v>915.54</v>
      </c>
      <c r="N6" s="85">
        <v>827.12</v>
      </c>
      <c r="O6" s="85">
        <v>283.83999999999997</v>
      </c>
      <c r="P6" s="85">
        <v>1.1066</v>
      </c>
      <c r="Q6" s="85">
        <v>801.91</v>
      </c>
      <c r="R6" s="85">
        <v>27809.5</v>
      </c>
      <c r="S6" s="85">
        <v>717.51</v>
      </c>
      <c r="U6" s="58"/>
      <c r="V6" s="58"/>
      <c r="W6" s="58"/>
      <c r="X6" s="12"/>
    </row>
    <row r="7" spans="1:24" ht="21" customHeight="1" x14ac:dyDescent="0.25">
      <c r="A7" s="6">
        <v>44989</v>
      </c>
      <c r="B7" s="85">
        <v>1.6706000000000001</v>
      </c>
      <c r="C7" s="85">
        <v>384.08</v>
      </c>
      <c r="D7" s="85">
        <v>235680.05</v>
      </c>
      <c r="E7" s="85">
        <v>9798931.6099999994</v>
      </c>
      <c r="F7" s="85">
        <v>3.9662999999999999</v>
      </c>
      <c r="G7" s="85">
        <v>1.2151000000000001</v>
      </c>
      <c r="H7" s="85">
        <v>1.1480999999999999</v>
      </c>
      <c r="I7" s="85">
        <v>418.14</v>
      </c>
      <c r="J7" s="85">
        <v>609.82000000000005</v>
      </c>
      <c r="K7" s="85">
        <v>549.37</v>
      </c>
      <c r="L7" s="85">
        <v>386.23</v>
      </c>
      <c r="M7" s="85">
        <v>915.99</v>
      </c>
      <c r="N7" s="85">
        <v>827.5</v>
      </c>
      <c r="O7" s="85">
        <v>284.05</v>
      </c>
      <c r="P7" s="85">
        <v>1.1072</v>
      </c>
      <c r="Q7" s="85">
        <v>802.29</v>
      </c>
      <c r="R7" s="85">
        <v>27936.799999999999</v>
      </c>
      <c r="S7" s="85">
        <v>718.04</v>
      </c>
      <c r="U7" s="58"/>
      <c r="V7" s="58"/>
      <c r="W7" s="58"/>
      <c r="X7" s="12"/>
    </row>
    <row r="8" spans="1:24" ht="21" customHeight="1" x14ac:dyDescent="0.25">
      <c r="A8" s="6">
        <v>44990</v>
      </c>
      <c r="B8" s="85">
        <v>1.6718</v>
      </c>
      <c r="C8" s="85">
        <v>384.35</v>
      </c>
      <c r="D8" s="85">
        <v>237546.66</v>
      </c>
      <c r="E8" s="85">
        <v>9801499.8699999992</v>
      </c>
      <c r="F8" s="85">
        <v>3.9687000000000001</v>
      </c>
      <c r="G8" s="85">
        <v>1.2156</v>
      </c>
      <c r="H8" s="85">
        <v>1.1488</v>
      </c>
      <c r="I8" s="85">
        <v>418.44</v>
      </c>
      <c r="J8" s="85">
        <v>610.22</v>
      </c>
      <c r="K8" s="85">
        <v>549.72</v>
      </c>
      <c r="L8" s="85">
        <v>386.59</v>
      </c>
      <c r="M8" s="85">
        <v>916.46</v>
      </c>
      <c r="N8" s="85">
        <v>827.89</v>
      </c>
      <c r="O8" s="85">
        <v>284.31</v>
      </c>
      <c r="P8" s="85">
        <v>1.1076999999999999</v>
      </c>
      <c r="Q8" s="85">
        <v>802.69</v>
      </c>
      <c r="R8" s="85">
        <v>28055.3</v>
      </c>
      <c r="S8" s="85">
        <v>718.34</v>
      </c>
      <c r="U8" s="83"/>
      <c r="V8" s="83"/>
      <c r="W8" s="92"/>
      <c r="X8" s="12"/>
    </row>
    <row r="9" spans="1:24" ht="21" customHeight="1" x14ac:dyDescent="0.25">
      <c r="A9" s="6">
        <v>44991</v>
      </c>
      <c r="B9" s="85">
        <v>1.673</v>
      </c>
      <c r="C9" s="85">
        <v>384.62</v>
      </c>
      <c r="D9" s="85">
        <v>239524.5</v>
      </c>
      <c r="E9" s="85">
        <v>9804517.3200000003</v>
      </c>
      <c r="F9" s="85">
        <v>3.9712000000000001</v>
      </c>
      <c r="G9" s="85">
        <v>1.2161999999999999</v>
      </c>
      <c r="H9" s="85">
        <v>1.1495</v>
      </c>
      <c r="I9" s="85">
        <v>418.74</v>
      </c>
      <c r="J9" s="85">
        <v>610.79</v>
      </c>
      <c r="K9" s="85">
        <v>550.08000000000004</v>
      </c>
      <c r="L9" s="85">
        <v>387.03</v>
      </c>
      <c r="M9" s="85">
        <v>916.98</v>
      </c>
      <c r="N9" s="85">
        <v>828.31</v>
      </c>
      <c r="O9" s="85">
        <v>284.54000000000002</v>
      </c>
      <c r="P9" s="85">
        <v>1.1082000000000001</v>
      </c>
      <c r="Q9" s="85">
        <v>803.13</v>
      </c>
      <c r="R9" s="85">
        <v>28184.2</v>
      </c>
      <c r="S9" s="85">
        <v>718.89</v>
      </c>
      <c r="U9" s="83"/>
      <c r="V9" s="83"/>
      <c r="W9" s="92"/>
      <c r="X9" s="12"/>
    </row>
    <row r="10" spans="1:24" ht="21" customHeight="1" x14ac:dyDescent="0.25">
      <c r="A10" s="6">
        <v>44992</v>
      </c>
      <c r="B10" s="85">
        <v>1.6739999999999999</v>
      </c>
      <c r="C10" s="85">
        <v>384.89</v>
      </c>
      <c r="D10" s="85">
        <v>241063.05</v>
      </c>
      <c r="E10" s="85">
        <v>9806989.4800000004</v>
      </c>
      <c r="F10" s="85">
        <v>3.9735999999999998</v>
      </c>
      <c r="G10" s="85">
        <v>1.2166999999999999</v>
      </c>
      <c r="H10" s="85">
        <v>1.1499999999999999</v>
      </c>
      <c r="I10" s="85">
        <v>418.98</v>
      </c>
      <c r="J10" s="85">
        <v>611.44000000000005</v>
      </c>
      <c r="K10" s="85">
        <v>550.46</v>
      </c>
      <c r="L10" s="85">
        <v>387.43</v>
      </c>
      <c r="M10" s="85">
        <v>917.41</v>
      </c>
      <c r="N10" s="85">
        <v>828.66</v>
      </c>
      <c r="O10" s="85">
        <v>284.79000000000002</v>
      </c>
      <c r="P10" s="85">
        <v>1.1087</v>
      </c>
      <c r="Q10" s="85">
        <v>803.44</v>
      </c>
      <c r="R10" s="85">
        <v>28305.1</v>
      </c>
      <c r="S10" s="85">
        <v>719.44</v>
      </c>
      <c r="U10" s="83"/>
      <c r="V10" s="83"/>
      <c r="W10" s="83"/>
      <c r="X10" s="12"/>
    </row>
    <row r="11" spans="1:24" ht="21" customHeight="1" x14ac:dyDescent="0.25">
      <c r="A11" s="6">
        <v>44993</v>
      </c>
      <c r="B11" s="85">
        <v>1.6751</v>
      </c>
      <c r="C11" s="85">
        <v>385.17</v>
      </c>
      <c r="D11" s="85">
        <v>243120.27</v>
      </c>
      <c r="E11" s="85">
        <v>9809951.8000000007</v>
      </c>
      <c r="F11" s="85">
        <v>3.976</v>
      </c>
      <c r="G11" s="85">
        <v>1.2173</v>
      </c>
      <c r="H11" s="85">
        <v>1.1506000000000001</v>
      </c>
      <c r="I11" s="85">
        <v>419.26</v>
      </c>
      <c r="J11" s="85">
        <v>612.08000000000004</v>
      </c>
      <c r="K11" s="85">
        <v>550.82000000000005</v>
      </c>
      <c r="L11" s="85">
        <v>387.83</v>
      </c>
      <c r="M11" s="85">
        <v>917.89</v>
      </c>
      <c r="N11" s="85">
        <v>829.08</v>
      </c>
      <c r="O11" s="85">
        <v>285</v>
      </c>
      <c r="P11" s="85">
        <v>1.1092</v>
      </c>
      <c r="Q11" s="85">
        <v>803.73</v>
      </c>
      <c r="R11" s="85">
        <v>28441.200000000001</v>
      </c>
      <c r="S11" s="85">
        <v>719.99</v>
      </c>
      <c r="U11" s="83"/>
      <c r="V11" s="83"/>
      <c r="W11" s="83"/>
      <c r="X11" s="12"/>
    </row>
    <row r="12" spans="1:24" ht="21" customHeight="1" x14ac:dyDescent="0.25">
      <c r="A12" s="6">
        <v>44994</v>
      </c>
      <c r="B12" s="85">
        <v>1.6763999999999999</v>
      </c>
      <c r="C12" s="85">
        <v>385.43</v>
      </c>
      <c r="D12" s="85">
        <v>245394.59</v>
      </c>
      <c r="E12" s="85">
        <v>9812986.0999999996</v>
      </c>
      <c r="F12" s="85">
        <v>3.9784000000000002</v>
      </c>
      <c r="G12" s="85">
        <v>1.2179</v>
      </c>
      <c r="H12" s="85">
        <v>1.1513</v>
      </c>
      <c r="I12" s="85">
        <v>419.55</v>
      </c>
      <c r="J12" s="85">
        <v>612.65</v>
      </c>
      <c r="K12" s="85">
        <v>551.20000000000005</v>
      </c>
      <c r="L12" s="85">
        <v>388.19</v>
      </c>
      <c r="M12" s="85">
        <v>918.4</v>
      </c>
      <c r="N12" s="85">
        <v>829.51</v>
      </c>
      <c r="O12" s="85">
        <v>285.27</v>
      </c>
      <c r="P12" s="85">
        <v>1.1097999999999999</v>
      </c>
      <c r="Q12" s="85">
        <v>804.09</v>
      </c>
      <c r="R12" s="85">
        <v>28560.7</v>
      </c>
      <c r="S12" s="85">
        <v>720.54</v>
      </c>
      <c r="U12" s="83"/>
      <c r="V12" s="83"/>
      <c r="W12" s="83"/>
      <c r="X12" s="12"/>
    </row>
    <row r="13" spans="1:24" ht="21" customHeight="1" x14ac:dyDescent="0.25">
      <c r="A13" s="6">
        <v>44995</v>
      </c>
      <c r="B13" s="85">
        <v>1.6776</v>
      </c>
      <c r="C13" s="85">
        <v>385.69</v>
      </c>
      <c r="D13" s="85">
        <v>247504.41</v>
      </c>
      <c r="E13" s="85">
        <v>9815978.3599999994</v>
      </c>
      <c r="F13" s="85">
        <v>3.9807999999999999</v>
      </c>
      <c r="G13" s="85">
        <v>1.2184999999999999</v>
      </c>
      <c r="H13" s="85">
        <v>1.1518999999999999</v>
      </c>
      <c r="I13" s="85">
        <v>419.84</v>
      </c>
      <c r="J13" s="85">
        <v>613.16</v>
      </c>
      <c r="K13" s="85">
        <v>551.52</v>
      </c>
      <c r="L13" s="85">
        <v>388.54</v>
      </c>
      <c r="M13" s="85">
        <v>918.95</v>
      </c>
      <c r="N13" s="85">
        <v>829.91</v>
      </c>
      <c r="O13" s="85">
        <v>285.52999999999997</v>
      </c>
      <c r="P13" s="85">
        <v>1.1103000000000001</v>
      </c>
      <c r="Q13" s="85">
        <v>804.39</v>
      </c>
      <c r="R13" s="85">
        <v>28696.1</v>
      </c>
      <c r="S13" s="85">
        <v>721.09</v>
      </c>
      <c r="U13" s="83"/>
      <c r="V13" s="83"/>
      <c r="W13" s="83"/>
      <c r="X13" s="12"/>
    </row>
    <row r="14" spans="1:24" ht="21" customHeight="1" x14ac:dyDescent="0.25">
      <c r="A14" s="6">
        <v>44996</v>
      </c>
      <c r="B14" s="85">
        <v>1.6787000000000001</v>
      </c>
      <c r="C14" s="85">
        <v>385.96</v>
      </c>
      <c r="D14" s="85">
        <v>249609.67</v>
      </c>
      <c r="E14" s="85">
        <v>9818981.5700000003</v>
      </c>
      <c r="F14" s="85">
        <v>3.9832000000000001</v>
      </c>
      <c r="G14" s="85">
        <v>1.2190000000000001</v>
      </c>
      <c r="H14" s="85">
        <v>1.1525000000000001</v>
      </c>
      <c r="I14" s="85">
        <v>420.14</v>
      </c>
      <c r="J14" s="85">
        <v>613.73</v>
      </c>
      <c r="K14" s="85">
        <v>551.88</v>
      </c>
      <c r="L14" s="85">
        <v>388.88</v>
      </c>
      <c r="M14" s="85">
        <v>919.46</v>
      </c>
      <c r="N14" s="85">
        <v>830.38</v>
      </c>
      <c r="O14" s="85">
        <v>285.79000000000002</v>
      </c>
      <c r="P14" s="85">
        <v>1.1108</v>
      </c>
      <c r="Q14" s="85">
        <v>804.79</v>
      </c>
      <c r="R14" s="85">
        <v>28827.7</v>
      </c>
      <c r="S14" s="85">
        <v>721.65</v>
      </c>
      <c r="U14" s="83"/>
      <c r="V14" s="83"/>
      <c r="W14" s="83"/>
      <c r="X14" s="12"/>
    </row>
    <row r="15" spans="1:24" ht="21" customHeight="1" x14ac:dyDescent="0.25">
      <c r="A15" s="6">
        <v>44997</v>
      </c>
      <c r="B15" s="85">
        <v>1.6798999999999999</v>
      </c>
      <c r="C15" s="85">
        <v>386.23</v>
      </c>
      <c r="D15" s="85">
        <v>251647.35999999999</v>
      </c>
      <c r="E15" s="85">
        <v>9821548.6799999997</v>
      </c>
      <c r="F15" s="85">
        <v>3.9857</v>
      </c>
      <c r="G15" s="85">
        <v>1.2196</v>
      </c>
      <c r="H15" s="85">
        <v>1.1532</v>
      </c>
      <c r="I15" s="85">
        <v>420.47</v>
      </c>
      <c r="J15" s="85">
        <v>614.34</v>
      </c>
      <c r="K15" s="85">
        <v>552.28</v>
      </c>
      <c r="L15" s="85">
        <v>389.22</v>
      </c>
      <c r="M15" s="85">
        <v>920.02</v>
      </c>
      <c r="N15" s="85">
        <v>830.79</v>
      </c>
      <c r="O15" s="85">
        <v>286.05</v>
      </c>
      <c r="P15" s="85">
        <v>1.1113</v>
      </c>
      <c r="Q15" s="85">
        <v>805.17</v>
      </c>
      <c r="R15" s="85">
        <v>28963.9</v>
      </c>
      <c r="S15" s="85">
        <v>721.98</v>
      </c>
      <c r="U15" s="83"/>
      <c r="V15" s="83"/>
      <c r="W15" s="83"/>
      <c r="X15" s="12"/>
    </row>
    <row r="16" spans="1:24" ht="21" customHeight="1" x14ac:dyDescent="0.25">
      <c r="A16" s="6">
        <v>44998</v>
      </c>
      <c r="B16" s="85">
        <v>1.6811</v>
      </c>
      <c r="C16" s="85">
        <v>386.49</v>
      </c>
      <c r="D16" s="85">
        <v>253718.48</v>
      </c>
      <c r="E16" s="85">
        <v>9824563</v>
      </c>
      <c r="F16" s="85">
        <v>3.9881000000000002</v>
      </c>
      <c r="G16" s="85">
        <v>1.2202</v>
      </c>
      <c r="H16" s="85">
        <v>1.1538999999999999</v>
      </c>
      <c r="I16" s="85">
        <v>420.81</v>
      </c>
      <c r="J16" s="85">
        <v>614.97</v>
      </c>
      <c r="K16" s="85">
        <v>552.66</v>
      </c>
      <c r="L16" s="85">
        <v>389.6</v>
      </c>
      <c r="M16" s="85">
        <v>920.58</v>
      </c>
      <c r="N16" s="85">
        <v>831.2</v>
      </c>
      <c r="O16" s="85">
        <v>286.29000000000002</v>
      </c>
      <c r="P16" s="85">
        <v>1.1119000000000001</v>
      </c>
      <c r="Q16" s="85">
        <v>805.53</v>
      </c>
      <c r="R16" s="85">
        <v>29092.799999999999</v>
      </c>
      <c r="S16" s="85">
        <v>722.57</v>
      </c>
      <c r="U16" s="83"/>
      <c r="V16" s="83"/>
      <c r="W16" s="83"/>
      <c r="X16" s="12"/>
    </row>
    <row r="17" spans="1:24" ht="21" customHeight="1" x14ac:dyDescent="0.25">
      <c r="A17" s="6">
        <v>44999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U17" s="83"/>
      <c r="V17" s="83"/>
      <c r="W17" s="83"/>
      <c r="X17" s="12"/>
    </row>
    <row r="18" spans="1:24" ht="21" customHeight="1" x14ac:dyDescent="0.25">
      <c r="A18" s="6">
        <v>45000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U18" s="83"/>
      <c r="V18" s="83"/>
      <c r="W18" s="83"/>
      <c r="X18" s="12"/>
    </row>
    <row r="19" spans="1:24" ht="21" customHeight="1" x14ac:dyDescent="0.25">
      <c r="A19" s="6">
        <v>45001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U19" s="83"/>
      <c r="V19" s="83"/>
      <c r="W19" s="83"/>
      <c r="X19" s="12"/>
    </row>
    <row r="20" spans="1:24" ht="21" customHeight="1" x14ac:dyDescent="0.25">
      <c r="A20" s="6">
        <v>45002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U20" s="83"/>
      <c r="V20" s="83"/>
      <c r="W20" s="83"/>
      <c r="X20" s="12"/>
    </row>
    <row r="21" spans="1:24" ht="21" customHeight="1" x14ac:dyDescent="0.25">
      <c r="A21" s="6">
        <v>45003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U21" s="83"/>
      <c r="V21" s="83"/>
      <c r="W21" s="83"/>
      <c r="X21" s="12"/>
    </row>
    <row r="22" spans="1:24" ht="21" customHeight="1" x14ac:dyDescent="0.25">
      <c r="A22" s="6">
        <v>45004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U22" s="83"/>
      <c r="V22" s="83"/>
      <c r="W22" s="83"/>
      <c r="X22" s="12"/>
    </row>
    <row r="23" spans="1:24" ht="21" customHeight="1" x14ac:dyDescent="0.25">
      <c r="A23" s="6">
        <v>45005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U23" s="83"/>
      <c r="V23" s="83"/>
      <c r="W23" s="83"/>
      <c r="X23" s="12"/>
    </row>
    <row r="24" spans="1:24" ht="21" customHeight="1" x14ac:dyDescent="0.25">
      <c r="A24" s="6">
        <v>45006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U24" s="83"/>
      <c r="V24" s="83"/>
      <c r="W24" s="83"/>
      <c r="X24" s="12"/>
    </row>
    <row r="25" spans="1:24" ht="21" customHeight="1" x14ac:dyDescent="0.25">
      <c r="A25" s="6">
        <v>45007</v>
      </c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U25" s="83"/>
      <c r="V25" s="83"/>
      <c r="W25" s="83"/>
      <c r="X25" s="12"/>
    </row>
    <row r="26" spans="1:24" ht="21" customHeight="1" x14ac:dyDescent="0.25">
      <c r="A26" s="6">
        <v>45008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U26" s="83"/>
      <c r="V26" s="83"/>
      <c r="W26" s="83"/>
      <c r="X26" s="12"/>
    </row>
    <row r="27" spans="1:24" s="95" customFormat="1" ht="21" customHeight="1" x14ac:dyDescent="0.25">
      <c r="A27" s="6">
        <v>45009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U27" s="96"/>
      <c r="V27" s="96"/>
      <c r="W27" s="96"/>
      <c r="X27" s="97"/>
    </row>
    <row r="28" spans="1:24" ht="21" customHeight="1" x14ac:dyDescent="0.25">
      <c r="A28" s="6">
        <v>45010</v>
      </c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U28" s="83"/>
      <c r="V28" s="83"/>
      <c r="W28" s="83"/>
      <c r="X28" s="12"/>
    </row>
    <row r="29" spans="1:24" ht="21" customHeight="1" x14ac:dyDescent="0.25">
      <c r="A29" s="6">
        <v>45011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U29" s="83"/>
      <c r="V29" s="83"/>
      <c r="W29" s="83"/>
      <c r="X29" s="12"/>
    </row>
    <row r="30" spans="1:24" ht="21" customHeight="1" x14ac:dyDescent="0.25">
      <c r="A30" s="6">
        <v>45012</v>
      </c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U30" s="83"/>
      <c r="V30" s="83"/>
      <c r="W30" s="83"/>
      <c r="X30" s="12"/>
    </row>
    <row r="31" spans="1:24" ht="21" customHeight="1" x14ac:dyDescent="0.25">
      <c r="A31" s="6">
        <v>45013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U31" s="83"/>
      <c r="V31" s="83"/>
      <c r="W31" s="83"/>
      <c r="X31" s="12"/>
    </row>
    <row r="32" spans="1:24" ht="19.5" customHeight="1" x14ac:dyDescent="0.25">
      <c r="A32" s="6">
        <v>45014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U32" s="83"/>
      <c r="V32" s="83"/>
      <c r="W32" s="83"/>
      <c r="X32" s="12"/>
    </row>
    <row r="33" spans="1:23" ht="19.5" customHeight="1" x14ac:dyDescent="0.25">
      <c r="A33" s="6">
        <v>45015</v>
      </c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>
        <v>0</v>
      </c>
      <c r="S33" s="85"/>
      <c r="U33" s="83"/>
      <c r="V33" s="83"/>
      <c r="W33" s="83"/>
    </row>
    <row r="34" spans="1:23" ht="21" customHeight="1" x14ac:dyDescent="0.25">
      <c r="A34" s="6">
        <v>45016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>
        <v>0</v>
      </c>
      <c r="S34" s="85"/>
      <c r="U34" s="62">
        <f>SUM(U4:U33)</f>
        <v>0</v>
      </c>
      <c r="V34" s="62">
        <f>SUM(V4:V33)</f>
        <v>0</v>
      </c>
      <c r="W34" s="62">
        <f>SUM(W4:W33)</f>
        <v>0</v>
      </c>
    </row>
    <row r="35" spans="1:23" ht="20.25" customHeight="1" x14ac:dyDescent="0.25">
      <c r="A35" s="6">
        <v>45017</v>
      </c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>
        <v>0</v>
      </c>
      <c r="S35" s="85"/>
    </row>
    <row r="41" spans="1:23" x14ac:dyDescent="0.25">
      <c r="S41" s="11" t="s">
        <v>27</v>
      </c>
    </row>
  </sheetData>
  <sheetProtection insertColumns="0" insertRows="0" insertHyperlinks="0" deleteColumns="0" deleteRows="0"/>
  <mergeCells count="20">
    <mergeCell ref="W2:W3"/>
    <mergeCell ref="S2:S3"/>
    <mergeCell ref="A1:S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U2:U3"/>
    <mergeCell ref="V2:V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9" sqref="G9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29</v>
      </c>
      <c r="C2" s="27" t="s">
        <v>40</v>
      </c>
      <c r="D2" s="27" t="s">
        <v>41</v>
      </c>
      <c r="E2" s="27" t="s">
        <v>42</v>
      </c>
      <c r="F2" s="27" t="s">
        <v>43</v>
      </c>
      <c r="G2" s="15" t="s">
        <v>44</v>
      </c>
      <c r="H2" s="30" t="s">
        <v>45</v>
      </c>
      <c r="I2" s="18" t="s">
        <v>30</v>
      </c>
      <c r="J2" s="18" t="s">
        <v>46</v>
      </c>
      <c r="K2" s="18" t="s">
        <v>47</v>
      </c>
      <c r="L2" s="30" t="s">
        <v>48</v>
      </c>
    </row>
    <row r="3" spans="1:12" x14ac:dyDescent="0.25">
      <c r="A3" s="10">
        <f>'Kwh Reading'!A4</f>
        <v>44986</v>
      </c>
      <c r="B3" s="65">
        <f>TOTAL!E2</f>
        <v>19380.000000000393</v>
      </c>
      <c r="C3" s="1">
        <f>'Kwh area wise '!E3</f>
        <v>260</v>
      </c>
      <c r="D3" s="1">
        <f>Submeters!F2</f>
        <v>2500</v>
      </c>
      <c r="E3" s="1">
        <f>Submeters!G2</f>
        <v>260</v>
      </c>
      <c r="F3" s="1">
        <f>(Submeters!I2+Submeters!J2+Submeters!K2)</f>
        <v>1230.000000000075</v>
      </c>
      <c r="G3" s="1">
        <f>Submeters!L2</f>
        <v>137</v>
      </c>
      <c r="H3" s="1">
        <f>(Submeters!M2+Submeters!N2)</f>
        <v>1489.9999999998884</v>
      </c>
      <c r="I3" s="1">
        <f>(Submeters!O2+Submeters!P2+Submeters!Q2+Submeters!R2+Submeters!S2+Submeters!T2)</f>
        <v>2950.0000000001432</v>
      </c>
      <c r="J3" s="1">
        <f>(Submeters!U2+Submeters!V2)</f>
        <v>4579.1299999985786</v>
      </c>
      <c r="K3" s="1">
        <f>Submeters!W2</f>
        <v>219.99999999997044</v>
      </c>
      <c r="L3" s="24">
        <f>B3-C3-D3-E3-F3-G3-H3-I3-J3-K3</f>
        <v>5753.8700000017361</v>
      </c>
    </row>
    <row r="4" spans="1:12" x14ac:dyDescent="0.25">
      <c r="A4" s="10">
        <f>'Kwh Reading'!A5</f>
        <v>44987</v>
      </c>
      <c r="B4" s="65">
        <f>TOTAL!E3</f>
        <v>21049.999999998989</v>
      </c>
      <c r="C4" s="1">
        <f>Submeters!E3</f>
        <v>559.99999999994543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1309.9999999998317</v>
      </c>
      <c r="G4" s="1">
        <f>Submeters!L3</f>
        <v>127.5</v>
      </c>
      <c r="H4" s="1">
        <f>(Submeters!M3+Submeters!N3)</f>
        <v>1510.0000000000921</v>
      </c>
      <c r="I4" s="1">
        <f>(Submeters!O3+Submeters!P3+Submeters!Q3+Submeters!R3+Submeters!S3+Submeters!T3)</f>
        <v>3409.9999999997817</v>
      </c>
      <c r="J4" s="1">
        <f>(Submeters!U3+Submeters!V3)</f>
        <v>4984.86000000083</v>
      </c>
      <c r="K4" s="1">
        <f>Submeters!W3</f>
        <v>209.99999999997954</v>
      </c>
      <c r="L4" s="24">
        <f t="shared" ref="L4:L30" si="0">B4-C4-D4-E4-F4-G4-H4-I4-J4-K4</f>
        <v>6077.6399999983769</v>
      </c>
    </row>
    <row r="5" spans="1:12" x14ac:dyDescent="0.25">
      <c r="A5" s="10">
        <f>'Kwh Reading'!A6</f>
        <v>44988</v>
      </c>
      <c r="B5" s="65">
        <f>TOTAL!E4</f>
        <v>19280.000000000258</v>
      </c>
      <c r="C5" s="1">
        <f>Submeters!E4</f>
        <v>529.99999999997272</v>
      </c>
      <c r="D5" s="1">
        <f>Submeters!F4</f>
        <v>2399.9999999997358</v>
      </c>
      <c r="E5" s="1">
        <f>Submeters!G4</f>
        <v>259.99999999999091</v>
      </c>
      <c r="F5" s="1">
        <f>(Submeters!I4+Submeters!J4+Submeters!K4)</f>
        <v>1180.0000000001774</v>
      </c>
      <c r="G5" s="1">
        <f>Submeters!L4</f>
        <v>127.29999999999927</v>
      </c>
      <c r="H5" s="1">
        <f>(Submeters!M4+Submeters!N4)</f>
        <v>1380.0000000000737</v>
      </c>
      <c r="I5" s="1">
        <f>(Submeters!O4+Submeters!P4+Submeters!Q4+Submeters!R4+Submeters!S4+Submeters!T4)</f>
        <v>3010.0000000000605</v>
      </c>
      <c r="J5" s="1">
        <f>(Submeters!U4+Submeters!V4)</f>
        <v>4483.2999999992317</v>
      </c>
      <c r="K5" s="1">
        <f>Submeters!W4</f>
        <v>210.00000000003638</v>
      </c>
      <c r="L5" s="24">
        <f t="shared" si="0"/>
        <v>5699.4000000009783</v>
      </c>
    </row>
    <row r="6" spans="1:12" x14ac:dyDescent="0.25">
      <c r="A6" s="10">
        <f>'Kwh Reading'!A7</f>
        <v>44989</v>
      </c>
      <c r="B6" s="65">
        <f>TOTAL!E5</f>
        <v>19240.000000000182</v>
      </c>
      <c r="C6" s="1">
        <f>Submeters!E5</f>
        <v>300.00000000006821</v>
      </c>
      <c r="D6" s="1">
        <f>Submeters!F5</f>
        <v>2400.0000000001796</v>
      </c>
      <c r="E6" s="1">
        <f>Submeters!G5</f>
        <v>270.00000000003865</v>
      </c>
      <c r="F6" s="1">
        <f>(Submeters!I5+Submeters!J5+Submeters!K5)</f>
        <v>1109.9999999999568</v>
      </c>
      <c r="G6" s="1">
        <f>Submeters!L5</f>
        <v>118.5</v>
      </c>
      <c r="H6" s="1">
        <f>(Submeters!M5+Submeters!N5)</f>
        <v>1499.9999999998793</v>
      </c>
      <c r="I6" s="1">
        <f>(Submeters!O5+Submeters!P5+Submeters!Q5+Submeters!R5+Submeters!S5+Submeters!T5)</f>
        <v>2960.0000000001396</v>
      </c>
      <c r="J6" s="1">
        <f>(Submeters!U5+Submeters!V5)</f>
        <v>4434.8699999997916</v>
      </c>
      <c r="K6" s="1">
        <f>Submeters!W5</f>
        <v>259.99999999999091</v>
      </c>
      <c r="L6" s="24">
        <f t="shared" si="0"/>
        <v>5886.6300000001374</v>
      </c>
    </row>
    <row r="7" spans="1:12" x14ac:dyDescent="0.25">
      <c r="A7" s="10">
        <f>'Kwh Reading'!A8</f>
        <v>44990</v>
      </c>
      <c r="B7" s="65">
        <f>TOTAL!E6</f>
        <v>20170.000000000186</v>
      </c>
      <c r="C7" s="1">
        <f>Submeters!E6</f>
        <v>549.99999999995453</v>
      </c>
      <c r="D7" s="1">
        <f>Submeters!F6</f>
        <v>2499.9999999999468</v>
      </c>
      <c r="E7" s="1">
        <f>Submeters!G6</f>
        <v>269.99999999998181</v>
      </c>
      <c r="F7" s="1">
        <f>(Submeters!I6+Submeters!J6+Submeters!K6)</f>
        <v>1369.9999999999477</v>
      </c>
      <c r="G7" s="1">
        <f>Submeters!L6</f>
        <v>128.90000000000146</v>
      </c>
      <c r="H7" s="1">
        <f>(Submeters!M6+Submeters!N6)</f>
        <v>1500.0000000001012</v>
      </c>
      <c r="I7" s="1">
        <f>(Submeters!O6+Submeters!P6+Submeters!Q6+Submeters!R6+Submeters!S6+Submeters!T6)</f>
        <v>3179.9999999999059</v>
      </c>
      <c r="J7" s="1">
        <f>(Submeters!U6+Submeters!V6)</f>
        <v>4995.2900000011141</v>
      </c>
      <c r="K7" s="1">
        <f>Submeters!W6</f>
        <v>230.00000000001819</v>
      </c>
      <c r="L7" s="24">
        <f t="shared" si="0"/>
        <v>5445.8099999992173</v>
      </c>
    </row>
    <row r="8" spans="1:12" x14ac:dyDescent="0.25">
      <c r="A8" s="10">
        <f>'Kwh Reading'!A9</f>
        <v>44991</v>
      </c>
      <c r="B8" s="65">
        <f>TOTAL!E7</f>
        <v>18279.999999999232</v>
      </c>
      <c r="C8" s="1">
        <f>Submeters!E7</f>
        <v>550.00000000006821</v>
      </c>
      <c r="D8" s="1">
        <f>Submeters!F7</f>
        <v>2399.9999999997358</v>
      </c>
      <c r="E8" s="1">
        <f>Submeters!G7</f>
        <v>269.99999999998181</v>
      </c>
      <c r="F8" s="1">
        <f>(Submeters!I7+Submeters!J7+Submeters!K7)</f>
        <v>1430.0000000001205</v>
      </c>
      <c r="G8" s="1">
        <f>Submeters!L7</f>
        <v>120.89999999999782</v>
      </c>
      <c r="H8" s="1">
        <f>(Submeters!M7+Submeters!N7)</f>
        <v>1239.999999999899</v>
      </c>
      <c r="I8" s="1">
        <f>(Submeters!O7+Submeters!P7+Submeters!Q7+Submeters!R7+Submeters!S7+Submeters!T7)</f>
        <v>2589.9999999998668</v>
      </c>
      <c r="J8" s="1">
        <f>(Submeters!U7+Submeters!V7)</f>
        <v>4010.7100000001374</v>
      </c>
      <c r="K8" s="1">
        <f>Submeters!W7</f>
        <v>250</v>
      </c>
      <c r="L8" s="24">
        <f t="shared" si="0"/>
        <v>5418.3899999994228</v>
      </c>
    </row>
    <row r="9" spans="1:12" x14ac:dyDescent="0.25">
      <c r="A9" s="10">
        <f>'Kwh Reading'!A10</f>
        <v>44992</v>
      </c>
      <c r="B9" s="65">
        <f>TOTAL!E8</f>
        <v>20030.000000000146</v>
      </c>
      <c r="C9" s="1">
        <f>Submeters!E8</f>
        <v>549.99999999995453</v>
      </c>
      <c r="D9" s="1">
        <f>Submeters!F8</f>
        <v>2400.0000000001796</v>
      </c>
      <c r="E9" s="1">
        <f>Submeters!G8</f>
        <v>280.00000000002956</v>
      </c>
      <c r="F9" s="1">
        <f>(Submeters!I8+Submeters!J8+Submeters!K8)</f>
        <v>1399.9999999999773</v>
      </c>
      <c r="G9" s="1">
        <f>Submeters!L8</f>
        <v>136.10000000000218</v>
      </c>
      <c r="H9" s="1">
        <f>(Submeters!M8+Submeters!N8)</f>
        <v>1380.0000000000737</v>
      </c>
      <c r="I9" s="1">
        <f>(Submeters!O8+Submeters!P8+Submeters!Q8+Submeters!R8+Submeters!S8+Submeters!T8)</f>
        <v>2890.0000000003115</v>
      </c>
      <c r="J9" s="1">
        <f>(Submeters!U8+Submeters!V8)</f>
        <v>5019.5400000002992</v>
      </c>
      <c r="K9" s="1">
        <f>Submeters!W8</f>
        <v>209.99999999997954</v>
      </c>
      <c r="L9" s="24">
        <f t="shared" si="0"/>
        <v>5764.3599999993385</v>
      </c>
    </row>
    <row r="10" spans="1:12" x14ac:dyDescent="0.25">
      <c r="A10" s="10">
        <f>'Kwh Reading'!A11</f>
        <v>44993</v>
      </c>
      <c r="B10" s="65">
        <f>TOTAL!E9</f>
        <v>21310</v>
      </c>
      <c r="C10" s="1">
        <f>Submeters!E9</f>
        <v>549.99999999995453</v>
      </c>
      <c r="D10" s="1">
        <f>Submeters!F9</f>
        <v>2400.0000000001796</v>
      </c>
      <c r="E10" s="1">
        <f>Submeters!G9</f>
        <v>259.99999999999091</v>
      </c>
      <c r="F10" s="1">
        <f>(Submeters!I9+Submeters!J9+Submeters!K9)</f>
        <v>1309.9999999999454</v>
      </c>
      <c r="G10" s="1">
        <f>Submeters!L9</f>
        <v>119.5</v>
      </c>
      <c r="H10" s="1">
        <f>(Submeters!M9+Submeters!N9)</f>
        <v>1589.9999999998772</v>
      </c>
      <c r="I10" s="1">
        <f>(Submeters!O9+Submeters!P9+Submeters!Q9+Submeters!R9+Submeters!S9+Submeters!T9)</f>
        <v>3199.9999999997453</v>
      </c>
      <c r="J10" s="1">
        <f>(Submeters!U9+Submeters!V9)</f>
        <v>5308.6199999988894</v>
      </c>
      <c r="K10" s="1">
        <f>Submeters!W9</f>
        <v>269.99999999998181</v>
      </c>
      <c r="L10" s="24">
        <f t="shared" si="0"/>
        <v>6301.880000001438</v>
      </c>
    </row>
    <row r="11" spans="1:12" x14ac:dyDescent="0.25">
      <c r="A11" s="10">
        <f>'Kwh Reading'!A12</f>
        <v>44994</v>
      </c>
      <c r="B11" s="65">
        <f>TOTAL!E10</f>
        <v>20250.000000000568</v>
      </c>
      <c r="C11" s="1">
        <f>Submeters!E10</f>
        <v>550.00000000006821</v>
      </c>
      <c r="D11" s="1">
        <f>Submeters!F10</f>
        <v>2399.9999999997358</v>
      </c>
      <c r="E11" s="1">
        <f>Submeters!G10</f>
        <v>259.99999999999091</v>
      </c>
      <c r="F11" s="1">
        <f>(Submeters!I10+Submeters!J10+Submeters!K10)</f>
        <v>1179.99999999995</v>
      </c>
      <c r="G11" s="1">
        <f>Submeters!L10</f>
        <v>135.39999999999782</v>
      </c>
      <c r="H11" s="1">
        <f>(Submeters!M10+Submeters!N10)</f>
        <v>1490.0000000000534</v>
      </c>
      <c r="I11" s="1">
        <f>(Submeters!O10+Submeters!P10+Submeters!Q10+Submeters!R10+Submeters!S10+Submeters!T10)</f>
        <v>2950.000000000035</v>
      </c>
      <c r="J11" s="1">
        <f>(Submeters!U10+Submeters!V10)</f>
        <v>5102.0799999997835</v>
      </c>
      <c r="K11" s="1">
        <f>Submeters!W10</f>
        <v>259.99999999999091</v>
      </c>
      <c r="L11" s="24">
        <f t="shared" si="0"/>
        <v>5922.5200000009627</v>
      </c>
    </row>
    <row r="12" spans="1:12" x14ac:dyDescent="0.25">
      <c r="A12" s="10">
        <f>'Kwh Reading'!A13</f>
        <v>44995</v>
      </c>
      <c r="B12" s="65">
        <f>TOTAL!E11</f>
        <v>20509.999999999254</v>
      </c>
      <c r="C12" s="1">
        <f>Submeters!E11</f>
        <v>559.99999999994543</v>
      </c>
      <c r="D12" s="1">
        <f>Submeters!F11</f>
        <v>2400.0000000001796</v>
      </c>
      <c r="E12" s="1">
        <f>Submeters!G11</f>
        <v>269.99999999998181</v>
      </c>
      <c r="F12" s="1">
        <f>(Submeters!I11+Submeters!J11+Submeters!K11)</f>
        <v>1270.0000000000387</v>
      </c>
      <c r="G12" s="1">
        <f>Submeters!L11</f>
        <v>131.60000000000218</v>
      </c>
      <c r="H12" s="1">
        <f>(Submeters!M11+Submeters!N11)</f>
        <v>1400.0000000001123</v>
      </c>
      <c r="I12" s="1">
        <f>(Submeters!O11+Submeters!P11+Submeters!Q11+Submeters!R11+Submeters!S11+Submeters!T11)</f>
        <v>2980.0000000002633</v>
      </c>
      <c r="J12" s="1">
        <f>(Submeters!U11+Submeters!V11)</f>
        <v>5108.4700000009034</v>
      </c>
      <c r="K12" s="1">
        <f>Submeters!W11</f>
        <v>260.00000000004775</v>
      </c>
      <c r="L12" s="24">
        <f t="shared" si="0"/>
        <v>6129.9299999977811</v>
      </c>
    </row>
    <row r="13" spans="1:12" x14ac:dyDescent="0.25">
      <c r="A13" s="10">
        <f>'Kwh Reading'!A14</f>
        <v>44996</v>
      </c>
      <c r="B13" s="65">
        <f>TOTAL!E12</f>
        <v>20139.999999999247</v>
      </c>
      <c r="C13" s="1">
        <f>Submeters!E12</f>
        <v>330.00000000004093</v>
      </c>
      <c r="D13" s="1">
        <f>Submeters!F12</f>
        <v>2499.9999999999468</v>
      </c>
      <c r="E13" s="1">
        <f>Submeters!G12</f>
        <v>270.00000000003865</v>
      </c>
      <c r="F13" s="1">
        <f>(Submeters!I12+Submeters!J12+Submeters!K12)</f>
        <v>1350.0000000000227</v>
      </c>
      <c r="G13" s="1">
        <f>Submeters!L12</f>
        <v>136.20000000000073</v>
      </c>
      <c r="H13" s="1">
        <f>(Submeters!M12+Submeters!N12)</f>
        <v>1529.9999999999088</v>
      </c>
      <c r="I13" s="1">
        <f>(Submeters!O12+Submeters!P12+Submeters!Q12+Submeters!R12+Submeters!S12+Submeters!T12)</f>
        <v>3149.9999999997108</v>
      </c>
      <c r="J13" s="1">
        <f>(Submeters!U12+Submeters!V12)</f>
        <v>4604.7999999993772</v>
      </c>
      <c r="K13" s="1">
        <f>Submeters!W12</f>
        <v>259.99999999999091</v>
      </c>
      <c r="L13" s="24">
        <f t="shared" si="0"/>
        <v>6009.000000000211</v>
      </c>
    </row>
    <row r="14" spans="1:12" x14ac:dyDescent="0.25">
      <c r="A14" s="10">
        <f>'Kwh Reading'!A15</f>
        <v>44997</v>
      </c>
      <c r="B14" s="65">
        <f>TOTAL!E13</f>
        <v>20059.999999999945</v>
      </c>
      <c r="C14" s="1">
        <f>Submeters!E13</f>
        <v>590.00000000003183</v>
      </c>
      <c r="D14" s="1">
        <f>Submeters!F13</f>
        <v>2400.0000000001796</v>
      </c>
      <c r="E14" s="1">
        <f>Submeters!G13</f>
        <v>259.99999999999091</v>
      </c>
      <c r="F14" s="1">
        <f>(Submeters!I13+Submeters!J13+Submeters!K13)</f>
        <v>1389.9999999999864</v>
      </c>
      <c r="G14" s="1">
        <f>Submeters!L13</f>
        <v>128.89999999999782</v>
      </c>
      <c r="H14" s="1">
        <f>(Submeters!M13+Submeters!N13)</f>
        <v>1540.0000000000648</v>
      </c>
      <c r="I14" s="1">
        <f>(Submeters!O13+Submeters!P13+Submeters!Q13+Submeters!R13+Submeters!S13+Submeters!T13)</f>
        <v>3230.0000000001673</v>
      </c>
      <c r="J14" s="1">
        <f>(Submeters!U13+Submeters!V13)</f>
        <v>5085.4400000003225</v>
      </c>
      <c r="K14" s="1">
        <f>Submeters!W13</f>
        <v>240.00000000000909</v>
      </c>
      <c r="L14" s="24">
        <f t="shared" si="0"/>
        <v>5195.6599999991977</v>
      </c>
    </row>
    <row r="15" spans="1:12" x14ac:dyDescent="0.25">
      <c r="A15" s="10">
        <f>'Kwh Reading'!A16</f>
        <v>44998</v>
      </c>
      <c r="B15" s="65">
        <f>TOTAL!E14</f>
        <v>0</v>
      </c>
      <c r="C15" s="1">
        <f>Submeters!E14</f>
        <v>-722570</v>
      </c>
      <c r="D15" s="1">
        <f>Submeters!F14</f>
        <v>-3988100</v>
      </c>
      <c r="E15" s="1">
        <f>Submeters!G14</f>
        <v>-386490</v>
      </c>
      <c r="F15" s="1">
        <f>(Submeters!I14+Submeters!J14+Submeters!K14)</f>
        <v>-1557230</v>
      </c>
      <c r="G15" s="1">
        <f>Submeters!L14</f>
        <v>-29092.799999999999</v>
      </c>
      <c r="H15" s="1">
        <f>(Submeters!M14+Submeters!N14)</f>
        <v>-2101910</v>
      </c>
      <c r="I15" s="1">
        <f>(Submeters!O14+Submeters!P14+Submeters!Q14+Submeters!R14+Submeters!S14+Submeters!T14)</f>
        <v>-6043310</v>
      </c>
      <c r="J15" s="1">
        <f>(Submeters!U14+Submeters!V14)</f>
        <v>-10078281.48</v>
      </c>
      <c r="K15" s="1">
        <f>Submeters!W14</f>
        <v>-286290</v>
      </c>
      <c r="L15" s="24">
        <f t="shared" si="0"/>
        <v>25193274.280000001</v>
      </c>
    </row>
    <row r="16" spans="1:12" x14ac:dyDescent="0.25">
      <c r="A16" s="10">
        <f>'Kwh Reading'!A17</f>
        <v>44999</v>
      </c>
      <c r="B16" s="65">
        <f>TOTAL!E15</f>
        <v>0</v>
      </c>
      <c r="C16" s="1">
        <f>Submeters!E15</f>
        <v>0</v>
      </c>
      <c r="D16" s="1">
        <f>Submeters!F15</f>
        <v>0</v>
      </c>
      <c r="E16" s="1">
        <f>Submeters!G15</f>
        <v>0</v>
      </c>
      <c r="F16" s="1">
        <f>(Submeters!I15+Submeters!J15+Submeters!K15)</f>
        <v>0</v>
      </c>
      <c r="G16" s="1">
        <f>Submeters!L15</f>
        <v>0</v>
      </c>
      <c r="H16" s="1">
        <f>(Submeters!M15+Submeters!N15)</f>
        <v>0</v>
      </c>
      <c r="I16" s="1">
        <f>(Submeters!O15+Submeters!P15+Submeters!Q15+Submeters!R15+Submeters!S15+Submeters!T15)</f>
        <v>0</v>
      </c>
      <c r="J16" s="1">
        <f>(Submeters!U15+Submeters!V15)</f>
        <v>0</v>
      </c>
      <c r="K16" s="1">
        <f>Submeters!W15</f>
        <v>0</v>
      </c>
      <c r="L16" s="24">
        <f t="shared" si="0"/>
        <v>0</v>
      </c>
    </row>
    <row r="17" spans="1:13" x14ac:dyDescent="0.25">
      <c r="A17" s="10">
        <f>'Kwh Reading'!A18</f>
        <v>45000</v>
      </c>
      <c r="B17" s="65">
        <f>TOTAL!E16</f>
        <v>0</v>
      </c>
      <c r="C17" s="1">
        <f>Submeters!E16</f>
        <v>0</v>
      </c>
      <c r="D17" s="1">
        <f>Submeters!F16</f>
        <v>0</v>
      </c>
      <c r="E17" s="1">
        <f>Submeters!G16</f>
        <v>0</v>
      </c>
      <c r="F17" s="1">
        <f>(Submeters!I16+Submeters!J16+Submeters!K16)</f>
        <v>0</v>
      </c>
      <c r="G17" s="1">
        <f>Submeters!L16</f>
        <v>0</v>
      </c>
      <c r="H17" s="1">
        <f>(Submeters!M16+Submeters!N16)</f>
        <v>0</v>
      </c>
      <c r="I17" s="1">
        <f>(Submeters!O16+Submeters!P16+Submeters!Q16+Submeters!R16+Submeters!S16+Submeters!T16)</f>
        <v>0</v>
      </c>
      <c r="J17" s="1">
        <f>(Submeters!U16+Submeters!V16)</f>
        <v>0</v>
      </c>
      <c r="K17" s="1">
        <f>Submeters!W16</f>
        <v>0</v>
      </c>
      <c r="L17" s="24">
        <f t="shared" si="0"/>
        <v>0</v>
      </c>
    </row>
    <row r="18" spans="1:13" x14ac:dyDescent="0.25">
      <c r="A18" s="10">
        <f>'Kwh Reading'!A19</f>
        <v>45001</v>
      </c>
      <c r="B18" s="65">
        <f>TOTAL!E17</f>
        <v>0</v>
      </c>
      <c r="C18" s="1">
        <f>Submeters!E17</f>
        <v>0</v>
      </c>
      <c r="D18" s="1">
        <f>Submeters!F17</f>
        <v>0</v>
      </c>
      <c r="E18" s="1">
        <f>Submeters!G17</f>
        <v>0</v>
      </c>
      <c r="F18" s="1">
        <f>(Submeters!I17+Submeters!J17+Submeters!K17)</f>
        <v>0</v>
      </c>
      <c r="G18" s="1">
        <f>Submeters!L17</f>
        <v>0</v>
      </c>
      <c r="H18" s="1">
        <f>(Submeters!M17+Submeters!N17)</f>
        <v>0</v>
      </c>
      <c r="I18" s="1">
        <f>(Submeters!O17+Submeters!P17+Submeters!Q17+Submeters!R17+Submeters!S17+Submeters!T17)</f>
        <v>0</v>
      </c>
      <c r="J18" s="1">
        <f>(Submeters!U17+Submeters!V17)</f>
        <v>0</v>
      </c>
      <c r="K18" s="1">
        <f>Submeters!W17</f>
        <v>0</v>
      </c>
      <c r="L18" s="24">
        <f t="shared" si="0"/>
        <v>0</v>
      </c>
    </row>
    <row r="19" spans="1:13" x14ac:dyDescent="0.25">
      <c r="A19" s="10">
        <f>'Kwh Reading'!A20</f>
        <v>45002</v>
      </c>
      <c r="B19" s="65">
        <f>TOTAL!E18</f>
        <v>0</v>
      </c>
      <c r="C19" s="1">
        <f>Submeters!E18</f>
        <v>0</v>
      </c>
      <c r="D19" s="1">
        <f>Submeters!F18</f>
        <v>0</v>
      </c>
      <c r="E19" s="1">
        <f>Submeters!G18</f>
        <v>0</v>
      </c>
      <c r="F19" s="1">
        <f>(Submeters!I18+Submeters!J18+Submeters!K18)</f>
        <v>0</v>
      </c>
      <c r="G19" s="1">
        <f>Submeters!L18</f>
        <v>0</v>
      </c>
      <c r="H19" s="1">
        <f>(Submeters!M18+Submeters!N18)</f>
        <v>0</v>
      </c>
      <c r="I19" s="1">
        <f>(Submeters!O18+Submeters!P18+Submeters!Q18+Submeters!R18+Submeters!S18+Submeters!T18)</f>
        <v>0</v>
      </c>
      <c r="J19" s="1">
        <f>(Submeters!U18+Submeters!V18)</f>
        <v>0</v>
      </c>
      <c r="K19" s="1">
        <f>Submeters!W18</f>
        <v>0</v>
      </c>
      <c r="L19" s="24">
        <f t="shared" si="0"/>
        <v>0</v>
      </c>
    </row>
    <row r="20" spans="1:13" x14ac:dyDescent="0.25">
      <c r="A20" s="10">
        <f>'Kwh Reading'!A21</f>
        <v>45003</v>
      </c>
      <c r="B20" s="65">
        <f>TOTAL!E19</f>
        <v>0</v>
      </c>
      <c r="C20" s="1">
        <f>Submeters!E19</f>
        <v>0</v>
      </c>
      <c r="D20" s="1">
        <f>Submeters!F19</f>
        <v>0</v>
      </c>
      <c r="E20" s="1">
        <f>Submeters!G19</f>
        <v>0</v>
      </c>
      <c r="F20" s="1">
        <f>(Submeters!I19+Submeters!J19+Submeters!K19)</f>
        <v>0</v>
      </c>
      <c r="G20" s="1">
        <f>Submeters!L19</f>
        <v>0</v>
      </c>
      <c r="H20" s="1">
        <f>(Submeters!M19+Submeters!N19)</f>
        <v>0</v>
      </c>
      <c r="I20" s="1">
        <f>(Submeters!O19+Submeters!P19+Submeters!Q19+Submeters!R19+Submeters!S19+Submeters!T19)</f>
        <v>0</v>
      </c>
      <c r="J20" s="1">
        <f>(Submeters!U19+Submeters!V19)</f>
        <v>0</v>
      </c>
      <c r="K20" s="1">
        <f>Submeters!W19</f>
        <v>0</v>
      </c>
      <c r="L20" s="24">
        <f t="shared" si="0"/>
        <v>0</v>
      </c>
    </row>
    <row r="21" spans="1:13" x14ac:dyDescent="0.25">
      <c r="A21" s="10">
        <f>'Kwh Reading'!A22</f>
        <v>45004</v>
      </c>
      <c r="B21" s="65">
        <f>TOTAL!E20</f>
        <v>0</v>
      </c>
      <c r="C21" s="1">
        <f>Submeters!E20</f>
        <v>0</v>
      </c>
      <c r="D21" s="1">
        <f>Submeters!F20</f>
        <v>0</v>
      </c>
      <c r="E21" s="1">
        <f>Submeters!G20</f>
        <v>0</v>
      </c>
      <c r="F21" s="1">
        <f>(Submeters!I20+Submeters!J20+Submeters!K20)</f>
        <v>0</v>
      </c>
      <c r="G21" s="1">
        <f>Submeters!L20</f>
        <v>0</v>
      </c>
      <c r="H21" s="1">
        <f>(Submeters!M20+Submeters!N20)</f>
        <v>0</v>
      </c>
      <c r="I21" s="1">
        <f>(Submeters!O20+Submeters!P20+Submeters!Q20+Submeters!R20+Submeters!S20+Submeters!T20)</f>
        <v>0</v>
      </c>
      <c r="J21" s="1">
        <f>(Submeters!U20+Submeters!V20)</f>
        <v>0</v>
      </c>
      <c r="K21" s="1">
        <f>Submeters!W20</f>
        <v>0</v>
      </c>
      <c r="L21" s="24">
        <f t="shared" si="0"/>
        <v>0</v>
      </c>
    </row>
    <row r="22" spans="1:13" x14ac:dyDescent="0.25">
      <c r="A22" s="10">
        <f>'Kwh Reading'!A23</f>
        <v>45005</v>
      </c>
      <c r="B22" s="65">
        <f>TOTAL!E21</f>
        <v>0</v>
      </c>
      <c r="C22" s="1">
        <f>Submeters!E21</f>
        <v>0</v>
      </c>
      <c r="D22" s="1">
        <f>Submeters!F21</f>
        <v>0</v>
      </c>
      <c r="E22" s="1">
        <f>Submeters!G21</f>
        <v>0</v>
      </c>
      <c r="F22" s="1">
        <f>(Submeters!I21+Submeters!J21+Submeters!K21)</f>
        <v>0</v>
      </c>
      <c r="G22" s="1">
        <f>Submeters!L21</f>
        <v>0</v>
      </c>
      <c r="H22" s="1">
        <f>(Submeters!M21+Submeters!N21)</f>
        <v>0</v>
      </c>
      <c r="I22" s="1">
        <f>(Submeters!O21+Submeters!P21+Submeters!Q21+Submeters!R21+Submeters!S21+Submeters!T21)</f>
        <v>0</v>
      </c>
      <c r="J22" s="1">
        <f>(Submeters!U21+Submeters!V21)</f>
        <v>0</v>
      </c>
      <c r="K22" s="1">
        <f>Submeters!W21</f>
        <v>0</v>
      </c>
      <c r="L22" s="24">
        <f t="shared" si="0"/>
        <v>0</v>
      </c>
    </row>
    <row r="23" spans="1:13" x14ac:dyDescent="0.25">
      <c r="A23" s="10">
        <f>'Kwh Reading'!A24</f>
        <v>45006</v>
      </c>
      <c r="B23" s="65">
        <f>TOTAL!E22</f>
        <v>0</v>
      </c>
      <c r="C23" s="1">
        <f>Submeters!E22</f>
        <v>0</v>
      </c>
      <c r="D23" s="1">
        <f>Submeters!F22</f>
        <v>0</v>
      </c>
      <c r="E23" s="1">
        <f>Submeters!G22</f>
        <v>0</v>
      </c>
      <c r="F23" s="1">
        <f>(Submeters!I22+Submeters!J22+Submeters!K22)</f>
        <v>0</v>
      </c>
      <c r="G23" s="1">
        <f>Submeters!L22</f>
        <v>0</v>
      </c>
      <c r="H23" s="1">
        <f>(Submeters!M22+Submeters!N22)</f>
        <v>0</v>
      </c>
      <c r="I23" s="1">
        <f>(Submeters!O22+Submeters!P22+Submeters!Q22+Submeters!R22+Submeters!S22+Submeters!T22)</f>
        <v>0</v>
      </c>
      <c r="J23" s="1">
        <f>(Submeters!U22+Submeters!V22)</f>
        <v>0</v>
      </c>
      <c r="K23" s="1">
        <f>Submeters!W22</f>
        <v>0</v>
      </c>
      <c r="L23" s="24">
        <f t="shared" si="0"/>
        <v>0</v>
      </c>
    </row>
    <row r="24" spans="1:13" x14ac:dyDescent="0.25">
      <c r="A24" s="10">
        <f>'Kwh Reading'!A25</f>
        <v>45007</v>
      </c>
      <c r="B24" s="65">
        <f>TOTAL!E23</f>
        <v>0</v>
      </c>
      <c r="C24" s="1">
        <f>Submeters!E23</f>
        <v>0</v>
      </c>
      <c r="D24" s="1">
        <f>Submeters!F23</f>
        <v>0</v>
      </c>
      <c r="E24" s="1">
        <f>Submeters!G23</f>
        <v>0</v>
      </c>
      <c r="F24" s="1">
        <f>(Submeters!I23+Submeters!J23+Submeters!K23)</f>
        <v>0</v>
      </c>
      <c r="G24" s="1">
        <f>Submeters!L23</f>
        <v>0</v>
      </c>
      <c r="H24" s="1">
        <f>(Submeters!M23+Submeters!N23)</f>
        <v>0</v>
      </c>
      <c r="I24" s="1">
        <f>(Submeters!O23+Submeters!P23+Submeters!Q23+Submeters!R23+Submeters!S23+Submeters!T23)</f>
        <v>0</v>
      </c>
      <c r="J24" s="1">
        <f>(Submeters!U23+Submeters!V23)</f>
        <v>0</v>
      </c>
      <c r="K24" s="1">
        <f>Submeters!W23</f>
        <v>0</v>
      </c>
      <c r="L24" s="24">
        <f t="shared" si="0"/>
        <v>0</v>
      </c>
    </row>
    <row r="25" spans="1:13" x14ac:dyDescent="0.25">
      <c r="A25" s="10">
        <f>'Kwh Reading'!A26</f>
        <v>45008</v>
      </c>
      <c r="B25" s="65">
        <f>TOTAL!E24</f>
        <v>0</v>
      </c>
      <c r="C25" s="1">
        <f>Submeters!E24</f>
        <v>0</v>
      </c>
      <c r="D25" s="1">
        <f>Submeters!F24</f>
        <v>0</v>
      </c>
      <c r="E25" s="1">
        <f>Submeters!G24</f>
        <v>0</v>
      </c>
      <c r="F25" s="1">
        <f>(Submeters!I24+Submeters!J24+Submeters!K24)</f>
        <v>0</v>
      </c>
      <c r="G25" s="1">
        <f>Submeters!L24</f>
        <v>0</v>
      </c>
      <c r="H25" s="1">
        <f>(Submeters!M24+Submeters!N24)</f>
        <v>0</v>
      </c>
      <c r="I25" s="1">
        <f>(Submeters!O24+Submeters!P24+Submeters!Q24+Submeters!R24+Submeters!S24+Submeters!T24)</f>
        <v>0</v>
      </c>
      <c r="J25" s="1">
        <f>(Submeters!U24+Submeters!V24)</f>
        <v>0</v>
      </c>
      <c r="K25" s="1">
        <f>Submeters!W24</f>
        <v>0</v>
      </c>
      <c r="L25" s="24">
        <f t="shared" si="0"/>
        <v>0</v>
      </c>
    </row>
    <row r="26" spans="1:13" x14ac:dyDescent="0.25">
      <c r="A26" s="10">
        <f>'Kwh Reading'!A27</f>
        <v>45009</v>
      </c>
      <c r="B26" s="65">
        <f>TOTAL!E25</f>
        <v>0</v>
      </c>
      <c r="C26" s="1">
        <f>Submeters!E25</f>
        <v>0</v>
      </c>
      <c r="D26" s="1">
        <f>Submeters!F25</f>
        <v>0</v>
      </c>
      <c r="E26" s="1">
        <f>Submeters!G25</f>
        <v>0</v>
      </c>
      <c r="F26" s="1">
        <f>(Submeters!I25+Submeters!J25+Submeters!K25)</f>
        <v>0</v>
      </c>
      <c r="G26" s="1">
        <f>Submeters!L25</f>
        <v>0</v>
      </c>
      <c r="H26" s="1">
        <f>(Submeters!M25+Submeters!N25)</f>
        <v>0</v>
      </c>
      <c r="I26" s="1">
        <f>(Submeters!O25+Submeters!P25+Submeters!Q25+Submeters!R25+Submeters!S25+Submeters!T25)</f>
        <v>0</v>
      </c>
      <c r="J26" s="1">
        <f>(Submeters!U25+Submeters!V25)</f>
        <v>0</v>
      </c>
      <c r="K26" s="1">
        <f>Submeters!W25</f>
        <v>0</v>
      </c>
      <c r="L26" s="24">
        <f t="shared" si="0"/>
        <v>0</v>
      </c>
    </row>
    <row r="27" spans="1:13" x14ac:dyDescent="0.25">
      <c r="A27" s="10">
        <f>'Kwh Reading'!A28</f>
        <v>45010</v>
      </c>
      <c r="B27" s="65">
        <f>TOTAL!E26</f>
        <v>0</v>
      </c>
      <c r="C27" s="1">
        <f>Submeters!E26</f>
        <v>0</v>
      </c>
      <c r="D27" s="1">
        <f>Submeters!F26</f>
        <v>0</v>
      </c>
      <c r="E27" s="1">
        <f>Submeters!G26</f>
        <v>0</v>
      </c>
      <c r="F27" s="1">
        <f>(Submeters!I26+Submeters!J26+Submeters!K26)</f>
        <v>0</v>
      </c>
      <c r="G27" s="1">
        <f>Submeters!L26</f>
        <v>0</v>
      </c>
      <c r="H27" s="1">
        <f>(Submeters!M26+Submeters!N26)</f>
        <v>0</v>
      </c>
      <c r="I27" s="1">
        <f>(Submeters!O26+Submeters!P26+Submeters!Q26+Submeters!R26+Submeters!S26+Submeters!T26)</f>
        <v>0</v>
      </c>
      <c r="J27" s="1">
        <f>(Submeters!U26+Submeters!V26)</f>
        <v>0</v>
      </c>
      <c r="K27" s="1">
        <f>Submeters!W26</f>
        <v>0</v>
      </c>
      <c r="L27" s="24">
        <f t="shared" si="0"/>
        <v>0</v>
      </c>
    </row>
    <row r="28" spans="1:13" x14ac:dyDescent="0.25">
      <c r="A28" s="10">
        <f>'Kwh Reading'!A29</f>
        <v>45011</v>
      </c>
      <c r="B28" s="65">
        <f>TOTAL!E27</f>
        <v>0</v>
      </c>
      <c r="C28" s="1">
        <f>Submeters!E27</f>
        <v>0</v>
      </c>
      <c r="D28" s="1">
        <f>Submeters!F27</f>
        <v>0</v>
      </c>
      <c r="E28" s="1">
        <f>Submeters!G27</f>
        <v>0</v>
      </c>
      <c r="F28" s="1">
        <f>(Submeters!I27+Submeters!J27+Submeters!K27)</f>
        <v>0</v>
      </c>
      <c r="G28" s="1">
        <f>Submeters!L27</f>
        <v>0</v>
      </c>
      <c r="H28" s="1">
        <f>(Submeters!M27+Submeters!N27)</f>
        <v>0</v>
      </c>
      <c r="I28" s="1">
        <f>(Submeters!O27+Submeters!P27+Submeters!Q27+Submeters!R27+Submeters!S27+Submeters!T27)</f>
        <v>0</v>
      </c>
      <c r="J28" s="1">
        <f>(Submeters!U27+Submeters!V27)</f>
        <v>0</v>
      </c>
      <c r="K28" s="1">
        <f>Submeters!W27</f>
        <v>0</v>
      </c>
      <c r="L28" s="24">
        <f t="shared" si="0"/>
        <v>0</v>
      </c>
    </row>
    <row r="29" spans="1:13" x14ac:dyDescent="0.25">
      <c r="A29" s="10">
        <f>'Kwh Reading'!A30</f>
        <v>45012</v>
      </c>
      <c r="B29" s="65">
        <f>TOTAL!E28</f>
        <v>0</v>
      </c>
      <c r="C29" s="1">
        <f>Submeters!E28</f>
        <v>0</v>
      </c>
      <c r="D29" s="1">
        <f>Submeters!F28</f>
        <v>0</v>
      </c>
      <c r="E29" s="1">
        <f>Submeters!G28</f>
        <v>0</v>
      </c>
      <c r="F29" s="1">
        <f>(Submeters!I28+Submeters!J28+Submeters!K28)</f>
        <v>0</v>
      </c>
      <c r="G29" s="1">
        <f>Submeters!L28</f>
        <v>0</v>
      </c>
      <c r="H29" s="1">
        <f>(Submeters!M28+Submeters!N28)</f>
        <v>0</v>
      </c>
      <c r="I29" s="1">
        <f>(Submeters!O28+Submeters!P28+Submeters!Q28+Submeters!R28+Submeters!S28+Submeters!T28)</f>
        <v>0</v>
      </c>
      <c r="J29" s="1">
        <f>(Submeters!U28+Submeters!V28)</f>
        <v>0</v>
      </c>
      <c r="K29" s="1">
        <f>Submeters!W28</f>
        <v>0</v>
      </c>
      <c r="L29" s="24">
        <f t="shared" si="0"/>
        <v>0</v>
      </c>
    </row>
    <row r="30" spans="1:13" x14ac:dyDescent="0.25">
      <c r="A30" s="10">
        <f>'Kwh Reading'!A31</f>
        <v>45013</v>
      </c>
      <c r="B30" s="65">
        <f>TOTAL!E29</f>
        <v>0</v>
      </c>
      <c r="C30" s="1">
        <f>Submeters!E29</f>
        <v>0</v>
      </c>
      <c r="D30" s="1">
        <f>Submeters!F29</f>
        <v>0</v>
      </c>
      <c r="E30" s="1">
        <f>Submeters!G29</f>
        <v>0</v>
      </c>
      <c r="F30" s="1">
        <f>(Submeters!I29+Submeters!J29+Submeters!K29)</f>
        <v>0</v>
      </c>
      <c r="G30" s="1">
        <f>Submeters!L29</f>
        <v>0</v>
      </c>
      <c r="H30" s="1">
        <f>(Submeters!M29+Submeters!N29)</f>
        <v>0</v>
      </c>
      <c r="I30" s="1">
        <f>(Submeters!O29+Submeters!P29+Submeters!Q29+Submeters!R29+Submeters!S29+Submeters!T29)</f>
        <v>0</v>
      </c>
      <c r="J30" s="1">
        <f>(Submeters!U29+Submeters!V29)</f>
        <v>0</v>
      </c>
      <c r="K30" s="1">
        <f>Submeters!W29</f>
        <v>0</v>
      </c>
      <c r="L30" s="24">
        <f t="shared" si="0"/>
        <v>0</v>
      </c>
    </row>
    <row r="31" spans="1:13" ht="15.75" x14ac:dyDescent="0.25">
      <c r="A31" s="67" t="s">
        <v>106</v>
      </c>
      <c r="B31" s="60">
        <f t="shared" ref="B31:L31" si="1">SUM(B3:B30)</f>
        <v>239699.99999999837</v>
      </c>
      <c r="C31" s="60">
        <f t="shared" si="1"/>
        <v>-716690</v>
      </c>
      <c r="D31" s="60">
        <f t="shared" si="1"/>
        <v>-3958800</v>
      </c>
      <c r="E31" s="60">
        <f t="shared" si="1"/>
        <v>-383300</v>
      </c>
      <c r="F31" s="60">
        <f t="shared" si="1"/>
        <v>-1541700</v>
      </c>
      <c r="G31" s="60">
        <f t="shared" si="1"/>
        <v>-27545</v>
      </c>
      <c r="H31" s="60">
        <f t="shared" si="1"/>
        <v>-2084360</v>
      </c>
      <c r="I31" s="60">
        <f t="shared" si="1"/>
        <v>-6006810</v>
      </c>
      <c r="J31" s="60">
        <f t="shared" si="1"/>
        <v>-10020564.370000001</v>
      </c>
      <c r="K31" s="60">
        <f t="shared" si="1"/>
        <v>-283410</v>
      </c>
      <c r="L31" s="60">
        <f t="shared" si="1"/>
        <v>25262879.370000001</v>
      </c>
      <c r="M31" s="66">
        <f>C31+D31+E31+F31+G31+H31+I31+J31+K31+L31</f>
        <v>239700</v>
      </c>
    </row>
    <row r="33" spans="1:13" ht="15.75" x14ac:dyDescent="0.25">
      <c r="A33" s="67" t="s">
        <v>50</v>
      </c>
      <c r="B33" s="90">
        <f>TOTAL!F2</f>
        <v>0</v>
      </c>
      <c r="C33" s="60">
        <f>C31*B33</f>
        <v>0</v>
      </c>
      <c r="D33" s="60">
        <f>D31*B33</f>
        <v>0</v>
      </c>
      <c r="E33" s="60">
        <f>E31*B33</f>
        <v>0</v>
      </c>
      <c r="F33" s="60">
        <f>F31*B33</f>
        <v>0</v>
      </c>
      <c r="G33" s="60">
        <f>G31*B33</f>
        <v>0</v>
      </c>
      <c r="H33" s="60">
        <f>H31*B33</f>
        <v>0</v>
      </c>
      <c r="I33" s="60">
        <f>I31*B33</f>
        <v>0</v>
      </c>
      <c r="J33" s="60">
        <f>J31*B33</f>
        <v>0</v>
      </c>
      <c r="K33" s="60">
        <f>K31*B33</f>
        <v>0</v>
      </c>
      <c r="L33" s="60">
        <f>L31*B33</f>
        <v>0</v>
      </c>
      <c r="M33" s="66">
        <f>C33+D33+E33+F33+G33+H33+I33+J33+K33+L33</f>
        <v>0</v>
      </c>
    </row>
    <row r="34" spans="1:13" x14ac:dyDescent="0.25">
      <c r="J34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34" sqref="I34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49</v>
      </c>
      <c r="C2" s="28" t="s">
        <v>50</v>
      </c>
      <c r="D2" s="27" t="s">
        <v>51</v>
      </c>
      <c r="E2" s="27" t="s">
        <v>52</v>
      </c>
      <c r="F2" s="28" t="s">
        <v>53</v>
      </c>
      <c r="G2" s="27" t="s">
        <v>54</v>
      </c>
      <c r="H2" s="15" t="s">
        <v>55</v>
      </c>
      <c r="I2" s="16" t="s">
        <v>56</v>
      </c>
      <c r="J2" s="17" t="s">
        <v>57</v>
      </c>
      <c r="K2" s="18" t="s">
        <v>58</v>
      </c>
      <c r="L2" s="20" t="s">
        <v>59</v>
      </c>
      <c r="M2" s="20" t="s">
        <v>60</v>
      </c>
    </row>
    <row r="3" spans="1:13" x14ac:dyDescent="0.25">
      <c r="A3" s="10">
        <f>'Kwh Reading'!A4</f>
        <v>44986</v>
      </c>
      <c r="B3" s="91">
        <f>TOTAL!F2</f>
        <v>0</v>
      </c>
      <c r="C3" s="9" t="e">
        <f>D3+E3+F3+G3+H3=I3+J3+K3+L3+M3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(Submeters!L2)*' Kwh area wise $ '!B3</f>
        <v>0</v>
      </c>
      <c r="I3" s="1">
        <f>(Submeters!M2+Submeters!N2)*' Kwh area wise $ '!B3</f>
        <v>0</v>
      </c>
      <c r="J3" s="1">
        <f>(Submeters!O2+Submeters!P2+Submeters!Q2+Submeters!R2+Submeters!S2+Submeters!T2)*' Kwh area wise $ '!B3</f>
        <v>0</v>
      </c>
      <c r="K3" s="24">
        <f>(Submeters!U2+Submeters!V2)*' Kwh area wise $ '!B3</f>
        <v>0</v>
      </c>
      <c r="L3" s="1">
        <f>Submeters!W2*'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44987</v>
      </c>
      <c r="B4" s="91">
        <f>TOTAL!F3</f>
        <v>0</v>
      </c>
      <c r="C4" s="9" t="e">
        <f t="shared" ref="C4:C30" si="0">D4+E4+F4+G4+H4=I4+J4+K4+L4+M4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(Submeters!L3)*' Kwh area wise $ '!B4</f>
        <v>0</v>
      </c>
      <c r="I4" s="1">
        <f>(Submeters!M3+Submeters!N3)*' Kwh area wise $ '!B4</f>
        <v>0</v>
      </c>
      <c r="J4" s="1">
        <f>(Submeters!O3+Submeters!P3+Submeters!Q3+Submeters!R3+Submeters!S3+Submeters!T3)*' Kwh area wise $ '!B4</f>
        <v>0</v>
      </c>
      <c r="K4" s="24">
        <f>(Submeters!U3+Submeters!V3)*' Kwh area wise $ '!B4</f>
        <v>0</v>
      </c>
      <c r="L4" s="1">
        <f>Submeters!W3*'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44988</v>
      </c>
      <c r="B5" s="91">
        <f>TOTAL!F4</f>
        <v>0</v>
      </c>
      <c r="C5" s="9" t="e">
        <f t="shared" si="0"/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(Submeters!L4)*' Kwh area wise $ '!B5</f>
        <v>0</v>
      </c>
      <c r="I5" s="1">
        <f>(Submeters!M4+Submeters!N4)*' Kwh area wise $ '!B5</f>
        <v>0</v>
      </c>
      <c r="J5" s="1">
        <f>(Submeters!O4+Submeters!P4+Submeters!Q4+Submeters!R4+Submeters!S4+Submeters!T4)*' Kwh area wise $ '!B5</f>
        <v>0</v>
      </c>
      <c r="K5" s="24">
        <f>(Submeters!U4+Submeters!V4)*' Kwh area wise $ '!B5</f>
        <v>0</v>
      </c>
      <c r="L5" s="1">
        <f>Submeters!W4*'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44989</v>
      </c>
      <c r="B6" s="91">
        <f>TOTAL!F5</f>
        <v>0</v>
      </c>
      <c r="C6" s="9" t="e">
        <f t="shared" si="0"/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(Submeters!L5)*' Kwh area wise $ '!B6</f>
        <v>0</v>
      </c>
      <c r="I6" s="1">
        <f>(Submeters!M5+Submeters!N5)*' Kwh area wise $ '!B6</f>
        <v>0</v>
      </c>
      <c r="J6" s="1">
        <f>(Submeters!O5+Submeters!P5+Submeters!Q5+Submeters!R5+Submeters!S5+Submeters!T5)*' Kwh area wise $ '!B6</f>
        <v>0</v>
      </c>
      <c r="K6" s="24">
        <f>(Submeters!U5+Submeters!V5)*' Kwh area wise $ '!B6</f>
        <v>0</v>
      </c>
      <c r="L6" s="1">
        <f>Submeters!W5*'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44990</v>
      </c>
      <c r="B7" s="91">
        <f>TOTAL!F6</f>
        <v>0</v>
      </c>
      <c r="C7" s="9" t="e">
        <f t="shared" si="0"/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(Submeters!L6)*' Kwh area wise $ '!B7</f>
        <v>0</v>
      </c>
      <c r="I7" s="1">
        <f>(Submeters!M6+Submeters!N6)*' Kwh area wise $ '!B7</f>
        <v>0</v>
      </c>
      <c r="J7" s="1">
        <f>(Submeters!O6+Submeters!P6+Submeters!Q6+Submeters!R6+Submeters!S6+Submeters!T6)*' Kwh area wise $ '!B7</f>
        <v>0</v>
      </c>
      <c r="K7" s="24">
        <f>(Submeters!U6+Submeters!V6)*' Kwh area wise $ '!B7</f>
        <v>0</v>
      </c>
      <c r="L7" s="1">
        <f>Submeters!W6*'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44991</v>
      </c>
      <c r="B8" s="91">
        <f>TOTAL!F7</f>
        <v>0</v>
      </c>
      <c r="C8" s="9" t="e">
        <f t="shared" si="0"/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(Submeters!L7)*' Kwh area wise $ '!B8</f>
        <v>0</v>
      </c>
      <c r="I8" s="1">
        <f>(Submeters!M7+Submeters!N7)*' Kwh area wise $ '!B8</f>
        <v>0</v>
      </c>
      <c r="J8" s="1">
        <f>(Submeters!O7+Submeters!P7+Submeters!Q7+Submeters!R7+Submeters!S7+Submeters!T7)*' Kwh area wise $ '!B8</f>
        <v>0</v>
      </c>
      <c r="K8" s="24">
        <f>(Submeters!U7+Submeters!V7)*' Kwh area wise $ '!B8</f>
        <v>0</v>
      </c>
      <c r="L8" s="1">
        <f>Submeters!W7*'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44992</v>
      </c>
      <c r="B9" s="91">
        <f>TOTAL!F8</f>
        <v>0</v>
      </c>
      <c r="C9" s="9" t="e">
        <f t="shared" si="0"/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(Submeters!L8)*' Kwh area wise $ '!B9</f>
        <v>0</v>
      </c>
      <c r="I9" s="1">
        <f>(Submeters!M8+Submeters!N8)*' Kwh area wise $ '!B9</f>
        <v>0</v>
      </c>
      <c r="J9" s="1">
        <f>(Submeters!O8+Submeters!P8+Submeters!Q8+Submeters!R8+Submeters!S8+Submeters!T8)*' Kwh area wise $ '!B9</f>
        <v>0</v>
      </c>
      <c r="K9" s="24">
        <f>(Submeters!U8+Submeters!V8)*' Kwh area wise $ '!B9</f>
        <v>0</v>
      </c>
      <c r="L9" s="1">
        <f>Submeters!W8*'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44993</v>
      </c>
      <c r="B10" s="91">
        <f>TOTAL!F9</f>
        <v>0</v>
      </c>
      <c r="C10" s="9" t="e">
        <f t="shared" si="0"/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(Submeters!L9)*' Kwh area wise $ '!B10</f>
        <v>0</v>
      </c>
      <c r="I10" s="1">
        <f>(Submeters!M9+Submeters!N9)*' Kwh area wise $ '!B10</f>
        <v>0</v>
      </c>
      <c r="J10" s="1">
        <f>(Submeters!O9+Submeters!P9+Submeters!Q9+Submeters!R9+Submeters!S9+Submeters!T9)*' Kwh area wise $ '!B10</f>
        <v>0</v>
      </c>
      <c r="K10" s="24">
        <f>(Submeters!U9+Submeters!V9)*' Kwh area wise $ '!B10</f>
        <v>0</v>
      </c>
      <c r="L10" s="1">
        <f>Submeters!W9*'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44994</v>
      </c>
      <c r="B11" s="91">
        <f>TOTAL!F10</f>
        <v>0</v>
      </c>
      <c r="C11" s="9" t="e">
        <f t="shared" si="0"/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(Submeters!L10)*' Kwh area wise $ '!B11</f>
        <v>0</v>
      </c>
      <c r="I11" s="1">
        <f>(Submeters!M10+Submeters!N10)*' Kwh area wise $ '!B11</f>
        <v>0</v>
      </c>
      <c r="J11" s="1">
        <f>(Submeters!O10+Submeters!P10+Submeters!Q10+Submeters!R10+Submeters!S10+Submeters!T10)*' Kwh area wise $ '!B11</f>
        <v>0</v>
      </c>
      <c r="K11" s="24">
        <f>(Submeters!U10+Submeters!V10)*' Kwh area wise $ '!B11</f>
        <v>0</v>
      </c>
      <c r="L11" s="1">
        <f>Submeters!W10*'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44995</v>
      </c>
      <c r="B12" s="91">
        <f>TOTAL!F11</f>
        <v>0</v>
      </c>
      <c r="C12" s="9" t="e">
        <f t="shared" si="0"/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(Submeters!L11)*' Kwh area wise $ '!B12</f>
        <v>0</v>
      </c>
      <c r="I12" s="1">
        <f>(Submeters!M11+Submeters!N11)*' Kwh area wise $ '!B12</f>
        <v>0</v>
      </c>
      <c r="J12" s="1">
        <f>(Submeters!O11+Submeters!P11+Submeters!Q11+Submeters!R11+Submeters!S11+Submeters!T11)*' Kwh area wise $ '!B12</f>
        <v>0</v>
      </c>
      <c r="K12" s="24">
        <f>(Submeters!U11+Submeters!V11)*' Kwh area wise $ '!B12</f>
        <v>0</v>
      </c>
      <c r="L12" s="1">
        <f>Submeters!W11*'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44996</v>
      </c>
      <c r="B13" s="91">
        <f>TOTAL!F12</f>
        <v>0</v>
      </c>
      <c r="C13" s="9" t="e">
        <f t="shared" si="0"/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(Submeters!L12)*' Kwh area wise $ '!B13</f>
        <v>0</v>
      </c>
      <c r="I13" s="1">
        <f>(Submeters!M12+Submeters!N12)*' Kwh area wise $ '!B13</f>
        <v>0</v>
      </c>
      <c r="J13" s="1">
        <f>(Submeters!O12+Submeters!P12+Submeters!Q12+Submeters!R12+Submeters!S12+Submeters!T12)*' Kwh area wise $ '!B13</f>
        <v>0</v>
      </c>
      <c r="K13" s="24">
        <f>(Submeters!U12+Submeters!V12)*' Kwh area wise $ '!B13</f>
        <v>0</v>
      </c>
      <c r="L13" s="1">
        <f>Submeters!W12*'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44997</v>
      </c>
      <c r="B14" s="91">
        <f>TOTAL!F13</f>
        <v>0</v>
      </c>
      <c r="C14" s="9" t="e">
        <f t="shared" si="0"/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(Submeters!L13)*' Kwh area wise $ '!B14</f>
        <v>0</v>
      </c>
      <c r="I14" s="1">
        <f>(Submeters!M13+Submeters!N13)*' Kwh area wise $ '!B14</f>
        <v>0</v>
      </c>
      <c r="J14" s="1">
        <f>(Submeters!O13+Submeters!P13+Submeters!Q13+Submeters!R13+Submeters!S13+Submeters!T13)*' Kwh area wise $ '!B14</f>
        <v>0</v>
      </c>
      <c r="K14" s="24">
        <f>(Submeters!U13+Submeters!V13)*' Kwh area wise $ '!B14</f>
        <v>0</v>
      </c>
      <c r="L14" s="1">
        <f>Submeters!W13*'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44998</v>
      </c>
      <c r="B15" s="91">
        <f>TOTAL!F14</f>
        <v>0</v>
      </c>
      <c r="C15" s="9" t="e">
        <f t="shared" si="0"/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(Submeters!L14)*' Kwh area wise $ '!B15</f>
        <v>0</v>
      </c>
      <c r="I15" s="1">
        <f>(Submeters!M14+Submeters!N14)*' Kwh area wise $ '!B15</f>
        <v>0</v>
      </c>
      <c r="J15" s="1">
        <f>(Submeters!O14+Submeters!P14+Submeters!Q14+Submeters!R14+Submeters!S14+Submeters!T14)*' Kwh area wise $ '!B15</f>
        <v>0</v>
      </c>
      <c r="K15" s="24">
        <f>(Submeters!U14+Submeters!V14)*' Kwh area wise $ '!B15</f>
        <v>0</v>
      </c>
      <c r="L15" s="1">
        <f>Submeters!W14*'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44999</v>
      </c>
      <c r="B16" s="91">
        <f>TOTAL!F15</f>
        <v>0</v>
      </c>
      <c r="C16" s="9" t="e">
        <f t="shared" si="0"/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(Submeters!L15)*' Kwh area wise $ '!B16</f>
        <v>0</v>
      </c>
      <c r="I16" s="1">
        <f>(Submeters!M15+Submeters!N15)*' Kwh area wise $ '!B16</f>
        <v>0</v>
      </c>
      <c r="J16" s="1">
        <f>(Submeters!O15+Submeters!P15+Submeters!Q15+Submeters!R15+Submeters!S15+Submeters!T15)*' Kwh area wise $ '!B16</f>
        <v>0</v>
      </c>
      <c r="K16" s="24">
        <f>(Submeters!U15+Submeters!V15)*' Kwh area wise $ '!B16</f>
        <v>0</v>
      </c>
      <c r="L16" s="1">
        <f>Submeters!W15*' Kwh area wise $ '!B16</f>
        <v>0</v>
      </c>
      <c r="M16" s="24" t="e">
        <f>Submeters!#REF!*' Kwh area wise $ '!B16</f>
        <v>#REF!</v>
      </c>
    </row>
    <row r="17" spans="1:14" x14ac:dyDescent="0.25">
      <c r="A17" s="10">
        <f>'Kwh Reading'!A18</f>
        <v>45000</v>
      </c>
      <c r="B17" s="91">
        <f>TOTAL!F16</f>
        <v>0</v>
      </c>
      <c r="C17" s="9" t="e">
        <f t="shared" si="0"/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(Submeters!L16)*' Kwh area wise $ '!B17</f>
        <v>0</v>
      </c>
      <c r="I17" s="1">
        <f>(Submeters!M16+Submeters!N16)*' Kwh area wise $ '!B17</f>
        <v>0</v>
      </c>
      <c r="J17" s="1">
        <f>(Submeters!O16+Submeters!P16+Submeters!Q16+Submeters!R16+Submeters!S16+Submeters!T16)*' Kwh area wise $ '!B17</f>
        <v>0</v>
      </c>
      <c r="K17" s="24">
        <f>(Submeters!U16+Submeters!V16)*' Kwh area wise $ '!B17</f>
        <v>0</v>
      </c>
      <c r="L17" s="1">
        <f>Submeters!W16*' Kwh area wise $ '!B17</f>
        <v>0</v>
      </c>
      <c r="M17" s="24" t="e">
        <f>Submeters!#REF!*' Kwh area wise $ '!B17</f>
        <v>#REF!</v>
      </c>
    </row>
    <row r="18" spans="1:14" x14ac:dyDescent="0.25">
      <c r="A18" s="10">
        <f>'Kwh Reading'!A19</f>
        <v>45001</v>
      </c>
      <c r="B18" s="91">
        <f>TOTAL!F17</f>
        <v>0</v>
      </c>
      <c r="C18" s="9" t="e">
        <f t="shared" si="0"/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(Submeters!L17)*' Kwh area wise $ '!B18</f>
        <v>0</v>
      </c>
      <c r="I18" s="1">
        <f>(Submeters!M17+Submeters!N17)*' Kwh area wise $ '!B18</f>
        <v>0</v>
      </c>
      <c r="J18" s="1">
        <f>(Submeters!O17+Submeters!P17+Submeters!Q17+Submeters!R17+Submeters!S17+Submeters!T17)*' Kwh area wise $ '!B18</f>
        <v>0</v>
      </c>
      <c r="K18" s="24">
        <f>(Submeters!U17+Submeters!V17)*' Kwh area wise $ '!B18</f>
        <v>0</v>
      </c>
      <c r="L18" s="1">
        <f>Submeters!W17*' Kwh area wise $ '!B18</f>
        <v>0</v>
      </c>
      <c r="M18" s="24" t="e">
        <f>Submeters!#REF!*' Kwh area wise $ '!B18</f>
        <v>#REF!</v>
      </c>
    </row>
    <row r="19" spans="1:14" x14ac:dyDescent="0.25">
      <c r="A19" s="10">
        <f>'Kwh Reading'!A20</f>
        <v>45002</v>
      </c>
      <c r="B19" s="91">
        <f>TOTAL!F18</f>
        <v>0</v>
      </c>
      <c r="C19" s="9" t="e">
        <f t="shared" si="0"/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(Submeters!L18)*' Kwh area wise $ '!B19</f>
        <v>0</v>
      </c>
      <c r="I19" s="1">
        <f>(Submeters!M18+Submeters!N18)*' Kwh area wise $ '!B19</f>
        <v>0</v>
      </c>
      <c r="J19" s="1">
        <f>(Submeters!O18+Submeters!P18+Submeters!Q18+Submeters!R18+Submeters!S18+Submeters!T18)*' Kwh area wise $ '!B19</f>
        <v>0</v>
      </c>
      <c r="K19" s="24">
        <f>(Submeters!U18+Submeters!V18)*' Kwh area wise $ '!B19</f>
        <v>0</v>
      </c>
      <c r="L19" s="1">
        <f>Submeters!W18*' Kwh area wise $ '!B19</f>
        <v>0</v>
      </c>
      <c r="M19" s="24" t="e">
        <f>Submeters!#REF!*' Kwh area wise $ '!B19</f>
        <v>#REF!</v>
      </c>
    </row>
    <row r="20" spans="1:14" x14ac:dyDescent="0.25">
      <c r="A20" s="10">
        <f>'Kwh Reading'!A21</f>
        <v>45003</v>
      </c>
      <c r="B20" s="91">
        <f>TOTAL!F19</f>
        <v>0</v>
      </c>
      <c r="C20" s="9" t="e">
        <f t="shared" si="0"/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(Submeters!L19)*' Kwh area wise $ '!B20</f>
        <v>0</v>
      </c>
      <c r="I20" s="1">
        <f>(Submeters!M19+Submeters!N19)*' Kwh area wise $ '!B20</f>
        <v>0</v>
      </c>
      <c r="J20" s="1">
        <f>(Submeters!O19+Submeters!P19+Submeters!Q19+Submeters!R19+Submeters!S19+Submeters!T19)*' Kwh area wise $ '!B20</f>
        <v>0</v>
      </c>
      <c r="K20" s="24">
        <f>(Submeters!U19+Submeters!V19)*' Kwh area wise $ '!B20</f>
        <v>0</v>
      </c>
      <c r="L20" s="1">
        <f>Submeters!W19*' Kwh area wise $ '!B20</f>
        <v>0</v>
      </c>
      <c r="M20" s="24" t="e">
        <f>Submeters!#REF!*' Kwh area wise $ '!B20</f>
        <v>#REF!</v>
      </c>
    </row>
    <row r="21" spans="1:14" x14ac:dyDescent="0.25">
      <c r="A21" s="10">
        <f>'Kwh Reading'!A22</f>
        <v>45004</v>
      </c>
      <c r="B21" s="91">
        <f>TOTAL!F20</f>
        <v>0</v>
      </c>
      <c r="C21" s="9" t="e">
        <f t="shared" si="0"/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(Submeters!L20)*' Kwh area wise $ '!B21</f>
        <v>0</v>
      </c>
      <c r="I21" s="1">
        <f>(Submeters!M20+Submeters!N20)*' Kwh area wise $ '!B21</f>
        <v>0</v>
      </c>
      <c r="J21" s="1">
        <f>(Submeters!O20+Submeters!P20+Submeters!Q20+Submeters!R20+Submeters!S20+Submeters!T20)*' Kwh area wise $ '!B21</f>
        <v>0</v>
      </c>
      <c r="K21" s="24">
        <f>(Submeters!U20+Submeters!V20)*' Kwh area wise $ '!B21</f>
        <v>0</v>
      </c>
      <c r="L21" s="1">
        <f>Submeters!W20*' Kwh area wise $ '!B21</f>
        <v>0</v>
      </c>
      <c r="M21" s="24" t="e">
        <f>Submeters!#REF!*' Kwh area wise $ '!B21</f>
        <v>#REF!</v>
      </c>
    </row>
    <row r="22" spans="1:14" x14ac:dyDescent="0.25">
      <c r="A22" s="10">
        <f>'Kwh Reading'!A23</f>
        <v>45005</v>
      </c>
      <c r="B22" s="91">
        <f>TOTAL!F21</f>
        <v>0</v>
      </c>
      <c r="C22" s="9" t="e">
        <f t="shared" si="0"/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(Submeters!L21)*' Kwh area wise $ '!B22</f>
        <v>0</v>
      </c>
      <c r="I22" s="1">
        <f>(Submeters!M21+Submeters!N21)*' Kwh area wise $ '!B22</f>
        <v>0</v>
      </c>
      <c r="J22" s="1">
        <f>(Submeters!O21+Submeters!P21+Submeters!Q21+Submeters!R21+Submeters!S21+Submeters!T21)*' Kwh area wise $ '!B22</f>
        <v>0</v>
      </c>
      <c r="K22" s="24">
        <f>(Submeters!U21+Submeters!V21)*' Kwh area wise $ '!B22</f>
        <v>0</v>
      </c>
      <c r="L22" s="1">
        <f>Submeters!W21*' Kwh area wise $ '!B22</f>
        <v>0</v>
      </c>
      <c r="M22" s="24" t="e">
        <f>Submeters!#REF!*' Kwh area wise $ '!B22</f>
        <v>#REF!</v>
      </c>
    </row>
    <row r="23" spans="1:14" x14ac:dyDescent="0.25">
      <c r="A23" s="10">
        <f>'Kwh Reading'!A24</f>
        <v>45006</v>
      </c>
      <c r="B23" s="91">
        <f>TOTAL!F22</f>
        <v>0</v>
      </c>
      <c r="C23" s="9" t="e">
        <f t="shared" si="0"/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(Submeters!L22)*' Kwh area wise $ '!B23</f>
        <v>0</v>
      </c>
      <c r="I23" s="1">
        <f>(Submeters!M22+Submeters!N22)*' Kwh area wise $ '!B23</f>
        <v>0</v>
      </c>
      <c r="J23" s="1">
        <f>(Submeters!O22+Submeters!P22+Submeters!Q22+Submeters!R22+Submeters!S22+Submeters!T22)*' Kwh area wise $ '!B23</f>
        <v>0</v>
      </c>
      <c r="K23" s="24">
        <f>(Submeters!U22+Submeters!V22)*' Kwh area wise $ '!B23</f>
        <v>0</v>
      </c>
      <c r="L23" s="1">
        <f>Submeters!W22*' Kwh area wise $ '!B23</f>
        <v>0</v>
      </c>
      <c r="M23" s="24" t="e">
        <f>Submeters!#REF!*' Kwh area wise $ '!B23</f>
        <v>#REF!</v>
      </c>
    </row>
    <row r="24" spans="1:14" x14ac:dyDescent="0.25">
      <c r="A24" s="10">
        <f>'Kwh Reading'!A25</f>
        <v>45007</v>
      </c>
      <c r="B24" s="91">
        <f>TOTAL!F23</f>
        <v>0</v>
      </c>
      <c r="C24" s="9" t="e">
        <f t="shared" si="0"/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(Submeters!L23)*' Kwh area wise $ '!B24</f>
        <v>0</v>
      </c>
      <c r="I24" s="1">
        <f>(Submeters!M23+Submeters!N23)*' Kwh area wise $ '!B24</f>
        <v>0</v>
      </c>
      <c r="J24" s="1">
        <f>(Submeters!O23+Submeters!P23+Submeters!Q23+Submeters!R23+Submeters!S23+Submeters!T23)*' Kwh area wise $ '!B24</f>
        <v>0</v>
      </c>
      <c r="K24" s="24">
        <f>(Submeters!U23+Submeters!V23)*' Kwh area wise $ '!B24</f>
        <v>0</v>
      </c>
      <c r="L24" s="1">
        <f>Submeters!W23*' Kwh area wise $ '!B24</f>
        <v>0</v>
      </c>
      <c r="M24" s="24" t="e">
        <f>Submeters!#REF!*' Kwh area wise $ '!B24</f>
        <v>#REF!</v>
      </c>
    </row>
    <row r="25" spans="1:14" x14ac:dyDescent="0.25">
      <c r="A25" s="10">
        <f>'Kwh Reading'!A26</f>
        <v>45008</v>
      </c>
      <c r="B25" s="91">
        <f>TOTAL!F24</f>
        <v>0</v>
      </c>
      <c r="C25" s="9" t="e">
        <f t="shared" si="0"/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(Submeters!L24)*' Kwh area wise $ '!B25</f>
        <v>0</v>
      </c>
      <c r="I25" s="1">
        <f>(Submeters!M24+Submeters!N24)*' Kwh area wise $ '!B25</f>
        <v>0</v>
      </c>
      <c r="J25" s="1">
        <f>(Submeters!O24+Submeters!P24+Submeters!Q24+Submeters!R24+Submeters!S24+Submeters!T24)*' Kwh area wise $ '!B25</f>
        <v>0</v>
      </c>
      <c r="K25" s="24">
        <f>(Submeters!U24+Submeters!V24)*' Kwh area wise $ '!B25</f>
        <v>0</v>
      </c>
      <c r="L25" s="1">
        <f>Submeters!W24*' Kwh area wise $ '!B25</f>
        <v>0</v>
      </c>
      <c r="M25" s="24" t="e">
        <f>Submeters!#REF!*' Kwh area wise $ '!B25</f>
        <v>#REF!</v>
      </c>
    </row>
    <row r="26" spans="1:14" x14ac:dyDescent="0.25">
      <c r="A26" s="10">
        <f>'Kwh Reading'!A27</f>
        <v>45009</v>
      </c>
      <c r="B26" s="91">
        <f>TOTAL!F25</f>
        <v>0</v>
      </c>
      <c r="C26" s="9" t="e">
        <f t="shared" si="0"/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(Submeters!L25)*' Kwh area wise $ '!B26</f>
        <v>0</v>
      </c>
      <c r="I26" s="1">
        <f>(Submeters!M25+Submeters!N25)*' Kwh area wise $ '!B26</f>
        <v>0</v>
      </c>
      <c r="J26" s="1">
        <f>(Submeters!O25+Submeters!P25+Submeters!Q25+Submeters!R25+Submeters!S25+Submeters!T25)*' Kwh area wise $ '!B26</f>
        <v>0</v>
      </c>
      <c r="K26" s="24">
        <f>(Submeters!U25+Submeters!V25)*' Kwh area wise $ '!B26</f>
        <v>0</v>
      </c>
      <c r="L26" s="1">
        <f>Submeters!W25*' Kwh area wise $ '!B26</f>
        <v>0</v>
      </c>
      <c r="M26" s="24" t="e">
        <f>Submeters!#REF!*' Kwh area wise $ '!B26</f>
        <v>#REF!</v>
      </c>
    </row>
    <row r="27" spans="1:14" x14ac:dyDescent="0.25">
      <c r="A27" s="10">
        <f>'Kwh Reading'!A28</f>
        <v>45010</v>
      </c>
      <c r="B27" s="91">
        <f>TOTAL!F26</f>
        <v>0</v>
      </c>
      <c r="C27" s="9" t="e">
        <f t="shared" si="0"/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(Submeters!L26)*' Kwh area wise $ '!B27</f>
        <v>0</v>
      </c>
      <c r="I27" s="1">
        <f>(Submeters!M26+Submeters!N26)*' Kwh area wise $ '!B27</f>
        <v>0</v>
      </c>
      <c r="J27" s="1">
        <f>(Submeters!O26+Submeters!P26+Submeters!Q26+Submeters!R26+Submeters!S26+Submeters!T26)*' Kwh area wise $ '!B27</f>
        <v>0</v>
      </c>
      <c r="K27" s="24">
        <f>(Submeters!U26+Submeters!V26)*' Kwh area wise $ '!B27</f>
        <v>0</v>
      </c>
      <c r="L27" s="1">
        <f>Submeters!W26*' Kwh area wise $ '!B27</f>
        <v>0</v>
      </c>
      <c r="M27" s="24" t="e">
        <f>Submeters!#REF!*' Kwh area wise $ '!B27</f>
        <v>#REF!</v>
      </c>
    </row>
    <row r="28" spans="1:14" x14ac:dyDescent="0.25">
      <c r="A28" s="10">
        <f>'Kwh Reading'!A29</f>
        <v>45011</v>
      </c>
      <c r="B28" s="91">
        <f>TOTAL!F27</f>
        <v>0</v>
      </c>
      <c r="C28" s="9" t="e">
        <f t="shared" si="0"/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(Submeters!L27)*' Kwh area wise $ '!B28</f>
        <v>0</v>
      </c>
      <c r="I28" s="1">
        <f>(Submeters!M27+Submeters!N27)*' Kwh area wise $ '!B28</f>
        <v>0</v>
      </c>
      <c r="J28" s="1">
        <f>(Submeters!O27+Submeters!P27+Submeters!Q27+Submeters!R27+Submeters!S27+Submeters!T27)*' Kwh area wise $ '!B28</f>
        <v>0</v>
      </c>
      <c r="K28" s="24">
        <f>(Submeters!U27+Submeters!V27)*' Kwh area wise $ '!B28</f>
        <v>0</v>
      </c>
      <c r="L28" s="1">
        <f>Submeters!W27*' Kwh area wise $ '!B28</f>
        <v>0</v>
      </c>
      <c r="M28" s="24" t="e">
        <f>Submeters!#REF!*' Kwh area wise $ '!B28</f>
        <v>#REF!</v>
      </c>
    </row>
    <row r="29" spans="1:14" x14ac:dyDescent="0.25">
      <c r="A29" s="10">
        <f>'Kwh Reading'!A30</f>
        <v>45012</v>
      </c>
      <c r="B29" s="91">
        <f>TOTAL!F28</f>
        <v>0</v>
      </c>
      <c r="C29" s="9" t="e">
        <f t="shared" si="0"/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(Submeters!L28)*' Kwh area wise $ '!B29</f>
        <v>0</v>
      </c>
      <c r="I29" s="1">
        <f>(Submeters!M28+Submeters!N28)*' Kwh area wise $ '!B29</f>
        <v>0</v>
      </c>
      <c r="J29" s="1">
        <f>(Submeters!O28+Submeters!P28+Submeters!Q28+Submeters!R28+Submeters!S28+Submeters!T28)*' Kwh area wise $ '!B29</f>
        <v>0</v>
      </c>
      <c r="K29" s="24">
        <f>(Submeters!U28+Submeters!V28)*' Kwh area wise $ '!B29</f>
        <v>0</v>
      </c>
      <c r="L29" s="1">
        <f>Submeters!W28*' Kwh area wise $ '!B29</f>
        <v>0</v>
      </c>
      <c r="M29" s="24" t="e">
        <f>Submeters!#REF!*' Kwh area wise $ '!B29</f>
        <v>#REF!</v>
      </c>
    </row>
    <row r="30" spans="1:14" x14ac:dyDescent="0.25">
      <c r="A30" s="10">
        <f>'Kwh Reading'!A31</f>
        <v>45013</v>
      </c>
      <c r="B30" s="91">
        <f>TOTAL!F29</f>
        <v>0</v>
      </c>
      <c r="C30" s="9" t="e">
        <f t="shared" si="0"/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(Submeters!L29)*' Kwh area wise $ '!B30</f>
        <v>0</v>
      </c>
      <c r="I30" s="1">
        <f>(Submeters!M29+Submeters!N29)*' Kwh area wise $ '!B30</f>
        <v>0</v>
      </c>
      <c r="J30" s="1">
        <f>(Submeters!O29+Submeters!P29+Submeters!Q29+Submeters!R29+Submeters!S29+Submeters!T29)*' Kwh area wise $ '!B30</f>
        <v>0</v>
      </c>
      <c r="K30" s="24">
        <f>(Submeters!U29+Submeters!V29)*' Kwh area wise $ '!B30</f>
        <v>0</v>
      </c>
      <c r="L30" s="1">
        <f>Submeters!W29*' Kwh area wise $ '!B30</f>
        <v>0</v>
      </c>
      <c r="M30" s="24" t="e">
        <f>Submeters!#REF!*' Kwh area wise $ '!B30</f>
        <v>#REF!</v>
      </c>
    </row>
    <row r="31" spans="1:14" ht="15.75" x14ac:dyDescent="0.25">
      <c r="A31" s="145" t="s">
        <v>39</v>
      </c>
      <c r="B31" s="145"/>
      <c r="C31" s="60" t="e">
        <f t="shared" ref="C31:M31" si="1">SUM(C3:C30)</f>
        <v>#REF!</v>
      </c>
      <c r="D31" s="60">
        <f t="shared" si="1"/>
        <v>0</v>
      </c>
      <c r="E31" s="60">
        <f t="shared" si="1"/>
        <v>0</v>
      </c>
      <c r="F31" s="60">
        <f t="shared" si="1"/>
        <v>0</v>
      </c>
      <c r="G31" s="60">
        <f t="shared" si="1"/>
        <v>0</v>
      </c>
      <c r="H31" s="60">
        <f t="shared" si="1"/>
        <v>0</v>
      </c>
      <c r="I31" s="60">
        <f t="shared" si="1"/>
        <v>0</v>
      </c>
      <c r="J31" s="60">
        <f t="shared" si="1"/>
        <v>0</v>
      </c>
      <c r="K31" s="60">
        <f t="shared" si="1"/>
        <v>0</v>
      </c>
      <c r="L31" s="60">
        <f t="shared" si="1"/>
        <v>0</v>
      </c>
      <c r="M31" s="60" t="e">
        <f t="shared" si="1"/>
        <v>#REF!</v>
      </c>
      <c r="N31" s="66" t="e">
        <f>D31+E31+F31+G31+H31+I31+J31+K31+L31+M31</f>
        <v>#REF!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F16" sqref="F16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61</v>
      </c>
      <c r="C1" s="39" t="s">
        <v>62</v>
      </c>
      <c r="D1" s="39" t="s">
        <v>63</v>
      </c>
      <c r="E1" s="39" t="s">
        <v>64</v>
      </c>
      <c r="F1" s="39" t="s">
        <v>65</v>
      </c>
      <c r="G1" s="39" t="s">
        <v>66</v>
      </c>
      <c r="H1" s="39" t="s">
        <v>67</v>
      </c>
      <c r="I1" s="39" t="s">
        <v>68</v>
      </c>
      <c r="J1" s="39" t="s">
        <v>69</v>
      </c>
      <c r="K1" s="39" t="s">
        <v>70</v>
      </c>
      <c r="L1" s="39" t="s">
        <v>71</v>
      </c>
      <c r="M1" s="39" t="s">
        <v>72</v>
      </c>
      <c r="N1" s="39" t="s">
        <v>73</v>
      </c>
      <c r="O1" s="39" t="s">
        <v>74</v>
      </c>
      <c r="P1" s="39" t="s">
        <v>75</v>
      </c>
      <c r="Q1" s="39" t="s">
        <v>76</v>
      </c>
      <c r="R1" s="39" t="s">
        <v>77</v>
      </c>
      <c r="S1" s="39" t="s">
        <v>124</v>
      </c>
    </row>
    <row r="2" spans="1:21" s="43" customFormat="1" ht="30.75" thickTop="1" x14ac:dyDescent="0.25">
      <c r="A2" s="40" t="s">
        <v>28</v>
      </c>
      <c r="B2" s="41" t="s">
        <v>78</v>
      </c>
      <c r="C2" s="41" t="s">
        <v>79</v>
      </c>
      <c r="D2" s="88" t="s">
        <v>80</v>
      </c>
      <c r="E2" s="88" t="s">
        <v>81</v>
      </c>
      <c r="F2" s="88" t="s">
        <v>82</v>
      </c>
      <c r="G2" s="88" t="s">
        <v>83</v>
      </c>
      <c r="H2" s="88" t="s">
        <v>84</v>
      </c>
      <c r="I2" s="88" t="s">
        <v>85</v>
      </c>
      <c r="J2" s="42" t="s">
        <v>86</v>
      </c>
      <c r="K2" s="42" t="s">
        <v>87</v>
      </c>
      <c r="L2" s="42" t="s">
        <v>88</v>
      </c>
      <c r="M2" s="42" t="s">
        <v>89</v>
      </c>
      <c r="N2" s="42" t="s">
        <v>90</v>
      </c>
      <c r="O2" s="42" t="s">
        <v>91</v>
      </c>
      <c r="P2" s="42" t="s">
        <v>92</v>
      </c>
      <c r="Q2" s="42" t="s">
        <v>93</v>
      </c>
      <c r="R2" s="42" t="s">
        <v>94</v>
      </c>
      <c r="S2" s="42" t="s">
        <v>125</v>
      </c>
    </row>
    <row r="3" spans="1:21" x14ac:dyDescent="0.25">
      <c r="A3" s="44">
        <v>44986</v>
      </c>
      <c r="B3" s="25">
        <v>34866</v>
      </c>
      <c r="C3" s="25">
        <v>54872</v>
      </c>
      <c r="D3" s="25">
        <v>311328</v>
      </c>
      <c r="E3" s="25">
        <v>291053</v>
      </c>
      <c r="F3" s="25">
        <v>28108</v>
      </c>
      <c r="G3" s="25">
        <v>126434</v>
      </c>
      <c r="H3" s="45">
        <v>2769</v>
      </c>
      <c r="I3" s="107">
        <v>81336</v>
      </c>
      <c r="J3" s="25">
        <v>24460</v>
      </c>
      <c r="K3" s="25">
        <v>1024</v>
      </c>
      <c r="L3" s="25">
        <v>19789</v>
      </c>
      <c r="M3" s="25">
        <v>29130</v>
      </c>
      <c r="N3" s="25">
        <v>9271</v>
      </c>
      <c r="O3" s="25">
        <v>2609</v>
      </c>
      <c r="P3" s="25">
        <v>33745</v>
      </c>
      <c r="Q3" s="25">
        <v>2651</v>
      </c>
      <c r="R3" s="25">
        <v>1271</v>
      </c>
      <c r="S3" s="25">
        <v>70596</v>
      </c>
    </row>
    <row r="4" spans="1:21" x14ac:dyDescent="0.25">
      <c r="A4" s="44">
        <v>44987</v>
      </c>
      <c r="B4" s="25">
        <v>34994</v>
      </c>
      <c r="C4" s="25">
        <v>55100</v>
      </c>
      <c r="D4" s="25">
        <v>311510</v>
      </c>
      <c r="E4" s="25">
        <v>291120</v>
      </c>
      <c r="F4" s="25">
        <v>28134</v>
      </c>
      <c r="G4" s="25">
        <v>126459</v>
      </c>
      <c r="H4" s="45">
        <v>2790</v>
      </c>
      <c r="I4" s="107">
        <v>81360</v>
      </c>
      <c r="J4" s="25">
        <v>24466</v>
      </c>
      <c r="K4" s="25">
        <v>1024</v>
      </c>
      <c r="L4" s="25">
        <v>19791</v>
      </c>
      <c r="M4" s="25">
        <v>29137</v>
      </c>
      <c r="N4" s="25">
        <v>9273</v>
      </c>
      <c r="O4" s="25">
        <v>2611</v>
      </c>
      <c r="P4" s="25">
        <v>33766</v>
      </c>
      <c r="Q4" s="25">
        <v>2658</v>
      </c>
      <c r="R4" s="25">
        <v>1276</v>
      </c>
      <c r="S4" s="25">
        <v>70596</v>
      </c>
    </row>
    <row r="5" spans="1:21" x14ac:dyDescent="0.25">
      <c r="A5" s="44">
        <v>44988</v>
      </c>
      <c r="B5" s="25">
        <v>35124</v>
      </c>
      <c r="C5" s="25">
        <v>55333</v>
      </c>
      <c r="D5" s="25">
        <v>311673</v>
      </c>
      <c r="E5" s="25">
        <v>291198</v>
      </c>
      <c r="F5" s="25">
        <v>28167</v>
      </c>
      <c r="G5" s="25">
        <v>126485</v>
      </c>
      <c r="H5" s="45">
        <v>2820</v>
      </c>
      <c r="I5" s="107">
        <v>81370</v>
      </c>
      <c r="J5" s="25">
        <v>24473</v>
      </c>
      <c r="K5" s="25">
        <v>1024</v>
      </c>
      <c r="L5" s="25">
        <v>19794</v>
      </c>
      <c r="M5" s="25">
        <v>29144</v>
      </c>
      <c r="N5" s="25">
        <v>9276</v>
      </c>
      <c r="O5" s="25">
        <v>2613</v>
      </c>
      <c r="P5" s="25">
        <v>33782</v>
      </c>
      <c r="Q5" s="25">
        <v>2665</v>
      </c>
      <c r="R5" s="25">
        <v>1281</v>
      </c>
      <c r="S5" s="25">
        <v>70596</v>
      </c>
    </row>
    <row r="6" spans="1:21" x14ac:dyDescent="0.25">
      <c r="A6" s="44">
        <v>44989</v>
      </c>
      <c r="B6" s="25">
        <v>35243</v>
      </c>
      <c r="C6" s="25">
        <v>55546</v>
      </c>
      <c r="D6" s="25">
        <v>311791</v>
      </c>
      <c r="E6" s="25">
        <v>291279</v>
      </c>
      <c r="F6" s="25">
        <v>28192</v>
      </c>
      <c r="G6" s="25">
        <v>126510</v>
      </c>
      <c r="H6" s="45">
        <v>2856</v>
      </c>
      <c r="I6" s="107">
        <v>81405</v>
      </c>
      <c r="J6" s="25">
        <v>24480</v>
      </c>
      <c r="K6" s="25">
        <v>1024</v>
      </c>
      <c r="L6" s="25">
        <v>19797</v>
      </c>
      <c r="M6" s="25">
        <v>29149</v>
      </c>
      <c r="N6" s="25">
        <v>9291</v>
      </c>
      <c r="O6" s="25">
        <v>2613</v>
      </c>
      <c r="P6" s="25">
        <v>33806</v>
      </c>
      <c r="Q6" s="25">
        <v>2672</v>
      </c>
      <c r="R6" s="25">
        <v>1287</v>
      </c>
      <c r="S6" s="25">
        <v>70596</v>
      </c>
    </row>
    <row r="7" spans="1:21" x14ac:dyDescent="0.25">
      <c r="A7" s="44">
        <v>44990</v>
      </c>
      <c r="B7" s="25">
        <v>35373</v>
      </c>
      <c r="C7" s="25">
        <v>55777</v>
      </c>
      <c r="D7" s="25">
        <v>311933</v>
      </c>
      <c r="E7" s="25">
        <v>291384</v>
      </c>
      <c r="F7" s="25">
        <v>28222</v>
      </c>
      <c r="G7" s="25">
        <v>126533</v>
      </c>
      <c r="H7" s="45">
        <v>2893</v>
      </c>
      <c r="I7" s="107">
        <v>81406</v>
      </c>
      <c r="J7" s="25">
        <v>24486</v>
      </c>
      <c r="K7" s="25">
        <v>1024</v>
      </c>
      <c r="L7" s="25">
        <v>19799</v>
      </c>
      <c r="M7" s="25">
        <v>29156</v>
      </c>
      <c r="N7" s="25">
        <v>9331</v>
      </c>
      <c r="O7" s="25">
        <v>2615</v>
      </c>
      <c r="P7" s="25">
        <v>33806</v>
      </c>
      <c r="Q7" s="25">
        <v>2673</v>
      </c>
      <c r="R7" s="25">
        <v>1287</v>
      </c>
      <c r="S7" s="25">
        <v>70596</v>
      </c>
    </row>
    <row r="8" spans="1:21" x14ac:dyDescent="0.25">
      <c r="A8" s="44">
        <v>44991</v>
      </c>
      <c r="B8" s="25">
        <v>35502</v>
      </c>
      <c r="C8" s="25">
        <v>56007</v>
      </c>
      <c r="D8" s="25">
        <v>312051</v>
      </c>
      <c r="E8" s="25">
        <v>291503</v>
      </c>
      <c r="F8" s="25">
        <v>28254</v>
      </c>
      <c r="G8" s="25">
        <v>126558</v>
      </c>
      <c r="H8" s="45">
        <v>2927</v>
      </c>
      <c r="I8" s="107">
        <v>81423</v>
      </c>
      <c r="J8" s="25">
        <v>24493</v>
      </c>
      <c r="K8" s="25">
        <v>1024</v>
      </c>
      <c r="L8" s="25">
        <v>19803</v>
      </c>
      <c r="M8" s="25">
        <v>29163</v>
      </c>
      <c r="N8" s="25">
        <v>9386</v>
      </c>
      <c r="O8" s="25">
        <v>2616</v>
      </c>
      <c r="P8" s="25">
        <v>33822</v>
      </c>
      <c r="Q8" s="25">
        <v>2677</v>
      </c>
      <c r="R8" s="25">
        <v>1292</v>
      </c>
      <c r="S8" s="25">
        <v>71198</v>
      </c>
    </row>
    <row r="9" spans="1:21" x14ac:dyDescent="0.25">
      <c r="A9" s="44">
        <v>44992</v>
      </c>
      <c r="B9" s="25">
        <v>35630</v>
      </c>
      <c r="C9" s="25">
        <v>56234</v>
      </c>
      <c r="D9" s="25">
        <v>312158</v>
      </c>
      <c r="E9" s="25">
        <v>291622</v>
      </c>
      <c r="F9" s="25">
        <v>28283</v>
      </c>
      <c r="G9" s="25">
        <v>126586</v>
      </c>
      <c r="H9" s="45">
        <v>2958</v>
      </c>
      <c r="I9" s="107">
        <v>81435</v>
      </c>
      <c r="J9" s="25">
        <v>24500</v>
      </c>
      <c r="K9" s="25">
        <v>1024</v>
      </c>
      <c r="L9" s="25">
        <v>19805</v>
      </c>
      <c r="M9" s="25">
        <v>29167</v>
      </c>
      <c r="N9" s="25">
        <v>9447</v>
      </c>
      <c r="O9" s="25">
        <v>2618</v>
      </c>
      <c r="P9" s="25">
        <v>33832</v>
      </c>
      <c r="Q9" s="25">
        <v>2687</v>
      </c>
      <c r="R9" s="25">
        <v>1298</v>
      </c>
      <c r="S9" s="25">
        <v>71320</v>
      </c>
    </row>
    <row r="10" spans="1:21" x14ac:dyDescent="0.25">
      <c r="A10" s="44">
        <v>44993</v>
      </c>
      <c r="B10" s="25">
        <v>35752</v>
      </c>
      <c r="C10" s="25">
        <v>56455</v>
      </c>
      <c r="D10" s="25">
        <v>312286</v>
      </c>
      <c r="E10" s="25">
        <v>291724</v>
      </c>
      <c r="F10" s="25">
        <v>28283</v>
      </c>
      <c r="G10" s="25">
        <v>126613</v>
      </c>
      <c r="H10" s="45">
        <v>2976</v>
      </c>
      <c r="I10" s="107">
        <v>81453</v>
      </c>
      <c r="J10" s="25">
        <v>24506</v>
      </c>
      <c r="K10" s="25">
        <v>1024</v>
      </c>
      <c r="L10" s="25">
        <v>19808</v>
      </c>
      <c r="M10" s="25">
        <v>29173</v>
      </c>
      <c r="N10" s="25">
        <v>9489</v>
      </c>
      <c r="O10" s="25">
        <v>2619</v>
      </c>
      <c r="P10" s="25">
        <v>33849</v>
      </c>
      <c r="Q10" s="25">
        <v>2714</v>
      </c>
      <c r="R10" s="25">
        <v>1302</v>
      </c>
      <c r="S10" s="25">
        <v>71441</v>
      </c>
    </row>
    <row r="11" spans="1:21" x14ac:dyDescent="0.25">
      <c r="A11" s="44">
        <v>44994</v>
      </c>
      <c r="B11" s="25">
        <v>35882</v>
      </c>
      <c r="C11" s="25">
        <v>56687</v>
      </c>
      <c r="D11" s="25">
        <v>312412</v>
      </c>
      <c r="E11" s="25">
        <v>291829</v>
      </c>
      <c r="F11" s="25">
        <v>28344</v>
      </c>
      <c r="G11" s="25">
        <v>126636</v>
      </c>
      <c r="H11" s="45">
        <v>3003</v>
      </c>
      <c r="I11" s="107">
        <v>81476</v>
      </c>
      <c r="J11" s="25">
        <v>24513</v>
      </c>
      <c r="K11" s="25">
        <v>1024</v>
      </c>
      <c r="L11" s="25">
        <v>19811</v>
      </c>
      <c r="M11" s="25">
        <v>29181</v>
      </c>
      <c r="N11" s="25">
        <v>9528</v>
      </c>
      <c r="O11" s="25">
        <v>2621</v>
      </c>
      <c r="P11" s="25">
        <v>33872</v>
      </c>
      <c r="Q11" s="25">
        <v>2726</v>
      </c>
      <c r="R11" s="25">
        <v>1307</v>
      </c>
      <c r="S11" s="25">
        <v>71552</v>
      </c>
    </row>
    <row r="12" spans="1:21" x14ac:dyDescent="0.25">
      <c r="A12" s="44">
        <v>44995</v>
      </c>
      <c r="B12" s="25">
        <v>36051</v>
      </c>
      <c r="C12" s="25">
        <v>56904</v>
      </c>
      <c r="D12" s="25">
        <v>312573</v>
      </c>
      <c r="E12" s="25">
        <v>291922</v>
      </c>
      <c r="F12" s="25">
        <v>28374</v>
      </c>
      <c r="G12" s="25">
        <v>126663</v>
      </c>
      <c r="H12" s="45">
        <v>3029</v>
      </c>
      <c r="I12" s="107">
        <v>81496</v>
      </c>
      <c r="J12" s="25">
        <v>24519</v>
      </c>
      <c r="K12" s="25">
        <v>1024</v>
      </c>
      <c r="L12" s="25">
        <v>19814</v>
      </c>
      <c r="M12" s="25">
        <v>29186</v>
      </c>
      <c r="N12" s="25">
        <v>9571</v>
      </c>
      <c r="O12" s="25">
        <v>2623</v>
      </c>
      <c r="P12" s="25">
        <v>33889</v>
      </c>
      <c r="Q12" s="25">
        <v>2730</v>
      </c>
      <c r="R12" s="25">
        <v>1311</v>
      </c>
      <c r="S12" s="25">
        <v>71697</v>
      </c>
    </row>
    <row r="13" spans="1:21" x14ac:dyDescent="0.25">
      <c r="A13" s="44">
        <v>44996</v>
      </c>
      <c r="B13" s="25">
        <v>36174</v>
      </c>
      <c r="C13" s="25">
        <v>57123</v>
      </c>
      <c r="D13" s="25">
        <v>312701</v>
      </c>
      <c r="E13" s="25">
        <v>292037</v>
      </c>
      <c r="F13" s="25">
        <v>28402</v>
      </c>
      <c r="G13" s="25">
        <v>126688</v>
      </c>
      <c r="H13" s="45">
        <v>3060</v>
      </c>
      <c r="I13" s="107">
        <v>81502</v>
      </c>
      <c r="J13" s="25">
        <v>24525</v>
      </c>
      <c r="K13" s="25">
        <v>1024</v>
      </c>
      <c r="L13" s="25">
        <v>19817</v>
      </c>
      <c r="M13" s="25">
        <v>29190</v>
      </c>
      <c r="N13" s="25">
        <v>9620</v>
      </c>
      <c r="O13" s="25">
        <v>2623</v>
      </c>
      <c r="P13" s="25">
        <v>33894</v>
      </c>
      <c r="Q13" s="25">
        <v>2737</v>
      </c>
      <c r="R13" s="25">
        <v>1317</v>
      </c>
      <c r="S13" s="25">
        <v>71802</v>
      </c>
    </row>
    <row r="14" spans="1:21" x14ac:dyDescent="0.25">
      <c r="A14" s="44">
        <v>44997</v>
      </c>
      <c r="B14" s="25">
        <v>36317</v>
      </c>
      <c r="C14" s="25">
        <v>57374</v>
      </c>
      <c r="D14" s="25">
        <v>312864</v>
      </c>
      <c r="E14" s="25">
        <v>292143</v>
      </c>
      <c r="F14" s="25">
        <v>28435</v>
      </c>
      <c r="G14" s="25">
        <v>126713</v>
      </c>
      <c r="H14" s="45">
        <v>3088</v>
      </c>
      <c r="I14" s="107">
        <v>81518</v>
      </c>
      <c r="J14" s="25">
        <v>24532</v>
      </c>
      <c r="K14" s="25">
        <v>1024</v>
      </c>
      <c r="L14" s="25">
        <v>19821</v>
      </c>
      <c r="M14" s="25">
        <v>29195</v>
      </c>
      <c r="N14" s="25">
        <v>9665</v>
      </c>
      <c r="O14" s="25">
        <v>2625</v>
      </c>
      <c r="P14" s="25">
        <v>33910</v>
      </c>
      <c r="Q14" s="25">
        <v>2749</v>
      </c>
      <c r="R14" s="25">
        <v>1318</v>
      </c>
      <c r="S14" s="25">
        <v>71802</v>
      </c>
    </row>
    <row r="15" spans="1:21" x14ac:dyDescent="0.25">
      <c r="A15" s="44">
        <v>44998</v>
      </c>
      <c r="B15" s="25">
        <v>36449</v>
      </c>
      <c r="C15" s="25">
        <v>57607</v>
      </c>
      <c r="D15" s="25">
        <v>313003</v>
      </c>
      <c r="E15" s="25">
        <v>292248</v>
      </c>
      <c r="F15" s="25">
        <v>28465</v>
      </c>
      <c r="G15" s="25">
        <v>126740</v>
      </c>
      <c r="H15" s="45">
        <v>3115</v>
      </c>
      <c r="I15" s="107">
        <v>81535</v>
      </c>
      <c r="J15" s="25">
        <v>24539</v>
      </c>
      <c r="K15" s="25">
        <v>1024</v>
      </c>
      <c r="L15" s="25">
        <v>19824</v>
      </c>
      <c r="M15" s="25">
        <v>29201</v>
      </c>
      <c r="N15" s="25">
        <v>9715</v>
      </c>
      <c r="O15" s="25">
        <v>2627</v>
      </c>
      <c r="P15" s="25">
        <v>33926</v>
      </c>
      <c r="Q15" s="25">
        <v>2758</v>
      </c>
      <c r="R15" s="25">
        <v>1325</v>
      </c>
      <c r="S15" s="25">
        <v>71802</v>
      </c>
      <c r="T15" s="82"/>
      <c r="U15" s="82"/>
    </row>
    <row r="16" spans="1:21" x14ac:dyDescent="0.25">
      <c r="A16" s="44">
        <v>44999</v>
      </c>
      <c r="B16" s="25"/>
      <c r="C16" s="25"/>
      <c r="D16" s="25"/>
      <c r="E16" s="25"/>
      <c r="F16" s="25"/>
      <c r="G16" s="25"/>
      <c r="H16" s="45"/>
      <c r="I16" s="107"/>
      <c r="J16" s="25"/>
      <c r="K16" s="25">
        <v>1024</v>
      </c>
      <c r="L16" s="25"/>
      <c r="M16" s="25"/>
      <c r="N16" s="25"/>
      <c r="O16" s="25"/>
      <c r="P16" s="25"/>
      <c r="Q16" s="25"/>
      <c r="R16" s="25"/>
      <c r="S16" s="25"/>
    </row>
    <row r="17" spans="1:21" x14ac:dyDescent="0.25">
      <c r="A17" s="44">
        <v>45000</v>
      </c>
      <c r="B17" s="25"/>
      <c r="C17" s="25"/>
      <c r="D17" s="25"/>
      <c r="E17" s="25"/>
      <c r="F17" s="25"/>
      <c r="G17" s="25"/>
      <c r="H17" s="45"/>
      <c r="I17" s="107"/>
      <c r="J17" s="25"/>
      <c r="K17" s="25">
        <v>1024</v>
      </c>
      <c r="L17" s="25"/>
      <c r="M17" s="25"/>
      <c r="N17" s="25"/>
      <c r="O17" s="25"/>
      <c r="P17" s="25"/>
      <c r="Q17" s="25"/>
      <c r="R17" s="25"/>
      <c r="S17" s="25"/>
    </row>
    <row r="18" spans="1:21" x14ac:dyDescent="0.25">
      <c r="A18" s="44">
        <v>45001</v>
      </c>
      <c r="B18" s="25"/>
      <c r="C18" s="25"/>
      <c r="D18" s="25"/>
      <c r="E18" s="25"/>
      <c r="F18" s="25"/>
      <c r="G18" s="25"/>
      <c r="H18" s="45"/>
      <c r="I18" s="107"/>
      <c r="J18" s="25"/>
      <c r="K18" s="25">
        <v>1024</v>
      </c>
      <c r="L18" s="25"/>
      <c r="M18" s="25"/>
      <c r="N18" s="25"/>
      <c r="O18" s="25"/>
      <c r="P18" s="25"/>
      <c r="Q18" s="25"/>
      <c r="R18" s="25"/>
      <c r="S18" s="25"/>
      <c r="U18" s="82"/>
    </row>
    <row r="19" spans="1:21" x14ac:dyDescent="0.25">
      <c r="A19" s="44">
        <v>45002</v>
      </c>
      <c r="B19" s="25"/>
      <c r="C19" s="25"/>
      <c r="D19" s="25"/>
      <c r="E19" s="25"/>
      <c r="F19" s="25"/>
      <c r="G19" s="25"/>
      <c r="H19" s="45"/>
      <c r="I19" s="107"/>
      <c r="J19" s="25"/>
      <c r="K19" s="25">
        <v>1024</v>
      </c>
      <c r="L19" s="25"/>
      <c r="M19" s="25"/>
      <c r="N19" s="25"/>
      <c r="O19" s="25"/>
      <c r="P19" s="25"/>
      <c r="Q19" s="25"/>
      <c r="R19" s="25"/>
      <c r="S19" s="25"/>
    </row>
    <row r="20" spans="1:21" x14ac:dyDescent="0.25">
      <c r="A20" s="44">
        <v>45003</v>
      </c>
      <c r="B20" s="25"/>
      <c r="C20" s="25"/>
      <c r="D20" s="25"/>
      <c r="E20" s="25"/>
      <c r="F20" s="25"/>
      <c r="G20" s="25"/>
      <c r="H20" s="45"/>
      <c r="I20" s="107"/>
      <c r="J20" s="25"/>
      <c r="K20" s="25">
        <v>1024</v>
      </c>
      <c r="L20" s="25"/>
      <c r="M20" s="25"/>
      <c r="N20" s="25"/>
      <c r="O20" s="25"/>
      <c r="P20" s="25"/>
      <c r="Q20" s="25"/>
      <c r="R20" s="25"/>
      <c r="S20" s="25"/>
    </row>
    <row r="21" spans="1:21" x14ac:dyDescent="0.25">
      <c r="A21" s="44">
        <v>45004</v>
      </c>
      <c r="B21" s="25"/>
      <c r="C21" s="25"/>
      <c r="D21" s="25"/>
      <c r="E21" s="25"/>
      <c r="F21" s="25"/>
      <c r="G21" s="25"/>
      <c r="H21" s="45"/>
      <c r="I21" s="107"/>
      <c r="J21" s="25"/>
      <c r="K21" s="25">
        <v>1024</v>
      </c>
      <c r="L21" s="25"/>
      <c r="M21" s="25"/>
      <c r="N21" s="25"/>
      <c r="O21" s="25"/>
      <c r="P21" s="25"/>
      <c r="Q21" s="25"/>
      <c r="R21" s="25"/>
      <c r="S21" s="25"/>
    </row>
    <row r="22" spans="1:21" x14ac:dyDescent="0.25">
      <c r="A22" s="44">
        <v>45005</v>
      </c>
      <c r="B22" s="25"/>
      <c r="C22" s="25"/>
      <c r="D22" s="25"/>
      <c r="E22" s="25"/>
      <c r="F22" s="25"/>
      <c r="G22" s="25"/>
      <c r="H22" s="45"/>
      <c r="I22" s="107"/>
      <c r="J22" s="25"/>
      <c r="K22" s="25">
        <v>1024</v>
      </c>
      <c r="L22" s="25"/>
      <c r="M22" s="25"/>
      <c r="N22" s="25"/>
      <c r="O22" s="25"/>
      <c r="P22" s="25"/>
      <c r="Q22" s="25"/>
      <c r="R22" s="25"/>
      <c r="S22" s="25"/>
    </row>
    <row r="23" spans="1:21" x14ac:dyDescent="0.25">
      <c r="A23" s="44">
        <v>45006</v>
      </c>
      <c r="B23" s="25"/>
      <c r="C23" s="25"/>
      <c r="D23" s="25"/>
      <c r="E23" s="25"/>
      <c r="F23" s="25"/>
      <c r="G23" s="25"/>
      <c r="H23" s="45"/>
      <c r="I23" s="107"/>
      <c r="J23" s="25"/>
      <c r="K23" s="25">
        <v>1024</v>
      </c>
      <c r="L23" s="25"/>
      <c r="M23" s="25"/>
      <c r="N23" s="25"/>
      <c r="O23" s="25"/>
      <c r="P23" s="25"/>
      <c r="Q23" s="25"/>
      <c r="R23" s="25"/>
      <c r="S23" s="25"/>
    </row>
    <row r="24" spans="1:21" x14ac:dyDescent="0.25">
      <c r="A24" s="44">
        <v>45007</v>
      </c>
      <c r="B24" s="25"/>
      <c r="C24" s="25"/>
      <c r="D24" s="25"/>
      <c r="E24" s="25"/>
      <c r="F24" s="25"/>
      <c r="G24" s="25"/>
      <c r="H24" s="45"/>
      <c r="I24" s="107"/>
      <c r="J24" s="25"/>
      <c r="K24" s="25">
        <v>1024</v>
      </c>
      <c r="L24" s="25"/>
      <c r="M24" s="25"/>
      <c r="N24" s="25"/>
      <c r="O24" s="25"/>
      <c r="P24" s="25"/>
      <c r="Q24" s="25"/>
      <c r="R24" s="25"/>
      <c r="S24" s="25"/>
    </row>
    <row r="25" spans="1:21" x14ac:dyDescent="0.25">
      <c r="A25" s="44">
        <v>45008</v>
      </c>
      <c r="B25" s="25"/>
      <c r="C25" s="25"/>
      <c r="D25" s="25"/>
      <c r="E25" s="25"/>
      <c r="F25" s="25"/>
      <c r="G25" s="25"/>
      <c r="H25" s="45"/>
      <c r="I25" s="107"/>
      <c r="J25" s="25"/>
      <c r="K25" s="25">
        <v>1024</v>
      </c>
      <c r="L25" s="25"/>
      <c r="M25" s="25"/>
      <c r="N25" s="25"/>
      <c r="O25" s="25"/>
      <c r="P25" s="25"/>
      <c r="Q25" s="25"/>
      <c r="R25" s="25"/>
      <c r="S25" s="25"/>
    </row>
    <row r="26" spans="1:21" x14ac:dyDescent="0.25">
      <c r="A26" s="44">
        <v>45009</v>
      </c>
      <c r="B26" s="25"/>
      <c r="C26" s="25"/>
      <c r="D26" s="25"/>
      <c r="E26" s="25"/>
      <c r="F26" s="25"/>
      <c r="G26" s="25"/>
      <c r="H26" s="45"/>
      <c r="I26" s="107"/>
      <c r="J26" s="25"/>
      <c r="K26" s="25">
        <v>1024</v>
      </c>
      <c r="L26" s="25"/>
      <c r="M26" s="25"/>
      <c r="N26" s="25"/>
      <c r="O26" s="25"/>
      <c r="P26" s="25"/>
      <c r="Q26" s="25"/>
      <c r="R26" s="25"/>
      <c r="S26" s="25"/>
    </row>
    <row r="27" spans="1:21" x14ac:dyDescent="0.25">
      <c r="A27" s="44">
        <v>45010</v>
      </c>
      <c r="B27" s="25"/>
      <c r="C27" s="25"/>
      <c r="D27" s="25"/>
      <c r="E27" s="25"/>
      <c r="F27" s="25"/>
      <c r="G27" s="25"/>
      <c r="H27" s="45"/>
      <c r="I27" s="107"/>
      <c r="J27" s="25"/>
      <c r="K27" s="25">
        <v>1024</v>
      </c>
      <c r="L27" s="25"/>
      <c r="M27" s="25"/>
      <c r="N27" s="25"/>
      <c r="O27" s="25"/>
      <c r="P27" s="25"/>
      <c r="Q27" s="25"/>
      <c r="R27" s="25"/>
      <c r="S27" s="25"/>
    </row>
    <row r="28" spans="1:21" x14ac:dyDescent="0.25">
      <c r="A28" s="44">
        <v>45011</v>
      </c>
      <c r="B28" s="25"/>
      <c r="C28" s="25"/>
      <c r="D28" s="25"/>
      <c r="E28" s="25"/>
      <c r="F28" s="25"/>
      <c r="G28" s="25"/>
      <c r="H28" s="45"/>
      <c r="I28" s="107"/>
      <c r="J28" s="25"/>
      <c r="K28" s="25">
        <v>1024</v>
      </c>
      <c r="L28" s="25"/>
      <c r="M28" s="25"/>
      <c r="N28" s="25"/>
      <c r="O28" s="25"/>
      <c r="P28" s="25"/>
      <c r="Q28" s="25"/>
      <c r="R28" s="25"/>
      <c r="S28" s="25"/>
    </row>
    <row r="29" spans="1:21" x14ac:dyDescent="0.25">
      <c r="A29" s="44">
        <v>45012</v>
      </c>
      <c r="B29" s="25"/>
      <c r="C29" s="25"/>
      <c r="D29" s="25"/>
      <c r="E29" s="25"/>
      <c r="F29" s="25"/>
      <c r="G29" s="25"/>
      <c r="H29" s="45"/>
      <c r="I29" s="107"/>
      <c r="J29" s="25"/>
      <c r="K29" s="25">
        <v>1024</v>
      </c>
      <c r="L29" s="25"/>
      <c r="M29" s="25"/>
      <c r="N29" s="25"/>
      <c r="O29" s="25"/>
      <c r="P29" s="25"/>
      <c r="Q29" s="25"/>
      <c r="R29" s="25"/>
      <c r="S29" s="25"/>
    </row>
    <row r="30" spans="1:21" x14ac:dyDescent="0.25">
      <c r="A30" s="44">
        <v>45013</v>
      </c>
      <c r="B30" s="25"/>
      <c r="C30" s="25"/>
      <c r="D30" s="25"/>
      <c r="E30" s="25"/>
      <c r="F30" s="25"/>
      <c r="G30" s="25"/>
      <c r="H30" s="45"/>
      <c r="I30" s="107"/>
      <c r="J30" s="25"/>
      <c r="K30" s="25">
        <v>1024</v>
      </c>
      <c r="L30" s="25"/>
      <c r="M30" s="25"/>
      <c r="N30" s="25"/>
      <c r="O30" s="25"/>
      <c r="P30" s="25"/>
      <c r="Q30" s="25"/>
      <c r="R30" s="25"/>
      <c r="S30" s="25"/>
    </row>
    <row r="31" spans="1:21" x14ac:dyDescent="0.25">
      <c r="A31" s="44">
        <v>45014</v>
      </c>
      <c r="B31" s="25"/>
      <c r="C31" s="25"/>
      <c r="D31" s="25"/>
      <c r="E31" s="25"/>
      <c r="F31" s="25"/>
      <c r="G31" s="25"/>
      <c r="H31" s="45"/>
      <c r="I31" s="107"/>
      <c r="J31" s="25"/>
      <c r="K31" s="25">
        <v>1024</v>
      </c>
      <c r="L31" s="25"/>
      <c r="M31" s="25"/>
      <c r="N31" s="25"/>
      <c r="O31" s="25"/>
      <c r="P31" s="25"/>
      <c r="Q31" s="25"/>
      <c r="R31" s="25"/>
      <c r="S31" s="25"/>
    </row>
    <row r="32" spans="1:21" x14ac:dyDescent="0.25">
      <c r="A32" s="44">
        <v>45015</v>
      </c>
      <c r="B32" s="25"/>
      <c r="C32" s="25"/>
      <c r="D32" s="25"/>
      <c r="E32" s="25"/>
      <c r="F32" s="25"/>
      <c r="G32" s="25"/>
      <c r="H32" s="25"/>
      <c r="I32" s="25"/>
      <c r="J32" s="25"/>
      <c r="K32" s="25">
        <v>1024</v>
      </c>
      <c r="L32" s="25"/>
      <c r="M32" s="25"/>
      <c r="N32" s="25"/>
      <c r="O32" s="25"/>
      <c r="P32" s="25"/>
      <c r="Q32" s="25"/>
      <c r="R32" s="25"/>
      <c r="S32" s="25"/>
    </row>
    <row r="33" spans="1:19" x14ac:dyDescent="0.25">
      <c r="A33" s="44">
        <v>45016</v>
      </c>
      <c r="B33" s="25"/>
      <c r="C33" s="25"/>
      <c r="D33" s="25"/>
      <c r="E33" s="25"/>
      <c r="F33" s="25"/>
      <c r="G33" s="25"/>
      <c r="H33" s="25"/>
      <c r="I33" s="25"/>
      <c r="J33" s="25"/>
      <c r="K33" s="25">
        <v>1024</v>
      </c>
      <c r="L33" s="25"/>
      <c r="M33" s="25"/>
      <c r="N33" s="25"/>
      <c r="O33" s="25"/>
      <c r="P33" s="25"/>
      <c r="Q33" s="25"/>
      <c r="R33" s="25"/>
      <c r="S33" s="25"/>
    </row>
    <row r="34" spans="1:19" x14ac:dyDescent="0.25">
      <c r="A34" s="44">
        <v>45017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69"/>
  <sheetViews>
    <sheetView zoomScale="80" zoomScaleNormal="80" workbookViewId="0">
      <pane ySplit="3" topLeftCell="A4" activePane="bottomLeft" state="frozen"/>
      <selection activeCell="C25" sqref="C25"/>
      <selection pane="bottomLeft" activeCell="D20" sqref="D20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2" width="11.5703125" customWidth="1"/>
    <col min="23" max="23" width="12.42578125" bestFit="1" customWidth="1"/>
    <col min="24" max="24" width="9.5703125" customWidth="1"/>
    <col min="25" max="25" width="11.140625" bestFit="1" customWidth="1"/>
    <col min="26" max="26" width="9.5703125" customWidth="1"/>
    <col min="27" max="27" width="14.28515625" customWidth="1"/>
    <col min="28" max="28" width="15.42578125" bestFit="1" customWidth="1"/>
    <col min="29" max="29" width="12.42578125" customWidth="1"/>
    <col min="30" max="30" width="11" customWidth="1"/>
  </cols>
  <sheetData>
    <row r="1" spans="1:30" ht="15.75" thickBot="1" x14ac:dyDescent="0.3"/>
    <row r="2" spans="1:30" s="46" customFormat="1" ht="45" customHeight="1" thickTop="1" x14ac:dyDescent="0.25">
      <c r="A2" s="146" t="s">
        <v>28</v>
      </c>
      <c r="B2" s="147" t="s">
        <v>95</v>
      </c>
      <c r="C2" s="147" t="s">
        <v>96</v>
      </c>
      <c r="D2" s="147"/>
      <c r="E2" s="148" t="s">
        <v>84</v>
      </c>
      <c r="F2" s="149"/>
      <c r="G2" s="150" t="s">
        <v>99</v>
      </c>
      <c r="H2" s="149"/>
      <c r="I2" s="150" t="s">
        <v>97</v>
      </c>
      <c r="J2" s="149"/>
      <c r="K2" s="150" t="s">
        <v>98</v>
      </c>
      <c r="L2" s="149"/>
      <c r="M2" s="150" t="s">
        <v>94</v>
      </c>
      <c r="N2" s="149"/>
      <c r="O2" s="150" t="s">
        <v>93</v>
      </c>
      <c r="P2" s="149"/>
      <c r="Q2" s="150" t="s">
        <v>100</v>
      </c>
      <c r="R2" s="149"/>
      <c r="S2" s="150" t="s">
        <v>101</v>
      </c>
      <c r="T2" s="149"/>
      <c r="U2" s="153" t="s">
        <v>129</v>
      </c>
      <c r="V2" s="154"/>
      <c r="W2" s="150" t="s">
        <v>102</v>
      </c>
      <c r="X2" s="149"/>
      <c r="Y2" s="150" t="s">
        <v>86</v>
      </c>
      <c r="Z2" s="152"/>
      <c r="AA2" s="151" t="s">
        <v>39</v>
      </c>
      <c r="AB2" s="151"/>
      <c r="AC2" s="151" t="s">
        <v>126</v>
      </c>
      <c r="AD2" s="151"/>
    </row>
    <row r="3" spans="1:30" ht="30" x14ac:dyDescent="0.35">
      <c r="A3" s="146"/>
      <c r="B3" s="147"/>
      <c r="C3" s="47" t="s">
        <v>103</v>
      </c>
      <c r="D3" s="47" t="s">
        <v>104</v>
      </c>
      <c r="E3" s="59" t="s">
        <v>103</v>
      </c>
      <c r="F3" s="49" t="s">
        <v>105</v>
      </c>
      <c r="G3" s="48" t="s">
        <v>103</v>
      </c>
      <c r="H3" s="49" t="s">
        <v>105</v>
      </c>
      <c r="I3" s="48" t="s">
        <v>103</v>
      </c>
      <c r="J3" s="49" t="s">
        <v>105</v>
      </c>
      <c r="K3" s="48" t="s">
        <v>103</v>
      </c>
      <c r="L3" s="49" t="s">
        <v>105</v>
      </c>
      <c r="M3" s="48" t="s">
        <v>103</v>
      </c>
      <c r="N3" s="49" t="s">
        <v>105</v>
      </c>
      <c r="O3" s="48" t="s">
        <v>103</v>
      </c>
      <c r="P3" s="49" t="s">
        <v>105</v>
      </c>
      <c r="Q3" s="48" t="s">
        <v>103</v>
      </c>
      <c r="R3" s="49" t="s">
        <v>105</v>
      </c>
      <c r="S3" s="48" t="s">
        <v>103</v>
      </c>
      <c r="T3" s="50" t="s">
        <v>105</v>
      </c>
      <c r="U3" s="48" t="s">
        <v>103</v>
      </c>
      <c r="V3" s="50" t="s">
        <v>105</v>
      </c>
      <c r="W3" s="48" t="s">
        <v>103</v>
      </c>
      <c r="X3" s="49" t="s">
        <v>105</v>
      </c>
      <c r="Y3" s="48" t="s">
        <v>103</v>
      </c>
      <c r="Z3" s="50" t="s">
        <v>105</v>
      </c>
      <c r="AA3" s="51" t="s">
        <v>103</v>
      </c>
      <c r="AB3" s="51" t="s">
        <v>105</v>
      </c>
      <c r="AC3" s="51" t="s">
        <v>103</v>
      </c>
      <c r="AD3" s="51" t="s">
        <v>105</v>
      </c>
    </row>
    <row r="4" spans="1:30" x14ac:dyDescent="0.25">
      <c r="A4" s="6">
        <f>'Water Reading'!A3</f>
        <v>44986</v>
      </c>
      <c r="B4" s="52">
        <f>TOTAL!I2</f>
        <v>351</v>
      </c>
      <c r="C4" s="53">
        <f>('Water Reading'!B4-'Water Reading'!B3)+('Water Reading'!C4-'Water Reading'!C3)</f>
        <v>356</v>
      </c>
      <c r="D4" s="54">
        <f>C4/B4</f>
        <v>1.0142450142450143</v>
      </c>
      <c r="E4" s="68">
        <f>'Water Reading'!H4-'Water Reading'!H3</f>
        <v>21</v>
      </c>
      <c r="F4" s="69">
        <f>E4/C4</f>
        <v>5.8988764044943819E-2</v>
      </c>
      <c r="G4" s="73">
        <f>('Water Reading'!D4-'Water Reading'!D3)-('Water Reading'!R4-'Water Reading'!R3)-('Water Reading'!Q4-'Water Reading'!Q3)</f>
        <v>170</v>
      </c>
      <c r="H4" s="69">
        <f>G4/C4</f>
        <v>0.47752808988764045</v>
      </c>
      <c r="I4" s="70">
        <f>'Water Reading'!P4-'Water Reading'!P3</f>
        <v>21</v>
      </c>
      <c r="J4" s="55">
        <f>I4/C4</f>
        <v>5.8988764044943819E-2</v>
      </c>
      <c r="K4" s="71">
        <f>('Water Reading'!I4-'Water Reading'!I3)-('Water Reading'!P4-'Water Reading'!P3)</f>
        <v>3</v>
      </c>
      <c r="L4" s="55">
        <f>K4/C4</f>
        <v>8.4269662921348312E-3</v>
      </c>
      <c r="M4" s="70">
        <f>'Water Reading'!R4-'Water Reading'!R3</f>
        <v>5</v>
      </c>
      <c r="N4" s="72">
        <f>M4/C4</f>
        <v>1.4044943820224719E-2</v>
      </c>
      <c r="O4" s="70">
        <f>'Water Reading'!Q4-'Water Reading'!Q3</f>
        <v>7</v>
      </c>
      <c r="P4" s="77">
        <f>O4/C4</f>
        <v>1.9662921348314606E-2</v>
      </c>
      <c r="Q4" s="71">
        <f>'Water Reading'!F4-'Water Reading'!F3</f>
        <v>26</v>
      </c>
      <c r="R4" s="78">
        <f>Q4/C4</f>
        <v>7.3033707865168537E-2</v>
      </c>
      <c r="S4" s="70">
        <f>'Water Reading'!E4-'Water Reading'!E3</f>
        <v>67</v>
      </c>
      <c r="T4" s="78">
        <f>S4/C4</f>
        <v>0.18820224719101122</v>
      </c>
      <c r="U4" s="70">
        <f>'Water Reading'!N4-'Water Reading'!N3</f>
        <v>2</v>
      </c>
      <c r="V4" s="78">
        <f>U4/E4</f>
        <v>9.5238095238095233E-2</v>
      </c>
      <c r="W4" s="70">
        <f>'Water Reading'!G4-'Water Reading'!G3</f>
        <v>25</v>
      </c>
      <c r="X4" s="78">
        <f>W4/C4</f>
        <v>7.02247191011236E-2</v>
      </c>
      <c r="Y4" s="71">
        <f>'Water Reading'!J4-'Water Reading'!J3</f>
        <v>6</v>
      </c>
      <c r="Z4" s="78">
        <f>Y4/C4</f>
        <v>1.6853932584269662E-2</v>
      </c>
      <c r="AA4" s="53">
        <f t="shared" ref="AA4:AA31" si="0">E4+I4+K4+M4+O4+G4+Q4+S4+W4+Y4</f>
        <v>351</v>
      </c>
      <c r="AB4" s="54">
        <f t="shared" ref="AB4:AB32" si="1">AA4/B4</f>
        <v>1</v>
      </c>
      <c r="AC4" s="53">
        <f>'Water Reading'!S4-'Water Reading'!S3</f>
        <v>0</v>
      </c>
      <c r="AD4" s="54">
        <f>AC4/C4</f>
        <v>0</v>
      </c>
    </row>
    <row r="5" spans="1:30" x14ac:dyDescent="0.25">
      <c r="A5" s="6">
        <f>'Water Reading'!A4</f>
        <v>44987</v>
      </c>
      <c r="B5" s="52">
        <f>TOTAL!I3</f>
        <v>347</v>
      </c>
      <c r="C5" s="53">
        <f>('Water Reading'!B5-'Water Reading'!B4)+('Water Reading'!C5-'Water Reading'!C4)</f>
        <v>363</v>
      </c>
      <c r="D5" s="54">
        <f t="shared" ref="D5:D31" si="2">C5/B5</f>
        <v>1.0461095100864553</v>
      </c>
      <c r="E5" s="68">
        <f>'Water Reading'!H5-'Water Reading'!H4</f>
        <v>30</v>
      </c>
      <c r="F5" s="69">
        <f t="shared" ref="F5:F31" si="3">E5/C5</f>
        <v>8.2644628099173556E-2</v>
      </c>
      <c r="G5" s="73">
        <f>('Water Reading'!D5-'Water Reading'!D4)-('Water Reading'!R5-'Water Reading'!R4)-('Water Reading'!Q5-'Water Reading'!Q4)</f>
        <v>151</v>
      </c>
      <c r="H5" s="69">
        <f t="shared" ref="H5:H31" si="4">G5/C5</f>
        <v>0.41597796143250687</v>
      </c>
      <c r="I5" s="70">
        <f>'Water Reading'!P5-'Water Reading'!P4</f>
        <v>16</v>
      </c>
      <c r="J5" s="55">
        <f t="shared" ref="J5:J31" si="5">I5/C5</f>
        <v>4.4077134986225897E-2</v>
      </c>
      <c r="K5" s="71">
        <f>('Water Reading'!I5-'Water Reading'!I4)-('Water Reading'!P5-'Water Reading'!P4)</f>
        <v>-6</v>
      </c>
      <c r="L5" s="55">
        <f t="shared" ref="L5:L31" si="6">K5/C5</f>
        <v>-1.6528925619834711E-2</v>
      </c>
      <c r="M5" s="70">
        <f>'Water Reading'!R5-'Water Reading'!R4</f>
        <v>5</v>
      </c>
      <c r="N5" s="72">
        <f t="shared" ref="N5:N31" si="7">M5/C5</f>
        <v>1.3774104683195593E-2</v>
      </c>
      <c r="O5" s="70">
        <f>'Water Reading'!Q5-'Water Reading'!Q4</f>
        <v>7</v>
      </c>
      <c r="P5" s="77">
        <f t="shared" ref="P5:P31" si="8">O5/C5</f>
        <v>1.928374655647383E-2</v>
      </c>
      <c r="Q5" s="71">
        <f>'Water Reading'!F5-'Water Reading'!F4</f>
        <v>33</v>
      </c>
      <c r="R5" s="78">
        <f t="shared" ref="R5:R31" si="9">Q5/C5</f>
        <v>9.0909090909090912E-2</v>
      </c>
      <c r="S5" s="70">
        <f>'Water Reading'!E5-'Water Reading'!E4</f>
        <v>78</v>
      </c>
      <c r="T5" s="78">
        <f t="shared" ref="T5:T31" si="10">S5/C5</f>
        <v>0.21487603305785125</v>
      </c>
      <c r="U5" s="70">
        <f>'Water Reading'!N5-'Water Reading'!N4</f>
        <v>3</v>
      </c>
      <c r="V5" s="78">
        <f t="shared" ref="V5:V6" si="11">U5/E5</f>
        <v>0.1</v>
      </c>
      <c r="W5" s="70">
        <f>'Water Reading'!G5-'Water Reading'!G4</f>
        <v>26</v>
      </c>
      <c r="X5" s="78">
        <f t="shared" ref="X5:X31" si="12">W5/C5</f>
        <v>7.1625344352617082E-2</v>
      </c>
      <c r="Y5" s="71">
        <f>'Water Reading'!J5-'Water Reading'!J4</f>
        <v>7</v>
      </c>
      <c r="Z5" s="78">
        <f t="shared" ref="Z5:Z31" si="13">Y5/C5</f>
        <v>1.928374655647383E-2</v>
      </c>
      <c r="AA5" s="53">
        <f t="shared" si="0"/>
        <v>347</v>
      </c>
      <c r="AB5" s="54">
        <f t="shared" si="1"/>
        <v>1</v>
      </c>
      <c r="AC5" s="53">
        <f>'Water Reading'!S5-'Water Reading'!S4</f>
        <v>0</v>
      </c>
      <c r="AD5" s="54">
        <f t="shared" ref="AD5:AD31" si="14">AC5/C5</f>
        <v>0</v>
      </c>
    </row>
    <row r="6" spans="1:30" x14ac:dyDescent="0.25">
      <c r="A6" s="6">
        <f>'Water Reading'!A5</f>
        <v>44988</v>
      </c>
      <c r="B6" s="52">
        <f>TOTAL!I4</f>
        <v>327</v>
      </c>
      <c r="C6" s="53">
        <f>('Water Reading'!B6-'Water Reading'!B5)+('Water Reading'!C6-'Water Reading'!C5)</f>
        <v>332</v>
      </c>
      <c r="D6" s="54">
        <f t="shared" si="2"/>
        <v>1.0152905198776758</v>
      </c>
      <c r="E6" s="68">
        <f>'Water Reading'!H6-'Water Reading'!H5</f>
        <v>36</v>
      </c>
      <c r="F6" s="69">
        <f t="shared" si="3"/>
        <v>0.10843373493975904</v>
      </c>
      <c r="G6" s="73">
        <f>('Water Reading'!D6-'Water Reading'!D5)-('Water Reading'!R6-'Water Reading'!R5)-('Water Reading'!Q6-'Water Reading'!Q5)</f>
        <v>105</v>
      </c>
      <c r="H6" s="69">
        <f t="shared" si="4"/>
        <v>0.31626506024096385</v>
      </c>
      <c r="I6" s="70">
        <f>'Water Reading'!P6-'Water Reading'!P5</f>
        <v>24</v>
      </c>
      <c r="J6" s="55">
        <f t="shared" si="5"/>
        <v>7.2289156626506021E-2</v>
      </c>
      <c r="K6" s="71">
        <f>('Water Reading'!I6-'Water Reading'!I5)-('Water Reading'!P6-'Water Reading'!P5)</f>
        <v>11</v>
      </c>
      <c r="L6" s="55">
        <f t="shared" si="6"/>
        <v>3.313253012048193E-2</v>
      </c>
      <c r="M6" s="70">
        <f>'Water Reading'!R6-'Water Reading'!R5</f>
        <v>6</v>
      </c>
      <c r="N6" s="72">
        <f t="shared" si="7"/>
        <v>1.8072289156626505E-2</v>
      </c>
      <c r="O6" s="70">
        <f>'Water Reading'!Q6-'Water Reading'!Q5</f>
        <v>7</v>
      </c>
      <c r="P6" s="77">
        <f t="shared" si="8"/>
        <v>2.1084337349397589E-2</v>
      </c>
      <c r="Q6" s="71">
        <f>'Water Reading'!F6-'Water Reading'!F5</f>
        <v>25</v>
      </c>
      <c r="R6" s="78">
        <f t="shared" si="9"/>
        <v>7.5301204819277115E-2</v>
      </c>
      <c r="S6" s="70">
        <f>'Water Reading'!E6-'Water Reading'!E5</f>
        <v>81</v>
      </c>
      <c r="T6" s="78">
        <f t="shared" si="10"/>
        <v>0.24397590361445784</v>
      </c>
      <c r="U6" s="70">
        <f>'Water Reading'!N6-'Water Reading'!N5</f>
        <v>15</v>
      </c>
      <c r="V6" s="78">
        <f t="shared" si="11"/>
        <v>0.41666666666666669</v>
      </c>
      <c r="W6" s="70">
        <f>'Water Reading'!G6-'Water Reading'!G5</f>
        <v>25</v>
      </c>
      <c r="X6" s="78">
        <f t="shared" si="12"/>
        <v>7.5301204819277115E-2</v>
      </c>
      <c r="Y6" s="71">
        <f>'Water Reading'!J6-'Water Reading'!J5</f>
        <v>7</v>
      </c>
      <c r="Z6" s="78">
        <f t="shared" si="13"/>
        <v>2.1084337349397589E-2</v>
      </c>
      <c r="AA6" s="53">
        <f t="shared" si="0"/>
        <v>327</v>
      </c>
      <c r="AB6" s="54">
        <f t="shared" si="1"/>
        <v>1</v>
      </c>
      <c r="AC6" s="53">
        <f>'Water Reading'!S6-'Water Reading'!S5</f>
        <v>0</v>
      </c>
      <c r="AD6" s="54">
        <f t="shared" si="14"/>
        <v>0</v>
      </c>
    </row>
    <row r="7" spans="1:30" x14ac:dyDescent="0.25">
      <c r="A7" s="6">
        <f>'Water Reading'!A6</f>
        <v>44989</v>
      </c>
      <c r="B7" s="52">
        <f>TOTAL!I5</f>
        <v>344</v>
      </c>
      <c r="C7" s="53">
        <f>('Water Reading'!B7-'Water Reading'!B6)+('Water Reading'!C7-'Water Reading'!C6)</f>
        <v>361</v>
      </c>
      <c r="D7" s="54">
        <f t="shared" si="2"/>
        <v>1.0494186046511629</v>
      </c>
      <c r="E7" s="128">
        <f>'Water Reading'!H7-'Water Reading'!H6</f>
        <v>37</v>
      </c>
      <c r="F7" s="69">
        <f t="shared" si="3"/>
        <v>0.10249307479224377</v>
      </c>
      <c r="G7" s="73">
        <f>('Water Reading'!D7-'Water Reading'!D6)-('Water Reading'!R7-'Water Reading'!R6)-('Water Reading'!Q7-'Water Reading'!Q6)</f>
        <v>141</v>
      </c>
      <c r="H7" s="69">
        <f>G7/C7</f>
        <v>0.39058171745152354</v>
      </c>
      <c r="I7" s="70">
        <f>'Water Reading'!P7-'Water Reading'!P6</f>
        <v>0</v>
      </c>
      <c r="J7" s="55">
        <f t="shared" si="5"/>
        <v>0</v>
      </c>
      <c r="K7" s="71">
        <f>('Water Reading'!I7-'Water Reading'!I6)-('Water Reading'!P7-'Water Reading'!P6)</f>
        <v>1</v>
      </c>
      <c r="L7" s="55">
        <f t="shared" si="6"/>
        <v>2.7700831024930748E-3</v>
      </c>
      <c r="M7" s="70">
        <f>'Water Reading'!R7-'Water Reading'!R6</f>
        <v>0</v>
      </c>
      <c r="N7" s="72">
        <f t="shared" si="7"/>
        <v>0</v>
      </c>
      <c r="O7" s="70">
        <f>'Water Reading'!Q7-'Water Reading'!Q6</f>
        <v>1</v>
      </c>
      <c r="P7" s="77">
        <f t="shared" si="8"/>
        <v>2.7700831024930748E-3</v>
      </c>
      <c r="Q7" s="71">
        <f>'Water Reading'!F7-'Water Reading'!F6</f>
        <v>30</v>
      </c>
      <c r="R7" s="78">
        <f t="shared" si="9"/>
        <v>8.3102493074792241E-2</v>
      </c>
      <c r="S7" s="70">
        <f>'Water Reading'!E7-'Water Reading'!E6</f>
        <v>105</v>
      </c>
      <c r="T7" s="78">
        <f t="shared" si="10"/>
        <v>0.29085872576177285</v>
      </c>
      <c r="U7" s="70">
        <f>'Water Reading'!N7-'Water Reading'!N6</f>
        <v>40</v>
      </c>
      <c r="V7" s="78">
        <f>U7/E7</f>
        <v>1.0810810810810811</v>
      </c>
      <c r="W7" s="70">
        <f>'Water Reading'!G7-'Water Reading'!G6</f>
        <v>23</v>
      </c>
      <c r="X7" s="78">
        <f t="shared" si="12"/>
        <v>6.3711911357340723E-2</v>
      </c>
      <c r="Y7" s="71">
        <f>'Water Reading'!J7-'Water Reading'!J6</f>
        <v>6</v>
      </c>
      <c r="Z7" s="78">
        <f t="shared" si="13"/>
        <v>1.662049861495845E-2</v>
      </c>
      <c r="AA7" s="53">
        <f>E7+I7+K7+M7+O7+G7+Q7+S7+W7+Y7</f>
        <v>344</v>
      </c>
      <c r="AB7" s="54">
        <f t="shared" si="1"/>
        <v>1</v>
      </c>
      <c r="AC7" s="53">
        <f>'Water Reading'!S7-'Water Reading'!S6</f>
        <v>0</v>
      </c>
      <c r="AD7" s="54">
        <f t="shared" si="14"/>
        <v>0</v>
      </c>
    </row>
    <row r="8" spans="1:30" x14ac:dyDescent="0.25">
      <c r="A8" s="6">
        <f>'Water Reading'!A7</f>
        <v>44990</v>
      </c>
      <c r="B8" s="52">
        <f>TOTAL!I6</f>
        <v>352</v>
      </c>
      <c r="C8" s="53">
        <f>('Water Reading'!B8-'Water Reading'!B7)+('Water Reading'!C8-'Water Reading'!C7)</f>
        <v>359</v>
      </c>
      <c r="D8" s="54">
        <f t="shared" si="2"/>
        <v>1.0198863636363635</v>
      </c>
      <c r="E8" s="68">
        <f>'Water Reading'!H8-'Water Reading'!H7</f>
        <v>34</v>
      </c>
      <c r="F8" s="69">
        <f t="shared" si="3"/>
        <v>9.4707520891364902E-2</v>
      </c>
      <c r="G8" s="73">
        <f>('Water Reading'!D8-'Water Reading'!D7)-('Water Reading'!R8-'Water Reading'!R7)-('Water Reading'!Q8-'Water Reading'!Q7)</f>
        <v>109</v>
      </c>
      <c r="H8" s="69">
        <f t="shared" si="4"/>
        <v>0.30362116991643456</v>
      </c>
      <c r="I8" s="70">
        <f>'Water Reading'!P8-'Water Reading'!P7</f>
        <v>16</v>
      </c>
      <c r="J8" s="55">
        <f t="shared" si="5"/>
        <v>4.456824512534819E-2</v>
      </c>
      <c r="K8" s="71">
        <f>('Water Reading'!I8-'Water Reading'!I7)-('Water Reading'!P8-'Water Reading'!P7)</f>
        <v>1</v>
      </c>
      <c r="L8" s="55">
        <f t="shared" si="6"/>
        <v>2.7855153203342618E-3</v>
      </c>
      <c r="M8" s="70">
        <f>'Water Reading'!R8-'Water Reading'!R7</f>
        <v>5</v>
      </c>
      <c r="N8" s="72">
        <f t="shared" si="7"/>
        <v>1.3927576601671309E-2</v>
      </c>
      <c r="O8" s="70">
        <f>'Water Reading'!Q8-'Water Reading'!Q7</f>
        <v>4</v>
      </c>
      <c r="P8" s="77">
        <f t="shared" si="8"/>
        <v>1.1142061281337047E-2</v>
      </c>
      <c r="Q8" s="71">
        <f>'Water Reading'!F8-'Water Reading'!F7</f>
        <v>32</v>
      </c>
      <c r="R8" s="78">
        <f t="shared" si="9"/>
        <v>8.9136490250696379E-2</v>
      </c>
      <c r="S8" s="70">
        <f>'Water Reading'!E8-'Water Reading'!E7</f>
        <v>119</v>
      </c>
      <c r="T8" s="78">
        <f t="shared" si="10"/>
        <v>0.33147632311977715</v>
      </c>
      <c r="U8" s="70">
        <f>'Water Reading'!N8-'Water Reading'!N7</f>
        <v>55</v>
      </c>
      <c r="V8" s="78">
        <f t="shared" ref="V8:V12" si="15">U8/E8</f>
        <v>1.6176470588235294</v>
      </c>
      <c r="W8" s="70">
        <f>'Water Reading'!G8-'Water Reading'!G7</f>
        <v>25</v>
      </c>
      <c r="X8" s="78">
        <f t="shared" si="12"/>
        <v>6.9637883008356549E-2</v>
      </c>
      <c r="Y8" s="71">
        <f>'Water Reading'!J8-'Water Reading'!J7</f>
        <v>7</v>
      </c>
      <c r="Z8" s="78">
        <f t="shared" si="13"/>
        <v>1.9498607242339833E-2</v>
      </c>
      <c r="AA8" s="53">
        <f t="shared" si="0"/>
        <v>352</v>
      </c>
      <c r="AB8" s="54">
        <f t="shared" si="1"/>
        <v>1</v>
      </c>
      <c r="AC8" s="53">
        <f>'Water Reading'!S8-'Water Reading'!S7</f>
        <v>602</v>
      </c>
      <c r="AD8" s="54">
        <f t="shared" si="14"/>
        <v>1.6768802228412256</v>
      </c>
    </row>
    <row r="9" spans="1:30" x14ac:dyDescent="0.25">
      <c r="A9" s="6">
        <f>'Water Reading'!A8</f>
        <v>44991</v>
      </c>
      <c r="B9" s="52">
        <f>TOTAL!I7</f>
        <v>337</v>
      </c>
      <c r="C9" s="53">
        <f>('Water Reading'!B9-'Water Reading'!B8)+('Water Reading'!C9-'Water Reading'!C8)</f>
        <v>355</v>
      </c>
      <c r="D9" s="54">
        <f t="shared" si="2"/>
        <v>1.0534124629080119</v>
      </c>
      <c r="E9" s="68">
        <f>'Water Reading'!H9-'Water Reading'!H8</f>
        <v>31</v>
      </c>
      <c r="F9" s="69">
        <f t="shared" si="3"/>
        <v>8.7323943661971826E-2</v>
      </c>
      <c r="G9" s="73">
        <f>('Water Reading'!D9-'Water Reading'!D8)-('Water Reading'!R9-'Water Reading'!R8)-('Water Reading'!Q9-'Water Reading'!Q8)</f>
        <v>91</v>
      </c>
      <c r="H9" s="69">
        <f t="shared" si="4"/>
        <v>0.25633802816901408</v>
      </c>
      <c r="I9" s="70">
        <f>'Water Reading'!P9-'Water Reading'!P8</f>
        <v>10</v>
      </c>
      <c r="J9" s="55">
        <f t="shared" si="5"/>
        <v>2.8169014084507043E-2</v>
      </c>
      <c r="K9" s="71">
        <f>('Water Reading'!I9-'Water Reading'!I8)-('Water Reading'!P9-'Water Reading'!P8)</f>
        <v>2</v>
      </c>
      <c r="L9" s="55">
        <f t="shared" si="6"/>
        <v>5.6338028169014088E-3</v>
      </c>
      <c r="M9" s="98">
        <f>'Water Reading'!R9-'Water Reading'!R8</f>
        <v>6</v>
      </c>
      <c r="N9" s="72">
        <f t="shared" si="7"/>
        <v>1.6901408450704224E-2</v>
      </c>
      <c r="O9" s="70">
        <f>'Water Reading'!Q9-'Water Reading'!Q8</f>
        <v>10</v>
      </c>
      <c r="P9" s="77">
        <f t="shared" si="8"/>
        <v>2.8169014084507043E-2</v>
      </c>
      <c r="Q9" s="71">
        <f>'Water Reading'!F9-'Water Reading'!F8</f>
        <v>29</v>
      </c>
      <c r="R9" s="78">
        <f t="shared" si="9"/>
        <v>8.1690140845070425E-2</v>
      </c>
      <c r="S9" s="70">
        <f>'Water Reading'!E9-'Water Reading'!E8</f>
        <v>119</v>
      </c>
      <c r="T9" s="78">
        <f t="shared" si="10"/>
        <v>0.3352112676056338</v>
      </c>
      <c r="U9" s="70">
        <f>'Water Reading'!N9-'Water Reading'!N8</f>
        <v>61</v>
      </c>
      <c r="V9" s="78">
        <f t="shared" si="15"/>
        <v>1.967741935483871</v>
      </c>
      <c r="W9" s="70">
        <f>'Water Reading'!G9-'Water Reading'!G8</f>
        <v>28</v>
      </c>
      <c r="X9" s="78">
        <f t="shared" si="12"/>
        <v>7.8873239436619724E-2</v>
      </c>
      <c r="Y9" s="71">
        <f>'Water Reading'!J9-'Water Reading'!J8</f>
        <v>7</v>
      </c>
      <c r="Z9" s="78">
        <f t="shared" si="13"/>
        <v>1.9718309859154931E-2</v>
      </c>
      <c r="AA9" s="53">
        <f t="shared" si="0"/>
        <v>333</v>
      </c>
      <c r="AB9" s="54">
        <f t="shared" si="1"/>
        <v>0.98813056379821962</v>
      </c>
      <c r="AC9" s="53">
        <f>'Water Reading'!S9-'Water Reading'!S8</f>
        <v>122</v>
      </c>
      <c r="AD9" s="54">
        <f t="shared" si="14"/>
        <v>0.3436619718309859</v>
      </c>
    </row>
    <row r="10" spans="1:30" x14ac:dyDescent="0.25">
      <c r="A10" s="6">
        <f>'Water Reading'!A9</f>
        <v>44992</v>
      </c>
      <c r="B10" s="52">
        <f>TOTAL!I8</f>
        <v>295</v>
      </c>
      <c r="C10" s="53">
        <f>('Water Reading'!B10-'Water Reading'!B9)+('Water Reading'!C10-'Water Reading'!C9)</f>
        <v>343</v>
      </c>
      <c r="D10" s="54">
        <f t="shared" ref="D10" si="16">C10/B10</f>
        <v>1.1627118644067798</v>
      </c>
      <c r="E10" s="68">
        <f>'Water Reading'!H10-'Water Reading'!H9</f>
        <v>18</v>
      </c>
      <c r="F10" s="69">
        <f t="shared" si="3"/>
        <v>5.2478134110787174E-2</v>
      </c>
      <c r="G10" s="73">
        <f>('Water Reading'!D10-'Water Reading'!D9)-('Water Reading'!R10-'Water Reading'!R9)-('Water Reading'!Q10-'Water Reading'!Q9)</f>
        <v>97</v>
      </c>
      <c r="H10" s="69">
        <f t="shared" si="4"/>
        <v>0.28279883381924198</v>
      </c>
      <c r="I10" s="70">
        <f>'Water Reading'!P10-'Water Reading'!P9</f>
        <v>17</v>
      </c>
      <c r="J10" s="55">
        <f t="shared" si="5"/>
        <v>4.9562682215743441E-2</v>
      </c>
      <c r="K10" s="93">
        <f>('Water Reading'!I10-'Water Reading'!I9)-('Water Reading'!P10-'Water Reading'!P9)</f>
        <v>1</v>
      </c>
      <c r="L10" s="55">
        <f t="shared" si="6"/>
        <v>2.9154518950437317E-3</v>
      </c>
      <c r="M10" s="70">
        <f>'Water Reading'!R10-'Water Reading'!R9</f>
        <v>4</v>
      </c>
      <c r="N10" s="72">
        <f t="shared" si="7"/>
        <v>1.1661807580174927E-2</v>
      </c>
      <c r="O10" s="70">
        <f>'Water Reading'!Q10-'Water Reading'!Q9</f>
        <v>27</v>
      </c>
      <c r="P10" s="77">
        <f t="shared" si="8"/>
        <v>7.8717201166180764E-2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102</v>
      </c>
      <c r="T10" s="78">
        <f t="shared" si="10"/>
        <v>0.29737609329446063</v>
      </c>
      <c r="U10" s="70">
        <f>'Water Reading'!N10-'Water Reading'!N9</f>
        <v>42</v>
      </c>
      <c r="V10" s="78">
        <f t="shared" si="15"/>
        <v>2.3333333333333335</v>
      </c>
      <c r="W10" s="70">
        <f>'Water Reading'!G10-'Water Reading'!G9</f>
        <v>27</v>
      </c>
      <c r="X10" s="78">
        <f t="shared" si="12"/>
        <v>7.8717201166180764E-2</v>
      </c>
      <c r="Y10" s="71">
        <f>'Water Reading'!J10-'Water Reading'!J9</f>
        <v>6</v>
      </c>
      <c r="Z10" s="78">
        <f t="shared" si="13"/>
        <v>1.7492711370262391E-2</v>
      </c>
      <c r="AA10" s="53">
        <f>E10+I10+K10+M10+O10+G10+Q10+S10+W10+Y10</f>
        <v>299</v>
      </c>
      <c r="AB10" s="54">
        <f t="shared" si="1"/>
        <v>1.0135593220338983</v>
      </c>
      <c r="AC10" s="53">
        <f>'Water Reading'!S10-'Water Reading'!S9</f>
        <v>121</v>
      </c>
      <c r="AD10" s="54">
        <f t="shared" si="14"/>
        <v>0.35276967930029157</v>
      </c>
    </row>
    <row r="11" spans="1:30" x14ac:dyDescent="0.25">
      <c r="A11" s="6">
        <f>'Water Reading'!A10</f>
        <v>44993</v>
      </c>
      <c r="B11" s="52">
        <f>TOTAL!I9</f>
        <v>372</v>
      </c>
      <c r="C11" s="53">
        <f>('Water Reading'!B11-'Water Reading'!B10)+('Water Reading'!C11-'Water Reading'!C10)</f>
        <v>362</v>
      </c>
      <c r="D11" s="54">
        <f t="shared" si="2"/>
        <v>0.9731182795698925</v>
      </c>
      <c r="E11" s="68">
        <f>'Water Reading'!H11-'Water Reading'!H10</f>
        <v>27</v>
      </c>
      <c r="F11" s="69">
        <f t="shared" si="3"/>
        <v>7.4585635359116026E-2</v>
      </c>
      <c r="G11" s="73">
        <f>('Water Reading'!D11-'Water Reading'!D10)-('Water Reading'!R11-'Water Reading'!R10)-('Water Reading'!Q11-'Water Reading'!Q10)</f>
        <v>109</v>
      </c>
      <c r="H11" s="69">
        <f t="shared" si="4"/>
        <v>0.30110497237569062</v>
      </c>
      <c r="I11" s="70">
        <f>'Water Reading'!P11-'Water Reading'!P10</f>
        <v>23</v>
      </c>
      <c r="J11" s="55">
        <f t="shared" si="5"/>
        <v>6.3535911602209949E-2</v>
      </c>
      <c r="K11" s="71">
        <f>('Water Reading'!I11-'Water Reading'!I10)-('Water Reading'!P11-'Water Reading'!P10)</f>
        <v>0</v>
      </c>
      <c r="L11" s="55">
        <f t="shared" si="6"/>
        <v>0</v>
      </c>
      <c r="M11" s="70">
        <f>'Water Reading'!R11-'Water Reading'!R10</f>
        <v>5</v>
      </c>
      <c r="N11" s="72">
        <f t="shared" si="7"/>
        <v>1.3812154696132596E-2</v>
      </c>
      <c r="O11" s="70">
        <f>'Water Reading'!Q11-'Water Reading'!Q10</f>
        <v>12</v>
      </c>
      <c r="P11" s="77">
        <f t="shared" si="8"/>
        <v>3.3149171270718231E-2</v>
      </c>
      <c r="Q11" s="71">
        <f>'Water Reading'!F11-'Water Reading'!F10</f>
        <v>61</v>
      </c>
      <c r="R11" s="78">
        <f t="shared" si="9"/>
        <v>0.16850828729281769</v>
      </c>
      <c r="S11" s="70">
        <f>'Water Reading'!E11-'Water Reading'!E10</f>
        <v>105</v>
      </c>
      <c r="T11" s="78">
        <f t="shared" si="10"/>
        <v>0.29005524861878451</v>
      </c>
      <c r="U11" s="70">
        <f>'Water Reading'!N11-'Water Reading'!N10</f>
        <v>39</v>
      </c>
      <c r="V11" s="78">
        <f t="shared" si="15"/>
        <v>1.4444444444444444</v>
      </c>
      <c r="W11" s="70">
        <f>'Water Reading'!G11-'Water Reading'!G10</f>
        <v>23</v>
      </c>
      <c r="X11" s="78">
        <f t="shared" si="12"/>
        <v>6.3535911602209949E-2</v>
      </c>
      <c r="Y11" s="71">
        <f>'Water Reading'!J11-'Water Reading'!J10</f>
        <v>7</v>
      </c>
      <c r="Z11" s="78">
        <f t="shared" si="13"/>
        <v>1.9337016574585635E-2</v>
      </c>
      <c r="AA11" s="53">
        <f t="shared" si="0"/>
        <v>372</v>
      </c>
      <c r="AB11" s="54">
        <f t="shared" si="1"/>
        <v>1</v>
      </c>
      <c r="AC11" s="53">
        <f>'Water Reading'!S11-'Water Reading'!S10</f>
        <v>111</v>
      </c>
      <c r="AD11" s="54">
        <f t="shared" si="14"/>
        <v>0.30662983425414364</v>
      </c>
    </row>
    <row r="12" spans="1:30" x14ac:dyDescent="0.25">
      <c r="A12" s="6">
        <f>'Water Reading'!A11</f>
        <v>44994</v>
      </c>
      <c r="B12" s="52">
        <f>TOTAL!I10</f>
        <v>363</v>
      </c>
      <c r="C12" s="53">
        <f>('Water Reading'!B12-'Water Reading'!B11)+('Water Reading'!C12-'Water Reading'!C11)</f>
        <v>386</v>
      </c>
      <c r="D12" s="54">
        <f t="shared" si="2"/>
        <v>1.0633608815426998</v>
      </c>
      <c r="E12" s="68">
        <f>'Water Reading'!H12-'Water Reading'!H11</f>
        <v>26</v>
      </c>
      <c r="F12" s="69">
        <f t="shared" si="3"/>
        <v>6.7357512953367879E-2</v>
      </c>
      <c r="G12" s="73">
        <f>('Water Reading'!D12-'Water Reading'!D11)-('Water Reading'!R12-'Water Reading'!R11)-('Water Reading'!Q12-'Water Reading'!Q11)</f>
        <v>153</v>
      </c>
      <c r="H12" s="69">
        <f t="shared" si="4"/>
        <v>0.39637305699481867</v>
      </c>
      <c r="I12" s="70">
        <f>'Water Reading'!P12-'Water Reading'!P11</f>
        <v>17</v>
      </c>
      <c r="J12" s="55">
        <f t="shared" si="5"/>
        <v>4.4041450777202069E-2</v>
      </c>
      <c r="K12" s="71">
        <f>('Water Reading'!I12-'Water Reading'!I11)-('Water Reading'!P12-'Water Reading'!P11)</f>
        <v>3</v>
      </c>
      <c r="L12" s="55">
        <f t="shared" si="6"/>
        <v>7.7720207253886009E-3</v>
      </c>
      <c r="M12" s="70">
        <f>'Water Reading'!R12-'Water Reading'!R11</f>
        <v>4</v>
      </c>
      <c r="N12" s="72">
        <f t="shared" si="7"/>
        <v>1.0362694300518135E-2</v>
      </c>
      <c r="O12" s="70">
        <f>'Water Reading'!Q12-'Water Reading'!Q11</f>
        <v>4</v>
      </c>
      <c r="P12" s="77">
        <f t="shared" si="8"/>
        <v>1.0362694300518135E-2</v>
      </c>
      <c r="Q12" s="71">
        <f>'Water Reading'!F12-'Water Reading'!F11</f>
        <v>30</v>
      </c>
      <c r="R12" s="78">
        <f t="shared" si="9"/>
        <v>7.7720207253886009E-2</v>
      </c>
      <c r="S12" s="70">
        <f>'Water Reading'!E12-'Water Reading'!E11</f>
        <v>93</v>
      </c>
      <c r="T12" s="78">
        <f t="shared" si="10"/>
        <v>0.24093264248704663</v>
      </c>
      <c r="U12" s="70">
        <f>'Water Reading'!N12-'Water Reading'!N11</f>
        <v>43</v>
      </c>
      <c r="V12" s="78">
        <f t="shared" si="15"/>
        <v>1.6538461538461537</v>
      </c>
      <c r="W12" s="70">
        <f>'Water Reading'!G12-'Water Reading'!G11</f>
        <v>27</v>
      </c>
      <c r="X12" s="78">
        <f t="shared" si="12"/>
        <v>6.9948186528497408E-2</v>
      </c>
      <c r="Y12" s="71">
        <f>'Water Reading'!J12-'Water Reading'!J11</f>
        <v>6</v>
      </c>
      <c r="Z12" s="78">
        <f t="shared" si="13"/>
        <v>1.5544041450777202E-2</v>
      </c>
      <c r="AA12" s="53">
        <f t="shared" si="0"/>
        <v>363</v>
      </c>
      <c r="AB12" s="54">
        <f t="shared" si="1"/>
        <v>1</v>
      </c>
      <c r="AC12" s="53">
        <f>'Water Reading'!S12-'Water Reading'!S11</f>
        <v>145</v>
      </c>
      <c r="AD12" s="54">
        <f t="shared" si="14"/>
        <v>0.37564766839378239</v>
      </c>
    </row>
    <row r="13" spans="1:30" x14ac:dyDescent="0.25">
      <c r="A13" s="6">
        <f>'Water Reading'!A12</f>
        <v>44995</v>
      </c>
      <c r="B13" s="52">
        <f>TOTAL!I11</f>
        <v>339</v>
      </c>
      <c r="C13" s="53">
        <f>('Water Reading'!B13-'Water Reading'!B12)+('Water Reading'!C13-'Water Reading'!C12)</f>
        <v>342</v>
      </c>
      <c r="D13" s="54">
        <f t="shared" si="2"/>
        <v>1.0088495575221239</v>
      </c>
      <c r="E13" s="68">
        <f>'Water Reading'!H13-'Water Reading'!H12</f>
        <v>31</v>
      </c>
      <c r="F13" s="69">
        <f t="shared" si="3"/>
        <v>9.0643274853801165E-2</v>
      </c>
      <c r="G13" s="73">
        <f>('Water Reading'!D13-'Water Reading'!D12)-('Water Reading'!R13-'Water Reading'!R12)-('Water Reading'!Q13-'Water Reading'!Q12)</f>
        <v>115</v>
      </c>
      <c r="H13" s="69">
        <f t="shared" si="4"/>
        <v>0.33625730994152048</v>
      </c>
      <c r="I13" s="70">
        <f>'Water Reading'!P13-'Water Reading'!P12</f>
        <v>5</v>
      </c>
      <c r="J13" s="55">
        <f t="shared" si="5"/>
        <v>1.4619883040935672E-2</v>
      </c>
      <c r="K13" s="71">
        <f>('Water Reading'!I13-'Water Reading'!I12)-('Water Reading'!P13-'Water Reading'!P12)</f>
        <v>1</v>
      </c>
      <c r="L13" s="55">
        <f t="shared" si="6"/>
        <v>2.9239766081871343E-3</v>
      </c>
      <c r="M13" s="70">
        <f>'Water Reading'!R13-'Water Reading'!R12</f>
        <v>6</v>
      </c>
      <c r="N13" s="72">
        <f t="shared" si="7"/>
        <v>1.7543859649122806E-2</v>
      </c>
      <c r="O13" s="70">
        <f>'Water Reading'!Q13-'Water Reading'!Q12</f>
        <v>7</v>
      </c>
      <c r="P13" s="77">
        <f t="shared" si="8"/>
        <v>2.046783625730994E-2</v>
      </c>
      <c r="Q13" s="71">
        <f>'Water Reading'!F13-'Water Reading'!F12</f>
        <v>28</v>
      </c>
      <c r="R13" s="78">
        <f t="shared" si="9"/>
        <v>8.1871345029239762E-2</v>
      </c>
      <c r="S13" s="70">
        <f>'Water Reading'!E13-'Water Reading'!E12</f>
        <v>115</v>
      </c>
      <c r="T13" s="78">
        <f t="shared" si="10"/>
        <v>0.33625730994152048</v>
      </c>
      <c r="U13" s="70">
        <f>'Water Reading'!N13-'Water Reading'!N12</f>
        <v>49</v>
      </c>
      <c r="V13" s="78">
        <f t="shared" ref="V13:V31" si="17">U13/E13</f>
        <v>1.5806451612903225</v>
      </c>
      <c r="W13" s="70">
        <f>'Water Reading'!G13-'Water Reading'!G12</f>
        <v>25</v>
      </c>
      <c r="X13" s="78">
        <f t="shared" si="12"/>
        <v>7.3099415204678359E-2</v>
      </c>
      <c r="Y13" s="71">
        <f>'Water Reading'!J13-'Water Reading'!J12</f>
        <v>6</v>
      </c>
      <c r="Z13" s="78">
        <f t="shared" si="13"/>
        <v>1.7543859649122806E-2</v>
      </c>
      <c r="AA13" s="53">
        <f t="shared" si="0"/>
        <v>339</v>
      </c>
      <c r="AB13" s="54">
        <f t="shared" si="1"/>
        <v>1</v>
      </c>
      <c r="AC13" s="53">
        <f>'Water Reading'!S13-'Water Reading'!S12</f>
        <v>105</v>
      </c>
      <c r="AD13" s="54">
        <f t="shared" si="14"/>
        <v>0.30701754385964913</v>
      </c>
    </row>
    <row r="14" spans="1:30" x14ac:dyDescent="0.25">
      <c r="A14" s="6">
        <f>'Water Reading'!A13</f>
        <v>44996</v>
      </c>
      <c r="B14" s="52">
        <f>TOTAL!I12</f>
        <v>378</v>
      </c>
      <c r="C14" s="53">
        <f>('Water Reading'!B14-'Water Reading'!B13)+('Water Reading'!C14-'Water Reading'!C13)</f>
        <v>394</v>
      </c>
      <c r="D14" s="54">
        <f t="shared" si="2"/>
        <v>1.0423280423280423</v>
      </c>
      <c r="E14" s="68">
        <f>'Water Reading'!H14-'Water Reading'!H13</f>
        <v>28</v>
      </c>
      <c r="F14" s="69">
        <f t="shared" si="3"/>
        <v>7.1065989847715741E-2</v>
      </c>
      <c r="G14" s="73">
        <f>('Water Reading'!D14-'Water Reading'!D13)-('Water Reading'!R14-'Water Reading'!R13)-('Water Reading'!Q14-'Water Reading'!Q13)</f>
        <v>150</v>
      </c>
      <c r="H14" s="69">
        <f t="shared" si="4"/>
        <v>0.38071065989847713</v>
      </c>
      <c r="I14" s="70">
        <f>'Water Reading'!P14-'Water Reading'!P13</f>
        <v>16</v>
      </c>
      <c r="J14" s="55">
        <f t="shared" si="5"/>
        <v>4.060913705583756E-2</v>
      </c>
      <c r="K14" s="71">
        <f>('Water Reading'!I14-'Water Reading'!I13)-('Water Reading'!P14-'Water Reading'!P13)</f>
        <v>0</v>
      </c>
      <c r="L14" s="55">
        <f t="shared" si="6"/>
        <v>0</v>
      </c>
      <c r="M14" s="70">
        <f>'Water Reading'!R14-'Water Reading'!R13</f>
        <v>1</v>
      </c>
      <c r="N14" s="72">
        <f t="shared" si="7"/>
        <v>2.5380710659898475E-3</v>
      </c>
      <c r="O14" s="70">
        <f>'Water Reading'!Q14-'Water Reading'!Q13</f>
        <v>12</v>
      </c>
      <c r="P14" s="77">
        <f t="shared" si="8"/>
        <v>3.0456852791878174E-2</v>
      </c>
      <c r="Q14" s="71">
        <f>'Water Reading'!F14-'Water Reading'!F13</f>
        <v>33</v>
      </c>
      <c r="R14" s="78">
        <f t="shared" si="9"/>
        <v>8.3756345177664976E-2</v>
      </c>
      <c r="S14" s="70">
        <f>'Water Reading'!E14-'Water Reading'!E13</f>
        <v>106</v>
      </c>
      <c r="T14" s="78">
        <f t="shared" si="10"/>
        <v>0.26903553299492383</v>
      </c>
      <c r="U14" s="70">
        <f>'Water Reading'!N14-'Water Reading'!N13</f>
        <v>45</v>
      </c>
      <c r="V14" s="78">
        <f t="shared" si="17"/>
        <v>1.6071428571428572</v>
      </c>
      <c r="W14" s="70">
        <f>'Water Reading'!G14-'Water Reading'!G13</f>
        <v>25</v>
      </c>
      <c r="X14" s="78">
        <f t="shared" si="12"/>
        <v>6.3451776649746189E-2</v>
      </c>
      <c r="Y14" s="71">
        <f>'Water Reading'!J14-'Water Reading'!J13</f>
        <v>7</v>
      </c>
      <c r="Z14" s="78">
        <f t="shared" si="13"/>
        <v>1.7766497461928935E-2</v>
      </c>
      <c r="AA14" s="53">
        <f>E14+I14+K14+M14+O14+G14+Q14+S14+W14+Y14</f>
        <v>378</v>
      </c>
      <c r="AB14" s="54">
        <f t="shared" si="1"/>
        <v>1</v>
      </c>
      <c r="AC14" s="53">
        <f>'Water Reading'!S14-'Water Reading'!S13</f>
        <v>0</v>
      </c>
      <c r="AD14" s="54">
        <f t="shared" si="14"/>
        <v>0</v>
      </c>
    </row>
    <row r="15" spans="1:30" s="95" customFormat="1" x14ac:dyDescent="0.25">
      <c r="A15" s="6">
        <f>'Water Reading'!A14</f>
        <v>44997</v>
      </c>
      <c r="B15" s="100">
        <f>TOTAL!I13</f>
        <v>352</v>
      </c>
      <c r="C15" s="101">
        <f>('Water Reading'!B15-'Water Reading'!B14)+('Water Reading'!C15-'Water Reading'!C14)</f>
        <v>365</v>
      </c>
      <c r="D15" s="102">
        <f t="shared" si="2"/>
        <v>1.0369318181818181</v>
      </c>
      <c r="E15" s="68">
        <f>'Water Reading'!H15-'Water Reading'!H14</f>
        <v>27</v>
      </c>
      <c r="F15" s="103">
        <f t="shared" si="3"/>
        <v>7.3972602739726029E-2</v>
      </c>
      <c r="G15" s="73">
        <f>('Water Reading'!D15-'Water Reading'!D14)-('Water Reading'!R15-'Water Reading'!R14)-('Water Reading'!Q15-'Water Reading'!Q14)</f>
        <v>123</v>
      </c>
      <c r="H15" s="103">
        <f t="shared" si="4"/>
        <v>0.33698630136986302</v>
      </c>
      <c r="I15" s="98">
        <f>'Water Reading'!P15-'Water Reading'!P14</f>
        <v>16</v>
      </c>
      <c r="J15" s="99">
        <f t="shared" si="5"/>
        <v>4.3835616438356165E-2</v>
      </c>
      <c r="K15" s="93">
        <f>('Water Reading'!I15-'Water Reading'!I14)-('Water Reading'!P15-'Water Reading'!P14)</f>
        <v>1</v>
      </c>
      <c r="L15" s="99">
        <f t="shared" si="6"/>
        <v>2.7397260273972603E-3</v>
      </c>
      <c r="M15" s="98">
        <f>'Water Reading'!R15-'Water Reading'!R14</f>
        <v>7</v>
      </c>
      <c r="N15" s="104">
        <f t="shared" si="7"/>
        <v>1.9178082191780823E-2</v>
      </c>
      <c r="O15" s="98">
        <f>'Water Reading'!Q15-'Water Reading'!Q14</f>
        <v>9</v>
      </c>
      <c r="P15" s="105">
        <f t="shared" si="8"/>
        <v>2.4657534246575342E-2</v>
      </c>
      <c r="Q15" s="93">
        <f>'Water Reading'!F15-'Water Reading'!F14</f>
        <v>30</v>
      </c>
      <c r="R15" s="106">
        <f t="shared" si="9"/>
        <v>8.2191780821917804E-2</v>
      </c>
      <c r="S15" s="98">
        <f>'Water Reading'!E15-'Water Reading'!E14</f>
        <v>105</v>
      </c>
      <c r="T15" s="106">
        <f t="shared" si="10"/>
        <v>0.28767123287671231</v>
      </c>
      <c r="U15" s="70">
        <f>'Water Reading'!N15-'Water Reading'!N14</f>
        <v>50</v>
      </c>
      <c r="V15" s="78">
        <f t="shared" si="17"/>
        <v>1.8518518518518519</v>
      </c>
      <c r="W15" s="98">
        <f>'Water Reading'!G15-'Water Reading'!G14</f>
        <v>27</v>
      </c>
      <c r="X15" s="106">
        <f t="shared" si="12"/>
        <v>7.3972602739726029E-2</v>
      </c>
      <c r="Y15" s="93">
        <f>'Water Reading'!J15-'Water Reading'!J14</f>
        <v>7</v>
      </c>
      <c r="Z15" s="106">
        <f t="shared" si="13"/>
        <v>1.9178082191780823E-2</v>
      </c>
      <c r="AA15" s="101">
        <f t="shared" si="0"/>
        <v>352</v>
      </c>
      <c r="AB15" s="102">
        <f t="shared" si="1"/>
        <v>1</v>
      </c>
      <c r="AC15" s="53">
        <f>'Water Reading'!S15-'Water Reading'!S14</f>
        <v>0</v>
      </c>
      <c r="AD15" s="54">
        <f t="shared" si="14"/>
        <v>0</v>
      </c>
    </row>
    <row r="16" spans="1:30" x14ac:dyDescent="0.25">
      <c r="A16" s="6">
        <f>'Water Reading'!A15</f>
        <v>44998</v>
      </c>
      <c r="B16" s="52">
        <f>TOTAL!I14</f>
        <v>0</v>
      </c>
      <c r="C16" s="53">
        <f>('Water Reading'!B16-'Water Reading'!B15)+('Water Reading'!C16-'Water Reading'!C15)</f>
        <v>-94056</v>
      </c>
      <c r="D16" s="54" t="e">
        <f t="shared" si="2"/>
        <v>#DIV/0!</v>
      </c>
      <c r="E16" s="68">
        <f>'Water Reading'!H16-'Water Reading'!H15</f>
        <v>-3115</v>
      </c>
      <c r="F16" s="69">
        <f t="shared" si="3"/>
        <v>3.311856766181849E-2</v>
      </c>
      <c r="G16" s="73">
        <f>('Water Reading'!D16-'Water Reading'!D15)-('Water Reading'!R16-'Water Reading'!R15)-('Water Reading'!Q16-'Water Reading'!Q15)</f>
        <v>-308920</v>
      </c>
      <c r="H16" s="69">
        <f t="shared" si="4"/>
        <v>3.2844262992259932</v>
      </c>
      <c r="I16" s="70">
        <f>'Water Reading'!P16-'Water Reading'!P15</f>
        <v>-33926</v>
      </c>
      <c r="J16" s="55">
        <f t="shared" si="5"/>
        <v>0.36070000850557116</v>
      </c>
      <c r="K16" s="71">
        <f>('Water Reading'!I16-'Water Reading'!I15)-('Water Reading'!P16-'Water Reading'!P15)</f>
        <v>-47609</v>
      </c>
      <c r="L16" s="55">
        <f t="shared" si="6"/>
        <v>0.50617717104703586</v>
      </c>
      <c r="M16" s="70">
        <f>'Water Reading'!R16-'Water Reading'!R15</f>
        <v>-1325</v>
      </c>
      <c r="N16" s="72">
        <f t="shared" si="7"/>
        <v>1.4087352215701284E-2</v>
      </c>
      <c r="O16" s="70">
        <f>'Water Reading'!Q16-'Water Reading'!Q15</f>
        <v>-2758</v>
      </c>
      <c r="P16" s="77">
        <f t="shared" si="8"/>
        <v>2.9322956536531428E-2</v>
      </c>
      <c r="Q16" s="71">
        <f>'Water Reading'!F16-'Water Reading'!F15</f>
        <v>-28465</v>
      </c>
      <c r="R16" s="78">
        <f t="shared" si="9"/>
        <v>0.30263885344900909</v>
      </c>
      <c r="S16" s="70">
        <f>'Water Reading'!E16-'Water Reading'!E15</f>
        <v>-292248</v>
      </c>
      <c r="T16" s="78">
        <f t="shared" si="10"/>
        <v>3.1071701964786937</v>
      </c>
      <c r="U16" s="70">
        <f>'Water Reading'!N16-'Water Reading'!N15</f>
        <v>-9715</v>
      </c>
      <c r="V16" s="78">
        <f t="shared" si="17"/>
        <v>3.118780096308186</v>
      </c>
      <c r="W16" s="70">
        <f>'Water Reading'!G16-'Water Reading'!G15</f>
        <v>-126740</v>
      </c>
      <c r="X16" s="78">
        <f t="shared" si="12"/>
        <v>1.3474951092965892</v>
      </c>
      <c r="Y16" s="71">
        <f>'Water Reading'!J16-'Water Reading'!J15</f>
        <v>-24539</v>
      </c>
      <c r="Z16" s="78">
        <f t="shared" si="13"/>
        <v>0.26089776303478779</v>
      </c>
      <c r="AA16" s="53">
        <f t="shared" si="0"/>
        <v>-869645</v>
      </c>
      <c r="AB16" s="54" t="e">
        <f t="shared" si="1"/>
        <v>#DIV/0!</v>
      </c>
      <c r="AC16" s="53">
        <f>'Water Reading'!S16-'Water Reading'!S15</f>
        <v>-71802</v>
      </c>
      <c r="AD16" s="54">
        <f t="shared" si="14"/>
        <v>0.76339627455983672</v>
      </c>
    </row>
    <row r="17" spans="1:30" x14ac:dyDescent="0.25">
      <c r="A17" s="6">
        <f>'Water Reading'!A16</f>
        <v>44999</v>
      </c>
      <c r="B17" s="52">
        <f>TOTAL!I15</f>
        <v>0</v>
      </c>
      <c r="C17" s="53">
        <f>('Water Reading'!B17-'Water Reading'!B16)+('Water Reading'!C17-'Water Reading'!C16)</f>
        <v>0</v>
      </c>
      <c r="D17" s="54" t="e">
        <f t="shared" si="2"/>
        <v>#DIV/0!</v>
      </c>
      <c r="E17" s="68">
        <f>'Water Reading'!H17-'Water Reading'!H16</f>
        <v>0</v>
      </c>
      <c r="F17" s="69" t="e">
        <f t="shared" si="3"/>
        <v>#DIV/0!</v>
      </c>
      <c r="G17" s="73">
        <f>('Water Reading'!D17-'Water Reading'!D16)-('Water Reading'!R17-'Water Reading'!R16)-('Water Reading'!Q17-'Water Reading'!Q16)</f>
        <v>0</v>
      </c>
      <c r="H17" s="69" t="e">
        <f t="shared" si="4"/>
        <v>#DIV/0!</v>
      </c>
      <c r="I17" s="70">
        <f>'Water Reading'!P17-'Water Reading'!P16</f>
        <v>0</v>
      </c>
      <c r="J17" s="99" t="e">
        <f t="shared" si="5"/>
        <v>#DIV/0!</v>
      </c>
      <c r="K17" s="71">
        <f>('Water Reading'!I17-'Water Reading'!I16)-('Water Reading'!P17-'Water Reading'!P16)</f>
        <v>0</v>
      </c>
      <c r="L17" s="55" t="e">
        <f t="shared" si="6"/>
        <v>#DIV/0!</v>
      </c>
      <c r="M17" s="70">
        <f>'Water Reading'!R17-'Water Reading'!R16</f>
        <v>0</v>
      </c>
      <c r="N17" s="72" t="e">
        <f t="shared" si="7"/>
        <v>#DIV/0!</v>
      </c>
      <c r="O17" s="70">
        <f>'Water Reading'!Q17-'Water Reading'!Q16</f>
        <v>0</v>
      </c>
      <c r="P17" s="77" t="e">
        <f t="shared" si="8"/>
        <v>#DIV/0!</v>
      </c>
      <c r="Q17" s="71">
        <f>'Water Reading'!F17-'Water Reading'!F16</f>
        <v>0</v>
      </c>
      <c r="R17" s="78" t="e">
        <f t="shared" si="9"/>
        <v>#DIV/0!</v>
      </c>
      <c r="S17" s="70">
        <f>'Water Reading'!E17-'Water Reading'!E16</f>
        <v>0</v>
      </c>
      <c r="T17" s="78" t="e">
        <f t="shared" si="10"/>
        <v>#DIV/0!</v>
      </c>
      <c r="U17" s="70">
        <f>'Water Reading'!N17-'Water Reading'!N16</f>
        <v>0</v>
      </c>
      <c r="V17" s="78" t="e">
        <f t="shared" si="17"/>
        <v>#DIV/0!</v>
      </c>
      <c r="W17" s="70">
        <f>'Water Reading'!G17-'Water Reading'!G16</f>
        <v>0</v>
      </c>
      <c r="X17" s="78" t="e">
        <f t="shared" si="12"/>
        <v>#DIV/0!</v>
      </c>
      <c r="Y17" s="71">
        <f>'Water Reading'!J17-'Water Reading'!J16</f>
        <v>0</v>
      </c>
      <c r="Z17" s="78" t="e">
        <f t="shared" si="13"/>
        <v>#DIV/0!</v>
      </c>
      <c r="AA17" s="53">
        <f t="shared" si="0"/>
        <v>0</v>
      </c>
      <c r="AB17" s="54" t="e">
        <f t="shared" si="1"/>
        <v>#DIV/0!</v>
      </c>
      <c r="AC17" s="53">
        <f>'Water Reading'!S17-'Water Reading'!S16</f>
        <v>0</v>
      </c>
      <c r="AD17" s="54" t="e">
        <f t="shared" si="14"/>
        <v>#DIV/0!</v>
      </c>
    </row>
    <row r="18" spans="1:30" x14ac:dyDescent="0.25">
      <c r="A18" s="6">
        <f>'Water Reading'!A17</f>
        <v>45000</v>
      </c>
      <c r="B18" s="52">
        <f>TOTAL!I16</f>
        <v>0</v>
      </c>
      <c r="C18" s="53">
        <f>('Water Reading'!B18-'Water Reading'!B17)+('Water Reading'!C18-'Water Reading'!C17)</f>
        <v>0</v>
      </c>
      <c r="D18" s="54" t="e">
        <f t="shared" si="2"/>
        <v>#DIV/0!</v>
      </c>
      <c r="E18" s="68">
        <f>'Water Reading'!H18-'Water Reading'!H17</f>
        <v>0</v>
      </c>
      <c r="F18" s="69" t="e">
        <f t="shared" si="3"/>
        <v>#DIV/0!</v>
      </c>
      <c r="G18" s="73">
        <f>('Water Reading'!D18-'Water Reading'!D17)-('Water Reading'!R18-'Water Reading'!R17)-('Water Reading'!Q18-'Water Reading'!Q17)</f>
        <v>0</v>
      </c>
      <c r="H18" s="69" t="e">
        <f t="shared" si="4"/>
        <v>#DIV/0!</v>
      </c>
      <c r="I18" s="70">
        <f>'Water Reading'!P18-'Water Reading'!P17</f>
        <v>0</v>
      </c>
      <c r="J18" s="55" t="e">
        <f t="shared" si="5"/>
        <v>#DIV/0!</v>
      </c>
      <c r="K18" s="71">
        <f>('Water Reading'!I18-'Water Reading'!I17)-('Water Reading'!P18-'Water Reading'!P17)</f>
        <v>0</v>
      </c>
      <c r="L18" s="55" t="e">
        <f t="shared" si="6"/>
        <v>#DIV/0!</v>
      </c>
      <c r="M18" s="70">
        <f>'Water Reading'!R18-'Water Reading'!R17</f>
        <v>0</v>
      </c>
      <c r="N18" s="72" t="e">
        <f t="shared" si="7"/>
        <v>#DIV/0!</v>
      </c>
      <c r="O18" s="70">
        <f>'Water Reading'!Q18-'Water Reading'!Q17</f>
        <v>0</v>
      </c>
      <c r="P18" s="77" t="e">
        <f t="shared" si="8"/>
        <v>#DIV/0!</v>
      </c>
      <c r="Q18" s="71">
        <f>'Water Reading'!F18-'Water Reading'!F17</f>
        <v>0</v>
      </c>
      <c r="R18" s="78" t="e">
        <f t="shared" si="9"/>
        <v>#DIV/0!</v>
      </c>
      <c r="S18" s="70">
        <f>'Water Reading'!E18-'Water Reading'!E17</f>
        <v>0</v>
      </c>
      <c r="T18" s="78" t="e">
        <f t="shared" si="10"/>
        <v>#DIV/0!</v>
      </c>
      <c r="U18" s="70">
        <f>'Water Reading'!N18-'Water Reading'!N17</f>
        <v>0</v>
      </c>
      <c r="V18" s="78" t="e">
        <f t="shared" si="17"/>
        <v>#DIV/0!</v>
      </c>
      <c r="W18" s="70">
        <f>'Water Reading'!G18-'Water Reading'!G17</f>
        <v>0</v>
      </c>
      <c r="X18" s="78" t="e">
        <f t="shared" si="12"/>
        <v>#DIV/0!</v>
      </c>
      <c r="Y18" s="71">
        <f>'Water Reading'!J18-'Water Reading'!J17</f>
        <v>0</v>
      </c>
      <c r="Z18" s="78" t="e">
        <f t="shared" si="13"/>
        <v>#DIV/0!</v>
      </c>
      <c r="AA18" s="53">
        <f t="shared" si="0"/>
        <v>0</v>
      </c>
      <c r="AB18" s="54" t="e">
        <f t="shared" si="1"/>
        <v>#DIV/0!</v>
      </c>
      <c r="AC18" s="53">
        <f>'Water Reading'!S18-'Water Reading'!S17</f>
        <v>0</v>
      </c>
      <c r="AD18" s="54" t="e">
        <f t="shared" si="14"/>
        <v>#DIV/0!</v>
      </c>
    </row>
    <row r="19" spans="1:30" x14ac:dyDescent="0.25">
      <c r="A19" s="6">
        <f>'Water Reading'!A18</f>
        <v>45001</v>
      </c>
      <c r="B19" s="52">
        <f>TOTAL!I17</f>
        <v>0</v>
      </c>
      <c r="C19" s="53">
        <f>('Water Reading'!B19-'Water Reading'!B18)+('Water Reading'!C19-'Water Reading'!C18)</f>
        <v>0</v>
      </c>
      <c r="D19" s="54" t="e">
        <f t="shared" si="2"/>
        <v>#DIV/0!</v>
      </c>
      <c r="E19" s="68">
        <f>'Water Reading'!H19-'Water Reading'!H18</f>
        <v>0</v>
      </c>
      <c r="F19" s="69" t="e">
        <f t="shared" si="3"/>
        <v>#DIV/0!</v>
      </c>
      <c r="G19" s="73">
        <f>('Water Reading'!D19-'Water Reading'!D18)-('Water Reading'!R19-'Water Reading'!R18)-('Water Reading'!Q19-'Water Reading'!Q18)</f>
        <v>0</v>
      </c>
      <c r="H19" s="69" t="e">
        <f t="shared" si="4"/>
        <v>#DIV/0!</v>
      </c>
      <c r="I19" s="70">
        <f>'Water Reading'!P19-'Water Reading'!P18</f>
        <v>0</v>
      </c>
      <c r="J19" s="55" t="e">
        <f t="shared" si="5"/>
        <v>#DIV/0!</v>
      </c>
      <c r="K19" s="71">
        <f>('Water Reading'!I19-'Water Reading'!I18)-('Water Reading'!P19-'Water Reading'!P18)</f>
        <v>0</v>
      </c>
      <c r="L19" s="55" t="e">
        <f t="shared" si="6"/>
        <v>#DIV/0!</v>
      </c>
      <c r="M19" s="70">
        <f>'Water Reading'!R19-'Water Reading'!R18</f>
        <v>0</v>
      </c>
      <c r="N19" s="72" t="e">
        <f t="shared" si="7"/>
        <v>#DIV/0!</v>
      </c>
      <c r="O19" s="70">
        <f>'Water Reading'!Q19-'Water Reading'!Q18</f>
        <v>0</v>
      </c>
      <c r="P19" s="77" t="e">
        <f t="shared" si="8"/>
        <v>#DIV/0!</v>
      </c>
      <c r="Q19" s="71">
        <f>'Water Reading'!F19-'Water Reading'!F18</f>
        <v>0</v>
      </c>
      <c r="R19" s="78" t="e">
        <f t="shared" si="9"/>
        <v>#DIV/0!</v>
      </c>
      <c r="S19" s="70">
        <f>'Water Reading'!E19-'Water Reading'!E18</f>
        <v>0</v>
      </c>
      <c r="T19" s="78" t="e">
        <f t="shared" si="10"/>
        <v>#DIV/0!</v>
      </c>
      <c r="U19" s="70">
        <f>'Water Reading'!N19-'Water Reading'!N18</f>
        <v>0</v>
      </c>
      <c r="V19" s="78" t="e">
        <f t="shared" si="17"/>
        <v>#DIV/0!</v>
      </c>
      <c r="W19" s="70">
        <f>'Water Reading'!G19-'Water Reading'!G18</f>
        <v>0</v>
      </c>
      <c r="X19" s="78" t="e">
        <f t="shared" si="12"/>
        <v>#DIV/0!</v>
      </c>
      <c r="Y19" s="71">
        <f>'Water Reading'!J19-'Water Reading'!J18</f>
        <v>0</v>
      </c>
      <c r="Z19" s="78" t="e">
        <f t="shared" si="13"/>
        <v>#DIV/0!</v>
      </c>
      <c r="AA19" s="53">
        <f t="shared" si="0"/>
        <v>0</v>
      </c>
      <c r="AB19" s="54" t="e">
        <f t="shared" si="1"/>
        <v>#DIV/0!</v>
      </c>
      <c r="AC19" s="53">
        <f>'Water Reading'!S19-'Water Reading'!S18</f>
        <v>0</v>
      </c>
      <c r="AD19" s="54" t="e">
        <f t="shared" si="14"/>
        <v>#DIV/0!</v>
      </c>
    </row>
    <row r="20" spans="1:30" x14ac:dyDescent="0.25">
      <c r="A20" s="6">
        <f>'Water Reading'!A19</f>
        <v>45002</v>
      </c>
      <c r="B20" s="52">
        <f>TOTAL!I18</f>
        <v>0</v>
      </c>
      <c r="C20" s="53">
        <f>('Water Reading'!B20-'Water Reading'!B19)+('Water Reading'!C20-'Water Reading'!C19)</f>
        <v>0</v>
      </c>
      <c r="D20" s="54" t="e">
        <f t="shared" si="2"/>
        <v>#DIV/0!</v>
      </c>
      <c r="E20" s="68">
        <f>'Water Reading'!H20-'Water Reading'!H19</f>
        <v>0</v>
      </c>
      <c r="F20" s="69" t="e">
        <f t="shared" si="3"/>
        <v>#DIV/0!</v>
      </c>
      <c r="G20" s="73">
        <f>('Water Reading'!D20-'Water Reading'!D19)-('Water Reading'!R20-'Water Reading'!R19)-('Water Reading'!Q20-'Water Reading'!Q19)</f>
        <v>0</v>
      </c>
      <c r="H20" s="69" t="e">
        <f t="shared" si="4"/>
        <v>#DIV/0!</v>
      </c>
      <c r="I20" s="70">
        <f>'Water Reading'!P20-'Water Reading'!P19</f>
        <v>0</v>
      </c>
      <c r="J20" s="55" t="e">
        <f t="shared" si="5"/>
        <v>#DIV/0!</v>
      </c>
      <c r="K20" s="71">
        <f>('Water Reading'!I20-'Water Reading'!I19)-('Water Reading'!P20-'Water Reading'!P19)</f>
        <v>0</v>
      </c>
      <c r="L20" s="55" t="e">
        <f t="shared" si="6"/>
        <v>#DIV/0!</v>
      </c>
      <c r="M20" s="70">
        <f>'Water Reading'!R20-'Water Reading'!R19</f>
        <v>0</v>
      </c>
      <c r="N20" s="72" t="e">
        <f t="shared" si="7"/>
        <v>#DIV/0!</v>
      </c>
      <c r="O20" s="70">
        <f>'Water Reading'!Q20-'Water Reading'!Q19</f>
        <v>0</v>
      </c>
      <c r="P20" s="77" t="e">
        <f t="shared" si="8"/>
        <v>#DIV/0!</v>
      </c>
      <c r="Q20" s="71">
        <f>'Water Reading'!F20-'Water Reading'!F19</f>
        <v>0</v>
      </c>
      <c r="R20" s="78" t="e">
        <f t="shared" si="9"/>
        <v>#DIV/0!</v>
      </c>
      <c r="S20" s="70">
        <f>'Water Reading'!E20-'Water Reading'!E19</f>
        <v>0</v>
      </c>
      <c r="T20" s="78" t="e">
        <f t="shared" si="10"/>
        <v>#DIV/0!</v>
      </c>
      <c r="U20" s="70">
        <f>'Water Reading'!N20-'Water Reading'!N19</f>
        <v>0</v>
      </c>
      <c r="V20" s="78" t="e">
        <f t="shared" si="17"/>
        <v>#DIV/0!</v>
      </c>
      <c r="W20" s="70">
        <f>'Water Reading'!G20-'Water Reading'!G19</f>
        <v>0</v>
      </c>
      <c r="X20" s="78" t="e">
        <f t="shared" si="12"/>
        <v>#DIV/0!</v>
      </c>
      <c r="Y20" s="93">
        <f>'Water Reading'!J20-'Water Reading'!J19</f>
        <v>0</v>
      </c>
      <c r="Z20" s="78" t="e">
        <f t="shared" si="13"/>
        <v>#DIV/0!</v>
      </c>
      <c r="AA20" s="53">
        <f t="shared" si="0"/>
        <v>0</v>
      </c>
      <c r="AB20" s="54" t="e">
        <f t="shared" si="1"/>
        <v>#DIV/0!</v>
      </c>
      <c r="AC20" s="53">
        <f>'Water Reading'!S20-'Water Reading'!S19</f>
        <v>0</v>
      </c>
      <c r="AD20" s="54" t="e">
        <f t="shared" si="14"/>
        <v>#DIV/0!</v>
      </c>
    </row>
    <row r="21" spans="1:30" x14ac:dyDescent="0.25">
      <c r="A21" s="6">
        <f>'Water Reading'!A20</f>
        <v>45003</v>
      </c>
      <c r="B21" s="52">
        <f>TOTAL!I19</f>
        <v>0</v>
      </c>
      <c r="C21" s="53">
        <f>('Water Reading'!B21-'Water Reading'!B20)+('Water Reading'!C21-'Water Reading'!C20)</f>
        <v>0</v>
      </c>
      <c r="D21" s="54" t="e">
        <f t="shared" si="2"/>
        <v>#DIV/0!</v>
      </c>
      <c r="E21" s="68">
        <f>'Water Reading'!H21-'Water Reading'!H20</f>
        <v>0</v>
      </c>
      <c r="F21" s="69" t="e">
        <f t="shared" si="3"/>
        <v>#DIV/0!</v>
      </c>
      <c r="G21" s="73">
        <f>('Water Reading'!D21-'Water Reading'!D20)-('Water Reading'!R21-'Water Reading'!R20)-('Water Reading'!Q21-'Water Reading'!Q20)</f>
        <v>0</v>
      </c>
      <c r="H21" s="69" t="e">
        <f t="shared" si="4"/>
        <v>#DIV/0!</v>
      </c>
      <c r="I21" s="70">
        <f>'Water Reading'!P21-'Water Reading'!P20</f>
        <v>0</v>
      </c>
      <c r="J21" s="55" t="e">
        <f t="shared" si="5"/>
        <v>#DIV/0!</v>
      </c>
      <c r="K21" s="71">
        <f>('Water Reading'!I21-'Water Reading'!I20)-('Water Reading'!P21-'Water Reading'!P20)</f>
        <v>0</v>
      </c>
      <c r="L21" s="55" t="e">
        <f t="shared" si="6"/>
        <v>#DIV/0!</v>
      </c>
      <c r="M21" s="70">
        <f>'Water Reading'!R21-'Water Reading'!R20</f>
        <v>0</v>
      </c>
      <c r="N21" s="72" t="e">
        <f t="shared" si="7"/>
        <v>#DIV/0!</v>
      </c>
      <c r="O21" s="70">
        <f>'Water Reading'!Q21-'Water Reading'!Q20</f>
        <v>0</v>
      </c>
      <c r="P21" s="77" t="e">
        <f t="shared" si="8"/>
        <v>#DIV/0!</v>
      </c>
      <c r="Q21" s="71">
        <f>'Water Reading'!F21-'Water Reading'!F20</f>
        <v>0</v>
      </c>
      <c r="R21" s="78" t="e">
        <f t="shared" si="9"/>
        <v>#DIV/0!</v>
      </c>
      <c r="S21" s="70">
        <f>'Water Reading'!E21-'Water Reading'!E20</f>
        <v>0</v>
      </c>
      <c r="T21" s="78" t="e">
        <f t="shared" si="10"/>
        <v>#DIV/0!</v>
      </c>
      <c r="U21" s="70">
        <f>'Water Reading'!N21-'Water Reading'!N20</f>
        <v>0</v>
      </c>
      <c r="V21" s="78" t="e">
        <f t="shared" si="17"/>
        <v>#DIV/0!</v>
      </c>
      <c r="W21" s="70">
        <f>'Water Reading'!G21-'Water Reading'!G20</f>
        <v>0</v>
      </c>
      <c r="X21" s="78" t="e">
        <f t="shared" si="12"/>
        <v>#DIV/0!</v>
      </c>
      <c r="Y21" s="71">
        <f>'Water Reading'!J21-'Water Reading'!J20</f>
        <v>0</v>
      </c>
      <c r="Z21" s="78" t="e">
        <f t="shared" si="13"/>
        <v>#DIV/0!</v>
      </c>
      <c r="AA21" s="53">
        <f t="shared" si="0"/>
        <v>0</v>
      </c>
      <c r="AB21" s="54" t="e">
        <f t="shared" si="1"/>
        <v>#DIV/0!</v>
      </c>
      <c r="AC21" s="53">
        <f>'Water Reading'!S21-'Water Reading'!S20</f>
        <v>0</v>
      </c>
      <c r="AD21" s="54" t="e">
        <f t="shared" si="14"/>
        <v>#DIV/0!</v>
      </c>
    </row>
    <row r="22" spans="1:30" x14ac:dyDescent="0.25">
      <c r="A22" s="6">
        <f>'Water Reading'!A21</f>
        <v>45004</v>
      </c>
      <c r="B22" s="52">
        <f>TOTAL!I20</f>
        <v>0</v>
      </c>
      <c r="C22" s="53">
        <f>('Water Reading'!B22-'Water Reading'!B21)+('Water Reading'!C22-'Water Reading'!C21)</f>
        <v>0</v>
      </c>
      <c r="D22" s="54" t="e">
        <f t="shared" si="2"/>
        <v>#DIV/0!</v>
      </c>
      <c r="E22" s="68">
        <f>'Water Reading'!H22-'Water Reading'!H21</f>
        <v>0</v>
      </c>
      <c r="F22" s="69" t="e">
        <f t="shared" si="3"/>
        <v>#DIV/0!</v>
      </c>
      <c r="G22" s="73">
        <f>('Water Reading'!D22-'Water Reading'!D21)-('Water Reading'!R22-'Water Reading'!R21)-('Water Reading'!Q22-'Water Reading'!Q21)</f>
        <v>0</v>
      </c>
      <c r="H22" s="69" t="e">
        <f t="shared" si="4"/>
        <v>#DIV/0!</v>
      </c>
      <c r="I22" s="98">
        <f>'Water Reading'!P22-'Water Reading'!P21</f>
        <v>0</v>
      </c>
      <c r="J22" s="55" t="e">
        <f t="shared" si="5"/>
        <v>#DIV/0!</v>
      </c>
      <c r="K22" s="71">
        <f>('Water Reading'!I22-'Water Reading'!I21)-('Water Reading'!P22-'Water Reading'!P21)</f>
        <v>0</v>
      </c>
      <c r="L22" s="55" t="e">
        <f t="shared" si="6"/>
        <v>#DIV/0!</v>
      </c>
      <c r="M22" s="70">
        <f>'Water Reading'!R22-'Water Reading'!R21</f>
        <v>0</v>
      </c>
      <c r="N22" s="72" t="e">
        <f t="shared" si="7"/>
        <v>#DIV/0!</v>
      </c>
      <c r="O22" s="70">
        <f>'Water Reading'!Q22-'Water Reading'!Q21</f>
        <v>0</v>
      </c>
      <c r="P22" s="77" t="e">
        <f t="shared" si="8"/>
        <v>#DIV/0!</v>
      </c>
      <c r="Q22" s="71">
        <f>'Water Reading'!F22-'Water Reading'!F21</f>
        <v>0</v>
      </c>
      <c r="R22" s="78" t="e">
        <f t="shared" si="9"/>
        <v>#DIV/0!</v>
      </c>
      <c r="S22" s="70">
        <f>'Water Reading'!E22-'Water Reading'!E21</f>
        <v>0</v>
      </c>
      <c r="T22" s="78" t="e">
        <f t="shared" si="10"/>
        <v>#DIV/0!</v>
      </c>
      <c r="U22" s="70">
        <f>'Water Reading'!N22-'Water Reading'!N21</f>
        <v>0</v>
      </c>
      <c r="V22" s="78" t="e">
        <f t="shared" si="17"/>
        <v>#DIV/0!</v>
      </c>
      <c r="W22" s="70">
        <f>'Water Reading'!G22-'Water Reading'!G21</f>
        <v>0</v>
      </c>
      <c r="X22" s="78" t="e">
        <f t="shared" si="12"/>
        <v>#DIV/0!</v>
      </c>
      <c r="Y22" s="71">
        <f>'Water Reading'!J22-'Water Reading'!J21</f>
        <v>0</v>
      </c>
      <c r="Z22" s="78" t="e">
        <f t="shared" si="13"/>
        <v>#DIV/0!</v>
      </c>
      <c r="AA22" s="53">
        <f t="shared" si="0"/>
        <v>0</v>
      </c>
      <c r="AB22" s="54" t="e">
        <f t="shared" si="1"/>
        <v>#DIV/0!</v>
      </c>
      <c r="AC22" s="53">
        <f>'Water Reading'!S22-'Water Reading'!S21</f>
        <v>0</v>
      </c>
      <c r="AD22" s="54" t="e">
        <f t="shared" si="14"/>
        <v>#DIV/0!</v>
      </c>
    </row>
    <row r="23" spans="1:30" x14ac:dyDescent="0.25">
      <c r="A23" s="6">
        <f>'Water Reading'!A22</f>
        <v>45005</v>
      </c>
      <c r="B23" s="52">
        <f>TOTAL!I21</f>
        <v>0</v>
      </c>
      <c r="C23" s="53">
        <f>('Water Reading'!B23-'Water Reading'!B22)+('Water Reading'!C23-'Water Reading'!C22)</f>
        <v>0</v>
      </c>
      <c r="D23" s="54" t="e">
        <f t="shared" si="2"/>
        <v>#DIV/0!</v>
      </c>
      <c r="E23" s="68">
        <f>'Water Reading'!H23-'Water Reading'!H22</f>
        <v>0</v>
      </c>
      <c r="F23" s="69" t="e">
        <f t="shared" si="3"/>
        <v>#DIV/0!</v>
      </c>
      <c r="G23" s="73">
        <f>('Water Reading'!D23-'Water Reading'!D22)-('Water Reading'!R23-'Water Reading'!R22)-('Water Reading'!Q23-'Water Reading'!Q22)</f>
        <v>0</v>
      </c>
      <c r="H23" s="69" t="e">
        <f t="shared" si="4"/>
        <v>#DIV/0!</v>
      </c>
      <c r="I23" s="98">
        <f>'Water Reading'!P23-'Water Reading'!P22</f>
        <v>0</v>
      </c>
      <c r="J23" s="55" t="e">
        <f t="shared" si="5"/>
        <v>#DIV/0!</v>
      </c>
      <c r="K23" s="71">
        <f>('Water Reading'!I23-'Water Reading'!I22)-('Water Reading'!P23-'Water Reading'!P22)</f>
        <v>0</v>
      </c>
      <c r="L23" s="55" t="e">
        <f t="shared" si="6"/>
        <v>#DIV/0!</v>
      </c>
      <c r="M23" s="70">
        <f>'Water Reading'!R23-'Water Reading'!R22</f>
        <v>0</v>
      </c>
      <c r="N23" s="72" t="e">
        <f t="shared" si="7"/>
        <v>#DIV/0!</v>
      </c>
      <c r="O23" s="98">
        <f>'Water Reading'!Q23-'Water Reading'!Q22</f>
        <v>0</v>
      </c>
      <c r="P23" s="77" t="e">
        <f t="shared" si="8"/>
        <v>#DIV/0!</v>
      </c>
      <c r="Q23" s="71">
        <f>'Water Reading'!F23-'Water Reading'!F22</f>
        <v>0</v>
      </c>
      <c r="R23" s="78" t="e">
        <f t="shared" si="9"/>
        <v>#DIV/0!</v>
      </c>
      <c r="S23" s="70">
        <f>'Water Reading'!E23-'Water Reading'!E22</f>
        <v>0</v>
      </c>
      <c r="T23" s="78" t="e">
        <f t="shared" si="10"/>
        <v>#DIV/0!</v>
      </c>
      <c r="U23" s="70">
        <f>'Water Reading'!N23-'Water Reading'!N22</f>
        <v>0</v>
      </c>
      <c r="V23" s="78" t="e">
        <f t="shared" si="17"/>
        <v>#DIV/0!</v>
      </c>
      <c r="W23" s="70">
        <f>'Water Reading'!G23-'Water Reading'!G22</f>
        <v>0</v>
      </c>
      <c r="X23" s="78" t="e">
        <f t="shared" si="12"/>
        <v>#DIV/0!</v>
      </c>
      <c r="Y23" s="71">
        <f>'Water Reading'!J23-'Water Reading'!J22</f>
        <v>0</v>
      </c>
      <c r="Z23" s="78" t="e">
        <f t="shared" si="13"/>
        <v>#DIV/0!</v>
      </c>
      <c r="AA23" s="53">
        <f t="shared" si="0"/>
        <v>0</v>
      </c>
      <c r="AB23" s="54" t="e">
        <f t="shared" si="1"/>
        <v>#DIV/0!</v>
      </c>
      <c r="AC23" s="53">
        <f>'Water Reading'!S23-'Water Reading'!S22</f>
        <v>0</v>
      </c>
      <c r="AD23" s="54" t="e">
        <f t="shared" si="14"/>
        <v>#DIV/0!</v>
      </c>
    </row>
    <row r="24" spans="1:30" x14ac:dyDescent="0.25">
      <c r="A24" s="6">
        <f>'Water Reading'!A23</f>
        <v>45006</v>
      </c>
      <c r="B24" s="52">
        <f>TOTAL!I22</f>
        <v>0</v>
      </c>
      <c r="C24" s="53">
        <f>('Water Reading'!B24-'Water Reading'!B23)+('Water Reading'!C24-'Water Reading'!C23)</f>
        <v>0</v>
      </c>
      <c r="D24" s="54" t="e">
        <f t="shared" si="2"/>
        <v>#DIV/0!</v>
      </c>
      <c r="E24" s="68">
        <f>'Water Reading'!H24-'Water Reading'!H23</f>
        <v>0</v>
      </c>
      <c r="F24" s="69" t="e">
        <f t="shared" si="3"/>
        <v>#DIV/0!</v>
      </c>
      <c r="G24" s="73">
        <f>('Water Reading'!D24-'Water Reading'!D23)-('Water Reading'!R24-'Water Reading'!R23)-('Water Reading'!Q24-'Water Reading'!Q23)</f>
        <v>0</v>
      </c>
      <c r="H24" s="69" t="e">
        <f t="shared" si="4"/>
        <v>#DIV/0!</v>
      </c>
      <c r="I24" s="70">
        <f>'Water Reading'!P24-'Water Reading'!P23</f>
        <v>0</v>
      </c>
      <c r="J24" s="55" t="e">
        <f t="shared" si="5"/>
        <v>#DIV/0!</v>
      </c>
      <c r="K24" s="71">
        <f>('Water Reading'!I24-'Water Reading'!I23)-('Water Reading'!P24-'Water Reading'!P23)</f>
        <v>0</v>
      </c>
      <c r="L24" s="55" t="e">
        <f t="shared" si="6"/>
        <v>#DIV/0!</v>
      </c>
      <c r="M24" s="70">
        <f>'Water Reading'!R24-'Water Reading'!R23</f>
        <v>0</v>
      </c>
      <c r="N24" s="72" t="e">
        <f t="shared" si="7"/>
        <v>#DIV/0!</v>
      </c>
      <c r="O24" s="70">
        <f>'Water Reading'!Q24-'Water Reading'!Q23</f>
        <v>0</v>
      </c>
      <c r="P24" s="77" t="e">
        <f t="shared" si="8"/>
        <v>#DIV/0!</v>
      </c>
      <c r="Q24" s="71">
        <f>'Water Reading'!F24-'Water Reading'!F23</f>
        <v>0</v>
      </c>
      <c r="R24" s="78" t="e">
        <f t="shared" si="9"/>
        <v>#DIV/0!</v>
      </c>
      <c r="S24" s="70">
        <f>'Water Reading'!E24-'Water Reading'!E23</f>
        <v>0</v>
      </c>
      <c r="T24" s="78" t="e">
        <f t="shared" si="10"/>
        <v>#DIV/0!</v>
      </c>
      <c r="U24" s="70">
        <f>'Water Reading'!N24-'Water Reading'!N23</f>
        <v>0</v>
      </c>
      <c r="V24" s="78" t="e">
        <f t="shared" si="17"/>
        <v>#DIV/0!</v>
      </c>
      <c r="W24" s="70">
        <f>'Water Reading'!G24-'Water Reading'!G23</f>
        <v>0</v>
      </c>
      <c r="X24" s="78" t="e">
        <f t="shared" si="12"/>
        <v>#DIV/0!</v>
      </c>
      <c r="Y24" s="71">
        <f>'Water Reading'!J24-'Water Reading'!J23</f>
        <v>0</v>
      </c>
      <c r="Z24" s="78" t="e">
        <f t="shared" si="13"/>
        <v>#DIV/0!</v>
      </c>
      <c r="AA24" s="53">
        <f t="shared" si="0"/>
        <v>0</v>
      </c>
      <c r="AB24" s="54" t="e">
        <f t="shared" si="1"/>
        <v>#DIV/0!</v>
      </c>
      <c r="AC24" s="53">
        <f>'Water Reading'!S24-'Water Reading'!S23</f>
        <v>0</v>
      </c>
      <c r="AD24" s="54" t="e">
        <f t="shared" si="14"/>
        <v>#DIV/0!</v>
      </c>
    </row>
    <row r="25" spans="1:30" x14ac:dyDescent="0.25">
      <c r="A25" s="6">
        <f>'Water Reading'!A24</f>
        <v>45007</v>
      </c>
      <c r="B25" s="52">
        <f>TOTAL!I23</f>
        <v>0</v>
      </c>
      <c r="C25" s="53">
        <f>('Water Reading'!B25-'Water Reading'!B24)+('Water Reading'!C25-'Water Reading'!C24)</f>
        <v>0</v>
      </c>
      <c r="D25" s="54" t="e">
        <f t="shared" si="2"/>
        <v>#DIV/0!</v>
      </c>
      <c r="E25" s="68">
        <f>'Water Reading'!H25-'Water Reading'!H24</f>
        <v>0</v>
      </c>
      <c r="F25" s="69" t="e">
        <f t="shared" si="3"/>
        <v>#DIV/0!</v>
      </c>
      <c r="G25" s="73">
        <f>('Water Reading'!D25-'Water Reading'!D24)-('Water Reading'!R25-'Water Reading'!R24)-('Water Reading'!Q25-'Water Reading'!Q24)</f>
        <v>0</v>
      </c>
      <c r="H25" s="69" t="e">
        <f t="shared" si="4"/>
        <v>#DIV/0!</v>
      </c>
      <c r="I25" s="70">
        <f>'Water Reading'!P25-'Water Reading'!P24</f>
        <v>0</v>
      </c>
      <c r="J25" s="55" t="e">
        <f t="shared" si="5"/>
        <v>#DIV/0!</v>
      </c>
      <c r="K25" s="71">
        <f>('Water Reading'!I25-'Water Reading'!I24)-('Water Reading'!P25-'Water Reading'!P24)</f>
        <v>0</v>
      </c>
      <c r="L25" s="55" t="e">
        <f t="shared" si="6"/>
        <v>#DIV/0!</v>
      </c>
      <c r="M25" s="70">
        <f>'Water Reading'!R25-'Water Reading'!R24</f>
        <v>0</v>
      </c>
      <c r="N25" s="72" t="e">
        <f t="shared" si="7"/>
        <v>#DIV/0!</v>
      </c>
      <c r="O25" s="70">
        <f>'Water Reading'!Q25-'Water Reading'!Q24</f>
        <v>0</v>
      </c>
      <c r="P25" s="77" t="e">
        <f t="shared" si="8"/>
        <v>#DIV/0!</v>
      </c>
      <c r="Q25" s="71">
        <f>'Water Reading'!F25-'Water Reading'!F24</f>
        <v>0</v>
      </c>
      <c r="R25" s="78" t="e">
        <f t="shared" si="9"/>
        <v>#DIV/0!</v>
      </c>
      <c r="S25" s="70">
        <f>'Water Reading'!E25-'Water Reading'!E24</f>
        <v>0</v>
      </c>
      <c r="T25" s="78" t="e">
        <f t="shared" si="10"/>
        <v>#DIV/0!</v>
      </c>
      <c r="U25" s="70">
        <f>'Water Reading'!N25-'Water Reading'!N24</f>
        <v>0</v>
      </c>
      <c r="V25" s="78" t="e">
        <f t="shared" si="17"/>
        <v>#DIV/0!</v>
      </c>
      <c r="W25" s="70">
        <f>'Water Reading'!G25-'Water Reading'!G24</f>
        <v>0</v>
      </c>
      <c r="X25" s="78" t="e">
        <f t="shared" si="12"/>
        <v>#DIV/0!</v>
      </c>
      <c r="Y25" s="93">
        <f>'Water Reading'!J25-'Water Reading'!J24</f>
        <v>0</v>
      </c>
      <c r="Z25" s="78" t="e">
        <f t="shared" si="13"/>
        <v>#DIV/0!</v>
      </c>
      <c r="AA25" s="53">
        <f t="shared" si="0"/>
        <v>0</v>
      </c>
      <c r="AB25" s="54" t="e">
        <f t="shared" si="1"/>
        <v>#DIV/0!</v>
      </c>
      <c r="AC25" s="53">
        <f>'Water Reading'!S25-'Water Reading'!S24</f>
        <v>0</v>
      </c>
      <c r="AD25" s="54" t="e">
        <f t="shared" si="14"/>
        <v>#DIV/0!</v>
      </c>
    </row>
    <row r="26" spans="1:30" x14ac:dyDescent="0.25">
      <c r="A26" s="6">
        <f>'Water Reading'!A25</f>
        <v>45008</v>
      </c>
      <c r="B26" s="52">
        <f>TOTAL!I24</f>
        <v>0</v>
      </c>
      <c r="C26" s="53">
        <f>('Water Reading'!B26-'Water Reading'!B25)+('Water Reading'!C26-'Water Reading'!C25)</f>
        <v>0</v>
      </c>
      <c r="D26" s="54" t="e">
        <f t="shared" si="2"/>
        <v>#DIV/0!</v>
      </c>
      <c r="E26" s="68">
        <f>'Water Reading'!H26-'Water Reading'!H25</f>
        <v>0</v>
      </c>
      <c r="F26" s="69" t="e">
        <f t="shared" si="3"/>
        <v>#DIV/0!</v>
      </c>
      <c r="G26" s="73">
        <f>('Water Reading'!D26-'Water Reading'!D25)-('Water Reading'!R26-'Water Reading'!R25)-('Water Reading'!Q26-'Water Reading'!Q25)</f>
        <v>0</v>
      </c>
      <c r="H26" s="69" t="e">
        <f t="shared" si="4"/>
        <v>#DIV/0!</v>
      </c>
      <c r="I26" s="70">
        <f>'Water Reading'!P26-'Water Reading'!P25</f>
        <v>0</v>
      </c>
      <c r="J26" s="55" t="e">
        <f t="shared" si="5"/>
        <v>#DIV/0!</v>
      </c>
      <c r="K26" s="71">
        <f>('Water Reading'!I26-'Water Reading'!I25)-('Water Reading'!P26-'Water Reading'!P25)</f>
        <v>0</v>
      </c>
      <c r="L26" s="55" t="e">
        <f t="shared" si="6"/>
        <v>#DIV/0!</v>
      </c>
      <c r="M26" s="70">
        <f>'Water Reading'!R26-'Water Reading'!R25</f>
        <v>0</v>
      </c>
      <c r="N26" s="72" t="e">
        <f t="shared" si="7"/>
        <v>#DIV/0!</v>
      </c>
      <c r="O26" s="70">
        <f>'Water Reading'!Q26-'Water Reading'!Q25</f>
        <v>0</v>
      </c>
      <c r="P26" s="77" t="e">
        <f t="shared" si="8"/>
        <v>#DIV/0!</v>
      </c>
      <c r="Q26" s="71">
        <f>'Water Reading'!F26-'Water Reading'!F25</f>
        <v>0</v>
      </c>
      <c r="R26" s="78" t="e">
        <f t="shared" si="9"/>
        <v>#DIV/0!</v>
      </c>
      <c r="S26" s="70">
        <f>'Water Reading'!E26-'Water Reading'!E25</f>
        <v>0</v>
      </c>
      <c r="T26" s="78" t="e">
        <f t="shared" si="10"/>
        <v>#DIV/0!</v>
      </c>
      <c r="U26" s="70">
        <f>'Water Reading'!N26-'Water Reading'!N25</f>
        <v>0</v>
      </c>
      <c r="V26" s="78" t="e">
        <f t="shared" si="17"/>
        <v>#DIV/0!</v>
      </c>
      <c r="W26" s="70">
        <f>'Water Reading'!G26-'Water Reading'!G25</f>
        <v>0</v>
      </c>
      <c r="X26" s="78" t="e">
        <f t="shared" si="12"/>
        <v>#DIV/0!</v>
      </c>
      <c r="Y26" s="71">
        <f>'Water Reading'!J26-'Water Reading'!J25</f>
        <v>0</v>
      </c>
      <c r="Z26" s="78" t="e">
        <f t="shared" si="13"/>
        <v>#DIV/0!</v>
      </c>
      <c r="AA26" s="53">
        <f t="shared" si="0"/>
        <v>0</v>
      </c>
      <c r="AB26" s="54" t="e">
        <f t="shared" si="1"/>
        <v>#DIV/0!</v>
      </c>
      <c r="AC26" s="53">
        <f>'Water Reading'!S26-'Water Reading'!S25</f>
        <v>0</v>
      </c>
      <c r="AD26" s="54" t="e">
        <f t="shared" si="14"/>
        <v>#DIV/0!</v>
      </c>
    </row>
    <row r="27" spans="1:30" x14ac:dyDescent="0.25">
      <c r="A27" s="6">
        <f>'Water Reading'!A26</f>
        <v>45009</v>
      </c>
      <c r="B27" s="52">
        <f>TOTAL!I25</f>
        <v>0</v>
      </c>
      <c r="C27" s="53">
        <f>('Water Reading'!B27-'Water Reading'!B26)+('Water Reading'!C27-'Water Reading'!C26)</f>
        <v>0</v>
      </c>
      <c r="D27" s="54" t="e">
        <f t="shared" si="2"/>
        <v>#DIV/0!</v>
      </c>
      <c r="E27" s="68">
        <f>'Water Reading'!H27-'Water Reading'!H26</f>
        <v>0</v>
      </c>
      <c r="F27" s="69" t="e">
        <f t="shared" si="3"/>
        <v>#DIV/0!</v>
      </c>
      <c r="G27" s="73">
        <f>('Water Reading'!D27-'Water Reading'!D26)-('Water Reading'!R27-'Water Reading'!R26)-('Water Reading'!Q27-'Water Reading'!Q26)</f>
        <v>0</v>
      </c>
      <c r="H27" s="69" t="e">
        <f t="shared" si="4"/>
        <v>#DIV/0!</v>
      </c>
      <c r="I27" s="70">
        <f>'Water Reading'!P27-'Water Reading'!P26</f>
        <v>0</v>
      </c>
      <c r="J27" s="55" t="e">
        <f t="shared" si="5"/>
        <v>#DIV/0!</v>
      </c>
      <c r="K27" s="71">
        <f>('Water Reading'!I27-'Water Reading'!I26)-('Water Reading'!P27-'Water Reading'!P26)</f>
        <v>0</v>
      </c>
      <c r="L27" s="55" t="e">
        <f t="shared" si="6"/>
        <v>#DIV/0!</v>
      </c>
      <c r="M27" s="70">
        <f>'Water Reading'!R27-'Water Reading'!R26</f>
        <v>0</v>
      </c>
      <c r="N27" s="72" t="e">
        <f t="shared" si="7"/>
        <v>#DIV/0!</v>
      </c>
      <c r="O27" s="70">
        <f>'Water Reading'!Q27-'Water Reading'!Q26</f>
        <v>0</v>
      </c>
      <c r="P27" s="77" t="e">
        <f t="shared" si="8"/>
        <v>#DIV/0!</v>
      </c>
      <c r="Q27" s="71">
        <f>'Water Reading'!F27-'Water Reading'!F26</f>
        <v>0</v>
      </c>
      <c r="R27" s="78" t="e">
        <f t="shared" si="9"/>
        <v>#DIV/0!</v>
      </c>
      <c r="S27" s="70">
        <f>'Water Reading'!E27-'Water Reading'!E26</f>
        <v>0</v>
      </c>
      <c r="T27" s="78" t="e">
        <f t="shared" si="10"/>
        <v>#DIV/0!</v>
      </c>
      <c r="U27" s="70">
        <f>'Water Reading'!N27-'Water Reading'!N26</f>
        <v>0</v>
      </c>
      <c r="V27" s="78" t="e">
        <f t="shared" si="17"/>
        <v>#DIV/0!</v>
      </c>
      <c r="W27" s="70">
        <f>'Water Reading'!G27-'Water Reading'!G26</f>
        <v>0</v>
      </c>
      <c r="X27" s="78" t="e">
        <f t="shared" si="12"/>
        <v>#DIV/0!</v>
      </c>
      <c r="Y27" s="71">
        <f>'Water Reading'!J27-'Water Reading'!J26</f>
        <v>0</v>
      </c>
      <c r="Z27" s="78" t="e">
        <f t="shared" si="13"/>
        <v>#DIV/0!</v>
      </c>
      <c r="AA27" s="53">
        <f t="shared" si="0"/>
        <v>0</v>
      </c>
      <c r="AB27" s="54" t="e">
        <f t="shared" si="1"/>
        <v>#DIV/0!</v>
      </c>
      <c r="AC27" s="53">
        <f>'Water Reading'!S27-'Water Reading'!S26</f>
        <v>0</v>
      </c>
      <c r="AD27" s="54" t="e">
        <f t="shared" si="14"/>
        <v>#DIV/0!</v>
      </c>
    </row>
    <row r="28" spans="1:30" x14ac:dyDescent="0.25">
      <c r="A28" s="6">
        <f>'Water Reading'!A27</f>
        <v>45010</v>
      </c>
      <c r="B28" s="52">
        <f>TOTAL!I26</f>
        <v>0</v>
      </c>
      <c r="C28" s="53">
        <f>('Water Reading'!B28-'Water Reading'!B27)+('Water Reading'!C28-'Water Reading'!C27)</f>
        <v>0</v>
      </c>
      <c r="D28" s="54" t="e">
        <f t="shared" si="2"/>
        <v>#DIV/0!</v>
      </c>
      <c r="E28" s="68">
        <f>'Water Reading'!H28-'Water Reading'!H27</f>
        <v>0</v>
      </c>
      <c r="F28" s="69" t="e">
        <f t="shared" si="3"/>
        <v>#DIV/0!</v>
      </c>
      <c r="G28" s="73">
        <f>('Water Reading'!D28-'Water Reading'!D27)-('Water Reading'!R28-'Water Reading'!R27)-('Water Reading'!Q28-'Water Reading'!Q27)</f>
        <v>0</v>
      </c>
      <c r="H28" s="69" t="e">
        <f t="shared" si="4"/>
        <v>#DIV/0!</v>
      </c>
      <c r="I28" s="70">
        <f>'Water Reading'!P28-'Water Reading'!P27</f>
        <v>0</v>
      </c>
      <c r="J28" s="55" t="e">
        <f t="shared" si="5"/>
        <v>#DIV/0!</v>
      </c>
      <c r="K28" s="93">
        <f>('Water Reading'!I28-'Water Reading'!I27)-('Water Reading'!P28-'Water Reading'!P27)</f>
        <v>0</v>
      </c>
      <c r="L28" s="99" t="e">
        <f t="shared" si="6"/>
        <v>#DIV/0!</v>
      </c>
      <c r="M28" s="70">
        <f>'Water Reading'!R28-'Water Reading'!R27</f>
        <v>0</v>
      </c>
      <c r="N28" s="72" t="e">
        <f t="shared" si="7"/>
        <v>#DIV/0!</v>
      </c>
      <c r="O28" s="70">
        <f>'Water Reading'!Q28-'Water Reading'!Q27</f>
        <v>0</v>
      </c>
      <c r="P28" s="77" t="e">
        <f t="shared" si="8"/>
        <v>#DIV/0!</v>
      </c>
      <c r="Q28" s="93">
        <f>'Water Reading'!F28-'Water Reading'!F27</f>
        <v>0</v>
      </c>
      <c r="R28" s="78" t="e">
        <f t="shared" si="9"/>
        <v>#DIV/0!</v>
      </c>
      <c r="S28" s="70">
        <f>'Water Reading'!E28-'Water Reading'!E27</f>
        <v>0</v>
      </c>
      <c r="T28" s="78" t="e">
        <f t="shared" si="10"/>
        <v>#DIV/0!</v>
      </c>
      <c r="U28" s="70">
        <f>'Water Reading'!N28-'Water Reading'!N27</f>
        <v>0</v>
      </c>
      <c r="V28" s="78" t="e">
        <f t="shared" si="17"/>
        <v>#DIV/0!</v>
      </c>
      <c r="W28" s="70">
        <f>'Water Reading'!G28-'Water Reading'!G27</f>
        <v>0</v>
      </c>
      <c r="X28" s="78" t="e">
        <f t="shared" si="12"/>
        <v>#DIV/0!</v>
      </c>
      <c r="Y28" s="71">
        <f>'Water Reading'!J28-'Water Reading'!J27</f>
        <v>0</v>
      </c>
      <c r="Z28" s="78" t="e">
        <f t="shared" si="13"/>
        <v>#DIV/0!</v>
      </c>
      <c r="AA28" s="53">
        <f t="shared" si="0"/>
        <v>0</v>
      </c>
      <c r="AB28" s="54" t="e">
        <f t="shared" si="1"/>
        <v>#DIV/0!</v>
      </c>
      <c r="AC28" s="53">
        <f>'Water Reading'!S28-'Water Reading'!S27</f>
        <v>0</v>
      </c>
      <c r="AD28" s="54" t="e">
        <f t="shared" si="14"/>
        <v>#DIV/0!</v>
      </c>
    </row>
    <row r="29" spans="1:30" x14ac:dyDescent="0.25">
      <c r="A29" s="6">
        <f>'Water Reading'!A28</f>
        <v>45011</v>
      </c>
      <c r="B29" s="52">
        <f>TOTAL!I27</f>
        <v>0</v>
      </c>
      <c r="C29" s="53">
        <f>('Water Reading'!B29-'Water Reading'!B28)+('Water Reading'!C29-'Water Reading'!C28)</f>
        <v>0</v>
      </c>
      <c r="D29" s="54" t="e">
        <f t="shared" si="2"/>
        <v>#DIV/0!</v>
      </c>
      <c r="E29" s="68">
        <f>'Water Reading'!H29-'Water Reading'!H28</f>
        <v>0</v>
      </c>
      <c r="F29" s="69" t="e">
        <f t="shared" si="3"/>
        <v>#DIV/0!</v>
      </c>
      <c r="G29" s="73">
        <f>('Water Reading'!D29-'Water Reading'!D28)-('Water Reading'!R29-'Water Reading'!R28)-('Water Reading'!Q29-'Water Reading'!Q28)</f>
        <v>0</v>
      </c>
      <c r="H29" s="69" t="e">
        <f t="shared" si="4"/>
        <v>#DIV/0!</v>
      </c>
      <c r="I29" s="70">
        <f>'Water Reading'!P29-'Water Reading'!P28</f>
        <v>0</v>
      </c>
      <c r="J29" s="55" t="e">
        <f t="shared" si="5"/>
        <v>#DIV/0!</v>
      </c>
      <c r="K29" s="71">
        <f>('Water Reading'!I29-'Water Reading'!I28)-('Water Reading'!P29-'Water Reading'!P28)</f>
        <v>0</v>
      </c>
      <c r="L29" s="55" t="e">
        <f t="shared" si="6"/>
        <v>#DIV/0!</v>
      </c>
      <c r="M29" s="70">
        <f>'Water Reading'!R29-'Water Reading'!R28</f>
        <v>0</v>
      </c>
      <c r="N29" s="72" t="e">
        <f t="shared" si="7"/>
        <v>#DIV/0!</v>
      </c>
      <c r="O29" s="70">
        <f>'Water Reading'!Q29-'Water Reading'!Q28</f>
        <v>0</v>
      </c>
      <c r="P29" s="77" t="e">
        <f t="shared" si="8"/>
        <v>#DIV/0!</v>
      </c>
      <c r="Q29" s="71">
        <f>'Water Reading'!F29-'Water Reading'!F28</f>
        <v>0</v>
      </c>
      <c r="R29" s="78" t="e">
        <f t="shared" si="9"/>
        <v>#DIV/0!</v>
      </c>
      <c r="S29" s="70">
        <f>'Water Reading'!E29-'Water Reading'!E28</f>
        <v>0</v>
      </c>
      <c r="T29" s="78" t="e">
        <f t="shared" si="10"/>
        <v>#DIV/0!</v>
      </c>
      <c r="U29" s="70">
        <f>'Water Reading'!N29-'Water Reading'!N28</f>
        <v>0</v>
      </c>
      <c r="V29" s="78" t="e">
        <f t="shared" si="17"/>
        <v>#DIV/0!</v>
      </c>
      <c r="W29" s="70">
        <f>'Water Reading'!G29-'Water Reading'!G28</f>
        <v>0</v>
      </c>
      <c r="X29" s="78" t="e">
        <f t="shared" si="12"/>
        <v>#DIV/0!</v>
      </c>
      <c r="Y29" s="71">
        <f>'Water Reading'!J29-'Water Reading'!J28</f>
        <v>0</v>
      </c>
      <c r="Z29" s="78" t="e">
        <f t="shared" si="13"/>
        <v>#DIV/0!</v>
      </c>
      <c r="AA29" s="53">
        <f t="shared" si="0"/>
        <v>0</v>
      </c>
      <c r="AB29" s="54" t="e">
        <f t="shared" si="1"/>
        <v>#DIV/0!</v>
      </c>
      <c r="AC29" s="53">
        <f>'Water Reading'!S29-'Water Reading'!S28</f>
        <v>0</v>
      </c>
      <c r="AD29" s="54" t="e">
        <f t="shared" si="14"/>
        <v>#DIV/0!</v>
      </c>
    </row>
    <row r="30" spans="1:30" x14ac:dyDescent="0.25">
      <c r="A30" s="6">
        <f>'Water Reading'!A29</f>
        <v>45012</v>
      </c>
      <c r="B30" s="52">
        <f>TOTAL!I28</f>
        <v>0</v>
      </c>
      <c r="C30" s="53">
        <f>('Water Reading'!B30-'Water Reading'!B29)+('Water Reading'!C30-'Water Reading'!C29)</f>
        <v>0</v>
      </c>
      <c r="D30" s="54" t="e">
        <f t="shared" si="2"/>
        <v>#DIV/0!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0</v>
      </c>
      <c r="H30" s="69" t="e">
        <f t="shared" si="4"/>
        <v>#DIV/0!</v>
      </c>
      <c r="I30" s="70">
        <f>'Water Reading'!P30-'Water Reading'!P29</f>
        <v>0</v>
      </c>
      <c r="J30" s="55" t="e">
        <f t="shared" si="5"/>
        <v>#DIV/0!</v>
      </c>
      <c r="K30" s="71">
        <f>('Water Reading'!I30-'Water Reading'!I29)-('Water Reading'!P30-'Water Reading'!P29)</f>
        <v>0</v>
      </c>
      <c r="L30" s="55" t="e">
        <f t="shared" si="6"/>
        <v>#DIV/0!</v>
      </c>
      <c r="M30" s="70">
        <f>'Water Reading'!R30-'Water Reading'!R29</f>
        <v>0</v>
      </c>
      <c r="N30" s="72" t="e">
        <f t="shared" si="7"/>
        <v>#DIV/0!</v>
      </c>
      <c r="O30" s="70">
        <f>'Water Reading'!Q30-'Water Reading'!Q29</f>
        <v>0</v>
      </c>
      <c r="P30" s="77" t="e">
        <f t="shared" si="8"/>
        <v>#DIV/0!</v>
      </c>
      <c r="Q30" s="71">
        <f>'Water Reading'!F30-'Water Reading'!F29</f>
        <v>0</v>
      </c>
      <c r="R30" s="78" t="e">
        <f t="shared" si="9"/>
        <v>#DIV/0!</v>
      </c>
      <c r="S30" s="70">
        <f>'Water Reading'!E30-'Water Reading'!E29</f>
        <v>0</v>
      </c>
      <c r="T30" s="78" t="e">
        <f t="shared" si="10"/>
        <v>#DIV/0!</v>
      </c>
      <c r="U30" s="70">
        <f>'Water Reading'!N30-'Water Reading'!N29</f>
        <v>0</v>
      </c>
      <c r="V30" s="78" t="e">
        <f t="shared" si="17"/>
        <v>#DIV/0!</v>
      </c>
      <c r="W30" s="70">
        <f>'Water Reading'!G30-'Water Reading'!G29</f>
        <v>0</v>
      </c>
      <c r="X30" s="78" t="e">
        <f t="shared" si="12"/>
        <v>#DIV/0!</v>
      </c>
      <c r="Y30" s="71">
        <f>'Water Reading'!J30-'Water Reading'!J29</f>
        <v>0</v>
      </c>
      <c r="Z30" s="78" t="e">
        <f t="shared" si="13"/>
        <v>#DIV/0!</v>
      </c>
      <c r="AA30" s="53">
        <f t="shared" si="0"/>
        <v>0</v>
      </c>
      <c r="AB30" s="54" t="e">
        <f t="shared" si="1"/>
        <v>#DIV/0!</v>
      </c>
      <c r="AC30" s="53">
        <f>'Water Reading'!S30-'Water Reading'!S29</f>
        <v>0</v>
      </c>
      <c r="AD30" s="54" t="e">
        <f t="shared" si="14"/>
        <v>#DIV/0!</v>
      </c>
    </row>
    <row r="31" spans="1:30" x14ac:dyDescent="0.25">
      <c r="A31" s="6">
        <f>'Water Reading'!A30</f>
        <v>45013</v>
      </c>
      <c r="B31" s="52">
        <f>TOTAL!I29</f>
        <v>0</v>
      </c>
      <c r="C31" s="53">
        <f>('Water Reading'!B31-'Water Reading'!B30)+('Water Reading'!C31-'Water Reading'!C30)</f>
        <v>0</v>
      </c>
      <c r="D31" s="54" t="e">
        <f t="shared" si="2"/>
        <v>#DIV/0!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0</v>
      </c>
      <c r="H31" s="69" t="e">
        <f t="shared" si="4"/>
        <v>#DIV/0!</v>
      </c>
      <c r="I31" s="70">
        <f>'Water Reading'!P31-'Water Reading'!P30</f>
        <v>0</v>
      </c>
      <c r="J31" s="55" t="e">
        <f t="shared" si="5"/>
        <v>#DIV/0!</v>
      </c>
      <c r="K31" s="71">
        <f>('Water Reading'!I31-'Water Reading'!I30)-('Water Reading'!P31-'Water Reading'!P30)</f>
        <v>0</v>
      </c>
      <c r="L31" s="55" t="e">
        <f t="shared" si="6"/>
        <v>#DIV/0!</v>
      </c>
      <c r="M31" s="70">
        <f>'Water Reading'!R31-'Water Reading'!R30</f>
        <v>0</v>
      </c>
      <c r="N31" s="72" t="e">
        <f t="shared" si="7"/>
        <v>#DIV/0!</v>
      </c>
      <c r="O31" s="70">
        <f>'Water Reading'!Q31-'Water Reading'!Q30</f>
        <v>0</v>
      </c>
      <c r="P31" s="77" t="e">
        <f t="shared" si="8"/>
        <v>#DIV/0!</v>
      </c>
      <c r="Q31" s="71">
        <f>'Water Reading'!F31-'Water Reading'!F30</f>
        <v>0</v>
      </c>
      <c r="R31" s="78" t="e">
        <f t="shared" si="9"/>
        <v>#DIV/0!</v>
      </c>
      <c r="S31" s="70">
        <f>'Water Reading'!E31-'Water Reading'!E30</f>
        <v>0</v>
      </c>
      <c r="T31" s="78" t="e">
        <f t="shared" si="10"/>
        <v>#DIV/0!</v>
      </c>
      <c r="U31" s="70">
        <f>'Water Reading'!N31-'Water Reading'!N30</f>
        <v>0</v>
      </c>
      <c r="V31" s="78" t="e">
        <f t="shared" si="17"/>
        <v>#DIV/0!</v>
      </c>
      <c r="W31" s="70">
        <f>'Water Reading'!G31-'Water Reading'!G30</f>
        <v>0</v>
      </c>
      <c r="X31" s="78" t="e">
        <f t="shared" si="12"/>
        <v>#DIV/0!</v>
      </c>
      <c r="Y31" s="71">
        <f>'Water Reading'!J31-'Water Reading'!J30</f>
        <v>0</v>
      </c>
      <c r="Z31" s="78" t="e">
        <f t="shared" si="13"/>
        <v>#DIV/0!</v>
      </c>
      <c r="AA31" s="53">
        <f t="shared" si="0"/>
        <v>0</v>
      </c>
      <c r="AB31" s="54" t="e">
        <f t="shared" si="1"/>
        <v>#DIV/0!</v>
      </c>
      <c r="AC31" s="53">
        <f>'Water Reading'!S31-'Water Reading'!S30</f>
        <v>0</v>
      </c>
      <c r="AD31" s="54" t="e">
        <f t="shared" si="14"/>
        <v>#DIV/0!</v>
      </c>
    </row>
    <row r="32" spans="1:30" ht="24" customHeight="1" x14ac:dyDescent="0.25">
      <c r="A32" s="56" t="s">
        <v>39</v>
      </c>
      <c r="B32" s="76">
        <f>SUM(B4:B31)</f>
        <v>4157</v>
      </c>
      <c r="C32" s="60">
        <f>SUM(C4:C31)</f>
        <v>-89738</v>
      </c>
      <c r="D32" s="75">
        <f>C32/B32</f>
        <v>-21.587202309357711</v>
      </c>
      <c r="E32" s="5">
        <f>SUM(E4:E31)</f>
        <v>-2769</v>
      </c>
      <c r="F32" s="74">
        <f>E32/C32</f>
        <v>3.0856493347299917E-2</v>
      </c>
      <c r="G32" s="60">
        <f>SUM(G4:G31)</f>
        <v>-307406</v>
      </c>
      <c r="H32" s="74">
        <f>G32/C32</f>
        <v>3.4255945084579555</v>
      </c>
      <c r="I32" s="5">
        <f>SUM(I4:I31)</f>
        <v>-33745</v>
      </c>
      <c r="J32" s="74">
        <f>I32/C32</f>
        <v>0.37603913615190887</v>
      </c>
      <c r="K32" s="5">
        <f>SUM(K4:K31)</f>
        <v>-47591</v>
      </c>
      <c r="L32" s="74">
        <f>K32/C32</f>
        <v>0.53033274643963535</v>
      </c>
      <c r="M32" s="5">
        <f>SUM(M4:M31)</f>
        <v>-1271</v>
      </c>
      <c r="N32" s="74">
        <f>M32/C32</f>
        <v>1.4163453609396243E-2</v>
      </c>
      <c r="O32" s="5">
        <f>SUM(O4:O31)</f>
        <v>-2651</v>
      </c>
      <c r="P32" s="74">
        <f>O32/C32</f>
        <v>2.9541554302525128E-2</v>
      </c>
      <c r="Q32" s="5">
        <f>SUM(Q4:Q31)</f>
        <v>-28108</v>
      </c>
      <c r="R32" s="74">
        <f>Q32/C32</f>
        <v>0.31322293788584549</v>
      </c>
      <c r="S32" s="60">
        <f>SUM(S4:S31)</f>
        <v>-291053</v>
      </c>
      <c r="T32" s="74">
        <f>S32/C32</f>
        <v>3.2433640152443779</v>
      </c>
      <c r="U32" s="74"/>
      <c r="V32" s="74"/>
      <c r="W32" s="5">
        <f>SUM(W4:W31)</f>
        <v>-126434</v>
      </c>
      <c r="X32" s="74">
        <f>W32/C32</f>
        <v>1.4089237558225056</v>
      </c>
      <c r="Y32" s="5">
        <f>SUM(Y4:Y31)</f>
        <v>-24460</v>
      </c>
      <c r="Z32" s="74">
        <f>Y32/C32</f>
        <v>0.27257126301009604</v>
      </c>
      <c r="AA32" s="60">
        <f>SUM(AA4:AA31)</f>
        <v>-865488</v>
      </c>
      <c r="AB32" s="74">
        <f t="shared" si="1"/>
        <v>-208.20014433485687</v>
      </c>
      <c r="AC32" s="60">
        <f>SUM(AC4:AC31)</f>
        <v>-70596</v>
      </c>
      <c r="AD32" s="74">
        <f>C32/AC32</f>
        <v>1.2711485069975637</v>
      </c>
    </row>
    <row r="41" spans="27:27" x14ac:dyDescent="0.25">
      <c r="AA41" s="63"/>
    </row>
    <row r="61" spans="4:4" x14ac:dyDescent="0.25">
      <c r="D61" s="57"/>
    </row>
    <row r="62" spans="4:4" x14ac:dyDescent="0.25">
      <c r="D62" s="57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</sheetData>
  <mergeCells count="16">
    <mergeCell ref="Q2:R2"/>
    <mergeCell ref="S2:T2"/>
    <mergeCell ref="W2:X2"/>
    <mergeCell ref="K2:L2"/>
    <mergeCell ref="AC2:AD2"/>
    <mergeCell ref="Y2:Z2"/>
    <mergeCell ref="AA2:AB2"/>
    <mergeCell ref="M2:N2"/>
    <mergeCell ref="O2:P2"/>
    <mergeCell ref="U2:V2"/>
    <mergeCell ref="A2:A3"/>
    <mergeCell ref="B2:B3"/>
    <mergeCell ref="C2:D2"/>
    <mergeCell ref="E2:F2"/>
    <mergeCell ref="I2:J2"/>
    <mergeCell ref="G2:H2"/>
  </mergeCells>
  <pageMargins left="0.7" right="0.7" top="0.75" bottom="0.75" header="0.3" footer="0.3"/>
  <pageSetup paperSize="8" scale="65" orientation="landscape" r:id="rId1"/>
  <ignoredErrors>
    <ignoredError sqref="D4" evalError="1"/>
    <ignoredError sqref="U4:U13 U15:U3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2023-03-13T08:35:23Z</dcterms:modified>
  <cp:category/>
  <cp:contentStatus/>
</cp:coreProperties>
</file>