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Z34" i="4"/>
  <c r="Y34" i="4"/>
  <c r="W34" i="4"/>
  <c r="X34" i="4"/>
  <c r="AA34" i="4"/>
  <c r="X33" i="4"/>
  <c r="Y33" i="4"/>
  <c r="Z33" i="4"/>
  <c r="AA33" i="4"/>
  <c r="W33" i="4"/>
  <c r="U2" i="10" l="1"/>
  <c r="U3" i="10"/>
  <c r="U4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5" i="10"/>
  <c r="AA3" i="1"/>
  <c r="U64" i="10" l="1"/>
  <c r="B34" i="4"/>
  <c r="U34" i="4"/>
  <c r="AA4" i="4" l="1"/>
  <c r="F33" i="4"/>
  <c r="B32" i="9"/>
  <c r="K32" i="9"/>
  <c r="B32" i="8"/>
  <c r="L32" i="8"/>
  <c r="P32" i="8"/>
  <c r="X32" i="8"/>
  <c r="AC3" i="1"/>
  <c r="T17" i="2"/>
  <c r="T20" i="2" s="1"/>
  <c r="T26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F32" i="8" s="1"/>
  <c r="I33" i="3"/>
  <c r="H32" i="8" s="1"/>
  <c r="G33" i="3"/>
  <c r="G32" i="8" s="1"/>
  <c r="C33" i="3"/>
  <c r="E32" i="8" s="1"/>
  <c r="S33" i="4"/>
  <c r="O32" i="8" s="1"/>
  <c r="Q33" i="4"/>
  <c r="N32" i="8" s="1"/>
  <c r="O33" i="4"/>
  <c r="M32" i="8" s="1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AD32" i="8" l="1"/>
  <c r="H34" i="4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S33" i="2"/>
  <c r="U33" i="2"/>
  <c r="R32" i="8"/>
  <c r="D33" i="1"/>
  <c r="F33" i="1"/>
  <c r="I33" i="1"/>
  <c r="T32" i="8" s="1"/>
  <c r="L33" i="1"/>
  <c r="V32" i="8" s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G32" i="9" s="1"/>
  <c r="M33" i="1" l="1"/>
  <c r="AC32" i="8"/>
  <c r="AE32" i="8"/>
  <c r="I32" i="9" s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E7" i="1" l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K7" i="3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J34" i="3" s="1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<sst xmlns="http://schemas.openxmlformats.org/spreadsheetml/2006/main" count="513" uniqueCount="150">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</sst>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L37" sqref="L37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1694.9390999999998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1458.0318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2804.4701999999997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1881.5378999999998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62432.554759999999</v>
      </c>
      <c r="F22" s="137">
        <v>1.27</v>
      </c>
      <c r="G22" s="35">
        <f>Gas!C23*0.9147</f>
        <v>2170.5830999999998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54649.936375999998</v>
      </c>
      <c r="F23" s="137">
        <v>1.27</v>
      </c>
      <c r="G23" s="35">
        <f>Gas!C24*0.9147</f>
        <v>1895.2583999999999</v>
      </c>
      <c r="H23" s="138">
        <v>3.65</v>
      </c>
      <c r="I23" s="140">
        <f>Submetering!H23+Submetering!AD23+Submetering!AE23</f>
        <v>856.00000000000011</v>
      </c>
      <c r="J23" s="140">
        <v>10.029999999999999</v>
      </c>
      <c r="K23" s="35">
        <f>ELECT.!B24</f>
        <v>307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73342.044655999998</v>
      </c>
      <c r="F24" s="137">
        <v>1.27</v>
      </c>
      <c r="G24" s="35">
        <f>Gas!C25*0.9147</f>
        <v>2092.8335999999999</v>
      </c>
      <c r="H24" s="138">
        <v>3.65</v>
      </c>
      <c r="I24" s="140">
        <f>Submetering!H24+Submetering!AD24+Submetering!AE24</f>
        <v>925.99999999999989</v>
      </c>
      <c r="J24" s="140">
        <v>10.029999999999999</v>
      </c>
      <c r="K24" s="35">
        <f>ELECT.!B25</f>
        <v>305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55952.559991999995</v>
      </c>
      <c r="F25" s="137">
        <v>1.27</v>
      </c>
      <c r="G25" s="35">
        <f>Gas!C26*0.9147</f>
        <v>2407.4903999999997</v>
      </c>
      <c r="H25" s="138">
        <v>3.65</v>
      </c>
      <c r="I25" s="140">
        <f>Submetering!H25+Submetering!AD25+Submetering!AE25</f>
        <v>835.99999999999989</v>
      </c>
      <c r="J25" s="140">
        <v>10.029999999999999</v>
      </c>
      <c r="K25" s="35">
        <f>ELECT.!B26</f>
        <v>286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58645.6342</v>
      </c>
      <c r="F26" s="137">
        <v>1.27</v>
      </c>
      <c r="G26" s="35">
        <f>Gas!C27*0.9147</f>
        <v>2108.3834999999999</v>
      </c>
      <c r="H26" s="138">
        <v>3.65</v>
      </c>
      <c r="I26" s="140">
        <f>Submetering!H26+Submetering!AD26+Submetering!AE26</f>
        <v>805.99999999999989</v>
      </c>
      <c r="J26" s="140">
        <v>10.029999999999999</v>
      </c>
      <c r="K26" s="35">
        <f>ELECT.!B27</f>
        <v>301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78005.551791999998</v>
      </c>
      <c r="F27" s="137">
        <v>1.27</v>
      </c>
      <c r="G27" s="35">
        <f>Gas!C28*0.9147</f>
        <v>2847.4611</v>
      </c>
      <c r="H27" s="138">
        <v>3.65</v>
      </c>
      <c r="I27" s="140">
        <f>Submetering!H27+Submetering!AD27+Submetering!AE27</f>
        <v>805.99999999999989</v>
      </c>
      <c r="J27" s="140">
        <v>10.029999999999999</v>
      </c>
      <c r="K27" s="35">
        <f>ELECT.!B28</f>
        <v>304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56397.317948000004</v>
      </c>
      <c r="F28" s="137">
        <v>1.27</v>
      </c>
      <c r="G28" s="35">
        <f>Gas!C29*0.9147</f>
        <v>2340.7172999999998</v>
      </c>
      <c r="H28" s="138">
        <v>3.65</v>
      </c>
      <c r="I28" s="140">
        <f>Submetering!H28+Submetering!AD28+Submetering!AE28</f>
        <v>906</v>
      </c>
      <c r="J28" s="140">
        <v>10.029999999999999</v>
      </c>
      <c r="K28" s="35">
        <f>ELECT.!B29</f>
        <v>297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67993.056039999996</v>
      </c>
      <c r="F29" s="138">
        <v>1.27</v>
      </c>
      <c r="G29" s="35">
        <f>Gas!C30*0.9147</f>
        <v>2250.1619999999998</v>
      </c>
      <c r="H29" s="138">
        <v>3.65</v>
      </c>
      <c r="I29" s="140">
        <f>Submetering!H29+Submetering!AD29+Submetering!AE29</f>
        <v>866</v>
      </c>
      <c r="J29" s="140">
        <v>10.029999999999999</v>
      </c>
      <c r="K29" s="35">
        <f>ELECT.!B30</f>
        <v>237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73160.003951999999</v>
      </c>
      <c r="F30" s="138">
        <v>1.27</v>
      </c>
      <c r="G30" s="35">
        <f>Gas!C31*0.9147</f>
        <v>2547.4395</v>
      </c>
      <c r="H30" s="138">
        <v>3.65</v>
      </c>
      <c r="I30" s="140">
        <f>Submetering!H30+Submetering!AD30+Submetering!AE30</f>
        <v>1016.0000000000001</v>
      </c>
      <c r="J30" s="140">
        <v>10.029999999999999</v>
      </c>
      <c r="K30" s="35">
        <f>ELECT.!B31</f>
        <v>168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74784.651304000014</v>
      </c>
      <c r="F31" s="138">
        <v>1.27</v>
      </c>
      <c r="G31" s="35">
        <f>Gas!C32*0.9147</f>
        <v>2471.5193999999997</v>
      </c>
      <c r="H31" s="138">
        <v>3.65</v>
      </c>
      <c r="I31" s="140">
        <f>Submetering!H31+Submetering!AD31+Submetering!AE31</f>
        <v>816</v>
      </c>
      <c r="J31" s="140">
        <v>10.029999999999999</v>
      </c>
      <c r="K31" s="35">
        <f>ELECT.!B32</f>
        <v>122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63064.078412000003</v>
      </c>
      <c r="F32" s="138">
        <v>2.27</v>
      </c>
      <c r="G32" s="35">
        <f>Gas!C33*0.9147</f>
        <v>1930.9316999999999</v>
      </c>
      <c r="H32" s="138">
        <v>4.6500000000000004</v>
      </c>
      <c r="I32" s="140">
        <f>Submetering!H32+Submetering!AD32+Submetering!AE32</f>
        <v>100866</v>
      </c>
      <c r="J32" s="140">
        <v>11.03</v>
      </c>
      <c r="K32" s="35">
        <f>ELECT.!B33</f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17844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-2331</v>
      </c>
      <c r="Z22">
        <f>'Mall, Citadel, Rotana'!C23+'Mall, Citadel, Rotana'!E23+'Mall, Citadel, Rotana'!G23+'Mall, Citadel, Rotana'!I23</f>
        <v>1035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1050</v>
      </c>
      <c r="F23" s="35">
        <f>Water!E24</f>
        <v>440</v>
      </c>
      <c r="G23" s="35">
        <f>Water!G24</f>
        <v>486</v>
      </c>
      <c r="H23" s="35">
        <f>Water!I24</f>
        <v>4.59</v>
      </c>
      <c r="I23" s="35">
        <f>ELECT.!F24</f>
        <v>12994</v>
      </c>
      <c r="J23" s="35">
        <f>ELECT.!H24</f>
        <v>44603</v>
      </c>
      <c r="K23" s="35">
        <f>ELECT.!K24</f>
        <v>7892</v>
      </c>
      <c r="L23" s="35">
        <f>ELECT.!M24</f>
        <v>5756</v>
      </c>
      <c r="M23" s="35">
        <f>ELECT.!O24</f>
        <v>7092</v>
      </c>
      <c r="N23" s="35">
        <f>ELECT.!Q24</f>
        <v>9611</v>
      </c>
      <c r="O23" s="35">
        <f>ELECT.!S24</f>
        <v>9968</v>
      </c>
      <c r="P23" s="35">
        <f>ELECT.!W24*2</f>
        <v>19846</v>
      </c>
      <c r="Q23" s="35">
        <f>ELECT.!D24</f>
        <v>800</v>
      </c>
      <c r="R23" s="140">
        <f>BTU!C24</f>
        <v>8.2340000000003783</v>
      </c>
      <c r="S23" s="140">
        <f>BTU!F24</f>
        <v>1.8720000000002983</v>
      </c>
      <c r="T23" s="140">
        <f>BTU!I24</f>
        <v>7</v>
      </c>
      <c r="U23" s="140">
        <f>BTU!O24</f>
        <v>1.3820000000000618</v>
      </c>
      <c r="V23" s="140">
        <f>BTU!L24</f>
        <v>1.2199999999993452</v>
      </c>
      <c r="W23" s="140">
        <f>BTU!R24</f>
        <v>0.71000000000003638</v>
      </c>
      <c r="X23" s="33">
        <f>ELECT.!B24</f>
        <v>307</v>
      </c>
      <c r="Y23" s="33">
        <f t="shared" si="0"/>
        <v>-2568</v>
      </c>
      <c r="Z23">
        <f>'Mall, Citadel, Rotana'!C24+'Mall, Citadel, Rotana'!E24+'Mall, Citadel, Rotana'!G24+'Mall, Citadel, Rotana'!I24</f>
        <v>1684</v>
      </c>
      <c r="AA23">
        <f>'Mall, Citadel, Rotana'!K24+'Mall, Citadel, Rotana'!M24</f>
        <v>492</v>
      </c>
      <c r="AB23">
        <f>'Mall, Citadel, Rotana'!O24</f>
        <v>5</v>
      </c>
      <c r="AC23">
        <f>'Mall, Citadel, Rotana'!Q24+'Mall, Citadel, Rotana'!S24</f>
        <v>150</v>
      </c>
      <c r="AD23" s="33">
        <f t="shared" si="1"/>
        <v>112.21583800000001</v>
      </c>
      <c r="AE23" s="33">
        <f t="shared" si="2"/>
        <v>739.19416200000012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1120</v>
      </c>
      <c r="F24" s="35">
        <f>Water!E25</f>
        <v>530</v>
      </c>
      <c r="G24" s="35">
        <f>Water!G25</f>
        <v>472.5</v>
      </c>
      <c r="H24" s="35">
        <f>Water!I25</f>
        <v>4.806</v>
      </c>
      <c r="I24" s="35">
        <f>ELECT.!F25</f>
        <v>17441</v>
      </c>
      <c r="J24" s="35">
        <f>ELECT.!H25</f>
        <v>58640</v>
      </c>
      <c r="K24" s="35">
        <f>ELECT.!K25</f>
        <v>10328</v>
      </c>
      <c r="L24" s="35">
        <f>ELECT.!M25</f>
        <v>7967</v>
      </c>
      <c r="M24" s="35">
        <f>ELECT.!O25</f>
        <v>9294</v>
      </c>
      <c r="N24" s="35">
        <f>ELECT.!Q25</f>
        <v>12947</v>
      </c>
      <c r="O24" s="35">
        <f>ELECT.!S25</f>
        <v>13056</v>
      </c>
      <c r="P24" s="35">
        <f>ELECT.!W25*2</f>
        <v>26028</v>
      </c>
      <c r="Q24" s="35">
        <f>ELECT.!D25</f>
        <v>480</v>
      </c>
      <c r="R24" s="140">
        <f>BTU!C25</f>
        <v>8.728000000002794</v>
      </c>
      <c r="S24" s="140">
        <f>BTU!F25</f>
        <v>2.2960000000002765</v>
      </c>
      <c r="T24" s="140">
        <f>BTU!I25</f>
        <v>8</v>
      </c>
      <c r="U24" s="140">
        <f>BTU!O25</f>
        <v>1.3240000000000691</v>
      </c>
      <c r="V24" s="140">
        <f>BTU!L25</f>
        <v>1.3800000000010186</v>
      </c>
      <c r="W24" s="140">
        <f>BTU!R25</f>
        <v>1.5100000000002183</v>
      </c>
      <c r="X24" s="33">
        <f>ELECT.!B25</f>
        <v>305</v>
      </c>
      <c r="Y24" s="33">
        <f t="shared" si="0"/>
        <v>-3539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339</v>
      </c>
      <c r="AB24">
        <f>'Mall, Citadel, Rotana'!O25</f>
        <v>2</v>
      </c>
      <c r="AC24">
        <f>'Mall, Citadel, Rotana'!Q25+'Mall, Citadel, Rotana'!S25</f>
        <v>120</v>
      </c>
      <c r="AD24" s="33">
        <f t="shared" si="1"/>
        <v>121.41336919999999</v>
      </c>
      <c r="AE24" s="33">
        <f t="shared" si="2"/>
        <v>799.78063079999993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1030</v>
      </c>
      <c r="F25" s="35">
        <f>Water!E26</f>
        <v>510</v>
      </c>
      <c r="G25" s="35">
        <f>Water!G26</f>
        <v>491.4</v>
      </c>
      <c r="H25" s="35">
        <f>Water!I26</f>
        <v>5.13</v>
      </c>
      <c r="I25" s="35">
        <f>ELECT.!F26</f>
        <v>14487</v>
      </c>
      <c r="J25" s="35">
        <f>ELECT.!H26</f>
        <v>43823</v>
      </c>
      <c r="K25" s="35">
        <f>ELECT.!K26</f>
        <v>8042</v>
      </c>
      <c r="L25" s="35">
        <f>ELECT.!M26</f>
        <v>5689</v>
      </c>
      <c r="M25" s="35">
        <f>ELECT.!O26</f>
        <v>8644</v>
      </c>
      <c r="N25" s="35">
        <f>ELECT.!Q26</f>
        <v>9972</v>
      </c>
      <c r="O25" s="35">
        <f>ELECT.!S26</f>
        <v>9474</v>
      </c>
      <c r="P25" s="35">
        <f>ELECT.!W26*2</f>
        <v>19564</v>
      </c>
      <c r="Q25" s="35">
        <f>ELECT.!D26</f>
        <v>480</v>
      </c>
      <c r="R25" s="140">
        <f>BTU!C26</f>
        <v>10.169999999998254</v>
      </c>
      <c r="S25" s="140">
        <f>BTU!F26</f>
        <v>2.8789999999999054</v>
      </c>
      <c r="T25" s="140">
        <f>BTU!I26</f>
        <v>8</v>
      </c>
      <c r="U25" s="140">
        <f>BTU!O26</f>
        <v>1.5300000000002001</v>
      </c>
      <c r="V25" s="140">
        <f>BTU!L26</f>
        <v>1.6399999999994179</v>
      </c>
      <c r="W25" s="140">
        <f>BTU!R26</f>
        <v>1.2300000000004729</v>
      </c>
      <c r="X25" s="33">
        <f>ELECT.!B26</f>
        <v>286</v>
      </c>
      <c r="Y25" s="33">
        <f t="shared" si="0"/>
        <v>-3075</v>
      </c>
      <c r="Z25">
        <f>'Mall, Citadel, Rotana'!C26+'Mall, Citadel, Rotana'!E26+'Mall, Citadel, Rotana'!G26+'Mall, Citadel, Rotana'!I26</f>
        <v>1197</v>
      </c>
      <c r="AA25">
        <f>'Mall, Citadel, Rotana'!K26+'Mall, Citadel, Rotana'!M26</f>
        <v>343</v>
      </c>
      <c r="AB25">
        <f>'Mall, Citadel, Rotana'!O26</f>
        <v>3</v>
      </c>
      <c r="AC25">
        <f>'Mall, Citadel, Rotana'!Q26+'Mall, Citadel, Rotana'!S26</f>
        <v>111</v>
      </c>
      <c r="AD25" s="33">
        <f t="shared" si="1"/>
        <v>109.50866599999999</v>
      </c>
      <c r="AE25" s="33">
        <f t="shared" si="2"/>
        <v>721.36133399999994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1000</v>
      </c>
      <c r="F26" s="35">
        <f>Water!E27</f>
        <v>500</v>
      </c>
      <c r="G26" s="35">
        <f>Water!G27</f>
        <v>504.9</v>
      </c>
      <c r="H26" s="35">
        <f>Water!I27</f>
        <v>5.2110000000000003</v>
      </c>
      <c r="I26" s="35">
        <f>ELECT.!F27</f>
        <v>14362</v>
      </c>
      <c r="J26" s="35">
        <f>ELECT.!H27</f>
        <v>46533</v>
      </c>
      <c r="K26" s="35">
        <f>ELECT.!K27</f>
        <v>8240</v>
      </c>
      <c r="L26" s="35">
        <f>ELECT.!M27</f>
        <v>5974</v>
      </c>
      <c r="M26" s="35">
        <f>ELECT.!O27</f>
        <v>8238</v>
      </c>
      <c r="N26" s="35">
        <f>ELECT.!Q27</f>
        <v>10985</v>
      </c>
      <c r="O26" s="35">
        <f>ELECT.!S27</f>
        <v>9468</v>
      </c>
      <c r="P26" s="35">
        <f>ELECT.!W27*2</f>
        <v>20882</v>
      </c>
      <c r="Q26" s="35">
        <f>ELECT.!D27</f>
        <v>480</v>
      </c>
      <c r="R26" s="140">
        <f>BTU!C27</f>
        <v>10.225999999998749</v>
      </c>
      <c r="S26" s="140">
        <f>BTU!F27</f>
        <v>2.4920000000001892</v>
      </c>
      <c r="T26" s="140">
        <f>BTU!I27</f>
        <v>9</v>
      </c>
      <c r="U26" s="140">
        <f>BTU!O27</f>
        <v>1.6340000000000146</v>
      </c>
      <c r="V26" s="140">
        <f>BTU!L27</f>
        <v>1.25</v>
      </c>
      <c r="W26" s="140">
        <f>BTU!R27</f>
        <v>1.2699999999995271</v>
      </c>
      <c r="X26" s="33">
        <f>ELECT.!B27</f>
        <v>301</v>
      </c>
      <c r="Y26" s="33">
        <f t="shared" si="0"/>
        <v>-2892</v>
      </c>
      <c r="Z26">
        <f>'Mall, Citadel, Rotana'!C27+'Mall, Citadel, Rotana'!E27+'Mall, Citadel, Rotana'!G27+'Mall, Citadel, Rotana'!I27</f>
        <v>1040</v>
      </c>
      <c r="AA26">
        <f>'Mall, Citadel, Rotana'!K27+'Mall, Citadel, Rotana'!M27</f>
        <v>340</v>
      </c>
      <c r="AB26">
        <f>'Mall, Citadel, Rotana'!O27</f>
        <v>3</v>
      </c>
      <c r="AC26">
        <f>'Mall, Citadel, Rotana'!Q27+'Mall, Citadel, Rotana'!S27</f>
        <v>125</v>
      </c>
      <c r="AD26" s="33">
        <f t="shared" si="1"/>
        <v>105.5439902</v>
      </c>
      <c r="AE26" s="33">
        <f t="shared" si="2"/>
        <v>695.24500979999993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1000</v>
      </c>
      <c r="F27" s="35">
        <f>Water!E28</f>
        <v>500</v>
      </c>
      <c r="G27" s="35">
        <f>Water!G28</f>
        <v>504.9</v>
      </c>
      <c r="H27" s="35">
        <f>Water!I28</f>
        <v>5.2110000000000003</v>
      </c>
      <c r="I27" s="35">
        <f>ELECT.!F28</f>
        <v>19361</v>
      </c>
      <c r="J27" s="35">
        <f>ELECT.!H28</f>
        <v>61840</v>
      </c>
      <c r="K27" s="35">
        <f>ELECT.!K28</f>
        <v>10844</v>
      </c>
      <c r="L27" s="35">
        <f>ELECT.!M28</f>
        <v>8140</v>
      </c>
      <c r="M27" s="35">
        <f>ELECT.!O28</f>
        <v>11032</v>
      </c>
      <c r="N27" s="35">
        <f>ELECT.!Q28</f>
        <v>14203</v>
      </c>
      <c r="O27" s="35">
        <f>ELECT.!S28</f>
        <v>13086</v>
      </c>
      <c r="P27" s="35">
        <f>ELECT.!W28*2</f>
        <v>27802</v>
      </c>
      <c r="Q27" s="35">
        <f>ELECT.!D28</f>
        <v>640</v>
      </c>
      <c r="R27" s="140">
        <f>BTU!C28</f>
        <v>11.492000000002008</v>
      </c>
      <c r="S27" s="140">
        <f>BTU!F28</f>
        <v>2.8149999999995998</v>
      </c>
      <c r="T27" s="140">
        <f>BTU!I28</f>
        <v>8</v>
      </c>
      <c r="U27" s="140">
        <f>BTU!O28</f>
        <v>1.875</v>
      </c>
      <c r="V27" s="140">
        <f>BTU!L28</f>
        <v>1.4400000000005093</v>
      </c>
      <c r="W27" s="140">
        <f>BTU!R28</f>
        <v>1.3299999999999272</v>
      </c>
      <c r="X27" s="33">
        <f>ELECT.!B28</f>
        <v>304</v>
      </c>
      <c r="Y27" s="33">
        <f t="shared" si="0"/>
        <v>-3906</v>
      </c>
      <c r="Z27">
        <f>'Mall, Citadel, Rotana'!C28+'Mall, Citadel, Rotana'!E28+'Mall, Citadel, Rotana'!G28+'Mall, Citadel, Rotana'!I28</f>
        <v>1673</v>
      </c>
      <c r="AA27">
        <f>'Mall, Citadel, Rotana'!K28+'Mall, Citadel, Rotana'!M28</f>
        <v>427</v>
      </c>
      <c r="AB27">
        <f>'Mall, Citadel, Rotana'!O28</f>
        <v>3</v>
      </c>
      <c r="AC27">
        <f>'Mall, Citadel, Rotana'!Q28+'Mall, Citadel, Rotana'!S28</f>
        <v>115</v>
      </c>
      <c r="AD27" s="33">
        <f t="shared" si="1"/>
        <v>105.5439902</v>
      </c>
      <c r="AE27" s="33">
        <f t="shared" si="2"/>
        <v>695.24500979999993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1100</v>
      </c>
      <c r="F28" s="35">
        <f>Water!E29</f>
        <v>510</v>
      </c>
      <c r="G28" s="35">
        <f>Water!G29</f>
        <v>521.1</v>
      </c>
      <c r="H28" s="35">
        <f>Water!I29</f>
        <v>3.6179999999999999</v>
      </c>
      <c r="I28" s="35">
        <f>ELECT.!F29</f>
        <v>15036</v>
      </c>
      <c r="J28" s="35">
        <f>ELECT.!H29</f>
        <v>43826</v>
      </c>
      <c r="K28" s="35">
        <f>ELECT.!K29</f>
        <v>7380</v>
      </c>
      <c r="L28" s="35">
        <f>ELECT.!M29</f>
        <v>5371</v>
      </c>
      <c r="M28" s="35">
        <f>ELECT.!O29</f>
        <v>9498</v>
      </c>
      <c r="N28" s="35">
        <f>ELECT.!Q29</f>
        <v>10304</v>
      </c>
      <c r="O28" s="35">
        <f>ELECT.!S29</f>
        <v>9077</v>
      </c>
      <c r="P28" s="35">
        <f>ELECT.!W29*2</f>
        <v>19920</v>
      </c>
      <c r="Q28" s="35">
        <f>ELECT.!D29</f>
        <v>800</v>
      </c>
      <c r="R28" s="140">
        <f>BTU!C29</f>
        <v>11.433999999997468</v>
      </c>
      <c r="S28" s="140">
        <f>BTU!F29</f>
        <v>2.0379999999995562</v>
      </c>
      <c r="T28" s="140">
        <f>BTU!I29</f>
        <v>8</v>
      </c>
      <c r="U28" s="140">
        <f>BTU!O29</f>
        <v>1.6999999999998181</v>
      </c>
      <c r="V28" s="140">
        <f>BTU!L29</f>
        <v>1.4200000000000728</v>
      </c>
      <c r="W28" s="140">
        <f>BTU!R29</f>
        <v>1.1100000000005821</v>
      </c>
      <c r="X28" s="33">
        <f>ELECT.!B29</f>
        <v>297</v>
      </c>
      <c r="Y28" s="33">
        <f t="shared" si="0"/>
        <v>-2688</v>
      </c>
      <c r="Z28">
        <f>'Mall, Citadel, Rotana'!C29+'Mall, Citadel, Rotana'!E29+'Mall, Citadel, Rotana'!G29+'Mall, Citadel, Rotana'!I29</f>
        <v>1378</v>
      </c>
      <c r="AA28">
        <f>'Mall, Citadel, Rotana'!K29+'Mall, Citadel, Rotana'!M29</f>
        <v>255</v>
      </c>
      <c r="AB28">
        <f>'Mall, Citadel, Rotana'!O29</f>
        <v>4</v>
      </c>
      <c r="AC28">
        <f>'Mall, Citadel, Rotana'!Q29+'Mall, Citadel, Rotana'!S29</f>
        <v>120</v>
      </c>
      <c r="AD28" s="33">
        <f t="shared" si="1"/>
        <v>118.93394760000001</v>
      </c>
      <c r="AE28" s="33">
        <f t="shared" si="2"/>
        <v>783.44805240000005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1060</v>
      </c>
      <c r="F29" s="35">
        <f>Water!E30</f>
        <v>650</v>
      </c>
      <c r="G29" s="35">
        <f>Water!G30</f>
        <v>588.6</v>
      </c>
      <c r="H29" s="35">
        <f>Water!I30</f>
        <v>4.5359999999999996</v>
      </c>
      <c r="I29" s="35">
        <f>ELECT.!F30</f>
        <v>17588</v>
      </c>
      <c r="J29" s="35">
        <f>ELECT.!H30</f>
        <v>53038</v>
      </c>
      <c r="K29" s="35">
        <f>ELECT.!K30</f>
        <v>8644</v>
      </c>
      <c r="L29" s="35">
        <f>ELECT.!M30</f>
        <v>6386</v>
      </c>
      <c r="M29" s="35">
        <f>ELECT.!O30</f>
        <v>11040</v>
      </c>
      <c r="N29" s="35">
        <f>ELECT.!Q30</f>
        <v>11821</v>
      </c>
      <c r="O29" s="35">
        <f>ELECT.!S30</f>
        <v>11048</v>
      </c>
      <c r="P29" s="35">
        <f>ELECT.!W30*2</f>
        <v>24062</v>
      </c>
      <c r="Q29" s="35">
        <f>ELECT.!D30</f>
        <v>640</v>
      </c>
      <c r="R29" s="140">
        <f>BTU!C30</f>
        <v>11.923000000002503</v>
      </c>
      <c r="S29" s="140">
        <f>BTU!F30</f>
        <v>1.7970000000004802</v>
      </c>
      <c r="T29" s="140">
        <f>BTU!I30</f>
        <v>9</v>
      </c>
      <c r="U29" s="140">
        <f>BTU!O30</f>
        <v>1.7069999999998799</v>
      </c>
      <c r="V29" s="140">
        <f>BTU!L30</f>
        <v>1.4899999999997817</v>
      </c>
      <c r="W29" s="140">
        <f>BTU!R30</f>
        <v>1.589999999999236</v>
      </c>
      <c r="X29" s="33">
        <f>ELECT.!B30</f>
        <v>237</v>
      </c>
      <c r="Y29" s="33">
        <f t="shared" si="0"/>
        <v>-2375</v>
      </c>
      <c r="Z29">
        <f>'Mall, Citadel, Rotana'!C30+'Mall, Citadel, Rotana'!E30+'Mall, Citadel, Rotana'!G30+'Mall, Citadel, Rotana'!I30</f>
        <v>1203</v>
      </c>
      <c r="AA29">
        <f>'Mall, Citadel, Rotana'!K30+'Mall, Citadel, Rotana'!M30</f>
        <v>248</v>
      </c>
      <c r="AB29">
        <f>'Mall, Citadel, Rotana'!O30</f>
        <v>3</v>
      </c>
      <c r="AC29">
        <f>'Mall, Citadel, Rotana'!Q30+'Mall, Citadel, Rotana'!S30</f>
        <v>281</v>
      </c>
      <c r="AD29" s="33">
        <f t="shared" si="1"/>
        <v>113.5409552</v>
      </c>
      <c r="AE29" s="33">
        <f t="shared" si="2"/>
        <v>747.92304479999996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1210</v>
      </c>
      <c r="F30" s="35">
        <f>Water!E31</f>
        <v>450</v>
      </c>
      <c r="G30" s="35">
        <f>Water!G31</f>
        <v>602.1</v>
      </c>
      <c r="H30" s="35">
        <f>Water!I31</f>
        <v>4.8869999999999996</v>
      </c>
      <c r="I30" s="35">
        <f>ELECT.!F31</f>
        <v>19433</v>
      </c>
      <c r="J30" s="35">
        <f>ELECT.!H31</f>
        <v>56698</v>
      </c>
      <c r="K30" s="35">
        <f>ELECT.!K31</f>
        <v>11062</v>
      </c>
      <c r="L30" s="35">
        <f>ELECT.!M31</f>
        <v>6888</v>
      </c>
      <c r="M30" s="35">
        <f>ELECT.!O31</f>
        <v>12344</v>
      </c>
      <c r="N30" s="35">
        <f>ELECT.!Q31</f>
        <v>14322</v>
      </c>
      <c r="O30" s="35">
        <f>ELECT.!S31</f>
        <v>11484</v>
      </c>
      <c r="P30" s="35">
        <f>ELECT.!W31*2</f>
        <v>24844</v>
      </c>
      <c r="Q30" s="35">
        <f>ELECT.!D31</f>
        <v>480</v>
      </c>
      <c r="R30" s="140">
        <f>BTU!C31</f>
        <v>11.703999999997905</v>
      </c>
      <c r="S30" s="140">
        <f>BTU!F31</f>
        <v>2.2139999999999418</v>
      </c>
      <c r="T30" s="140">
        <f>BTU!I31</f>
        <v>8</v>
      </c>
      <c r="U30" s="140">
        <f>BTU!O31</f>
        <v>1.8070000000002437</v>
      </c>
      <c r="V30" s="140">
        <f>BTU!L31</f>
        <v>1.4400000000005093</v>
      </c>
      <c r="W30" s="140">
        <f>BTU!R31</f>
        <v>1.4500000000007276</v>
      </c>
      <c r="X30" s="33">
        <f>ELECT.!B31</f>
        <v>168</v>
      </c>
      <c r="Y30" s="33">
        <f t="shared" si="0"/>
        <v>-4813</v>
      </c>
      <c r="Z30">
        <f>'Mall, Citadel, Rotana'!C31+'Mall, Citadel, Rotana'!E31+'Mall, Citadel, Rotana'!G31+'Mall, Citadel, Rotana'!I31</f>
        <v>1385</v>
      </c>
      <c r="AA30">
        <f>'Mall, Citadel, Rotana'!K31+'Mall, Citadel, Rotana'!M31</f>
        <v>350</v>
      </c>
      <c r="AB30">
        <f>'Mall, Citadel, Rotana'!O31</f>
        <v>3</v>
      </c>
      <c r="AC30">
        <f>'Mall, Citadel, Rotana'!Q31+'Mall, Citadel, Rotana'!S31</f>
        <v>255</v>
      </c>
      <c r="AD30" s="33">
        <f t="shared" si="1"/>
        <v>133.2646934</v>
      </c>
      <c r="AE30" s="33">
        <f t="shared" si="2"/>
        <v>877.84830660000011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1010</v>
      </c>
      <c r="F31" s="35">
        <f>Water!E32</f>
        <v>410</v>
      </c>
      <c r="G31" s="35">
        <f>Water!G32</f>
        <v>494.1</v>
      </c>
      <c r="H31" s="35">
        <f>Water!I32</f>
        <v>5.508</v>
      </c>
      <c r="I31" s="35">
        <f>ELECT.!F32</f>
        <v>22069</v>
      </c>
      <c r="J31" s="35">
        <f>ELECT.!H32</f>
        <v>55772</v>
      </c>
      <c r="K31" s="35">
        <f>ELECT.!K32</f>
        <v>11252</v>
      </c>
      <c r="L31" s="35">
        <f>ELECT.!M32</f>
        <v>6754</v>
      </c>
      <c r="M31" s="35">
        <f>ELECT.!O32</f>
        <v>15130</v>
      </c>
      <c r="N31" s="35">
        <f>ELECT.!Q32</f>
        <v>13007</v>
      </c>
      <c r="O31" s="35">
        <f>ELECT.!S32</f>
        <v>11594</v>
      </c>
      <c r="P31" s="35">
        <f>ELECT.!W32*2</f>
        <v>24312</v>
      </c>
      <c r="Q31" s="35">
        <f>ELECT.!D32</f>
        <v>640</v>
      </c>
      <c r="R31" s="140">
        <f>BTU!C32</f>
        <v>12.197000000000116</v>
      </c>
      <c r="S31" s="140">
        <f>BTU!F32</f>
        <v>2.7200000000002547</v>
      </c>
      <c r="T31" s="140">
        <f>BTU!I32</f>
        <v>8</v>
      </c>
      <c r="U31" s="140">
        <f>BTU!O32</f>
        <v>1.5349999999998545</v>
      </c>
      <c r="V31" s="140">
        <f>BTU!L32</f>
        <v>1.5900000000001455</v>
      </c>
      <c r="W31" s="140">
        <f>BTU!R32</f>
        <v>1.5</v>
      </c>
      <c r="X31" s="33">
        <f>ELECT.!B32</f>
        <v>122</v>
      </c>
      <c r="Y31" s="33">
        <f t="shared" si="0"/>
        <v>-4208</v>
      </c>
      <c r="Z31">
        <f>'Mall, Citadel, Rotana'!C32+'Mall, Citadel, Rotana'!E32+'Mall, Citadel, Rotana'!G32+'Mall, Citadel, Rotana'!I32</f>
        <v>1364</v>
      </c>
      <c r="AA31">
        <f>'Mall, Citadel, Rotana'!K32+'Mall, Citadel, Rotana'!M32</f>
        <v>412</v>
      </c>
      <c r="AB31">
        <f>'Mall, Citadel, Rotana'!O32</f>
        <v>3</v>
      </c>
      <c r="AC31">
        <f>'Mall, Citadel, Rotana'!Q32+'Mall, Citadel, Rotana'!S32</f>
        <v>258</v>
      </c>
      <c r="AD31" s="33">
        <f t="shared" si="1"/>
        <v>106.82284559999999</v>
      </c>
      <c r="AE31" s="33">
        <f t="shared" si="2"/>
        <v>703.66915440000002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101060</v>
      </c>
      <c r="F32" s="35">
        <f>Water!E33</f>
        <v>480</v>
      </c>
      <c r="G32" s="35">
        <f>Water!G33</f>
        <v>518.4</v>
      </c>
      <c r="H32" s="35">
        <f>Water!I33</f>
        <v>5.508</v>
      </c>
      <c r="I32" s="35">
        <f>ELECT.!F33</f>
        <v>17923</v>
      </c>
      <c r="J32" s="35">
        <f>ELECT.!H33</f>
        <v>47848</v>
      </c>
      <c r="K32" s="35">
        <f>ELECT.!K33</f>
        <v>9702</v>
      </c>
      <c r="L32" s="35">
        <f>ELECT.!M33</f>
        <v>5985</v>
      </c>
      <c r="M32" s="35">
        <f>ELECT.!O33</f>
        <v>11804</v>
      </c>
      <c r="N32" s="35">
        <f>ELECT.!Q33</f>
        <v>9701</v>
      </c>
      <c r="O32" s="35">
        <f>ELECT.!S33</f>
        <v>9723</v>
      </c>
      <c r="P32" s="35">
        <f>ELECT.!W33*2</f>
        <v>20570</v>
      </c>
      <c r="Q32" s="35">
        <f>ELECT.!D33</f>
        <v>640</v>
      </c>
      <c r="R32" s="140">
        <f>BTU!C33</f>
        <v>12.526000000001659</v>
      </c>
      <c r="S32" s="140">
        <f>BTU!F33</f>
        <v>2.9799999999995634</v>
      </c>
      <c r="T32" s="140">
        <f>BTU!I33</f>
        <v>9</v>
      </c>
      <c r="U32" s="140">
        <f>BTU!O33</f>
        <v>1.6530000000002474</v>
      </c>
      <c r="V32" s="140">
        <f>BTU!L33</f>
        <v>1.7999999999992724</v>
      </c>
      <c r="W32" s="140">
        <f>BTU!R33</f>
        <v>1.6599999999998545</v>
      </c>
      <c r="X32" s="33">
        <f>ELECT.!B33</f>
        <v>152</v>
      </c>
      <c r="Y32" s="33">
        <f t="shared" ref="Y32" si="4">I32+J32-(K32+L32+M32+N32+O32+P32)</f>
        <v>-1714</v>
      </c>
      <c r="Z32">
        <f>'Mall, Citadel, Rotana'!C33+'Mall, Citadel, Rotana'!E33+'Mall, Citadel, Rotana'!G33+'Mall, Citadel, Rotana'!I33</f>
        <v>1201</v>
      </c>
      <c r="AA32">
        <f>'Mall, Citadel, Rotana'!K33+'Mall, Citadel, Rotana'!M33</f>
        <v>409</v>
      </c>
      <c r="AB32">
        <f>'Mall, Citadel, Rotana'!O33</f>
        <v>3</v>
      </c>
      <c r="AC32">
        <f>'Mall, Citadel, Rotana'!Q33+'Mall, Citadel, Rotana'!S33</f>
        <v>262</v>
      </c>
      <c r="AD32" s="33">
        <f t="shared" ref="AD32" si="5">(E32-H32-194)*0.1318</f>
        <v>13293.4128456</v>
      </c>
      <c r="AE32" s="33">
        <f t="shared" ref="AE32" si="6">E32-H32-AD32-194</f>
        <v>87567.079154399995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U33" sqref="U3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47041</v>
      </c>
      <c r="C23" s="14">
        <f t="shared" si="9"/>
        <v>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v>47046</v>
      </c>
      <c r="C24" s="14">
        <f t="shared" si="9"/>
        <v>800</v>
      </c>
      <c r="D24" s="30">
        <v>40610</v>
      </c>
      <c r="E24" s="14">
        <f t="shared" si="1"/>
        <v>800</v>
      </c>
      <c r="F24" s="30">
        <v>21657</v>
      </c>
      <c r="G24" s="14">
        <f t="shared" si="2"/>
        <v>60</v>
      </c>
      <c r="H24" s="30">
        <v>255118</v>
      </c>
      <c r="I24" s="14">
        <f t="shared" si="3"/>
        <v>24</v>
      </c>
      <c r="J24" s="30">
        <v>314961</v>
      </c>
      <c r="K24" s="14">
        <f t="shared" si="4"/>
        <v>192</v>
      </c>
      <c r="L24" s="30">
        <v>26143</v>
      </c>
      <c r="M24" s="14">
        <f t="shared" si="5"/>
        <v>300</v>
      </c>
      <c r="N24" s="30">
        <v>226009</v>
      </c>
      <c r="O24" s="14">
        <f t="shared" si="6"/>
        <v>5</v>
      </c>
      <c r="P24" s="30">
        <v>152719</v>
      </c>
      <c r="Q24" s="14">
        <f t="shared" si="0"/>
        <v>150</v>
      </c>
      <c r="R24" s="30">
        <f t="shared" si="10"/>
        <v>55047</v>
      </c>
      <c r="S24" s="14">
        <f t="shared" si="7"/>
        <v>0</v>
      </c>
      <c r="T24" s="30">
        <v>3992</v>
      </c>
      <c r="U24" s="14">
        <f t="shared" si="8"/>
        <v>160</v>
      </c>
    </row>
    <row r="25" spans="1:23" ht="13.5" thickBot="1" x14ac:dyDescent="0.25">
      <c r="A25" s="9">
        <v>44704</v>
      </c>
      <c r="B25" s="30">
        <v>47051</v>
      </c>
      <c r="C25" s="14">
        <f t="shared" si="9"/>
        <v>800</v>
      </c>
      <c r="D25" s="30">
        <v>40613</v>
      </c>
      <c r="E25" s="14">
        <f t="shared" si="1"/>
        <v>480</v>
      </c>
      <c r="F25" s="30">
        <v>21661</v>
      </c>
      <c r="G25" s="14">
        <f t="shared" si="2"/>
        <v>80</v>
      </c>
      <c r="H25" s="30">
        <v>255138</v>
      </c>
      <c r="I25" s="14">
        <f t="shared" si="3"/>
        <v>20</v>
      </c>
      <c r="J25" s="30">
        <v>315120</v>
      </c>
      <c r="K25" s="14">
        <f t="shared" si="4"/>
        <v>159</v>
      </c>
      <c r="L25" s="30">
        <v>26146</v>
      </c>
      <c r="M25" s="14">
        <f t="shared" si="5"/>
        <v>180</v>
      </c>
      <c r="N25" s="30">
        <v>226011</v>
      </c>
      <c r="O25" s="14">
        <f t="shared" si="6"/>
        <v>2</v>
      </c>
      <c r="P25" s="30">
        <v>152839</v>
      </c>
      <c r="Q25" s="14">
        <f t="shared" si="0"/>
        <v>120</v>
      </c>
      <c r="R25" s="30">
        <f t="shared" si="10"/>
        <v>55047</v>
      </c>
      <c r="S25" s="14">
        <f t="shared" si="7"/>
        <v>0</v>
      </c>
      <c r="T25" s="30">
        <v>3993</v>
      </c>
      <c r="U25" s="14">
        <f t="shared" si="8"/>
        <v>160</v>
      </c>
      <c r="V25" t="s">
        <v>12</v>
      </c>
    </row>
    <row r="26" spans="1:23" ht="12.75" customHeight="1" thickBot="1" x14ac:dyDescent="0.25">
      <c r="A26" s="9">
        <v>44705</v>
      </c>
      <c r="B26" s="30">
        <v>47055</v>
      </c>
      <c r="C26" s="14">
        <f t="shared" si="9"/>
        <v>640</v>
      </c>
      <c r="D26" s="30">
        <v>40616</v>
      </c>
      <c r="E26" s="14">
        <f t="shared" si="1"/>
        <v>480</v>
      </c>
      <c r="F26" s="30">
        <v>21664</v>
      </c>
      <c r="G26" s="14">
        <f t="shared" si="2"/>
        <v>60</v>
      </c>
      <c r="H26" s="30">
        <v>255155</v>
      </c>
      <c r="I26" s="14">
        <f t="shared" si="3"/>
        <v>17</v>
      </c>
      <c r="J26" s="30">
        <v>315283</v>
      </c>
      <c r="K26" s="14">
        <f t="shared" si="4"/>
        <v>163</v>
      </c>
      <c r="L26" s="30">
        <v>26149</v>
      </c>
      <c r="M26" s="14">
        <f t="shared" si="5"/>
        <v>180</v>
      </c>
      <c r="N26" s="30">
        <v>226014</v>
      </c>
      <c r="O26" s="14">
        <f t="shared" si="6"/>
        <v>3</v>
      </c>
      <c r="P26" s="30">
        <v>152950</v>
      </c>
      <c r="Q26" s="14">
        <f t="shared" si="0"/>
        <v>111</v>
      </c>
      <c r="R26" s="30">
        <f t="shared" si="10"/>
        <v>55047</v>
      </c>
      <c r="S26" s="14">
        <f t="shared" si="7"/>
        <v>0</v>
      </c>
      <c r="T26" s="30">
        <f t="shared" si="15"/>
        <v>3993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v>47058</v>
      </c>
      <c r="C27" s="14">
        <f t="shared" si="9"/>
        <v>480</v>
      </c>
      <c r="D27" s="30">
        <v>40619</v>
      </c>
      <c r="E27" s="14">
        <f t="shared" si="1"/>
        <v>480</v>
      </c>
      <c r="F27" s="30">
        <v>21667</v>
      </c>
      <c r="G27" s="14">
        <f t="shared" si="2"/>
        <v>60</v>
      </c>
      <c r="H27" s="30">
        <v>255175</v>
      </c>
      <c r="I27" s="14">
        <f t="shared" si="3"/>
        <v>20</v>
      </c>
      <c r="J27" s="30">
        <v>315443</v>
      </c>
      <c r="K27" s="14">
        <f t="shared" si="4"/>
        <v>160</v>
      </c>
      <c r="L27" s="30">
        <v>26152</v>
      </c>
      <c r="M27" s="14">
        <f t="shared" si="5"/>
        <v>180</v>
      </c>
      <c r="N27" s="30">
        <v>226017</v>
      </c>
      <c r="O27" s="14">
        <f t="shared" si="6"/>
        <v>3</v>
      </c>
      <c r="P27" s="30">
        <v>153075</v>
      </c>
      <c r="Q27" s="14">
        <f t="shared" si="0"/>
        <v>125</v>
      </c>
      <c r="R27" s="30">
        <f t="shared" si="10"/>
        <v>55047</v>
      </c>
      <c r="S27" s="14">
        <f t="shared" si="7"/>
        <v>0</v>
      </c>
      <c r="T27" s="30">
        <v>3994</v>
      </c>
      <c r="U27" s="14">
        <f>(T27-T26)*800/5</f>
        <v>160</v>
      </c>
    </row>
    <row r="28" spans="1:23" ht="13.5" thickBot="1" x14ac:dyDescent="0.25">
      <c r="A28" s="9">
        <v>44707</v>
      </c>
      <c r="B28" s="30">
        <v>47064</v>
      </c>
      <c r="C28" s="14">
        <f t="shared" si="9"/>
        <v>960</v>
      </c>
      <c r="D28" s="30">
        <v>40623</v>
      </c>
      <c r="E28" s="14">
        <f t="shared" si="1"/>
        <v>640</v>
      </c>
      <c r="F28" s="30">
        <v>21670</v>
      </c>
      <c r="G28" s="14">
        <f t="shared" si="2"/>
        <v>60</v>
      </c>
      <c r="H28" s="30">
        <v>255188</v>
      </c>
      <c r="I28" s="14">
        <f t="shared" si="3"/>
        <v>13</v>
      </c>
      <c r="J28" s="30">
        <v>315630</v>
      </c>
      <c r="K28" s="14">
        <f t="shared" si="4"/>
        <v>187</v>
      </c>
      <c r="L28" s="30">
        <v>26156</v>
      </c>
      <c r="M28" s="14">
        <f t="shared" si="5"/>
        <v>240</v>
      </c>
      <c r="N28" s="30">
        <v>226020</v>
      </c>
      <c r="O28" s="14">
        <f t="shared" si="6"/>
        <v>3</v>
      </c>
      <c r="P28" s="30">
        <v>153190</v>
      </c>
      <c r="Q28" s="14">
        <f t="shared" si="0"/>
        <v>115</v>
      </c>
      <c r="R28" s="30">
        <f t="shared" si="10"/>
        <v>55047</v>
      </c>
      <c r="S28" s="15">
        <f t="shared" si="7"/>
        <v>0</v>
      </c>
      <c r="T28" s="30">
        <v>3994</v>
      </c>
      <c r="U28" s="14">
        <f t="shared" si="8"/>
        <v>0</v>
      </c>
    </row>
    <row r="29" spans="1:23" ht="13.5" thickBot="1" x14ac:dyDescent="0.25">
      <c r="A29" s="9">
        <v>44708</v>
      </c>
      <c r="B29" s="30">
        <v>47069</v>
      </c>
      <c r="C29" s="14">
        <f t="shared" si="9"/>
        <v>800</v>
      </c>
      <c r="D29" s="30">
        <v>40626</v>
      </c>
      <c r="E29" s="14">
        <f t="shared" si="1"/>
        <v>480</v>
      </c>
      <c r="F29" s="30">
        <v>21674</v>
      </c>
      <c r="G29" s="14">
        <f t="shared" si="2"/>
        <v>80</v>
      </c>
      <c r="H29" s="30">
        <v>255206</v>
      </c>
      <c r="I29" s="14">
        <f t="shared" si="3"/>
        <v>18</v>
      </c>
      <c r="J29" s="30">
        <v>315765</v>
      </c>
      <c r="K29" s="14">
        <f t="shared" si="4"/>
        <v>135</v>
      </c>
      <c r="L29" s="30">
        <v>26158</v>
      </c>
      <c r="M29" s="14">
        <f t="shared" si="5"/>
        <v>120</v>
      </c>
      <c r="N29" s="30">
        <v>226024</v>
      </c>
      <c r="O29" s="14">
        <f t="shared" si="6"/>
        <v>4</v>
      </c>
      <c r="P29" s="30">
        <v>153310</v>
      </c>
      <c r="Q29" s="14">
        <f t="shared" si="0"/>
        <v>120</v>
      </c>
      <c r="R29" s="30">
        <f t="shared" si="10"/>
        <v>55047</v>
      </c>
      <c r="S29" s="14">
        <f t="shared" si="7"/>
        <v>0</v>
      </c>
      <c r="T29" s="30">
        <v>3995</v>
      </c>
      <c r="U29" s="14">
        <f t="shared" si="8"/>
        <v>160</v>
      </c>
    </row>
    <row r="30" spans="1:23" ht="13.5" thickBot="1" x14ac:dyDescent="0.25">
      <c r="A30" s="9">
        <v>44709</v>
      </c>
      <c r="B30" s="30">
        <v>47073</v>
      </c>
      <c r="C30" s="14">
        <f t="shared" si="9"/>
        <v>640</v>
      </c>
      <c r="D30" s="30">
        <v>40629</v>
      </c>
      <c r="E30" s="14">
        <f t="shared" si="1"/>
        <v>480</v>
      </c>
      <c r="F30" s="30">
        <v>21677</v>
      </c>
      <c r="G30" s="14">
        <f t="shared" si="2"/>
        <v>60</v>
      </c>
      <c r="H30" s="30">
        <v>255229</v>
      </c>
      <c r="I30" s="14">
        <f t="shared" si="3"/>
        <v>23</v>
      </c>
      <c r="J30" s="30">
        <v>315893</v>
      </c>
      <c r="K30" s="14">
        <f t="shared" si="4"/>
        <v>128</v>
      </c>
      <c r="L30" s="30">
        <v>26160</v>
      </c>
      <c r="M30" s="14">
        <f t="shared" si="5"/>
        <v>120</v>
      </c>
      <c r="N30" s="30">
        <v>226027</v>
      </c>
      <c r="O30" s="14">
        <f t="shared" si="6"/>
        <v>3</v>
      </c>
      <c r="P30" s="30">
        <v>153591</v>
      </c>
      <c r="Q30" s="14">
        <f t="shared" si="0"/>
        <v>281</v>
      </c>
      <c r="R30" s="30">
        <f t="shared" si="10"/>
        <v>55047</v>
      </c>
      <c r="S30" s="14">
        <f t="shared" si="7"/>
        <v>0</v>
      </c>
      <c r="T30" s="30">
        <v>3995</v>
      </c>
      <c r="U30" s="14">
        <f t="shared" si="8"/>
        <v>0</v>
      </c>
    </row>
    <row r="31" spans="1:23" ht="13.5" thickBot="1" x14ac:dyDescent="0.25">
      <c r="A31" s="9">
        <v>44710</v>
      </c>
      <c r="B31" s="30">
        <v>47078</v>
      </c>
      <c r="C31" s="14">
        <f t="shared" si="9"/>
        <v>800</v>
      </c>
      <c r="D31" s="30">
        <v>40632</v>
      </c>
      <c r="E31" s="14">
        <f t="shared" si="1"/>
        <v>480</v>
      </c>
      <c r="F31" s="30">
        <v>21681</v>
      </c>
      <c r="G31" s="14">
        <f t="shared" si="2"/>
        <v>80</v>
      </c>
      <c r="H31" s="30">
        <v>255254</v>
      </c>
      <c r="I31" s="14">
        <f t="shared" si="3"/>
        <v>25</v>
      </c>
      <c r="J31" s="30">
        <v>316063</v>
      </c>
      <c r="K31" s="14">
        <f t="shared" si="4"/>
        <v>170</v>
      </c>
      <c r="L31" s="30">
        <v>26163</v>
      </c>
      <c r="M31" s="14">
        <f t="shared" si="5"/>
        <v>180</v>
      </c>
      <c r="N31" s="30">
        <v>226030</v>
      </c>
      <c r="O31" s="14">
        <f t="shared" si="6"/>
        <v>3</v>
      </c>
      <c r="P31" s="30">
        <v>153846</v>
      </c>
      <c r="Q31" s="14">
        <f t="shared" si="0"/>
        <v>255</v>
      </c>
      <c r="R31" s="30">
        <f t="shared" si="10"/>
        <v>55047</v>
      </c>
      <c r="S31" s="14">
        <v>0</v>
      </c>
      <c r="T31" s="30">
        <v>3996</v>
      </c>
      <c r="U31" s="14">
        <f t="shared" si="8"/>
        <v>160</v>
      </c>
    </row>
    <row r="32" spans="1:23" ht="13.5" thickBot="1" x14ac:dyDescent="0.25">
      <c r="A32" s="9">
        <v>44711</v>
      </c>
      <c r="B32" s="30">
        <v>47083</v>
      </c>
      <c r="C32" s="14">
        <f t="shared" si="9"/>
        <v>800</v>
      </c>
      <c r="D32" s="30">
        <v>40635</v>
      </c>
      <c r="E32" s="14">
        <f t="shared" si="1"/>
        <v>480</v>
      </c>
      <c r="F32" s="30">
        <v>21684</v>
      </c>
      <c r="G32" s="14">
        <f t="shared" si="2"/>
        <v>60</v>
      </c>
      <c r="H32" s="30">
        <v>255278</v>
      </c>
      <c r="I32" s="14">
        <f t="shared" si="3"/>
        <v>24</v>
      </c>
      <c r="J32" s="30">
        <v>316235</v>
      </c>
      <c r="K32" s="14">
        <f t="shared" si="4"/>
        <v>172</v>
      </c>
      <c r="L32" s="30">
        <v>26167</v>
      </c>
      <c r="M32" s="14">
        <f t="shared" si="5"/>
        <v>240</v>
      </c>
      <c r="N32" s="30">
        <v>226033</v>
      </c>
      <c r="O32" s="14">
        <f t="shared" si="6"/>
        <v>3</v>
      </c>
      <c r="P32" s="30">
        <v>154104</v>
      </c>
      <c r="Q32" s="14">
        <f t="shared" si="0"/>
        <v>258</v>
      </c>
      <c r="R32" s="30">
        <v>55047</v>
      </c>
      <c r="S32" s="14">
        <f t="shared" si="7"/>
        <v>0</v>
      </c>
      <c r="T32" s="30">
        <v>3997</v>
      </c>
      <c r="U32" s="14">
        <f t="shared" si="8"/>
        <v>160</v>
      </c>
    </row>
    <row r="33" spans="1:21" ht="13.5" thickBot="1" x14ac:dyDescent="0.25">
      <c r="A33" s="9">
        <v>44712</v>
      </c>
      <c r="B33" s="30">
        <v>47087</v>
      </c>
      <c r="C33" s="14">
        <f t="shared" ref="C33" si="16">(B33-B32)*800/5</f>
        <v>640</v>
      </c>
      <c r="D33" s="30">
        <v>40638</v>
      </c>
      <c r="E33" s="14">
        <f t="shared" ref="E33" si="17">(D33-D32)*800/5</f>
        <v>480</v>
      </c>
      <c r="F33" s="30">
        <v>21687</v>
      </c>
      <c r="G33" s="14">
        <f t="shared" ref="G33" si="18">(F33-F32)*100/5</f>
        <v>60</v>
      </c>
      <c r="H33" s="30">
        <v>255299</v>
      </c>
      <c r="I33" s="14">
        <f t="shared" ref="I33" si="19">(H33-H32)</f>
        <v>21</v>
      </c>
      <c r="J33" s="30">
        <v>316404</v>
      </c>
      <c r="K33" s="14">
        <f t="shared" ref="K33" si="20">(J33-J32)</f>
        <v>169</v>
      </c>
      <c r="L33" s="30">
        <v>26171</v>
      </c>
      <c r="M33" s="14">
        <f t="shared" ref="M33" si="21">(L33-L32)*300/5</f>
        <v>240</v>
      </c>
      <c r="N33" s="30">
        <v>226036</v>
      </c>
      <c r="O33" s="14">
        <f t="shared" ref="O33" si="22">N33-N32</f>
        <v>3</v>
      </c>
      <c r="P33" s="30">
        <v>154366</v>
      </c>
      <c r="Q33" s="14">
        <f t="shared" ref="Q33" si="23">P33-P32</f>
        <v>262</v>
      </c>
      <c r="R33" s="30">
        <v>55047</v>
      </c>
      <c r="S33" s="14">
        <f t="shared" ref="S33" si="24">R33-R32</f>
        <v>0</v>
      </c>
      <c r="T33" s="30">
        <v>3997</v>
      </c>
      <c r="U33" s="14">
        <f t="shared" ref="U33" si="25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22880</v>
      </c>
      <c r="D34" s="11"/>
      <c r="E34" s="14">
        <f>SUM(E3:E33)</f>
        <v>16000</v>
      </c>
      <c r="F34" s="11"/>
      <c r="G34" s="14">
        <f>SUM(G3:G33)</f>
        <v>2040</v>
      </c>
      <c r="H34" s="11"/>
      <c r="I34" s="14">
        <f>SUM(I3:I33)</f>
        <v>570</v>
      </c>
      <c r="J34" s="11"/>
      <c r="K34" s="14">
        <f>SUM(K3:K33)</f>
        <v>4723</v>
      </c>
      <c r="L34" s="11"/>
      <c r="M34" s="14">
        <f>SUM(M3:M33)</f>
        <v>5460</v>
      </c>
      <c r="N34" s="31"/>
      <c r="O34" s="14">
        <f>SUM(O3:O33)</f>
        <v>100</v>
      </c>
      <c r="P34" s="30"/>
      <c r="Q34" s="14">
        <f>SUM(Q3:Q33)</f>
        <v>4191</v>
      </c>
      <c r="R34" s="1"/>
      <c r="S34" s="14">
        <f>SUM(S3:S33)</f>
        <v>0</v>
      </c>
      <c r="T34" s="1"/>
      <c r="U34" s="14">
        <f>SUM(U3:U33)</f>
        <v>2560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Normal="100" zoomScaleSheetLayoutView="110" workbookViewId="0">
      <pane ySplit="1" topLeftCell="A2" activePane="bottomLeft" state="frozen"/>
      <selection pane="bottomLeft" activeCell="B34" sqref="B3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30924884</v>
      </c>
      <c r="F23" s="37">
        <f t="shared" si="5"/>
        <v>17844</v>
      </c>
      <c r="G23" s="145">
        <v>99128200</v>
      </c>
      <c r="H23" s="37">
        <f t="shared" si="6"/>
        <v>46755</v>
      </c>
      <c r="I23" s="146">
        <f t="shared" si="7"/>
        <v>64599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>
        <v>307</v>
      </c>
      <c r="C24" s="143">
        <v>19643</v>
      </c>
      <c r="D24" s="37">
        <f t="shared" si="4"/>
        <v>800</v>
      </c>
      <c r="E24" s="144">
        <v>30937878</v>
      </c>
      <c r="F24" s="37">
        <f t="shared" si="5"/>
        <v>12994</v>
      </c>
      <c r="G24" s="145">
        <v>99172803</v>
      </c>
      <c r="H24" s="37">
        <f t="shared" si="6"/>
        <v>44603</v>
      </c>
      <c r="I24" s="146">
        <f t="shared" si="7"/>
        <v>57597</v>
      </c>
      <c r="J24" s="144">
        <v>9878200</v>
      </c>
      <c r="K24" s="37">
        <f t="shared" si="15"/>
        <v>7892</v>
      </c>
      <c r="L24" s="147">
        <v>35578</v>
      </c>
      <c r="M24" s="37">
        <f t="shared" si="8"/>
        <v>5756</v>
      </c>
      <c r="N24" s="144">
        <v>6597744</v>
      </c>
      <c r="O24" s="37">
        <f t="shared" si="16"/>
        <v>7092</v>
      </c>
      <c r="P24" s="147">
        <v>6528994</v>
      </c>
      <c r="Q24" s="37">
        <f t="shared" si="9"/>
        <v>9611</v>
      </c>
      <c r="R24" s="144">
        <v>21124223</v>
      </c>
      <c r="S24" s="37">
        <f t="shared" si="10"/>
        <v>9968</v>
      </c>
      <c r="T24" s="144">
        <v>0</v>
      </c>
      <c r="U24" s="148"/>
      <c r="V24" s="144">
        <v>9054954</v>
      </c>
      <c r="W24" s="37">
        <f t="shared" si="11"/>
        <v>9923</v>
      </c>
      <c r="X24" s="19">
        <f t="shared" si="12"/>
        <v>50242</v>
      </c>
      <c r="Y24" s="149">
        <f t="shared" si="13"/>
        <v>7355</v>
      </c>
      <c r="Z24" s="167">
        <f t="shared" si="14"/>
        <v>7245.9079472000003</v>
      </c>
      <c r="AA24" s="167">
        <f t="shared" si="17"/>
        <v>32899.917897600004</v>
      </c>
    </row>
    <row r="25" spans="1:27" ht="16.5" thickBot="1" x14ac:dyDescent="0.3">
      <c r="A25" s="9">
        <v>44704</v>
      </c>
      <c r="B25" s="37">
        <v>305</v>
      </c>
      <c r="C25" s="143">
        <v>19646</v>
      </c>
      <c r="D25" s="37">
        <f t="shared" si="4"/>
        <v>480</v>
      </c>
      <c r="E25" s="144">
        <v>30955319</v>
      </c>
      <c r="F25" s="37">
        <f t="shared" si="5"/>
        <v>17441</v>
      </c>
      <c r="G25" s="145">
        <v>99231443</v>
      </c>
      <c r="H25" s="37">
        <f t="shared" si="6"/>
        <v>58640</v>
      </c>
      <c r="I25" s="146">
        <f t="shared" si="7"/>
        <v>76081</v>
      </c>
      <c r="J25" s="144">
        <v>9883364</v>
      </c>
      <c r="K25" s="37">
        <f t="shared" si="15"/>
        <v>10328</v>
      </c>
      <c r="L25" s="147">
        <v>43545</v>
      </c>
      <c r="M25" s="37">
        <f t="shared" si="8"/>
        <v>7967</v>
      </c>
      <c r="N25" s="144">
        <v>6602391</v>
      </c>
      <c r="O25" s="37">
        <f t="shared" si="16"/>
        <v>9294</v>
      </c>
      <c r="P25" s="147">
        <v>6541941</v>
      </c>
      <c r="Q25" s="37">
        <f t="shared" si="9"/>
        <v>12947</v>
      </c>
      <c r="R25" s="144">
        <v>21137279</v>
      </c>
      <c r="S25" s="37">
        <f t="shared" si="10"/>
        <v>13056</v>
      </c>
      <c r="T25" s="144">
        <v>0</v>
      </c>
      <c r="U25" s="148"/>
      <c r="V25" s="144">
        <v>9067968</v>
      </c>
      <c r="W25" s="37">
        <f t="shared" si="11"/>
        <v>13014</v>
      </c>
      <c r="X25" s="19">
        <f t="shared" si="12"/>
        <v>66606</v>
      </c>
      <c r="Y25" s="149">
        <f t="shared" si="13"/>
        <v>9475</v>
      </c>
      <c r="Z25" s="167">
        <f t="shared" si="14"/>
        <v>9547.3703519999981</v>
      </c>
      <c r="AA25" s="167">
        <f t="shared" si="17"/>
        <v>32621.878286399999</v>
      </c>
    </row>
    <row r="26" spans="1:27" ht="16.5" thickBot="1" x14ac:dyDescent="0.3">
      <c r="A26" s="9">
        <v>44705</v>
      </c>
      <c r="B26" s="37">
        <v>286</v>
      </c>
      <c r="C26" s="143">
        <v>19649</v>
      </c>
      <c r="D26" s="37">
        <f t="shared" si="4"/>
        <v>480</v>
      </c>
      <c r="E26" s="144">
        <v>30969806</v>
      </c>
      <c r="F26" s="37">
        <f t="shared" si="5"/>
        <v>14487</v>
      </c>
      <c r="G26" s="145">
        <v>99275266</v>
      </c>
      <c r="H26" s="37">
        <f t="shared" si="6"/>
        <v>43823</v>
      </c>
      <c r="I26" s="146">
        <f t="shared" si="7"/>
        <v>58310</v>
      </c>
      <c r="J26" s="144">
        <v>9887385</v>
      </c>
      <c r="K26" s="37">
        <f t="shared" si="15"/>
        <v>8042</v>
      </c>
      <c r="L26" s="147">
        <v>49234</v>
      </c>
      <c r="M26" s="37">
        <f t="shared" si="8"/>
        <v>5689</v>
      </c>
      <c r="N26" s="144">
        <v>6606713</v>
      </c>
      <c r="O26" s="37">
        <f t="shared" si="16"/>
        <v>8644</v>
      </c>
      <c r="P26" s="147">
        <v>6551913</v>
      </c>
      <c r="Q26" s="37">
        <f t="shared" si="9"/>
        <v>9972</v>
      </c>
      <c r="R26" s="144">
        <v>21146753</v>
      </c>
      <c r="S26" s="37">
        <f t="shared" si="10"/>
        <v>9474</v>
      </c>
      <c r="T26" s="144">
        <v>0</v>
      </c>
      <c r="U26" s="148"/>
      <c r="V26" s="144">
        <v>9077750</v>
      </c>
      <c r="W26" s="37">
        <f t="shared" si="11"/>
        <v>9782</v>
      </c>
      <c r="X26" s="19">
        <f t="shared" si="12"/>
        <v>51603</v>
      </c>
      <c r="Y26" s="149">
        <f t="shared" si="13"/>
        <v>6707</v>
      </c>
      <c r="Z26" s="167">
        <f t="shared" si="14"/>
        <v>7368.7249792000011</v>
      </c>
      <c r="AA26" s="167">
        <f t="shared" si="17"/>
        <v>32377.604043200001</v>
      </c>
    </row>
    <row r="27" spans="1:27" ht="16.5" thickBot="1" x14ac:dyDescent="0.3">
      <c r="A27" s="9">
        <v>44706</v>
      </c>
      <c r="B27" s="37">
        <v>301</v>
      </c>
      <c r="C27" s="143">
        <v>19652</v>
      </c>
      <c r="D27" s="37">
        <f t="shared" si="4"/>
        <v>480</v>
      </c>
      <c r="E27" s="144">
        <v>30984168</v>
      </c>
      <c r="F27" s="37">
        <f t="shared" si="5"/>
        <v>14362</v>
      </c>
      <c r="G27" s="145">
        <v>99321799</v>
      </c>
      <c r="H27" s="37">
        <f t="shared" si="6"/>
        <v>46533</v>
      </c>
      <c r="I27" s="146">
        <f t="shared" si="7"/>
        <v>60895</v>
      </c>
      <c r="J27" s="144">
        <v>9891505</v>
      </c>
      <c r="K27" s="37">
        <f t="shared" si="15"/>
        <v>8240</v>
      </c>
      <c r="L27" s="147">
        <v>55208</v>
      </c>
      <c r="M27" s="37">
        <f t="shared" si="8"/>
        <v>5974</v>
      </c>
      <c r="N27" s="144">
        <v>6610832</v>
      </c>
      <c r="O27" s="37">
        <f t="shared" si="16"/>
        <v>8238</v>
      </c>
      <c r="P27" s="147">
        <v>6562898</v>
      </c>
      <c r="Q27" s="37">
        <f t="shared" si="9"/>
        <v>10985</v>
      </c>
      <c r="R27" s="144">
        <v>21156221</v>
      </c>
      <c r="S27" s="37">
        <f t="shared" si="10"/>
        <v>9468</v>
      </c>
      <c r="T27" s="144">
        <v>0</v>
      </c>
      <c r="U27" s="148"/>
      <c r="V27" s="144">
        <v>9088191</v>
      </c>
      <c r="W27" s="37">
        <f t="shared" si="11"/>
        <v>10441</v>
      </c>
      <c r="X27" s="19">
        <f t="shared" si="12"/>
        <v>53346</v>
      </c>
      <c r="Y27" s="149">
        <f t="shared" si="13"/>
        <v>7549</v>
      </c>
      <c r="Z27" s="167">
        <f t="shared" si="14"/>
        <v>7615.0921808000003</v>
      </c>
      <c r="AA27" s="167">
        <f t="shared" si="17"/>
        <v>31777.095459199998</v>
      </c>
    </row>
    <row r="28" spans="1:27" ht="16.5" thickBot="1" x14ac:dyDescent="0.3">
      <c r="A28" s="9">
        <v>44707</v>
      </c>
      <c r="B28" s="37">
        <v>304</v>
      </c>
      <c r="C28" s="143">
        <v>19656</v>
      </c>
      <c r="D28" s="37">
        <f t="shared" si="4"/>
        <v>640</v>
      </c>
      <c r="E28" s="144">
        <v>31003529</v>
      </c>
      <c r="F28" s="37">
        <f t="shared" si="5"/>
        <v>19361</v>
      </c>
      <c r="G28" s="145">
        <v>99383639</v>
      </c>
      <c r="H28" s="37">
        <f t="shared" si="6"/>
        <v>61840</v>
      </c>
      <c r="I28" s="146">
        <f t="shared" si="7"/>
        <v>81201</v>
      </c>
      <c r="J28" s="144">
        <v>9896927</v>
      </c>
      <c r="K28" s="37">
        <f t="shared" si="15"/>
        <v>10844</v>
      </c>
      <c r="L28" s="147">
        <v>63348</v>
      </c>
      <c r="M28" s="37">
        <f t="shared" si="8"/>
        <v>8140</v>
      </c>
      <c r="N28" s="144">
        <v>6616348</v>
      </c>
      <c r="O28" s="37">
        <f t="shared" si="16"/>
        <v>11032</v>
      </c>
      <c r="P28" s="147">
        <v>6577101</v>
      </c>
      <c r="Q28" s="37">
        <f t="shared" si="9"/>
        <v>14203</v>
      </c>
      <c r="R28" s="144">
        <v>21169307</v>
      </c>
      <c r="S28" s="37">
        <f t="shared" si="10"/>
        <v>13086</v>
      </c>
      <c r="T28" s="144">
        <v>0</v>
      </c>
      <c r="U28" s="148"/>
      <c r="V28" s="144">
        <v>9102092</v>
      </c>
      <c r="W28" s="37">
        <f t="shared" si="11"/>
        <v>13901</v>
      </c>
      <c r="X28" s="19">
        <f t="shared" si="12"/>
        <v>71206</v>
      </c>
      <c r="Y28" s="149">
        <f t="shared" si="13"/>
        <v>9995</v>
      </c>
      <c r="Z28" s="167">
        <f t="shared" si="14"/>
        <v>10203.3755824</v>
      </c>
      <c r="AA28" s="167">
        <f t="shared" si="17"/>
        <v>34734.5630944</v>
      </c>
    </row>
    <row r="29" spans="1:27" ht="16.5" thickBot="1" x14ac:dyDescent="0.3">
      <c r="A29" s="9">
        <v>44708</v>
      </c>
      <c r="B29" s="37">
        <v>297</v>
      </c>
      <c r="C29" s="143">
        <v>19661</v>
      </c>
      <c r="D29" s="37">
        <f t="shared" si="4"/>
        <v>800</v>
      </c>
      <c r="E29" s="144">
        <v>31018565</v>
      </c>
      <c r="F29" s="37">
        <f t="shared" si="5"/>
        <v>15036</v>
      </c>
      <c r="G29" s="145">
        <v>99427465</v>
      </c>
      <c r="H29" s="37">
        <f t="shared" si="6"/>
        <v>43826</v>
      </c>
      <c r="I29" s="146">
        <f t="shared" si="7"/>
        <v>58862</v>
      </c>
      <c r="J29" s="144">
        <v>9900617</v>
      </c>
      <c r="K29" s="37">
        <f t="shared" si="15"/>
        <v>7380</v>
      </c>
      <c r="L29" s="147">
        <v>68719</v>
      </c>
      <c r="M29" s="37">
        <f t="shared" si="8"/>
        <v>5371</v>
      </c>
      <c r="N29" s="144">
        <v>6621097</v>
      </c>
      <c r="O29" s="37">
        <f t="shared" si="16"/>
        <v>9498</v>
      </c>
      <c r="P29" s="147">
        <v>6587405</v>
      </c>
      <c r="Q29" s="37">
        <f t="shared" si="9"/>
        <v>10304</v>
      </c>
      <c r="R29" s="144">
        <v>21178384</v>
      </c>
      <c r="S29" s="37">
        <f t="shared" si="10"/>
        <v>9077</v>
      </c>
      <c r="T29" s="144">
        <v>0</v>
      </c>
      <c r="U29" s="148"/>
      <c r="V29" s="144">
        <v>9112052</v>
      </c>
      <c r="W29" s="37">
        <f t="shared" si="11"/>
        <v>9960</v>
      </c>
      <c r="X29" s="19">
        <f t="shared" si="12"/>
        <v>51590</v>
      </c>
      <c r="Y29" s="149">
        <f t="shared" si="13"/>
        <v>7272</v>
      </c>
      <c r="Z29" s="167">
        <f t="shared" si="14"/>
        <v>7487.2651984000004</v>
      </c>
      <c r="AA29" s="167">
        <f t="shared" si="17"/>
        <v>32674.457940800003</v>
      </c>
    </row>
    <row r="30" spans="1:27" ht="16.5" thickBot="1" x14ac:dyDescent="0.3">
      <c r="A30" s="9">
        <v>44709</v>
      </c>
      <c r="B30" s="37">
        <v>237</v>
      </c>
      <c r="C30" s="143">
        <v>19665</v>
      </c>
      <c r="D30" s="37">
        <f>IF((C30-C29)&lt;0,"0",(C30-C29))*160</f>
        <v>640</v>
      </c>
      <c r="E30" s="144">
        <v>31036153</v>
      </c>
      <c r="F30" s="37">
        <f>IF((E30-E29)&lt;0,"0",(E30-E29))</f>
        <v>17588</v>
      </c>
      <c r="G30" s="145">
        <v>99480503</v>
      </c>
      <c r="H30" s="37">
        <f t="shared" si="6"/>
        <v>53038</v>
      </c>
      <c r="I30" s="146">
        <f t="shared" si="7"/>
        <v>70626</v>
      </c>
      <c r="J30" s="144">
        <v>9904939</v>
      </c>
      <c r="K30" s="37">
        <f>(IF((J30-J29)&lt;0,"0",(J30-J29)))*2</f>
        <v>8644</v>
      </c>
      <c r="L30" s="147">
        <v>75105</v>
      </c>
      <c r="M30" s="37">
        <f>IF((L30-L29)&lt;0,"0",(L30-L29))</f>
        <v>6386</v>
      </c>
      <c r="N30" s="144">
        <v>6626617</v>
      </c>
      <c r="O30" s="37">
        <f>(IF((N30-N29)&lt;0,"0",(N30-N29)))*2</f>
        <v>11040</v>
      </c>
      <c r="P30" s="147">
        <v>6599226</v>
      </c>
      <c r="Q30" s="37">
        <f>IF((P30-P29)&lt;0,"0",(P30-P29))</f>
        <v>11821</v>
      </c>
      <c r="R30" s="144">
        <v>21189432</v>
      </c>
      <c r="S30" s="37">
        <f>IF((R30-R29)&lt;0,"0",(R30-R29))</f>
        <v>11048</v>
      </c>
      <c r="T30" s="144">
        <v>0</v>
      </c>
      <c r="U30" s="148"/>
      <c r="V30" s="144">
        <v>9124083</v>
      </c>
      <c r="W30" s="37">
        <f>IF((V30-V29)&lt;0,"0",(V30-V29))</f>
        <v>12031</v>
      </c>
      <c r="X30" s="19">
        <f t="shared" si="12"/>
        <v>60970</v>
      </c>
      <c r="Y30" s="149">
        <f t="shared" si="13"/>
        <v>9656</v>
      </c>
      <c r="Z30" s="167">
        <f t="shared" si="14"/>
        <v>8911.1653487999993</v>
      </c>
      <c r="AA30" s="167">
        <f>SUM(Z27:Z30)</f>
        <v>34216.8983104</v>
      </c>
    </row>
    <row r="31" spans="1:27" ht="16.5" thickBot="1" x14ac:dyDescent="0.3">
      <c r="A31" s="9">
        <v>44710</v>
      </c>
      <c r="B31" s="37">
        <v>168</v>
      </c>
      <c r="C31" s="143">
        <v>19668</v>
      </c>
      <c r="D31" s="37">
        <f t="shared" ref="D31:D33" si="30">IF((C31-C30)&lt;0,"0",(C31-C30))*160</f>
        <v>480</v>
      </c>
      <c r="E31" s="144">
        <v>31055586</v>
      </c>
      <c r="F31" s="37">
        <f t="shared" ref="F31:F33" si="31">IF((E31-E30)&lt;0,"0",(E31-E30))</f>
        <v>19433</v>
      </c>
      <c r="G31" s="145">
        <v>99537201</v>
      </c>
      <c r="H31" s="37">
        <f t="shared" si="6"/>
        <v>56698</v>
      </c>
      <c r="I31" s="146">
        <f t="shared" ref="I31:I33" si="32">F31+H31</f>
        <v>76131</v>
      </c>
      <c r="J31" s="144">
        <v>9910470</v>
      </c>
      <c r="K31" s="37">
        <f t="shared" ref="K31:K33" si="33">(IF((J31-J30)&lt;0,"0",(J31-J30)))*2</f>
        <v>11062</v>
      </c>
      <c r="L31" s="147">
        <v>81993</v>
      </c>
      <c r="M31" s="37">
        <f t="shared" ref="M31:M33" si="34">IF((L31-L30)&lt;0,"0",(L31-L30))</f>
        <v>6888</v>
      </c>
      <c r="N31" s="144">
        <v>6632789</v>
      </c>
      <c r="O31" s="37">
        <f t="shared" ref="O31:O33" si="35">(IF((N31-N30)&lt;0,"0",(N31-N30)))*2</f>
        <v>12344</v>
      </c>
      <c r="P31" s="147">
        <v>6613548</v>
      </c>
      <c r="Q31" s="37">
        <f t="shared" ref="Q31:Q33" si="36">IF((P31-P30)&lt;0,"0",(P31-P30))</f>
        <v>14322</v>
      </c>
      <c r="R31" s="144">
        <v>21200916</v>
      </c>
      <c r="S31" s="37">
        <f t="shared" ref="S31:S33" si="37">IF((R31-R30)&lt;0,"0",(R31-R30))</f>
        <v>11484</v>
      </c>
      <c r="T31" s="144">
        <v>0</v>
      </c>
      <c r="U31" s="148"/>
      <c r="V31" s="144">
        <v>9136505</v>
      </c>
      <c r="W31" s="37">
        <f t="shared" ref="W31:W33" si="38">IF((V31-V30)&lt;0,"0",(V31-V30))</f>
        <v>12422</v>
      </c>
      <c r="X31" s="19">
        <f t="shared" ref="X31:X32" si="39">K31+M31+O31+Q31+S31+U31+W31</f>
        <v>68522</v>
      </c>
      <c r="Y31" s="149">
        <f t="shared" ref="Y31:Y32" si="40">I31-X31</f>
        <v>7609</v>
      </c>
      <c r="Z31" s="167">
        <f t="shared" ref="Z31:Z32" si="41">(0.93352*(W31+S31)+0.5568*(Q31+O31))*0.26</f>
        <v>9662.7330591999998</v>
      </c>
      <c r="AA31" s="167">
        <f t="shared" ref="AA31:AA32" si="42">SUM(Z28:Z31)</f>
        <v>36264.539188800001</v>
      </c>
    </row>
    <row r="32" spans="1:27" ht="16.5" thickBot="1" x14ac:dyDescent="0.3">
      <c r="A32" s="9">
        <v>44711</v>
      </c>
      <c r="B32" s="37">
        <v>122</v>
      </c>
      <c r="C32" s="143">
        <v>19672</v>
      </c>
      <c r="D32" s="37">
        <f t="shared" si="30"/>
        <v>640</v>
      </c>
      <c r="E32" s="144">
        <v>31077655</v>
      </c>
      <c r="F32" s="37">
        <f t="shared" si="31"/>
        <v>22069</v>
      </c>
      <c r="G32" s="145">
        <v>99592973</v>
      </c>
      <c r="H32" s="37">
        <f t="shared" si="6"/>
        <v>55772</v>
      </c>
      <c r="I32" s="146">
        <f t="shared" si="32"/>
        <v>77841</v>
      </c>
      <c r="J32" s="144">
        <v>9916096</v>
      </c>
      <c r="K32" s="37">
        <f t="shared" si="33"/>
        <v>11252</v>
      </c>
      <c r="L32" s="147">
        <v>88747</v>
      </c>
      <c r="M32" s="37">
        <f t="shared" si="34"/>
        <v>6754</v>
      </c>
      <c r="N32" s="144">
        <v>6640354</v>
      </c>
      <c r="O32" s="37">
        <f t="shared" si="35"/>
        <v>15130</v>
      </c>
      <c r="P32" s="147">
        <v>6626555</v>
      </c>
      <c r="Q32" s="37">
        <f t="shared" si="36"/>
        <v>13007</v>
      </c>
      <c r="R32" s="144">
        <v>21212510</v>
      </c>
      <c r="S32" s="37">
        <f t="shared" si="37"/>
        <v>11594</v>
      </c>
      <c r="T32" s="144">
        <v>0</v>
      </c>
      <c r="U32" s="148"/>
      <c r="V32" s="144">
        <v>9148661</v>
      </c>
      <c r="W32" s="37">
        <f t="shared" si="38"/>
        <v>12156</v>
      </c>
      <c r="X32" s="19">
        <f t="shared" si="39"/>
        <v>69893</v>
      </c>
      <c r="Y32" s="149">
        <f t="shared" si="40"/>
        <v>7948</v>
      </c>
      <c r="Z32" s="167">
        <f t="shared" si="41"/>
        <v>9837.8232160000007</v>
      </c>
      <c r="AA32" s="167">
        <f t="shared" si="42"/>
        <v>35898.986822399995</v>
      </c>
    </row>
    <row r="33" spans="1:27" ht="16.5" thickBot="1" x14ac:dyDescent="0.3">
      <c r="A33" s="9">
        <v>44712</v>
      </c>
      <c r="B33" s="37">
        <v>152</v>
      </c>
      <c r="C33" s="143">
        <v>19676</v>
      </c>
      <c r="D33" s="37">
        <f t="shared" si="30"/>
        <v>640</v>
      </c>
      <c r="E33" s="144">
        <v>31095578</v>
      </c>
      <c r="F33" s="37">
        <f t="shared" si="31"/>
        <v>17923</v>
      </c>
      <c r="G33" s="145">
        <v>99640821</v>
      </c>
      <c r="H33" s="37">
        <f t="shared" si="6"/>
        <v>47848</v>
      </c>
      <c r="I33" s="146">
        <f t="shared" si="32"/>
        <v>65771</v>
      </c>
      <c r="J33" s="144">
        <v>9920947</v>
      </c>
      <c r="K33" s="37">
        <f t="shared" si="33"/>
        <v>9702</v>
      </c>
      <c r="L33" s="147">
        <v>94732</v>
      </c>
      <c r="M33" s="37">
        <f t="shared" si="34"/>
        <v>5985</v>
      </c>
      <c r="N33" s="144">
        <v>6646256</v>
      </c>
      <c r="O33" s="37">
        <f t="shared" si="35"/>
        <v>11804</v>
      </c>
      <c r="P33" s="147">
        <v>6636256</v>
      </c>
      <c r="Q33" s="37">
        <f t="shared" si="36"/>
        <v>9701</v>
      </c>
      <c r="R33" s="144">
        <v>21222233</v>
      </c>
      <c r="S33" s="37">
        <f t="shared" si="37"/>
        <v>9723</v>
      </c>
      <c r="T33" s="144">
        <v>0</v>
      </c>
      <c r="U33" s="148"/>
      <c r="V33" s="144">
        <v>9158946</v>
      </c>
      <c r="W33" s="37">
        <f t="shared" si="38"/>
        <v>10285</v>
      </c>
      <c r="X33" s="19">
        <f t="shared" ref="X33" si="43">K33+M33+O33+Q33+S33+U33+W33</f>
        <v>57200</v>
      </c>
      <c r="Y33" s="149">
        <f t="shared" ref="Y33" si="44">I33-X33</f>
        <v>8571</v>
      </c>
      <c r="Z33" s="167">
        <f t="shared" ref="Z33" si="45">(0.93352*(W33+S33)+0.5568*(Q33+O33))*0.26</f>
        <v>7969.4815616000005</v>
      </c>
      <c r="AA33" s="167">
        <f t="shared" ref="AA33" si="46">SUM(Z30:Z33)</f>
        <v>36381.203185600003</v>
      </c>
    </row>
    <row r="34" spans="1:27" ht="16.5" thickBot="1" x14ac:dyDescent="0.3">
      <c r="A34" s="135" t="s">
        <v>23</v>
      </c>
      <c r="B34" s="54">
        <f>SUM(B3:B33)</f>
        <v>8249</v>
      </c>
      <c r="C34" s="135">
        <v>0</v>
      </c>
      <c r="D34" s="54">
        <f>SUM(D3:D33)</f>
        <v>17440</v>
      </c>
      <c r="E34" s="54">
        <v>0</v>
      </c>
      <c r="F34" s="54">
        <f>SUM(F3:F33)</f>
        <v>443122</v>
      </c>
      <c r="G34" s="54">
        <v>0</v>
      </c>
      <c r="H34" s="54">
        <f>SUM(H3:H33)</f>
        <v>1475380</v>
      </c>
      <c r="I34" s="54">
        <f>SUM(I3:I33)</f>
        <v>1918502</v>
      </c>
      <c r="J34" s="54">
        <v>0</v>
      </c>
      <c r="K34" s="54">
        <f>SUM(K2:K33)</f>
        <v>267612</v>
      </c>
      <c r="L34" s="54">
        <v>0</v>
      </c>
      <c r="M34" s="54">
        <f>SUM(M3:M33)</f>
        <v>185873</v>
      </c>
      <c r="N34" s="54">
        <v>0</v>
      </c>
      <c r="O34" s="54">
        <f>SUM(O3:O33)</f>
        <v>245190</v>
      </c>
      <c r="P34" s="54">
        <v>0</v>
      </c>
      <c r="Q34" s="54">
        <f>SUM(Q3:Q33)</f>
        <v>311446</v>
      </c>
      <c r="R34" s="54">
        <v>0</v>
      </c>
      <c r="S34" s="54">
        <f>SUM(S3:S33)</f>
        <v>326610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332179</v>
      </c>
      <c r="X34" s="54">
        <f>SUM(X3:X33)</f>
        <v>1668910</v>
      </c>
      <c r="Y34" s="54">
        <f>SUM(Y3:Y33)</f>
        <v>249592</v>
      </c>
      <c r="Z34" s="169">
        <f>SUM(Z3:Z33)</f>
        <v>240481.18434079998</v>
      </c>
      <c r="AA34" s="169">
        <f>SUM(AA3:AA33)</f>
        <v>908677.91318719997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C34" sqref="C3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>
        <v>449209</v>
      </c>
      <c r="C24" s="37">
        <f t="shared" si="7"/>
        <v>1050</v>
      </c>
      <c r="D24" s="3">
        <v>8339</v>
      </c>
      <c r="E24" s="37">
        <f t="shared" si="8"/>
        <v>440</v>
      </c>
      <c r="F24" s="3">
        <v>9144800</v>
      </c>
      <c r="G24" s="37">
        <f t="shared" si="5"/>
        <v>486</v>
      </c>
      <c r="H24" s="3">
        <v>792122</v>
      </c>
      <c r="I24" s="42">
        <f t="shared" si="6"/>
        <v>4.59</v>
      </c>
      <c r="J24" s="19">
        <f t="shared" si="3"/>
        <v>1980.59</v>
      </c>
      <c r="K24" s="20">
        <f t="shared" si="4"/>
        <v>11606.2574</v>
      </c>
    </row>
    <row r="25" spans="1:25" ht="17.25" customHeight="1" thickBot="1" x14ac:dyDescent="0.4">
      <c r="A25" s="9">
        <v>44704</v>
      </c>
      <c r="B25" s="3">
        <v>449321</v>
      </c>
      <c r="C25" s="37">
        <f t="shared" si="7"/>
        <v>1120</v>
      </c>
      <c r="D25" s="3">
        <v>8392</v>
      </c>
      <c r="E25" s="37">
        <f t="shared" si="8"/>
        <v>530</v>
      </c>
      <c r="F25" s="3">
        <v>9162300</v>
      </c>
      <c r="G25" s="37">
        <f t="shared" si="5"/>
        <v>472.5</v>
      </c>
      <c r="H25" s="3">
        <v>792300</v>
      </c>
      <c r="I25" s="42">
        <f t="shared" si="6"/>
        <v>4.806</v>
      </c>
      <c r="J25" s="19">
        <f t="shared" si="3"/>
        <v>2127.306</v>
      </c>
      <c r="K25" s="20">
        <f t="shared" si="4"/>
        <v>12466.01316</v>
      </c>
      <c r="Y25" s="53"/>
    </row>
    <row r="26" spans="1:25" ht="16.5" thickBot="1" x14ac:dyDescent="0.3">
      <c r="A26" s="9">
        <v>44705</v>
      </c>
      <c r="B26" s="3">
        <v>449424</v>
      </c>
      <c r="C26" s="37">
        <f t="shared" si="7"/>
        <v>1030</v>
      </c>
      <c r="D26" s="3">
        <v>8443</v>
      </c>
      <c r="E26" s="37">
        <f t="shared" si="8"/>
        <v>510</v>
      </c>
      <c r="F26" s="3">
        <v>9180500</v>
      </c>
      <c r="G26" s="37">
        <f t="shared" si="5"/>
        <v>491.4</v>
      </c>
      <c r="H26" s="3">
        <v>792490</v>
      </c>
      <c r="I26" s="42">
        <f t="shared" si="6"/>
        <v>5.13</v>
      </c>
      <c r="J26" s="19">
        <f t="shared" si="3"/>
        <v>2036.5300000000002</v>
      </c>
      <c r="K26" s="20">
        <f t="shared" si="4"/>
        <v>11934.065800000002</v>
      </c>
      <c r="L26" t="s">
        <v>12</v>
      </c>
    </row>
    <row r="27" spans="1:25" ht="16.5" thickBot="1" x14ac:dyDescent="0.3">
      <c r="A27" s="9">
        <v>44706</v>
      </c>
      <c r="B27" s="3">
        <v>449524</v>
      </c>
      <c r="C27" s="37">
        <f t="shared" si="7"/>
        <v>1000</v>
      </c>
      <c r="D27" s="3">
        <v>8493</v>
      </c>
      <c r="E27" s="37">
        <f t="shared" si="8"/>
        <v>500</v>
      </c>
      <c r="F27" s="3">
        <v>9199200</v>
      </c>
      <c r="G27" s="37">
        <f t="shared" si="5"/>
        <v>504.9</v>
      </c>
      <c r="H27" s="3">
        <v>792683</v>
      </c>
      <c r="I27" s="42">
        <f t="shared" si="6"/>
        <v>5.2110000000000003</v>
      </c>
      <c r="J27" s="19">
        <f t="shared" si="3"/>
        <v>2010.1110000000001</v>
      </c>
      <c r="K27" s="20">
        <f t="shared" si="4"/>
        <v>11779.250460000001</v>
      </c>
      <c r="O27" t="s">
        <v>12</v>
      </c>
    </row>
    <row r="28" spans="1:25" ht="16.5" thickBot="1" x14ac:dyDescent="0.3">
      <c r="A28" s="9">
        <v>44707</v>
      </c>
      <c r="B28" s="3">
        <v>449624</v>
      </c>
      <c r="C28" s="37">
        <f t="shared" si="7"/>
        <v>1000</v>
      </c>
      <c r="D28" s="3">
        <v>8543</v>
      </c>
      <c r="E28" s="37">
        <f t="shared" si="8"/>
        <v>500</v>
      </c>
      <c r="F28" s="3">
        <v>9217900</v>
      </c>
      <c r="G28" s="37">
        <f t="shared" si="5"/>
        <v>504.9</v>
      </c>
      <c r="H28" s="3">
        <v>792876</v>
      </c>
      <c r="I28" s="42">
        <f t="shared" si="6"/>
        <v>5.2110000000000003</v>
      </c>
      <c r="J28" s="19">
        <f t="shared" si="3"/>
        <v>2010.1110000000001</v>
      </c>
      <c r="K28" s="20">
        <f t="shared" si="4"/>
        <v>11779.250460000001</v>
      </c>
    </row>
    <row r="29" spans="1:25" ht="17.25" customHeight="1" thickBot="1" x14ac:dyDescent="0.3">
      <c r="A29" s="9">
        <v>44708</v>
      </c>
      <c r="B29" s="3">
        <v>449734</v>
      </c>
      <c r="C29" s="37">
        <f t="shared" si="7"/>
        <v>1100</v>
      </c>
      <c r="D29" s="3">
        <v>8594</v>
      </c>
      <c r="E29" s="37">
        <f t="shared" si="8"/>
        <v>510</v>
      </c>
      <c r="F29" s="3">
        <v>9237200</v>
      </c>
      <c r="G29" s="37">
        <f t="shared" si="5"/>
        <v>521.1</v>
      </c>
      <c r="H29" s="3">
        <v>793010</v>
      </c>
      <c r="I29" s="42">
        <f t="shared" si="6"/>
        <v>3.6179999999999999</v>
      </c>
      <c r="J29" s="19">
        <f t="shared" si="3"/>
        <v>2134.7179999999998</v>
      </c>
      <c r="K29" s="20">
        <f t="shared" si="4"/>
        <v>12509.447479999999</v>
      </c>
    </row>
    <row r="30" spans="1:25" ht="16.5" thickBot="1" x14ac:dyDescent="0.3">
      <c r="A30" s="9">
        <v>44709</v>
      </c>
      <c r="B30" s="3">
        <v>449840</v>
      </c>
      <c r="C30" s="37">
        <f t="shared" si="7"/>
        <v>1060</v>
      </c>
      <c r="D30" s="3">
        <v>8659</v>
      </c>
      <c r="E30" s="37">
        <f t="shared" si="8"/>
        <v>650</v>
      </c>
      <c r="F30" s="3">
        <v>9259000</v>
      </c>
      <c r="G30" s="37">
        <f t="shared" si="5"/>
        <v>588.6</v>
      </c>
      <c r="H30" s="3">
        <v>793178</v>
      </c>
      <c r="I30" s="42">
        <f t="shared" si="6"/>
        <v>4.5359999999999996</v>
      </c>
      <c r="J30" s="19">
        <f t="shared" si="3"/>
        <v>2303.136</v>
      </c>
      <c r="K30" s="20">
        <f t="shared" si="4"/>
        <v>13496.376960000001</v>
      </c>
    </row>
    <row r="31" spans="1:25" ht="16.5" thickBot="1" x14ac:dyDescent="0.3">
      <c r="A31" s="9">
        <v>44710</v>
      </c>
      <c r="B31" s="3">
        <v>449961</v>
      </c>
      <c r="C31" s="37">
        <f t="shared" si="7"/>
        <v>1210</v>
      </c>
      <c r="D31" s="3">
        <v>8704</v>
      </c>
      <c r="E31" s="37">
        <f t="shared" si="8"/>
        <v>450</v>
      </c>
      <c r="F31" s="3">
        <v>9281300</v>
      </c>
      <c r="G31" s="37">
        <f t="shared" si="5"/>
        <v>602.1</v>
      </c>
      <c r="H31" s="3">
        <v>793359</v>
      </c>
      <c r="I31" s="42">
        <f t="shared" si="6"/>
        <v>4.8869999999999996</v>
      </c>
      <c r="J31" s="19">
        <f t="shared" si="3"/>
        <v>2266.9870000000001</v>
      </c>
      <c r="K31" s="20">
        <f t="shared" si="4"/>
        <v>13284.543820000001</v>
      </c>
    </row>
    <row r="32" spans="1:25" ht="16.5" thickBot="1" x14ac:dyDescent="0.3">
      <c r="A32" s="9">
        <v>44711</v>
      </c>
      <c r="B32" s="3">
        <v>450062</v>
      </c>
      <c r="C32" s="37">
        <f t="shared" si="7"/>
        <v>1010</v>
      </c>
      <c r="D32" s="3">
        <v>8745</v>
      </c>
      <c r="E32" s="37">
        <f t="shared" si="8"/>
        <v>410</v>
      </c>
      <c r="F32" s="3">
        <v>9299600</v>
      </c>
      <c r="G32" s="37">
        <f t="shared" si="5"/>
        <v>494.1</v>
      </c>
      <c r="H32" s="3">
        <v>793563</v>
      </c>
      <c r="I32" s="42">
        <f t="shared" si="6"/>
        <v>5.508</v>
      </c>
      <c r="J32" s="19">
        <f t="shared" si="3"/>
        <v>1919.6079999999999</v>
      </c>
      <c r="K32" s="20">
        <f t="shared" si="4"/>
        <v>11248.90288</v>
      </c>
    </row>
    <row r="33" spans="1:11" ht="16.5" thickBot="1" x14ac:dyDescent="0.3">
      <c r="A33" s="9">
        <v>44712</v>
      </c>
      <c r="B33" s="3">
        <v>460168</v>
      </c>
      <c r="C33" s="37">
        <f t="shared" si="7"/>
        <v>101060</v>
      </c>
      <c r="D33" s="3">
        <v>8793</v>
      </c>
      <c r="E33" s="37">
        <f t="shared" si="8"/>
        <v>480</v>
      </c>
      <c r="F33" s="3">
        <v>9318800</v>
      </c>
      <c r="G33" s="37">
        <f t="shared" si="5"/>
        <v>518.4</v>
      </c>
      <c r="H33" s="3">
        <v>793767</v>
      </c>
      <c r="I33" s="42">
        <f t="shared" si="6"/>
        <v>5.508</v>
      </c>
      <c r="J33" s="19">
        <f t="shared" si="3"/>
        <v>102063.908</v>
      </c>
      <c r="K33" s="20">
        <f t="shared" si="4"/>
        <v>598094.50088000007</v>
      </c>
    </row>
    <row r="34" spans="1:11" ht="16.5" thickBot="1" x14ac:dyDescent="0.3">
      <c r="A34" s="54" t="s">
        <v>23</v>
      </c>
      <c r="B34" s="3"/>
      <c r="C34" s="54">
        <f>SUM(C3:C33)</f>
        <v>131660</v>
      </c>
      <c r="D34" s="3"/>
      <c r="E34" s="54">
        <f>SUM(E3:E33)</f>
        <v>14800</v>
      </c>
      <c r="F34" s="3"/>
      <c r="G34" s="54">
        <f>SUM(G3:G33)</f>
        <v>15325.2</v>
      </c>
      <c r="H34" s="3"/>
      <c r="I34" s="54">
        <f>SUM(I3:I33)</f>
        <v>156.87000000000003</v>
      </c>
      <c r="J34" s="54">
        <f>SUM(J3:J33)</f>
        <v>161942.07</v>
      </c>
      <c r="K34" s="54">
        <f>SUM(K3:K33)</f>
        <v>948980.53020000015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G31" sqref="G3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18261547</v>
      </c>
      <c r="C17" s="43">
        <f t="shared" si="0"/>
        <v>1853</v>
      </c>
    </row>
    <row r="18" spans="1:9" ht="24" thickBot="1" x14ac:dyDescent="0.4">
      <c r="A18" s="9">
        <v>44697</v>
      </c>
      <c r="B18" s="131">
        <v>18263141</v>
      </c>
      <c r="C18" s="43">
        <f t="shared" si="0"/>
        <v>1594</v>
      </c>
      <c r="I18" s="33"/>
    </row>
    <row r="19" spans="1:9" ht="24" thickBot="1" x14ac:dyDescent="0.4">
      <c r="A19" s="9">
        <v>44698</v>
      </c>
      <c r="B19" s="131">
        <v>18265788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18268854</v>
      </c>
      <c r="C20" s="43">
        <f t="shared" si="0"/>
        <v>3066</v>
      </c>
    </row>
    <row r="21" spans="1:9" ht="24" thickBot="1" x14ac:dyDescent="0.4">
      <c r="A21" s="9">
        <v>44700</v>
      </c>
      <c r="B21" s="131">
        <v>18271797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18273854</v>
      </c>
      <c r="C22" s="43">
        <f t="shared" si="0"/>
        <v>2057</v>
      </c>
    </row>
    <row r="23" spans="1:9" ht="24" thickBot="1" x14ac:dyDescent="0.4">
      <c r="A23" s="9">
        <v>44702</v>
      </c>
      <c r="B23" s="131">
        <v>18276227</v>
      </c>
      <c r="C23" s="43">
        <f t="shared" si="0"/>
        <v>2373</v>
      </c>
      <c r="F23" t="s">
        <v>12</v>
      </c>
    </row>
    <row r="24" spans="1:9" ht="24" thickBot="1" x14ac:dyDescent="0.4">
      <c r="A24" s="9">
        <v>44703</v>
      </c>
      <c r="B24" s="131">
        <v>18278299</v>
      </c>
      <c r="C24" s="43">
        <f t="shared" si="0"/>
        <v>2072</v>
      </c>
      <c r="E24" t="s">
        <v>12</v>
      </c>
    </row>
    <row r="25" spans="1:9" ht="24" thickBot="1" x14ac:dyDescent="0.4">
      <c r="A25" s="9">
        <v>44704</v>
      </c>
      <c r="B25" s="131">
        <v>18280587</v>
      </c>
      <c r="C25" s="43">
        <f t="shared" si="0"/>
        <v>2288</v>
      </c>
    </row>
    <row r="26" spans="1:9" ht="24" thickBot="1" x14ac:dyDescent="0.4">
      <c r="A26" s="9">
        <v>44705</v>
      </c>
      <c r="B26" s="131">
        <v>18283219</v>
      </c>
      <c r="C26" s="43">
        <f t="shared" si="0"/>
        <v>2632</v>
      </c>
    </row>
    <row r="27" spans="1:9" ht="24" thickBot="1" x14ac:dyDescent="0.4">
      <c r="A27" s="9">
        <v>44706</v>
      </c>
      <c r="B27" s="131">
        <v>18285524</v>
      </c>
      <c r="C27" s="43">
        <f t="shared" si="0"/>
        <v>2305</v>
      </c>
    </row>
    <row r="28" spans="1:9" ht="24" thickBot="1" x14ac:dyDescent="0.4">
      <c r="A28" s="9">
        <v>44707</v>
      </c>
      <c r="B28" s="131">
        <v>18288637</v>
      </c>
      <c r="C28" s="43">
        <f t="shared" si="0"/>
        <v>3113</v>
      </c>
      <c r="I28" t="s">
        <v>12</v>
      </c>
    </row>
    <row r="29" spans="1:9" ht="24" thickBot="1" x14ac:dyDescent="0.4">
      <c r="A29" s="9">
        <v>44708</v>
      </c>
      <c r="B29" s="131">
        <v>18291196</v>
      </c>
      <c r="C29" s="43">
        <f t="shared" si="0"/>
        <v>2559</v>
      </c>
    </row>
    <row r="30" spans="1:9" ht="24" thickBot="1" x14ac:dyDescent="0.4">
      <c r="A30" s="9">
        <v>44709</v>
      </c>
      <c r="B30" s="131">
        <v>18293656</v>
      </c>
      <c r="C30" s="43">
        <f t="shared" si="0"/>
        <v>2460</v>
      </c>
    </row>
    <row r="31" spans="1:9" ht="24" thickBot="1" x14ac:dyDescent="0.4">
      <c r="A31" s="9">
        <v>44710</v>
      </c>
      <c r="B31" s="131">
        <v>18296441</v>
      </c>
      <c r="C31" s="43">
        <f t="shared" si="0"/>
        <v>2785</v>
      </c>
    </row>
    <row r="32" spans="1:9" ht="24" thickBot="1" x14ac:dyDescent="0.4">
      <c r="A32" s="9">
        <v>44711</v>
      </c>
      <c r="B32" s="131">
        <v>18299143</v>
      </c>
      <c r="C32" s="43">
        <f t="shared" si="0"/>
        <v>2702</v>
      </c>
    </row>
    <row r="33" spans="1:3" ht="24" thickBot="1" x14ac:dyDescent="0.4">
      <c r="A33" s="9">
        <v>44712</v>
      </c>
      <c r="B33" s="131">
        <v>18301254</v>
      </c>
      <c r="C33" s="43">
        <f>IF((B33-B32)&lt;0,"0",(B33-B32))</f>
        <v>2111</v>
      </c>
    </row>
    <row r="34" spans="1:3" ht="24" thickBot="1" x14ac:dyDescent="0.4">
      <c r="A34" s="133" t="s">
        <v>138</v>
      </c>
      <c r="B34" s="133"/>
      <c r="C34" s="133">
        <f>SUM(C3:C33)</f>
        <v>72024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H1" zoomScale="90" zoomScaleNormal="90" workbookViewId="0">
      <pane ySplit="1" topLeftCell="A2" activePane="bottomLeft" state="frozen"/>
      <selection pane="bottomLeft" activeCell="AE34" sqref="AE3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3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>
        <v>23402.137999999999</v>
      </c>
      <c r="C24" s="42">
        <f t="shared" si="22"/>
        <v>8.2340000000003783</v>
      </c>
      <c r="D24" s="26">
        <f t="shared" si="23"/>
        <v>15644.600000000719</v>
      </c>
      <c r="E24" s="157">
        <v>4215.46</v>
      </c>
      <c r="F24" s="42">
        <f t="shared" si="24"/>
        <v>1.8720000000002983</v>
      </c>
      <c r="G24" s="26">
        <f t="shared" si="25"/>
        <v>3556.8000000005668</v>
      </c>
      <c r="H24" s="157">
        <v>5244</v>
      </c>
      <c r="I24" s="42">
        <f t="shared" si="26"/>
        <v>7</v>
      </c>
      <c r="J24" s="26">
        <f t="shared" si="27"/>
        <v>13299.999999999998</v>
      </c>
      <c r="K24" s="7">
        <v>13959.46</v>
      </c>
      <c r="L24" s="42">
        <f t="shared" si="28"/>
        <v>1.2199999999993452</v>
      </c>
      <c r="M24" s="26">
        <f t="shared" si="29"/>
        <v>2317.9999999987558</v>
      </c>
      <c r="N24" s="157">
        <v>3544.5619999999999</v>
      </c>
      <c r="O24" s="42">
        <f t="shared" si="30"/>
        <v>1.3820000000000618</v>
      </c>
      <c r="P24" s="26">
        <f t="shared" si="31"/>
        <v>2625.8000000001175</v>
      </c>
      <c r="Q24" s="157">
        <v>5341.15</v>
      </c>
      <c r="R24" s="42">
        <f t="shared" si="32"/>
        <v>0.71000000000003638</v>
      </c>
      <c r="S24" s="26">
        <f t="shared" si="33"/>
        <v>1349.0000000000691</v>
      </c>
      <c r="T24" s="8">
        <f t="shared" si="35"/>
        <v>20.41800000000012</v>
      </c>
      <c r="U24" s="28">
        <f t="shared" si="34"/>
        <v>38794.200000000223</v>
      </c>
      <c r="W24" s="154">
        <v>44703</v>
      </c>
      <c r="X24" s="155">
        <v>175009</v>
      </c>
      <c r="Y24" s="160">
        <f t="shared" si="21"/>
        <v>237</v>
      </c>
      <c r="Z24" s="155">
        <v>9252</v>
      </c>
      <c r="AA24" s="160">
        <f t="shared" si="21"/>
        <v>6</v>
      </c>
      <c r="AB24" s="155">
        <v>27.4</v>
      </c>
      <c r="AC24" s="160">
        <f t="shared" si="21"/>
        <v>0</v>
      </c>
      <c r="AD24" s="155">
        <v>472</v>
      </c>
      <c r="AE24" s="160">
        <f t="shared" si="21"/>
        <v>3</v>
      </c>
      <c r="AF24" s="155">
        <v>7436</v>
      </c>
      <c r="AG24" s="160">
        <f t="shared" si="21"/>
        <v>10</v>
      </c>
    </row>
    <row r="25" spans="1:33" ht="16.5" thickBot="1" x14ac:dyDescent="0.25">
      <c r="A25" s="9">
        <v>44704</v>
      </c>
      <c r="B25" s="157">
        <v>23410.866000000002</v>
      </c>
      <c r="C25" s="42">
        <f t="shared" si="22"/>
        <v>8.728000000002794</v>
      </c>
      <c r="D25" s="26">
        <f t="shared" si="23"/>
        <v>16583.200000005309</v>
      </c>
      <c r="E25" s="157">
        <v>4217.7560000000003</v>
      </c>
      <c r="F25" s="42">
        <f t="shared" si="24"/>
        <v>2.2960000000002765</v>
      </c>
      <c r="G25" s="26">
        <f t="shared" si="25"/>
        <v>4362.4000000005253</v>
      </c>
      <c r="H25" s="157">
        <v>5252</v>
      </c>
      <c r="I25" s="42">
        <f t="shared" si="26"/>
        <v>8</v>
      </c>
      <c r="J25" s="26">
        <f t="shared" si="27"/>
        <v>15200</v>
      </c>
      <c r="K25" s="7">
        <v>13960.84</v>
      </c>
      <c r="L25" s="42">
        <f t="shared" si="28"/>
        <v>1.3800000000010186</v>
      </c>
      <c r="M25" s="26">
        <f t="shared" si="29"/>
        <v>2622.0000000019354</v>
      </c>
      <c r="N25" s="157">
        <v>3545.886</v>
      </c>
      <c r="O25" s="42">
        <f t="shared" si="30"/>
        <v>1.3240000000000691</v>
      </c>
      <c r="P25" s="26">
        <f t="shared" si="31"/>
        <v>2515.6000000001309</v>
      </c>
      <c r="Q25" s="157">
        <v>5342.66</v>
      </c>
      <c r="R25" s="42">
        <f t="shared" si="32"/>
        <v>1.5100000000002183</v>
      </c>
      <c r="S25" s="26">
        <f t="shared" si="33"/>
        <v>2869.0000000004147</v>
      </c>
      <c r="T25" s="8">
        <f t="shared" si="35"/>
        <v>23.238000000004376</v>
      </c>
      <c r="U25" s="28">
        <f t="shared" si="34"/>
        <v>44152.200000008314</v>
      </c>
      <c r="W25" s="154">
        <v>44704</v>
      </c>
      <c r="X25" s="155">
        <v>175254</v>
      </c>
      <c r="Y25" s="160">
        <f t="shared" si="21"/>
        <v>245</v>
      </c>
      <c r="Z25" s="155">
        <v>9260</v>
      </c>
      <c r="AA25" s="160">
        <f t="shared" si="21"/>
        <v>8</v>
      </c>
      <c r="AB25" s="155">
        <v>27.4</v>
      </c>
      <c r="AC25" s="160">
        <f t="shared" si="21"/>
        <v>0</v>
      </c>
      <c r="AD25" s="155">
        <v>475</v>
      </c>
      <c r="AE25" s="160">
        <f t="shared" si="21"/>
        <v>3</v>
      </c>
      <c r="AF25" s="155">
        <v>7452</v>
      </c>
      <c r="AG25" s="160">
        <f t="shared" si="21"/>
        <v>16</v>
      </c>
    </row>
    <row r="26" spans="1:33" ht="16.5" thickBot="1" x14ac:dyDescent="0.25">
      <c r="A26" s="9">
        <v>44705</v>
      </c>
      <c r="B26" s="157">
        <v>23421.036</v>
      </c>
      <c r="C26" s="42">
        <f t="shared" si="22"/>
        <v>10.169999999998254</v>
      </c>
      <c r="D26" s="26">
        <f t="shared" si="23"/>
        <v>19322.999999996682</v>
      </c>
      <c r="E26" s="157">
        <v>4220.6350000000002</v>
      </c>
      <c r="F26" s="42">
        <f t="shared" si="24"/>
        <v>2.8789999999999054</v>
      </c>
      <c r="G26" s="26">
        <f t="shared" si="25"/>
        <v>5470.0999999998203</v>
      </c>
      <c r="H26" s="157">
        <v>5260</v>
      </c>
      <c r="I26" s="42">
        <f t="shared" si="26"/>
        <v>8</v>
      </c>
      <c r="J26" s="26">
        <f t="shared" si="27"/>
        <v>15200</v>
      </c>
      <c r="K26" s="7">
        <v>13962.48</v>
      </c>
      <c r="L26" s="42">
        <f>IF((K26-K25)&lt;0,"0",(K26-K25))</f>
        <v>1.6399999999994179</v>
      </c>
      <c r="M26" s="26">
        <f t="shared" si="29"/>
        <v>3115.9999999988941</v>
      </c>
      <c r="N26" s="157">
        <v>3547.4160000000002</v>
      </c>
      <c r="O26" s="42">
        <f t="shared" si="30"/>
        <v>1.5300000000002001</v>
      </c>
      <c r="P26" s="26">
        <f t="shared" si="31"/>
        <v>2907.0000000003802</v>
      </c>
      <c r="Q26" s="157">
        <v>5343.89</v>
      </c>
      <c r="R26" s="42">
        <f t="shared" si="32"/>
        <v>1.2300000000004729</v>
      </c>
      <c r="S26" s="26">
        <f t="shared" si="33"/>
        <v>2337.0000000008986</v>
      </c>
      <c r="T26" s="8">
        <f t="shared" si="35"/>
        <v>25.44899999999825</v>
      </c>
      <c r="U26" s="28">
        <f t="shared" si="34"/>
        <v>48353.099999996673</v>
      </c>
      <c r="V26" t="s">
        <v>12</v>
      </c>
      <c r="W26" s="154">
        <v>44705</v>
      </c>
      <c r="X26" s="155">
        <v>175430</v>
      </c>
      <c r="Y26" s="160">
        <f t="shared" si="21"/>
        <v>176</v>
      </c>
      <c r="Z26" s="155">
        <v>9265</v>
      </c>
      <c r="AA26" s="160">
        <f t="shared" si="21"/>
        <v>5</v>
      </c>
      <c r="AB26" s="155">
        <v>27.4</v>
      </c>
      <c r="AC26" s="160">
        <f t="shared" si="21"/>
        <v>0</v>
      </c>
      <c r="AD26" s="155">
        <v>478</v>
      </c>
      <c r="AE26" s="160">
        <f t="shared" si="21"/>
        <v>3</v>
      </c>
      <c r="AF26" s="155">
        <v>7466</v>
      </c>
      <c r="AG26" s="160">
        <f t="shared" si="21"/>
        <v>14</v>
      </c>
    </row>
    <row r="27" spans="1:33" ht="16.5" thickBot="1" x14ac:dyDescent="0.25">
      <c r="A27" s="9">
        <v>44706</v>
      </c>
      <c r="B27" s="157">
        <v>23431.261999999999</v>
      </c>
      <c r="C27" s="42">
        <f t="shared" si="22"/>
        <v>10.225999999998749</v>
      </c>
      <c r="D27" s="26">
        <f t="shared" si="23"/>
        <v>19429.399999997622</v>
      </c>
      <c r="E27" s="157">
        <v>4223.1270000000004</v>
      </c>
      <c r="F27" s="42">
        <f t="shared" si="24"/>
        <v>2.4920000000001892</v>
      </c>
      <c r="G27" s="26">
        <f t="shared" si="25"/>
        <v>4734.8000000003594</v>
      </c>
      <c r="H27" s="157">
        <v>5269</v>
      </c>
      <c r="I27" s="42">
        <f t="shared" si="26"/>
        <v>9</v>
      </c>
      <c r="J27" s="26">
        <f t="shared" si="27"/>
        <v>17099.999999999996</v>
      </c>
      <c r="K27" s="7">
        <v>13963.73</v>
      </c>
      <c r="L27" s="42">
        <f t="shared" si="28"/>
        <v>1.25</v>
      </c>
      <c r="M27" s="26">
        <f t="shared" si="29"/>
        <v>2375</v>
      </c>
      <c r="N27" s="157">
        <v>3549.05</v>
      </c>
      <c r="O27" s="42">
        <f t="shared" si="30"/>
        <v>1.6340000000000146</v>
      </c>
      <c r="P27" s="26">
        <f t="shared" si="31"/>
        <v>3104.6000000000276</v>
      </c>
      <c r="Q27" s="157">
        <v>5345.16</v>
      </c>
      <c r="R27" s="42">
        <f t="shared" si="32"/>
        <v>1.2699999999995271</v>
      </c>
      <c r="S27" s="26">
        <f t="shared" si="33"/>
        <v>2412.9999999991014</v>
      </c>
      <c r="T27" s="8">
        <f t="shared" si="35"/>
        <v>25.871999999998479</v>
      </c>
      <c r="U27" s="28">
        <f t="shared" si="34"/>
        <v>49156.799999997107</v>
      </c>
      <c r="V27" t="s">
        <v>12</v>
      </c>
      <c r="W27" s="154">
        <v>44706</v>
      </c>
      <c r="X27" s="155">
        <v>175615</v>
      </c>
      <c r="Y27" s="160">
        <f t="shared" si="21"/>
        <v>185</v>
      </c>
      <c r="Z27" s="155">
        <v>9271</v>
      </c>
      <c r="AA27" s="160">
        <f t="shared" si="21"/>
        <v>6</v>
      </c>
      <c r="AB27" s="155">
        <v>27.4</v>
      </c>
      <c r="AC27" s="160">
        <f t="shared" si="21"/>
        <v>0</v>
      </c>
      <c r="AD27" s="155">
        <v>480</v>
      </c>
      <c r="AE27" s="160">
        <f t="shared" si="21"/>
        <v>2</v>
      </c>
      <c r="AF27" s="155">
        <v>7477</v>
      </c>
      <c r="AG27" s="160">
        <f t="shared" si="21"/>
        <v>11</v>
      </c>
    </row>
    <row r="28" spans="1:33" ht="16.5" thickBot="1" x14ac:dyDescent="0.25">
      <c r="A28" s="9">
        <v>44707</v>
      </c>
      <c r="B28" s="157">
        <v>23442.754000000001</v>
      </c>
      <c r="C28" s="42">
        <f t="shared" si="22"/>
        <v>11.492000000002008</v>
      </c>
      <c r="D28" s="26">
        <f t="shared" si="23"/>
        <v>21834.800000003812</v>
      </c>
      <c r="E28" s="157">
        <v>4225.942</v>
      </c>
      <c r="F28" s="42">
        <f t="shared" si="24"/>
        <v>2.8149999999995998</v>
      </c>
      <c r="G28" s="26">
        <f t="shared" si="25"/>
        <v>5348.4999999992397</v>
      </c>
      <c r="H28" s="157">
        <v>5277</v>
      </c>
      <c r="I28" s="42">
        <f t="shared" si="26"/>
        <v>8</v>
      </c>
      <c r="J28" s="26">
        <f t="shared" si="27"/>
        <v>15200</v>
      </c>
      <c r="K28" s="7">
        <v>13965.17</v>
      </c>
      <c r="L28" s="42">
        <f t="shared" si="28"/>
        <v>1.4400000000005093</v>
      </c>
      <c r="M28" s="26">
        <f t="shared" si="29"/>
        <v>2736.0000000009672</v>
      </c>
      <c r="N28" s="157">
        <v>3550.9250000000002</v>
      </c>
      <c r="O28" s="42">
        <f t="shared" si="30"/>
        <v>1.875</v>
      </c>
      <c r="P28" s="26">
        <f t="shared" si="31"/>
        <v>3562.5</v>
      </c>
      <c r="Q28" s="157">
        <v>5346.49</v>
      </c>
      <c r="R28" s="42">
        <f t="shared" si="32"/>
        <v>1.3299999999999272</v>
      </c>
      <c r="S28" s="26">
        <f t="shared" si="33"/>
        <v>2526.9999999998618</v>
      </c>
      <c r="T28" s="8">
        <f t="shared" si="35"/>
        <v>26.952000000002045</v>
      </c>
      <c r="U28" s="28">
        <f t="shared" si="34"/>
        <v>51208.800000003881</v>
      </c>
      <c r="W28" s="154">
        <v>44707</v>
      </c>
      <c r="X28" s="155">
        <v>175822</v>
      </c>
      <c r="Y28" s="160">
        <f t="shared" si="21"/>
        <v>207</v>
      </c>
      <c r="Z28" s="155">
        <v>9277</v>
      </c>
      <c r="AA28" s="160">
        <f t="shared" si="21"/>
        <v>6</v>
      </c>
      <c r="AB28" s="155">
        <v>27.5</v>
      </c>
      <c r="AC28" s="160">
        <f t="shared" si="21"/>
        <v>0.10000000000000142</v>
      </c>
      <c r="AD28" s="155">
        <v>483</v>
      </c>
      <c r="AE28" s="160">
        <f t="shared" si="21"/>
        <v>3</v>
      </c>
      <c r="AF28" s="155">
        <v>7490</v>
      </c>
      <c r="AG28" s="160">
        <f t="shared" si="21"/>
        <v>13</v>
      </c>
    </row>
    <row r="29" spans="1:33" ht="16.5" thickBot="1" x14ac:dyDescent="0.25">
      <c r="A29" s="9">
        <v>44708</v>
      </c>
      <c r="B29" s="157">
        <v>23454.187999999998</v>
      </c>
      <c r="C29" s="42">
        <f t="shared" si="22"/>
        <v>11.433999999997468</v>
      </c>
      <c r="D29" s="26">
        <f t="shared" si="23"/>
        <v>21724.599999995189</v>
      </c>
      <c r="E29" s="157">
        <v>4227.9799999999996</v>
      </c>
      <c r="F29" s="42">
        <f t="shared" si="24"/>
        <v>2.0379999999995562</v>
      </c>
      <c r="G29" s="26">
        <f t="shared" si="25"/>
        <v>3872.1999999991567</v>
      </c>
      <c r="H29" s="157">
        <v>5285</v>
      </c>
      <c r="I29" s="42">
        <f t="shared" si="26"/>
        <v>8</v>
      </c>
      <c r="J29" s="26">
        <f t="shared" si="27"/>
        <v>15200</v>
      </c>
      <c r="K29" s="7">
        <v>13966.59</v>
      </c>
      <c r="L29" s="42">
        <f t="shared" si="28"/>
        <v>1.4200000000000728</v>
      </c>
      <c r="M29" s="26">
        <f t="shared" si="29"/>
        <v>2698.0000000001382</v>
      </c>
      <c r="N29" s="157">
        <v>3552.625</v>
      </c>
      <c r="O29" s="42">
        <f t="shared" si="30"/>
        <v>1.6999999999998181</v>
      </c>
      <c r="P29" s="26">
        <f t="shared" si="31"/>
        <v>3229.9999999996539</v>
      </c>
      <c r="Q29" s="157">
        <v>5347.6</v>
      </c>
      <c r="R29" s="42">
        <f t="shared" si="32"/>
        <v>1.1100000000005821</v>
      </c>
      <c r="S29" s="26">
        <f t="shared" si="33"/>
        <v>2109.0000000011059</v>
      </c>
      <c r="T29" s="8">
        <f t="shared" si="35"/>
        <v>25.701999999997497</v>
      </c>
      <c r="U29" s="28">
        <f t="shared" si="34"/>
        <v>48833.799999995244</v>
      </c>
      <c r="W29" s="154">
        <v>44708</v>
      </c>
      <c r="X29" s="155">
        <v>176039</v>
      </c>
      <c r="Y29" s="160">
        <f t="shared" si="21"/>
        <v>217</v>
      </c>
      <c r="Z29" s="155">
        <v>9284</v>
      </c>
      <c r="AA29" s="160">
        <f t="shared" si="21"/>
        <v>7</v>
      </c>
      <c r="AB29" s="155">
        <v>27.5</v>
      </c>
      <c r="AC29" s="160">
        <f t="shared" si="21"/>
        <v>0</v>
      </c>
      <c r="AD29" s="155">
        <v>485</v>
      </c>
      <c r="AE29" s="160">
        <f t="shared" si="21"/>
        <v>2</v>
      </c>
      <c r="AF29" s="155">
        <v>7506</v>
      </c>
      <c r="AG29" s="160">
        <f t="shared" si="21"/>
        <v>16</v>
      </c>
    </row>
    <row r="30" spans="1:33" ht="16.5" thickBot="1" x14ac:dyDescent="0.25">
      <c r="A30" s="9">
        <v>44709</v>
      </c>
      <c r="B30" s="157">
        <v>23466.111000000001</v>
      </c>
      <c r="C30" s="42">
        <f t="shared" si="22"/>
        <v>11.923000000002503</v>
      </c>
      <c r="D30" s="26">
        <f t="shared" si="23"/>
        <v>22653.700000004756</v>
      </c>
      <c r="E30" s="157">
        <v>4229.777</v>
      </c>
      <c r="F30" s="42">
        <f t="shared" si="24"/>
        <v>1.7970000000004802</v>
      </c>
      <c r="G30" s="26">
        <f t="shared" si="25"/>
        <v>3414.300000000912</v>
      </c>
      <c r="H30" s="157">
        <v>5294</v>
      </c>
      <c r="I30" s="42">
        <f t="shared" si="26"/>
        <v>9</v>
      </c>
      <c r="J30" s="26">
        <f t="shared" si="27"/>
        <v>17099.999999999996</v>
      </c>
      <c r="K30" s="7">
        <v>13968.08</v>
      </c>
      <c r="L30" s="42">
        <f t="shared" si="28"/>
        <v>1.4899999999997817</v>
      </c>
      <c r="M30" s="26">
        <f t="shared" si="29"/>
        <v>2830.9999999995853</v>
      </c>
      <c r="N30" s="157">
        <v>3554.3319999999999</v>
      </c>
      <c r="O30" s="42">
        <f t="shared" si="30"/>
        <v>1.7069999999998799</v>
      </c>
      <c r="P30" s="26">
        <f t="shared" si="31"/>
        <v>3243.2999999997719</v>
      </c>
      <c r="Q30" s="157">
        <v>5349.19</v>
      </c>
      <c r="R30" s="42">
        <f t="shared" si="32"/>
        <v>1.589999999999236</v>
      </c>
      <c r="S30" s="26">
        <f t="shared" si="33"/>
        <v>3020.999999998548</v>
      </c>
      <c r="T30" s="8">
        <f t="shared" si="35"/>
        <v>27.507000000001881</v>
      </c>
      <c r="U30" s="28">
        <f t="shared" si="34"/>
        <v>52263.300000003568</v>
      </c>
      <c r="W30" s="154">
        <v>44709</v>
      </c>
      <c r="X30" s="155">
        <v>176263</v>
      </c>
      <c r="Y30" s="160">
        <f t="shared" si="21"/>
        <v>224</v>
      </c>
      <c r="Z30" s="155">
        <v>9290</v>
      </c>
      <c r="AA30" s="160">
        <f t="shared" si="21"/>
        <v>6</v>
      </c>
      <c r="AB30" s="155">
        <v>27.5</v>
      </c>
      <c r="AC30" s="160">
        <f t="shared" si="21"/>
        <v>0</v>
      </c>
      <c r="AD30" s="155">
        <v>488</v>
      </c>
      <c r="AE30" s="160">
        <f t="shared" si="21"/>
        <v>3</v>
      </c>
      <c r="AF30" s="155">
        <v>7522</v>
      </c>
      <c r="AG30" s="160">
        <f t="shared" si="21"/>
        <v>16</v>
      </c>
    </row>
    <row r="31" spans="1:33" ht="16.5" thickBot="1" x14ac:dyDescent="0.25">
      <c r="A31" s="9">
        <v>44710</v>
      </c>
      <c r="B31" s="157">
        <v>23477.814999999999</v>
      </c>
      <c r="C31" s="42">
        <f t="shared" si="22"/>
        <v>11.703999999997905</v>
      </c>
      <c r="D31" s="26">
        <f t="shared" si="23"/>
        <v>22237.599999996019</v>
      </c>
      <c r="E31" s="157">
        <v>4231.991</v>
      </c>
      <c r="F31" s="42">
        <f t="shared" si="24"/>
        <v>2.2139999999999418</v>
      </c>
      <c r="G31" s="26">
        <f t="shared" si="25"/>
        <v>4206.5999999998885</v>
      </c>
      <c r="H31" s="157">
        <v>5302</v>
      </c>
      <c r="I31" s="42">
        <f t="shared" si="26"/>
        <v>8</v>
      </c>
      <c r="J31" s="26">
        <f t="shared" si="27"/>
        <v>15200</v>
      </c>
      <c r="K31" s="7">
        <v>13969.52</v>
      </c>
      <c r="L31" s="42">
        <f t="shared" si="28"/>
        <v>1.4400000000005093</v>
      </c>
      <c r="M31" s="26">
        <f t="shared" si="29"/>
        <v>2736.0000000009672</v>
      </c>
      <c r="N31" s="157">
        <v>3556.1390000000001</v>
      </c>
      <c r="O31" s="42">
        <f t="shared" si="30"/>
        <v>1.8070000000002437</v>
      </c>
      <c r="P31" s="26">
        <f t="shared" si="31"/>
        <v>3433.3000000004627</v>
      </c>
      <c r="Q31" s="157">
        <v>5350.64</v>
      </c>
      <c r="R31" s="42">
        <f t="shared" si="32"/>
        <v>1.4500000000007276</v>
      </c>
      <c r="S31" s="26">
        <f t="shared" si="33"/>
        <v>2755.0000000013824</v>
      </c>
      <c r="T31" s="8">
        <f t="shared" si="35"/>
        <v>26.614999999999327</v>
      </c>
      <c r="U31" s="28">
        <f t="shared" si="34"/>
        <v>50568.499999998719</v>
      </c>
      <c r="W31" s="154">
        <v>44710</v>
      </c>
      <c r="X31" s="155">
        <v>176576</v>
      </c>
      <c r="Y31" s="160">
        <f t="shared" si="21"/>
        <v>313</v>
      </c>
      <c r="Z31" s="155">
        <v>9298</v>
      </c>
      <c r="AA31" s="160">
        <f t="shared" si="21"/>
        <v>8</v>
      </c>
      <c r="AB31" s="155">
        <v>27.8</v>
      </c>
      <c r="AC31" s="160">
        <f t="shared" si="21"/>
        <v>0.30000000000000071</v>
      </c>
      <c r="AD31" s="155">
        <v>491</v>
      </c>
      <c r="AE31" s="160">
        <f t="shared" si="21"/>
        <v>3</v>
      </c>
      <c r="AF31" s="155">
        <v>7538</v>
      </c>
      <c r="AG31" s="160">
        <f t="shared" si="21"/>
        <v>16</v>
      </c>
    </row>
    <row r="32" spans="1:33" ht="16.5" thickBot="1" x14ac:dyDescent="0.25">
      <c r="A32" s="9">
        <v>44711</v>
      </c>
      <c r="B32" s="157">
        <v>23490.011999999999</v>
      </c>
      <c r="C32" s="42">
        <f t="shared" si="22"/>
        <v>12.197000000000116</v>
      </c>
      <c r="D32" s="26">
        <f t="shared" si="23"/>
        <v>23174.300000000218</v>
      </c>
      <c r="E32" s="157">
        <v>4234.7110000000002</v>
      </c>
      <c r="F32" s="42">
        <f t="shared" si="24"/>
        <v>2.7200000000002547</v>
      </c>
      <c r="G32" s="26">
        <f t="shared" si="25"/>
        <v>5168.0000000004829</v>
      </c>
      <c r="H32" s="157">
        <v>5310</v>
      </c>
      <c r="I32" s="42">
        <f t="shared" si="26"/>
        <v>8</v>
      </c>
      <c r="J32" s="26">
        <f t="shared" si="27"/>
        <v>15200</v>
      </c>
      <c r="K32" s="7">
        <v>13971.11</v>
      </c>
      <c r="L32" s="42">
        <f t="shared" si="28"/>
        <v>1.5900000000001455</v>
      </c>
      <c r="M32" s="26">
        <f t="shared" si="29"/>
        <v>3021.000000000276</v>
      </c>
      <c r="N32" s="157">
        <v>3557.674</v>
      </c>
      <c r="O32" s="42">
        <f t="shared" si="30"/>
        <v>1.5349999999998545</v>
      </c>
      <c r="P32" s="26">
        <f t="shared" si="31"/>
        <v>2916.4999999997235</v>
      </c>
      <c r="Q32" s="157">
        <v>5352.14</v>
      </c>
      <c r="R32" s="42">
        <f t="shared" si="32"/>
        <v>1.5</v>
      </c>
      <c r="S32" s="26">
        <f t="shared" si="33"/>
        <v>2849.9999999999995</v>
      </c>
      <c r="T32" s="8">
        <f t="shared" si="35"/>
        <v>27.542000000000371</v>
      </c>
      <c r="U32" s="28">
        <f t="shared" si="34"/>
        <v>52329.800000000701</v>
      </c>
      <c r="W32" s="154">
        <v>44711</v>
      </c>
      <c r="X32" s="155">
        <v>176891</v>
      </c>
      <c r="Y32" s="160">
        <f t="shared" ref="Y32" si="49">IF((X32-X31)&lt;0,"0",(X32-X31))</f>
        <v>315</v>
      </c>
      <c r="Z32" s="155">
        <v>9307</v>
      </c>
      <c r="AA32" s="160">
        <f t="shared" ref="AA32" si="50">IF((Z32-Z31)&lt;0,"0",(Z32-Z31))</f>
        <v>9</v>
      </c>
      <c r="AB32" s="155">
        <v>27.8</v>
      </c>
      <c r="AC32" s="160">
        <f t="shared" ref="AC32" si="51">IF((AB32-AB31)&lt;0,"0",(AB32-AB31))</f>
        <v>0</v>
      </c>
      <c r="AD32" s="155">
        <v>493</v>
      </c>
      <c r="AE32" s="160">
        <f t="shared" ref="AE32" si="52">IF((AD32-AD31)&lt;0,"0",(AD32-AD31))</f>
        <v>2</v>
      </c>
      <c r="AF32" s="155">
        <v>7552</v>
      </c>
      <c r="AG32" s="160">
        <f t="shared" ref="AG32" si="53">IF((AF32-AF31)&lt;0,"0",(AF32-AF31))</f>
        <v>14</v>
      </c>
    </row>
    <row r="33" spans="1:33" ht="16.5" thickBot="1" x14ac:dyDescent="0.25">
      <c r="A33" s="9">
        <v>44712</v>
      </c>
      <c r="B33" s="157">
        <v>23502.538</v>
      </c>
      <c r="C33" s="42">
        <f t="shared" si="22"/>
        <v>12.526000000001659</v>
      </c>
      <c r="D33" s="26">
        <f t="shared" ref="D33" si="54">C33*1.9*1000</f>
        <v>23799.400000003148</v>
      </c>
      <c r="E33" s="157">
        <v>4237.6909999999998</v>
      </c>
      <c r="F33" s="42">
        <f t="shared" ref="F33" si="55">IF((E33-E32)&lt;0,"0",(E33-E32))</f>
        <v>2.9799999999995634</v>
      </c>
      <c r="G33" s="26">
        <f t="shared" ref="G33" si="56">F33*1.9*1000</f>
        <v>5661.9999999991705</v>
      </c>
      <c r="H33" s="157">
        <v>5319</v>
      </c>
      <c r="I33" s="42">
        <f t="shared" ref="I33" si="57">IF((H33-H32)&lt;0,"0",(H33-H32))</f>
        <v>9</v>
      </c>
      <c r="J33" s="26">
        <f t="shared" ref="J33" si="58">I33*1.9*1000</f>
        <v>17099.999999999996</v>
      </c>
      <c r="K33" s="7">
        <v>13972.91</v>
      </c>
      <c r="L33" s="42">
        <f t="shared" ref="L33" si="59">IF((K33-K32)&lt;0,"0",(K33-K32))</f>
        <v>1.7999999999992724</v>
      </c>
      <c r="M33" s="26">
        <f t="shared" ref="M33" si="60">L33*1.9*1000</f>
        <v>3419.9999999986176</v>
      </c>
      <c r="N33" s="157">
        <v>3559.3270000000002</v>
      </c>
      <c r="O33" s="42">
        <f t="shared" ref="O33" si="61">IF((N33-N32)&lt;0,"0",(N33-N32))</f>
        <v>1.6530000000002474</v>
      </c>
      <c r="P33" s="26">
        <f t="shared" ref="P33" si="62">O33*1.9*1000</f>
        <v>3140.7000000004696</v>
      </c>
      <c r="Q33" s="157">
        <v>5353.8</v>
      </c>
      <c r="R33" s="42">
        <f t="shared" ref="R33" si="63">IF((Q33-Q32)&lt;0,"0",(Q33-Q32))</f>
        <v>1.6599999999998545</v>
      </c>
      <c r="S33" s="26">
        <f t="shared" ref="S33" si="64">R33*1.9*1000</f>
        <v>3153.9999999997231</v>
      </c>
      <c r="T33" s="8">
        <f t="shared" ref="T33" si="65">C33+F33+I33+L33+O33+R33</f>
        <v>29.619000000000597</v>
      </c>
      <c r="U33" s="28">
        <f t="shared" ref="U33" si="66">T33*1.9*1000</f>
        <v>56276.100000001126</v>
      </c>
      <c r="W33" s="154">
        <v>44712</v>
      </c>
      <c r="X33" s="155">
        <v>177190</v>
      </c>
      <c r="Y33" s="160">
        <f t="shared" ref="Y33" si="67">IF((X33-X32)&lt;0,"0",(X33-X32))</f>
        <v>299</v>
      </c>
      <c r="Z33" s="155">
        <v>9314</v>
      </c>
      <c r="AA33" s="160">
        <f t="shared" ref="AA33" si="68">IF((Z33-Z32)&lt;0,"0",(Z33-Z32))</f>
        <v>7</v>
      </c>
      <c r="AB33" s="155">
        <v>28</v>
      </c>
      <c r="AC33" s="160">
        <f t="shared" ref="AC33" si="69">IF((AB33-AB32)&lt;0,"0",(AB33-AB32))</f>
        <v>0.19999999999999929</v>
      </c>
      <c r="AD33" s="155">
        <v>495</v>
      </c>
      <c r="AE33" s="160">
        <f t="shared" ref="AE33" si="70">IF((AD33-AD32)&lt;0,"0",(AD33-AD32))</f>
        <v>2</v>
      </c>
      <c r="AF33" s="155">
        <v>7566</v>
      </c>
      <c r="AG33" s="160">
        <f t="shared" ref="AG33" si="71">IF((AF33-AF32)&lt;0,"0",(AF33-AF32))</f>
        <v>14</v>
      </c>
    </row>
    <row r="34" spans="1:33" s="21" customFormat="1" ht="16.5" thickBot="1" x14ac:dyDescent="0.25">
      <c r="A34" s="158" t="s">
        <v>23</v>
      </c>
      <c r="B34" s="158"/>
      <c r="C34" s="42">
        <f>SUM(C2:C32)</f>
        <v>274.52499999999782</v>
      </c>
      <c r="D34" s="135">
        <f>SUM(D3:D32)</f>
        <v>521597.49999999587</v>
      </c>
      <c r="E34" s="135"/>
      <c r="F34" s="42">
        <f>SUM(F2:F32)</f>
        <v>57.454000000000633</v>
      </c>
      <c r="G34" s="135">
        <f>SUM(G3:G32)</f>
        <v>109162.60000000118</v>
      </c>
      <c r="H34" s="135"/>
      <c r="I34" s="42">
        <f>SUM(I2:I32)</f>
        <v>203</v>
      </c>
      <c r="J34" s="135">
        <f>SUM(J3:J32)</f>
        <v>385700</v>
      </c>
      <c r="K34" s="135"/>
      <c r="L34" s="42">
        <f>SUM(L2:L32)</f>
        <v>44.989999999999782</v>
      </c>
      <c r="M34" s="135">
        <f>SUM(M3:M32)</f>
        <v>85480.999999999578</v>
      </c>
      <c r="N34" s="135"/>
      <c r="O34" s="42">
        <f>SUM(O2:O32)</f>
        <v>47.173999999999978</v>
      </c>
      <c r="P34" s="135">
        <f>SUM(P3:P32)</f>
        <v>89630.599999999933</v>
      </c>
      <c r="Q34" s="135"/>
      <c r="R34" s="42">
        <f>SUM(R3:R32)</f>
        <v>38.340000000000146</v>
      </c>
      <c r="S34" s="135">
        <f>SUM(S3:S32)</f>
        <v>72846.000000000276</v>
      </c>
      <c r="T34" s="135">
        <f>SUM(T3:T32)</f>
        <v>665.48299999999836</v>
      </c>
      <c r="U34" s="135">
        <f>SUM(U3:U32)</f>
        <v>1264417.6999999969</v>
      </c>
      <c r="V34"/>
      <c r="W34" s="135" t="s">
        <v>141</v>
      </c>
      <c r="X34" s="135"/>
      <c r="Y34" s="135">
        <f>SUM(Y2:Y33)</f>
        <v>6029</v>
      </c>
      <c r="Z34" s="135"/>
      <c r="AA34" s="135">
        <f>SUM(AA2:AA33)</f>
        <v>237</v>
      </c>
      <c r="AB34" s="135"/>
      <c r="AC34" s="135">
        <f>SUM(AC2:AC33)</f>
        <v>1</v>
      </c>
      <c r="AD34" s="135"/>
      <c r="AE34" s="135">
        <f>SUM(AE2:AE33)</f>
        <v>70</v>
      </c>
      <c r="AF34" s="135">
        <v>0</v>
      </c>
      <c r="AG34" s="135">
        <f>SUM(AG2:AG33)</f>
        <v>1055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="85" zoomScaleNormal="85" workbookViewId="0">
      <pane ySplit="1" topLeftCell="A2" activePane="bottomLeft" state="frozen"/>
      <selection pane="bottomLeft" activeCell="U26" sqref="U2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19" max="19" width="12.85546875" customWidth="1"/>
    <col min="20" max="20" width="15.42578125" customWidth="1"/>
    <col min="21" max="21" width="15.140625" customWidth="1"/>
    <col min="22" max="22" width="25.85546875" customWidth="1"/>
  </cols>
  <sheetData>
    <row r="1" spans="2:22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  <c r="Q1" s="56" t="s">
        <v>77</v>
      </c>
      <c r="R1" s="57" t="s">
        <v>78</v>
      </c>
      <c r="S1" s="57" t="s">
        <v>148</v>
      </c>
      <c r="T1" s="57" t="s">
        <v>149</v>
      </c>
      <c r="U1" s="57" t="s">
        <v>91</v>
      </c>
      <c r="V1" s="58" t="s">
        <v>79</v>
      </c>
    </row>
    <row r="2" spans="2:22" ht="15" x14ac:dyDescent="0.2">
      <c r="B2" s="55"/>
      <c r="C2" s="184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84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  <c r="Q2" s="184">
        <v>6</v>
      </c>
      <c r="R2" s="59" t="s">
        <v>80</v>
      </c>
      <c r="S2" s="60">
        <v>287220</v>
      </c>
      <c r="T2" s="60">
        <v>287938</v>
      </c>
      <c r="U2" s="61">
        <f t="shared" ref="U2:U4" si="0">IF((T2-S2)&lt;0,"0",(T2-S2))</f>
        <v>718</v>
      </c>
      <c r="V2" s="62"/>
    </row>
    <row r="3" spans="2:22" ht="15" x14ac:dyDescent="0.2">
      <c r="B3" s="55"/>
      <c r="C3" s="189"/>
      <c r="D3" s="59" t="s">
        <v>81</v>
      </c>
      <c r="E3" s="60">
        <v>248873</v>
      </c>
      <c r="F3" s="60">
        <v>249821</v>
      </c>
      <c r="G3" s="61">
        <f t="shared" ref="G3:G43" si="1">F3-E3</f>
        <v>948</v>
      </c>
      <c r="H3" s="62"/>
      <c r="J3" s="189"/>
      <c r="K3" s="59" t="s">
        <v>81</v>
      </c>
      <c r="L3" s="60">
        <v>249821</v>
      </c>
      <c r="M3" s="60">
        <v>250379</v>
      </c>
      <c r="N3" s="61">
        <f t="shared" ref="N3:N60" si="2">M3-L3</f>
        <v>558</v>
      </c>
      <c r="O3" s="62"/>
      <c r="Q3" s="189"/>
      <c r="R3" s="59" t="s">
        <v>81</v>
      </c>
      <c r="S3" s="60">
        <v>250379</v>
      </c>
      <c r="T3" s="60">
        <v>250637</v>
      </c>
      <c r="U3" s="61">
        <f t="shared" si="0"/>
        <v>258</v>
      </c>
      <c r="V3" s="62"/>
    </row>
    <row r="4" spans="2:22" ht="15" x14ac:dyDescent="0.2">
      <c r="B4" s="55"/>
      <c r="C4" s="185"/>
      <c r="D4" s="59" t="s">
        <v>82</v>
      </c>
      <c r="E4" s="60">
        <v>194618</v>
      </c>
      <c r="F4" s="60">
        <v>195288</v>
      </c>
      <c r="G4" s="61">
        <f t="shared" si="1"/>
        <v>670</v>
      </c>
      <c r="H4" s="62"/>
      <c r="J4" s="185"/>
      <c r="K4" s="59" t="s">
        <v>82</v>
      </c>
      <c r="L4" s="60">
        <v>195288</v>
      </c>
      <c r="M4" s="60">
        <v>195771</v>
      </c>
      <c r="N4" s="61">
        <f t="shared" si="2"/>
        <v>483</v>
      </c>
      <c r="O4" s="62"/>
      <c r="Q4" s="185"/>
      <c r="R4" s="59" t="s">
        <v>82</v>
      </c>
      <c r="S4" s="60">
        <v>195771</v>
      </c>
      <c r="T4" s="60">
        <v>196128</v>
      </c>
      <c r="U4" s="61">
        <f t="shared" si="0"/>
        <v>357</v>
      </c>
      <c r="V4" s="62"/>
    </row>
    <row r="5" spans="2:22" ht="15" x14ac:dyDescent="0.2">
      <c r="B5" s="55"/>
      <c r="C5" s="184">
        <v>7</v>
      </c>
      <c r="D5" s="59" t="s">
        <v>80</v>
      </c>
      <c r="E5" s="60">
        <v>250252</v>
      </c>
      <c r="F5" s="60">
        <v>251254</v>
      </c>
      <c r="G5" s="61">
        <f t="shared" si="1"/>
        <v>1002</v>
      </c>
      <c r="H5" s="62"/>
      <c r="J5" s="184">
        <v>7</v>
      </c>
      <c r="K5" s="59" t="s">
        <v>80</v>
      </c>
      <c r="L5" s="60">
        <v>251254</v>
      </c>
      <c r="M5" s="60">
        <v>252555</v>
      </c>
      <c r="N5" s="61">
        <f t="shared" si="2"/>
        <v>1301</v>
      </c>
      <c r="O5" s="62"/>
      <c r="Q5" s="184">
        <v>7</v>
      </c>
      <c r="R5" s="59" t="s">
        <v>80</v>
      </c>
      <c r="S5" s="60">
        <v>252555</v>
      </c>
      <c r="T5" s="60">
        <v>253773</v>
      </c>
      <c r="U5" s="61">
        <f>IF((T5-S5)&lt;0,"0",(T5-S5))</f>
        <v>1218</v>
      </c>
      <c r="V5" s="62"/>
    </row>
    <row r="6" spans="2:22" ht="15" x14ac:dyDescent="0.2">
      <c r="B6" s="55"/>
      <c r="C6" s="189"/>
      <c r="D6" s="59" t="s">
        <v>81</v>
      </c>
      <c r="E6" s="60">
        <v>155059</v>
      </c>
      <c r="F6" s="60">
        <v>156177</v>
      </c>
      <c r="G6" s="61">
        <f t="shared" si="1"/>
        <v>1118</v>
      </c>
      <c r="H6" s="62"/>
      <c r="J6" s="189"/>
      <c r="K6" s="59" t="s">
        <v>81</v>
      </c>
      <c r="L6" s="60">
        <v>156177</v>
      </c>
      <c r="M6" s="60">
        <v>156275</v>
      </c>
      <c r="N6" s="61">
        <f t="shared" si="2"/>
        <v>98</v>
      </c>
      <c r="O6" s="62"/>
      <c r="Q6" s="189"/>
      <c r="R6" s="59" t="s">
        <v>81</v>
      </c>
      <c r="S6" s="60">
        <v>156275</v>
      </c>
      <c r="T6" s="60">
        <v>156465</v>
      </c>
      <c r="U6" s="61">
        <f t="shared" ref="U6:U63" si="3">IF((T6-S6)&lt;0,"0",(T6-S6))</f>
        <v>190</v>
      </c>
      <c r="V6" s="62"/>
    </row>
    <row r="7" spans="2:22" ht="15" x14ac:dyDescent="0.2">
      <c r="B7" s="55"/>
      <c r="C7" s="185"/>
      <c r="D7" s="59" t="s">
        <v>82</v>
      </c>
      <c r="E7" s="60">
        <v>129125</v>
      </c>
      <c r="F7" s="60">
        <v>129451</v>
      </c>
      <c r="G7" s="61">
        <f t="shared" si="1"/>
        <v>326</v>
      </c>
      <c r="H7" s="62"/>
      <c r="J7" s="185"/>
      <c r="K7" s="59" t="s">
        <v>82</v>
      </c>
      <c r="L7" s="60">
        <v>129451</v>
      </c>
      <c r="M7" s="60">
        <v>130019</v>
      </c>
      <c r="N7" s="61">
        <f t="shared" si="2"/>
        <v>568</v>
      </c>
      <c r="O7" s="62"/>
      <c r="Q7" s="185"/>
      <c r="R7" s="59" t="s">
        <v>82</v>
      </c>
      <c r="S7" s="60">
        <v>130019</v>
      </c>
      <c r="T7" s="60">
        <v>130529</v>
      </c>
      <c r="U7" s="61">
        <f t="shared" si="3"/>
        <v>510</v>
      </c>
      <c r="V7" s="62"/>
    </row>
    <row r="8" spans="2:22" ht="15" x14ac:dyDescent="0.2">
      <c r="B8" s="55"/>
      <c r="C8" s="184">
        <v>8</v>
      </c>
      <c r="D8" s="59" t="s">
        <v>80</v>
      </c>
      <c r="E8" s="60">
        <v>77730</v>
      </c>
      <c r="F8" s="60">
        <v>77947</v>
      </c>
      <c r="G8" s="61">
        <f t="shared" si="1"/>
        <v>217</v>
      </c>
      <c r="H8" s="62"/>
      <c r="J8" s="184">
        <v>8</v>
      </c>
      <c r="K8" s="59" t="s">
        <v>80</v>
      </c>
      <c r="L8" s="60">
        <v>77947</v>
      </c>
      <c r="M8" s="60">
        <v>78142</v>
      </c>
      <c r="N8" s="61">
        <f t="shared" si="2"/>
        <v>195</v>
      </c>
      <c r="O8" s="62"/>
      <c r="Q8" s="184">
        <v>8</v>
      </c>
      <c r="R8" s="59" t="s">
        <v>80</v>
      </c>
      <c r="S8" s="60">
        <v>78142</v>
      </c>
      <c r="T8" s="60">
        <v>78348</v>
      </c>
      <c r="U8" s="61">
        <f t="shared" si="3"/>
        <v>206</v>
      </c>
      <c r="V8" s="62"/>
    </row>
    <row r="9" spans="2:22" ht="15" x14ac:dyDescent="0.2">
      <c r="B9" s="55"/>
      <c r="C9" s="189"/>
      <c r="D9" s="59" t="s">
        <v>81</v>
      </c>
      <c r="E9" s="60">
        <v>158</v>
      </c>
      <c r="F9" s="60">
        <v>158</v>
      </c>
      <c r="G9" s="61">
        <f t="shared" si="1"/>
        <v>0</v>
      </c>
      <c r="H9" s="63" t="s">
        <v>12</v>
      </c>
      <c r="J9" s="189"/>
      <c r="K9" s="59" t="s">
        <v>81</v>
      </c>
      <c r="L9" s="60">
        <v>158</v>
      </c>
      <c r="M9" s="60">
        <v>158</v>
      </c>
      <c r="N9" s="61">
        <f t="shared" si="2"/>
        <v>0</v>
      </c>
      <c r="O9" s="63" t="s">
        <v>12</v>
      </c>
      <c r="Q9" s="189"/>
      <c r="R9" s="59" t="s">
        <v>81</v>
      </c>
      <c r="S9" s="60">
        <v>158</v>
      </c>
      <c r="T9" s="60">
        <v>158</v>
      </c>
      <c r="U9" s="61">
        <f t="shared" si="3"/>
        <v>0</v>
      </c>
      <c r="V9" s="63" t="s">
        <v>12</v>
      </c>
    </row>
    <row r="10" spans="2:22" ht="15" x14ac:dyDescent="0.2">
      <c r="B10" s="55"/>
      <c r="C10" s="185"/>
      <c r="D10" s="59" t="s">
        <v>82</v>
      </c>
      <c r="E10" s="60">
        <v>102300</v>
      </c>
      <c r="F10" s="60">
        <v>102920</v>
      </c>
      <c r="G10" s="61">
        <f t="shared" si="1"/>
        <v>620</v>
      </c>
      <c r="H10" s="62"/>
      <c r="J10" s="185"/>
      <c r="K10" s="59" t="s">
        <v>82</v>
      </c>
      <c r="L10" s="60">
        <v>102920</v>
      </c>
      <c r="M10" s="60">
        <v>103570</v>
      </c>
      <c r="N10" s="61">
        <f t="shared" si="2"/>
        <v>650</v>
      </c>
      <c r="O10" s="62"/>
      <c r="Q10" s="185"/>
      <c r="R10" s="59" t="s">
        <v>82</v>
      </c>
      <c r="S10" s="60">
        <v>103570</v>
      </c>
      <c r="T10" s="60">
        <v>104361</v>
      </c>
      <c r="U10" s="61">
        <f t="shared" si="3"/>
        <v>791</v>
      </c>
      <c r="V10" s="62"/>
    </row>
    <row r="11" spans="2:22" ht="15" x14ac:dyDescent="0.2">
      <c r="B11" s="55"/>
      <c r="C11" s="184">
        <v>9</v>
      </c>
      <c r="D11" s="59" t="s">
        <v>80</v>
      </c>
      <c r="E11" s="60">
        <v>34798</v>
      </c>
      <c r="F11" s="60">
        <v>34946</v>
      </c>
      <c r="G11" s="61">
        <f t="shared" si="1"/>
        <v>148</v>
      </c>
      <c r="H11" s="62"/>
      <c r="J11" s="184">
        <v>9</v>
      </c>
      <c r="K11" s="59" t="s">
        <v>80</v>
      </c>
      <c r="L11" s="60">
        <v>34946</v>
      </c>
      <c r="M11" s="60">
        <v>34981</v>
      </c>
      <c r="N11" s="61">
        <f t="shared" si="2"/>
        <v>35</v>
      </c>
      <c r="O11" s="62"/>
      <c r="Q11" s="184">
        <v>9</v>
      </c>
      <c r="R11" s="59" t="s">
        <v>80</v>
      </c>
      <c r="S11" s="60">
        <v>34981</v>
      </c>
      <c r="T11" s="60">
        <v>35075</v>
      </c>
      <c r="U11" s="61">
        <f t="shared" si="3"/>
        <v>94</v>
      </c>
      <c r="V11" s="62"/>
    </row>
    <row r="12" spans="2:22" ht="15" x14ac:dyDescent="0.2">
      <c r="B12" s="55"/>
      <c r="C12" s="189"/>
      <c r="D12" s="59" t="s">
        <v>81</v>
      </c>
      <c r="E12" s="60">
        <v>0</v>
      </c>
      <c r="F12" s="60">
        <v>0</v>
      </c>
      <c r="G12" s="61">
        <f t="shared" si="1"/>
        <v>0</v>
      </c>
      <c r="H12" s="63" t="s">
        <v>12</v>
      </c>
      <c r="J12" s="189"/>
      <c r="K12" s="59" t="s">
        <v>81</v>
      </c>
      <c r="L12" s="60">
        <v>0</v>
      </c>
      <c r="M12" s="60">
        <v>0</v>
      </c>
      <c r="N12" s="61">
        <f t="shared" si="2"/>
        <v>0</v>
      </c>
      <c r="O12" s="63" t="s">
        <v>12</v>
      </c>
      <c r="Q12" s="189"/>
      <c r="R12" s="59" t="s">
        <v>81</v>
      </c>
      <c r="S12" s="60">
        <v>0</v>
      </c>
      <c r="T12" s="60">
        <v>0</v>
      </c>
      <c r="U12" s="61">
        <f t="shared" si="3"/>
        <v>0</v>
      </c>
      <c r="V12" s="63" t="s">
        <v>12</v>
      </c>
    </row>
    <row r="13" spans="2:22" ht="15" x14ac:dyDescent="0.2">
      <c r="B13" s="55"/>
      <c r="C13" s="185"/>
      <c r="D13" s="59" t="s">
        <v>82</v>
      </c>
      <c r="E13" s="60">
        <v>29204</v>
      </c>
      <c r="F13" s="60">
        <v>29310</v>
      </c>
      <c r="G13" s="61">
        <f t="shared" si="1"/>
        <v>106</v>
      </c>
      <c r="H13" s="62"/>
      <c r="I13" s="64"/>
      <c r="J13" s="185"/>
      <c r="K13" s="59" t="s">
        <v>82</v>
      </c>
      <c r="L13" s="60">
        <v>29310</v>
      </c>
      <c r="M13" s="60">
        <v>29384</v>
      </c>
      <c r="N13" s="61">
        <f t="shared" si="2"/>
        <v>74</v>
      </c>
      <c r="O13" s="62"/>
      <c r="Q13" s="185"/>
      <c r="R13" s="59" t="s">
        <v>82</v>
      </c>
      <c r="S13" s="60">
        <v>29384</v>
      </c>
      <c r="T13" s="60">
        <v>29487</v>
      </c>
      <c r="U13" s="61">
        <f t="shared" si="3"/>
        <v>103</v>
      </c>
      <c r="V13" s="62"/>
    </row>
    <row r="14" spans="2:22" ht="15" x14ac:dyDescent="0.2">
      <c r="B14" s="55"/>
      <c r="C14" s="184">
        <v>10</v>
      </c>
      <c r="D14" s="59" t="s">
        <v>80</v>
      </c>
      <c r="E14" s="60">
        <v>211813</v>
      </c>
      <c r="F14" s="60">
        <v>213986</v>
      </c>
      <c r="G14" s="61">
        <f t="shared" si="1"/>
        <v>2173</v>
      </c>
      <c r="H14" s="62"/>
      <c r="I14" s="65"/>
      <c r="J14" s="184">
        <v>10</v>
      </c>
      <c r="K14" s="59" t="s">
        <v>80</v>
      </c>
      <c r="L14" s="60">
        <v>213986</v>
      </c>
      <c r="M14" s="60">
        <v>216026</v>
      </c>
      <c r="N14" s="61">
        <f t="shared" si="2"/>
        <v>2040</v>
      </c>
      <c r="O14" s="62"/>
      <c r="Q14" s="184">
        <v>10</v>
      </c>
      <c r="R14" s="59" t="s">
        <v>80</v>
      </c>
      <c r="S14" s="60">
        <v>216026</v>
      </c>
      <c r="T14" s="60">
        <v>217872</v>
      </c>
      <c r="U14" s="61">
        <f t="shared" si="3"/>
        <v>1846</v>
      </c>
      <c r="V14" s="62"/>
    </row>
    <row r="15" spans="2:22" ht="15" x14ac:dyDescent="0.2">
      <c r="B15" s="55"/>
      <c r="C15" s="189"/>
      <c r="D15" s="59" t="s">
        <v>81</v>
      </c>
      <c r="E15" s="60">
        <v>8006</v>
      </c>
      <c r="F15" s="60">
        <v>8006</v>
      </c>
      <c r="G15" s="61">
        <f t="shared" si="1"/>
        <v>0</v>
      </c>
      <c r="H15" s="62"/>
      <c r="I15" s="65"/>
      <c r="J15" s="189"/>
      <c r="K15" s="59" t="s">
        <v>81</v>
      </c>
      <c r="L15" s="60">
        <v>8006</v>
      </c>
      <c r="M15" s="60">
        <v>8006</v>
      </c>
      <c r="N15" s="61">
        <f t="shared" si="2"/>
        <v>0</v>
      </c>
      <c r="O15" s="62"/>
      <c r="Q15" s="189"/>
      <c r="R15" s="59" t="s">
        <v>81</v>
      </c>
      <c r="S15" s="60">
        <v>8006</v>
      </c>
      <c r="T15" s="60">
        <v>8006</v>
      </c>
      <c r="U15" s="61">
        <f t="shared" si="3"/>
        <v>0</v>
      </c>
      <c r="V15" s="62"/>
    </row>
    <row r="16" spans="2:22" ht="15" x14ac:dyDescent="0.2">
      <c r="B16" s="55"/>
      <c r="C16" s="185"/>
      <c r="D16" s="59" t="s">
        <v>82</v>
      </c>
      <c r="E16" s="60">
        <v>194420</v>
      </c>
      <c r="F16" s="60">
        <v>196282</v>
      </c>
      <c r="G16" s="61">
        <f t="shared" si="1"/>
        <v>1862</v>
      </c>
      <c r="H16" s="62"/>
      <c r="I16" s="65"/>
      <c r="J16" s="185"/>
      <c r="K16" s="59" t="s">
        <v>82</v>
      </c>
      <c r="L16" s="60">
        <v>196282</v>
      </c>
      <c r="M16" s="60">
        <v>197791</v>
      </c>
      <c r="N16" s="61">
        <f t="shared" si="2"/>
        <v>1509</v>
      </c>
      <c r="O16" s="62"/>
      <c r="Q16" s="185"/>
      <c r="R16" s="59" t="s">
        <v>82</v>
      </c>
      <c r="S16" s="60">
        <v>197791</v>
      </c>
      <c r="T16" s="60">
        <v>198936</v>
      </c>
      <c r="U16" s="61">
        <f t="shared" si="3"/>
        <v>1145</v>
      </c>
      <c r="V16" s="62"/>
    </row>
    <row r="17" spans="2:22" ht="15" x14ac:dyDescent="0.2">
      <c r="B17" s="55"/>
      <c r="C17" s="184">
        <v>11</v>
      </c>
      <c r="D17" s="59" t="s">
        <v>80</v>
      </c>
      <c r="E17" s="61">
        <v>66985</v>
      </c>
      <c r="F17" s="61">
        <v>67492</v>
      </c>
      <c r="G17" s="61">
        <f t="shared" si="1"/>
        <v>507</v>
      </c>
      <c r="H17" s="62"/>
      <c r="I17" s="65"/>
      <c r="J17" s="184">
        <v>11</v>
      </c>
      <c r="K17" s="59" t="s">
        <v>80</v>
      </c>
      <c r="L17" s="61">
        <v>67492</v>
      </c>
      <c r="M17" s="61">
        <v>67541</v>
      </c>
      <c r="N17" s="61">
        <f t="shared" si="2"/>
        <v>49</v>
      </c>
      <c r="O17" s="62"/>
      <c r="Q17" s="184">
        <v>11</v>
      </c>
      <c r="R17" s="59" t="s">
        <v>80</v>
      </c>
      <c r="S17" s="60">
        <v>67541</v>
      </c>
      <c r="T17" s="60">
        <v>68064</v>
      </c>
      <c r="U17" s="61">
        <f t="shared" si="3"/>
        <v>523</v>
      </c>
      <c r="V17" s="62"/>
    </row>
    <row r="18" spans="2:22" ht="15" x14ac:dyDescent="0.2">
      <c r="B18" s="55"/>
      <c r="C18" s="189"/>
      <c r="D18" s="59" t="s">
        <v>81</v>
      </c>
      <c r="E18" s="61">
        <v>222780</v>
      </c>
      <c r="F18" s="61">
        <v>223502</v>
      </c>
      <c r="G18" s="61">
        <f t="shared" si="1"/>
        <v>722</v>
      </c>
      <c r="H18" s="62"/>
      <c r="I18" s="65"/>
      <c r="J18" s="189"/>
      <c r="K18" s="59" t="s">
        <v>81</v>
      </c>
      <c r="L18" s="61">
        <v>223502</v>
      </c>
      <c r="M18" s="61">
        <v>224068</v>
      </c>
      <c r="N18" s="61">
        <f t="shared" si="2"/>
        <v>566</v>
      </c>
      <c r="O18" s="62"/>
      <c r="Q18" s="189"/>
      <c r="R18" s="59" t="s">
        <v>81</v>
      </c>
      <c r="S18" s="60">
        <v>224068</v>
      </c>
      <c r="T18" s="60">
        <v>225269</v>
      </c>
      <c r="U18" s="61">
        <f t="shared" si="3"/>
        <v>1201</v>
      </c>
      <c r="V18" s="62"/>
    </row>
    <row r="19" spans="2:22" ht="15" x14ac:dyDescent="0.2">
      <c r="B19" s="55"/>
      <c r="C19" s="185"/>
      <c r="D19" s="59" t="s">
        <v>82</v>
      </c>
      <c r="E19" s="60">
        <v>31138</v>
      </c>
      <c r="F19" s="60">
        <v>31204</v>
      </c>
      <c r="G19" s="61">
        <f t="shared" si="1"/>
        <v>66</v>
      </c>
      <c r="H19" s="62"/>
      <c r="I19" s="65"/>
      <c r="J19" s="185"/>
      <c r="K19" s="59" t="s">
        <v>82</v>
      </c>
      <c r="L19" s="60">
        <v>31204</v>
      </c>
      <c r="M19" s="60">
        <v>31252</v>
      </c>
      <c r="N19" s="61">
        <f t="shared" si="2"/>
        <v>48</v>
      </c>
      <c r="O19" s="62"/>
      <c r="Q19" s="185"/>
      <c r="R19" s="59" t="s">
        <v>82</v>
      </c>
      <c r="S19" s="60">
        <v>31252</v>
      </c>
      <c r="T19" s="60">
        <v>31314</v>
      </c>
      <c r="U19" s="61">
        <f t="shared" si="3"/>
        <v>62</v>
      </c>
      <c r="V19" s="62"/>
    </row>
    <row r="20" spans="2:22" ht="15" x14ac:dyDescent="0.2">
      <c r="B20" s="55"/>
      <c r="C20" s="184">
        <v>12</v>
      </c>
      <c r="D20" s="59" t="s">
        <v>80</v>
      </c>
      <c r="E20" s="141">
        <v>146776</v>
      </c>
      <c r="F20" s="141">
        <v>146902</v>
      </c>
      <c r="G20" s="61">
        <f t="shared" si="1"/>
        <v>126</v>
      </c>
      <c r="H20" s="62"/>
      <c r="I20" s="65"/>
      <c r="J20" s="184">
        <v>12</v>
      </c>
      <c r="K20" s="59" t="s">
        <v>80</v>
      </c>
      <c r="L20" s="141">
        <v>146902</v>
      </c>
      <c r="M20" s="141">
        <v>147023</v>
      </c>
      <c r="N20" s="61">
        <f t="shared" si="2"/>
        <v>121</v>
      </c>
      <c r="O20" s="62"/>
      <c r="Q20" s="184">
        <v>12</v>
      </c>
      <c r="R20" s="59" t="s">
        <v>80</v>
      </c>
      <c r="S20" s="60">
        <v>147023</v>
      </c>
      <c r="T20" s="60">
        <v>147148</v>
      </c>
      <c r="U20" s="61">
        <f t="shared" si="3"/>
        <v>125</v>
      </c>
      <c r="V20" s="62"/>
    </row>
    <row r="21" spans="2:22" ht="15" x14ac:dyDescent="0.2">
      <c r="B21" s="55"/>
      <c r="C21" s="189"/>
      <c r="D21" s="59" t="s">
        <v>81</v>
      </c>
      <c r="E21" s="60">
        <v>22614</v>
      </c>
      <c r="F21" s="60">
        <v>23192</v>
      </c>
      <c r="G21" s="61">
        <f t="shared" si="1"/>
        <v>578</v>
      </c>
      <c r="H21" s="62"/>
      <c r="I21" s="66" t="s">
        <v>12</v>
      </c>
      <c r="J21" s="189"/>
      <c r="K21" s="59" t="s">
        <v>81</v>
      </c>
      <c r="L21" s="60">
        <v>23192</v>
      </c>
      <c r="M21" s="60">
        <v>23233</v>
      </c>
      <c r="N21" s="61">
        <f t="shared" si="2"/>
        <v>41</v>
      </c>
      <c r="O21" s="62"/>
      <c r="Q21" s="189"/>
      <c r="R21" s="59" t="s">
        <v>81</v>
      </c>
      <c r="S21" s="60">
        <v>23233</v>
      </c>
      <c r="T21" s="60">
        <v>23301</v>
      </c>
      <c r="U21" s="61">
        <f t="shared" si="3"/>
        <v>68</v>
      </c>
      <c r="V21" s="62"/>
    </row>
    <row r="22" spans="2:22" ht="15" x14ac:dyDescent="0.2">
      <c r="B22" s="55"/>
      <c r="C22" s="185"/>
      <c r="D22" s="59" t="s">
        <v>82</v>
      </c>
      <c r="E22" s="60">
        <v>252574</v>
      </c>
      <c r="F22" s="60">
        <v>254437</v>
      </c>
      <c r="G22" s="61">
        <f t="shared" si="1"/>
        <v>1863</v>
      </c>
      <c r="H22" s="62"/>
      <c r="I22" s="65"/>
      <c r="J22" s="185"/>
      <c r="K22" s="59" t="s">
        <v>82</v>
      </c>
      <c r="L22" s="60">
        <v>254437</v>
      </c>
      <c r="M22" s="60">
        <v>255794</v>
      </c>
      <c r="N22" s="61">
        <f t="shared" si="2"/>
        <v>1357</v>
      </c>
      <c r="O22" s="62"/>
      <c r="Q22" s="185"/>
      <c r="R22" s="59" t="s">
        <v>82</v>
      </c>
      <c r="S22" s="60">
        <v>255794</v>
      </c>
      <c r="T22" s="60">
        <v>256806</v>
      </c>
      <c r="U22" s="61">
        <f t="shared" si="3"/>
        <v>1012</v>
      </c>
      <c r="V22" s="62"/>
    </row>
    <row r="23" spans="2:22" ht="15" x14ac:dyDescent="0.2">
      <c r="B23" s="55"/>
      <c r="C23" s="184">
        <v>14</v>
      </c>
      <c r="D23" s="59" t="s">
        <v>80</v>
      </c>
      <c r="E23" s="60">
        <v>118249</v>
      </c>
      <c r="F23" s="60">
        <v>118453</v>
      </c>
      <c r="G23" s="61">
        <f t="shared" si="1"/>
        <v>204</v>
      </c>
      <c r="H23" s="62"/>
      <c r="I23" s="65"/>
      <c r="J23" s="184">
        <v>14</v>
      </c>
      <c r="K23" s="59" t="s">
        <v>80</v>
      </c>
      <c r="L23" s="60">
        <v>118453</v>
      </c>
      <c r="M23" s="60">
        <v>118666</v>
      </c>
      <c r="N23" s="61">
        <f t="shared" si="2"/>
        <v>213</v>
      </c>
      <c r="O23" s="62"/>
      <c r="Q23" s="184">
        <v>14</v>
      </c>
      <c r="R23" s="59" t="s">
        <v>80</v>
      </c>
      <c r="S23" s="60">
        <v>118666</v>
      </c>
      <c r="T23" s="60">
        <v>119046</v>
      </c>
      <c r="U23" s="61">
        <f t="shared" si="3"/>
        <v>380</v>
      </c>
      <c r="V23" s="62"/>
    </row>
    <row r="24" spans="2:22" ht="15" x14ac:dyDescent="0.2">
      <c r="B24" s="55"/>
      <c r="C24" s="189"/>
      <c r="D24" s="59" t="s">
        <v>81</v>
      </c>
      <c r="E24" s="67">
        <v>32974</v>
      </c>
      <c r="F24" s="67">
        <v>34284</v>
      </c>
      <c r="G24" s="61">
        <f t="shared" si="1"/>
        <v>1310</v>
      </c>
      <c r="H24" s="62"/>
      <c r="I24" s="65"/>
      <c r="J24" s="189"/>
      <c r="K24" s="59" t="s">
        <v>81</v>
      </c>
      <c r="L24" s="67">
        <v>34284</v>
      </c>
      <c r="M24" s="67">
        <v>35057</v>
      </c>
      <c r="N24" s="61">
        <f t="shared" si="2"/>
        <v>773</v>
      </c>
      <c r="O24" s="62"/>
      <c r="Q24" s="189"/>
      <c r="R24" s="59" t="s">
        <v>81</v>
      </c>
      <c r="S24" s="60">
        <v>35057</v>
      </c>
      <c r="T24" s="60">
        <v>35994</v>
      </c>
      <c r="U24" s="61">
        <f t="shared" si="3"/>
        <v>937</v>
      </c>
      <c r="V24" s="62"/>
    </row>
    <row r="25" spans="2:22" ht="15" x14ac:dyDescent="0.2">
      <c r="B25" s="55"/>
      <c r="C25" s="185"/>
      <c r="D25" s="59" t="s">
        <v>82</v>
      </c>
      <c r="E25" s="60">
        <v>1884</v>
      </c>
      <c r="F25" s="60">
        <v>1911</v>
      </c>
      <c r="G25" s="61">
        <f t="shared" si="1"/>
        <v>27</v>
      </c>
      <c r="H25" s="62"/>
      <c r="I25" s="65"/>
      <c r="J25" s="185"/>
      <c r="K25" s="59" t="s">
        <v>82</v>
      </c>
      <c r="L25" s="60">
        <v>1911</v>
      </c>
      <c r="M25" s="60">
        <v>1935</v>
      </c>
      <c r="N25" s="61">
        <f t="shared" si="2"/>
        <v>24</v>
      </c>
      <c r="O25" s="62"/>
      <c r="Q25" s="185"/>
      <c r="R25" s="59" t="s">
        <v>82</v>
      </c>
      <c r="S25" s="60">
        <v>1935</v>
      </c>
      <c r="T25" s="60">
        <v>1968</v>
      </c>
      <c r="U25" s="61">
        <f t="shared" si="3"/>
        <v>33</v>
      </c>
      <c r="V25" s="62"/>
    </row>
    <row r="26" spans="2:22" ht="15" x14ac:dyDescent="0.2">
      <c r="B26" s="55"/>
      <c r="C26" s="184">
        <v>15</v>
      </c>
      <c r="D26" s="59" t="s">
        <v>80</v>
      </c>
      <c r="E26" s="141">
        <v>39352</v>
      </c>
      <c r="F26" s="141">
        <v>39352</v>
      </c>
      <c r="G26" s="61">
        <f t="shared" si="1"/>
        <v>0</v>
      </c>
      <c r="H26" s="62"/>
      <c r="I26" s="66" t="s">
        <v>12</v>
      </c>
      <c r="J26" s="184">
        <v>15</v>
      </c>
      <c r="K26" s="59" t="s">
        <v>80</v>
      </c>
      <c r="L26" s="141">
        <v>39352</v>
      </c>
      <c r="M26" s="141">
        <v>39352</v>
      </c>
      <c r="N26" s="61">
        <f t="shared" si="2"/>
        <v>0</v>
      </c>
      <c r="O26" s="62"/>
      <c r="Q26" s="184">
        <v>15</v>
      </c>
      <c r="R26" s="59" t="s">
        <v>80</v>
      </c>
      <c r="S26" s="60">
        <v>39352</v>
      </c>
      <c r="T26" s="60">
        <v>39357</v>
      </c>
      <c r="U26" s="61">
        <f t="shared" si="3"/>
        <v>5</v>
      </c>
      <c r="V26" s="62"/>
    </row>
    <row r="27" spans="2:22" ht="15" x14ac:dyDescent="0.2">
      <c r="B27" s="55"/>
      <c r="C27" s="189"/>
      <c r="D27" s="59" t="s">
        <v>81</v>
      </c>
      <c r="E27" s="60">
        <v>83536</v>
      </c>
      <c r="F27" s="60">
        <v>84078</v>
      </c>
      <c r="G27" s="61">
        <f t="shared" si="1"/>
        <v>542</v>
      </c>
      <c r="H27" s="62"/>
      <c r="I27" s="66" t="s">
        <v>12</v>
      </c>
      <c r="J27" s="189"/>
      <c r="K27" s="59" t="s">
        <v>81</v>
      </c>
      <c r="L27" s="60">
        <v>84078</v>
      </c>
      <c r="M27" s="60">
        <v>84612</v>
      </c>
      <c r="N27" s="61">
        <f t="shared" si="2"/>
        <v>534</v>
      </c>
      <c r="O27" s="62"/>
      <c r="Q27" s="189"/>
      <c r="R27" s="59" t="s">
        <v>81</v>
      </c>
      <c r="S27" s="60">
        <v>84612</v>
      </c>
      <c r="T27" s="60">
        <v>85079</v>
      </c>
      <c r="U27" s="61">
        <f t="shared" si="3"/>
        <v>467</v>
      </c>
      <c r="V27" s="62"/>
    </row>
    <row r="28" spans="2:22" ht="15" x14ac:dyDescent="0.2">
      <c r="B28" s="55"/>
      <c r="C28" s="185"/>
      <c r="D28" s="59" t="s">
        <v>82</v>
      </c>
      <c r="E28" s="60">
        <v>160978</v>
      </c>
      <c r="F28" s="60">
        <v>162112</v>
      </c>
      <c r="G28" s="61">
        <f t="shared" si="1"/>
        <v>1134</v>
      </c>
      <c r="H28" s="62"/>
      <c r="I28" s="65"/>
      <c r="J28" s="185"/>
      <c r="K28" s="59" t="s">
        <v>82</v>
      </c>
      <c r="L28" s="60">
        <v>162112</v>
      </c>
      <c r="M28" s="60">
        <v>163098</v>
      </c>
      <c r="N28" s="61">
        <f t="shared" si="2"/>
        <v>986</v>
      </c>
      <c r="O28" s="62"/>
      <c r="Q28" s="185"/>
      <c r="R28" s="59" t="s">
        <v>82</v>
      </c>
      <c r="S28" s="60">
        <v>163098</v>
      </c>
      <c r="T28" s="60">
        <v>164130</v>
      </c>
      <c r="U28" s="61">
        <f t="shared" si="3"/>
        <v>1032</v>
      </c>
      <c r="V28" s="62"/>
    </row>
    <row r="29" spans="2:22" ht="15" x14ac:dyDescent="0.2">
      <c r="B29" s="55"/>
      <c r="C29" s="184">
        <v>16</v>
      </c>
      <c r="D29" s="59" t="s">
        <v>80</v>
      </c>
      <c r="E29" s="141">
        <v>97792</v>
      </c>
      <c r="F29" s="141">
        <v>97792</v>
      </c>
      <c r="G29" s="61">
        <f t="shared" si="1"/>
        <v>0</v>
      </c>
      <c r="H29" s="63" t="s">
        <v>12</v>
      </c>
      <c r="I29" s="65"/>
      <c r="J29" s="184">
        <v>16</v>
      </c>
      <c r="K29" s="59" t="s">
        <v>80</v>
      </c>
      <c r="L29" s="141">
        <v>97792</v>
      </c>
      <c r="M29" s="141">
        <v>97792</v>
      </c>
      <c r="N29" s="61">
        <f t="shared" si="2"/>
        <v>0</v>
      </c>
      <c r="O29" s="63" t="s">
        <v>12</v>
      </c>
      <c r="Q29" s="184">
        <v>16</v>
      </c>
      <c r="R29" s="59" t="s">
        <v>80</v>
      </c>
      <c r="S29" s="60">
        <v>97792</v>
      </c>
      <c r="T29" s="60">
        <v>97793</v>
      </c>
      <c r="U29" s="61">
        <f t="shared" si="3"/>
        <v>1</v>
      </c>
      <c r="V29" s="63" t="s">
        <v>12</v>
      </c>
    </row>
    <row r="30" spans="2:22" ht="15" x14ac:dyDescent="0.2">
      <c r="B30" s="55"/>
      <c r="C30" s="189"/>
      <c r="D30" s="59" t="s">
        <v>81</v>
      </c>
      <c r="E30" s="141">
        <v>62805</v>
      </c>
      <c r="F30" s="141">
        <v>63065</v>
      </c>
      <c r="G30" s="61">
        <f t="shared" si="1"/>
        <v>260</v>
      </c>
      <c r="H30" s="62"/>
      <c r="I30" s="65"/>
      <c r="J30" s="189"/>
      <c r="K30" s="59" t="s">
        <v>81</v>
      </c>
      <c r="L30" s="141">
        <v>63065</v>
      </c>
      <c r="M30" s="141">
        <v>63065</v>
      </c>
      <c r="N30" s="61">
        <f t="shared" si="2"/>
        <v>0</v>
      </c>
      <c r="O30" s="62"/>
      <c r="Q30" s="189"/>
      <c r="R30" s="59" t="s">
        <v>81</v>
      </c>
      <c r="S30" s="60">
        <v>63065</v>
      </c>
      <c r="T30" s="60">
        <v>64290</v>
      </c>
      <c r="U30" s="61">
        <f t="shared" si="3"/>
        <v>1225</v>
      </c>
      <c r="V30" s="62"/>
    </row>
    <row r="31" spans="2:22" ht="15" x14ac:dyDescent="0.2">
      <c r="B31" s="55"/>
      <c r="C31" s="185"/>
      <c r="D31" s="59" t="s">
        <v>82</v>
      </c>
      <c r="E31" s="60">
        <v>68544</v>
      </c>
      <c r="F31" s="60">
        <v>68792</v>
      </c>
      <c r="G31" s="61">
        <f t="shared" si="1"/>
        <v>248</v>
      </c>
      <c r="H31" s="68"/>
      <c r="I31" s="65"/>
      <c r="J31" s="185"/>
      <c r="K31" s="59" t="s">
        <v>82</v>
      </c>
      <c r="L31" s="60">
        <v>68792</v>
      </c>
      <c r="M31" s="60">
        <v>69063</v>
      </c>
      <c r="N31" s="61">
        <f t="shared" si="2"/>
        <v>271</v>
      </c>
      <c r="O31" s="68"/>
      <c r="Q31" s="185"/>
      <c r="R31" s="59" t="s">
        <v>82</v>
      </c>
      <c r="S31" s="60">
        <v>69063</v>
      </c>
      <c r="T31" s="60">
        <v>69310</v>
      </c>
      <c r="U31" s="61">
        <f t="shared" si="3"/>
        <v>247</v>
      </c>
      <c r="V31" s="68"/>
    </row>
    <row r="32" spans="2:22" ht="15" x14ac:dyDescent="0.2">
      <c r="B32" s="55"/>
      <c r="C32" s="184">
        <v>17</v>
      </c>
      <c r="D32" s="59" t="s">
        <v>80</v>
      </c>
      <c r="E32" s="60">
        <v>35909</v>
      </c>
      <c r="F32" s="60">
        <v>36079</v>
      </c>
      <c r="G32" s="61">
        <f t="shared" si="1"/>
        <v>170</v>
      </c>
      <c r="H32" s="62"/>
      <c r="I32" s="65"/>
      <c r="J32" s="184">
        <v>17</v>
      </c>
      <c r="K32" s="59" t="s">
        <v>80</v>
      </c>
      <c r="L32" s="60">
        <v>36079</v>
      </c>
      <c r="M32" s="60">
        <v>36262</v>
      </c>
      <c r="N32" s="61">
        <f t="shared" si="2"/>
        <v>183</v>
      </c>
      <c r="O32" s="62"/>
      <c r="Q32" s="184">
        <v>17</v>
      </c>
      <c r="R32" s="59" t="s">
        <v>80</v>
      </c>
      <c r="S32" s="60">
        <v>36262</v>
      </c>
      <c r="T32" s="60">
        <v>36565</v>
      </c>
      <c r="U32" s="61">
        <f t="shared" si="3"/>
        <v>303</v>
      </c>
      <c r="V32" s="62"/>
    </row>
    <row r="33" spans="2:22" ht="15" x14ac:dyDescent="0.2">
      <c r="B33" s="55"/>
      <c r="C33" s="189"/>
      <c r="D33" s="59" t="s">
        <v>81</v>
      </c>
      <c r="E33" s="60">
        <v>64277</v>
      </c>
      <c r="F33" s="60">
        <v>64324</v>
      </c>
      <c r="G33" s="61">
        <f t="shared" si="1"/>
        <v>47</v>
      </c>
      <c r="H33" s="62"/>
      <c r="I33" s="65"/>
      <c r="J33" s="189"/>
      <c r="K33" s="59" t="s">
        <v>81</v>
      </c>
      <c r="L33" s="60">
        <v>64324</v>
      </c>
      <c r="M33" s="60">
        <v>64324</v>
      </c>
      <c r="N33" s="61">
        <f t="shared" si="2"/>
        <v>0</v>
      </c>
      <c r="O33" s="62"/>
      <c r="Q33" s="189"/>
      <c r="R33" s="59" t="s">
        <v>81</v>
      </c>
      <c r="S33" s="60">
        <v>64324</v>
      </c>
      <c r="T33" s="60">
        <v>64324</v>
      </c>
      <c r="U33" s="61">
        <f t="shared" si="3"/>
        <v>0</v>
      </c>
      <c r="V33" s="62"/>
    </row>
    <row r="34" spans="2:22" ht="15" x14ac:dyDescent="0.2">
      <c r="B34" s="55"/>
      <c r="C34" s="185"/>
      <c r="D34" s="59" t="s">
        <v>82</v>
      </c>
      <c r="E34" s="60">
        <v>11959</v>
      </c>
      <c r="F34" s="60">
        <v>12066</v>
      </c>
      <c r="G34" s="61">
        <f t="shared" si="1"/>
        <v>107</v>
      </c>
      <c r="H34" s="68"/>
      <c r="I34" s="65"/>
      <c r="J34" s="185"/>
      <c r="K34" s="59" t="s">
        <v>82</v>
      </c>
      <c r="L34" s="60">
        <v>12066</v>
      </c>
      <c r="M34" s="60">
        <v>12083</v>
      </c>
      <c r="N34" s="61">
        <f t="shared" si="2"/>
        <v>17</v>
      </c>
      <c r="O34" s="68"/>
      <c r="Q34" s="185"/>
      <c r="R34" s="59" t="s">
        <v>82</v>
      </c>
      <c r="S34" s="60">
        <v>12083</v>
      </c>
      <c r="T34" s="60">
        <v>12130</v>
      </c>
      <c r="U34" s="61">
        <f t="shared" si="3"/>
        <v>47</v>
      </c>
      <c r="V34" s="68"/>
    </row>
    <row r="35" spans="2:22" ht="15" x14ac:dyDescent="0.2">
      <c r="B35" s="55"/>
      <c r="C35" s="184">
        <v>18</v>
      </c>
      <c r="D35" s="59" t="s">
        <v>80</v>
      </c>
      <c r="E35" s="60">
        <v>250002</v>
      </c>
      <c r="F35" s="60">
        <v>250831</v>
      </c>
      <c r="G35" s="61">
        <f t="shared" si="1"/>
        <v>829</v>
      </c>
      <c r="H35" s="68"/>
      <c r="I35" s="65"/>
      <c r="J35" s="184">
        <v>18</v>
      </c>
      <c r="K35" s="59" t="s">
        <v>80</v>
      </c>
      <c r="L35" s="60">
        <v>250831</v>
      </c>
      <c r="M35" s="60">
        <v>252397</v>
      </c>
      <c r="N35" s="61">
        <f t="shared" si="2"/>
        <v>1566</v>
      </c>
      <c r="O35" s="68"/>
      <c r="P35" s="153"/>
      <c r="Q35" s="184">
        <v>18</v>
      </c>
      <c r="R35" s="59" t="s">
        <v>80</v>
      </c>
      <c r="S35" s="60">
        <v>252397</v>
      </c>
      <c r="T35" s="60">
        <v>253723</v>
      </c>
      <c r="U35" s="61">
        <f t="shared" si="3"/>
        <v>1326</v>
      </c>
      <c r="V35" s="68"/>
    </row>
    <row r="36" spans="2:22" ht="15" x14ac:dyDescent="0.2">
      <c r="B36" s="55"/>
      <c r="C36" s="189"/>
      <c r="D36" s="59" t="s">
        <v>81</v>
      </c>
      <c r="E36" s="67">
        <v>18064</v>
      </c>
      <c r="F36" s="67">
        <v>19306</v>
      </c>
      <c r="G36" s="61">
        <f t="shared" si="1"/>
        <v>1242</v>
      </c>
      <c r="H36" s="62"/>
      <c r="I36" s="65"/>
      <c r="J36" s="189"/>
      <c r="K36" s="59" t="s">
        <v>81</v>
      </c>
      <c r="L36" s="67">
        <v>19306</v>
      </c>
      <c r="M36" s="67">
        <v>19306</v>
      </c>
      <c r="N36" s="61">
        <f t="shared" si="2"/>
        <v>0</v>
      </c>
      <c r="O36" s="62"/>
      <c r="P36" s="162"/>
      <c r="Q36" s="189"/>
      <c r="R36" s="59" t="s">
        <v>81</v>
      </c>
      <c r="S36" s="60">
        <v>19306</v>
      </c>
      <c r="T36" s="60">
        <v>19334</v>
      </c>
      <c r="U36" s="61">
        <f t="shared" si="3"/>
        <v>28</v>
      </c>
      <c r="V36" s="62"/>
    </row>
    <row r="37" spans="2:22" ht="15" x14ac:dyDescent="0.2">
      <c r="B37" s="55"/>
      <c r="C37" s="185"/>
      <c r="D37" s="59" t="s">
        <v>82</v>
      </c>
      <c r="E37" s="60">
        <v>89012</v>
      </c>
      <c r="F37" s="60">
        <v>90135</v>
      </c>
      <c r="G37" s="61">
        <f t="shared" si="1"/>
        <v>1123</v>
      </c>
      <c r="H37" s="62"/>
      <c r="I37" s="65"/>
      <c r="J37" s="185"/>
      <c r="K37" s="59" t="s">
        <v>82</v>
      </c>
      <c r="L37" s="60">
        <v>90135</v>
      </c>
      <c r="M37" s="60">
        <v>91798</v>
      </c>
      <c r="N37" s="61">
        <f t="shared" si="2"/>
        <v>1663</v>
      </c>
      <c r="O37" s="62"/>
      <c r="Q37" s="185"/>
      <c r="R37" s="59" t="s">
        <v>82</v>
      </c>
      <c r="S37" s="60">
        <v>91798</v>
      </c>
      <c r="T37" s="60">
        <v>93299</v>
      </c>
      <c r="U37" s="61">
        <f t="shared" si="3"/>
        <v>1501</v>
      </c>
      <c r="V37" s="62"/>
    </row>
    <row r="38" spans="2:22" ht="15" x14ac:dyDescent="0.2">
      <c r="B38" s="55"/>
      <c r="C38" s="184">
        <v>19</v>
      </c>
      <c r="D38" s="59" t="s">
        <v>80</v>
      </c>
      <c r="E38" s="60">
        <v>22878</v>
      </c>
      <c r="F38" s="60">
        <v>23189</v>
      </c>
      <c r="G38" s="61">
        <f t="shared" si="1"/>
        <v>311</v>
      </c>
      <c r="H38" s="62"/>
      <c r="I38" s="65"/>
      <c r="J38" s="184">
        <v>19</v>
      </c>
      <c r="K38" s="59" t="s">
        <v>80</v>
      </c>
      <c r="L38" s="60">
        <v>23189</v>
      </c>
      <c r="M38" s="60">
        <v>23446</v>
      </c>
      <c r="N38" s="61">
        <f t="shared" si="2"/>
        <v>257</v>
      </c>
      <c r="O38" s="62"/>
      <c r="Q38" s="184">
        <v>19</v>
      </c>
      <c r="R38" s="59" t="s">
        <v>80</v>
      </c>
      <c r="S38" s="60">
        <v>23446</v>
      </c>
      <c r="T38" s="60">
        <v>23840</v>
      </c>
      <c r="U38" s="61">
        <f t="shared" si="3"/>
        <v>394</v>
      </c>
      <c r="V38" s="62"/>
    </row>
    <row r="39" spans="2:22" ht="15" x14ac:dyDescent="0.2">
      <c r="B39" s="55"/>
      <c r="C39" s="189"/>
      <c r="D39" s="59" t="s">
        <v>81</v>
      </c>
      <c r="E39" s="141">
        <v>84350</v>
      </c>
      <c r="F39" s="141">
        <v>84498</v>
      </c>
      <c r="G39" s="61">
        <f t="shared" si="1"/>
        <v>148</v>
      </c>
      <c r="H39" s="68"/>
      <c r="I39" s="65"/>
      <c r="J39" s="189"/>
      <c r="K39" s="59" t="s">
        <v>81</v>
      </c>
      <c r="L39" s="141">
        <v>84498</v>
      </c>
      <c r="M39" s="141">
        <v>84652</v>
      </c>
      <c r="N39" s="61">
        <f t="shared" si="2"/>
        <v>154</v>
      </c>
      <c r="O39" s="68"/>
      <c r="Q39" s="189"/>
      <c r="R39" s="59" t="s">
        <v>81</v>
      </c>
      <c r="S39" s="60">
        <v>84652</v>
      </c>
      <c r="T39" s="60">
        <v>84843</v>
      </c>
      <c r="U39" s="61">
        <f t="shared" si="3"/>
        <v>191</v>
      </c>
      <c r="V39" s="68"/>
    </row>
    <row r="40" spans="2:22" ht="15" x14ac:dyDescent="0.2">
      <c r="B40" s="55"/>
      <c r="C40" s="185"/>
      <c r="D40" s="59" t="s">
        <v>82</v>
      </c>
      <c r="E40" s="60">
        <v>53053</v>
      </c>
      <c r="F40" s="60">
        <v>53053</v>
      </c>
      <c r="G40" s="61">
        <f t="shared" si="1"/>
        <v>0</v>
      </c>
      <c r="H40" s="62"/>
      <c r="I40" s="65"/>
      <c r="J40" s="185"/>
      <c r="K40" s="59" t="s">
        <v>82</v>
      </c>
      <c r="L40" s="60">
        <v>53053</v>
      </c>
      <c r="M40" s="60">
        <v>53053</v>
      </c>
      <c r="N40" s="61">
        <f t="shared" si="2"/>
        <v>0</v>
      </c>
      <c r="O40" s="62"/>
      <c r="Q40" s="185"/>
      <c r="R40" s="59" t="s">
        <v>82</v>
      </c>
      <c r="S40" s="60">
        <v>53053</v>
      </c>
      <c r="T40" s="60">
        <v>53053</v>
      </c>
      <c r="U40" s="61">
        <f t="shared" si="3"/>
        <v>0</v>
      </c>
      <c r="V40" s="62"/>
    </row>
    <row r="41" spans="2:22" ht="15" x14ac:dyDescent="0.2">
      <c r="B41" s="55"/>
      <c r="C41" s="184">
        <v>20</v>
      </c>
      <c r="D41" s="59" t="s">
        <v>80</v>
      </c>
      <c r="E41" s="60">
        <v>120636</v>
      </c>
      <c r="F41" s="60">
        <v>121085</v>
      </c>
      <c r="G41" s="61">
        <f t="shared" si="1"/>
        <v>449</v>
      </c>
      <c r="H41" s="62"/>
      <c r="I41" s="65"/>
      <c r="J41" s="184">
        <v>20</v>
      </c>
      <c r="K41" s="59" t="s">
        <v>80</v>
      </c>
      <c r="L41" s="60">
        <v>121085</v>
      </c>
      <c r="M41" s="60">
        <v>121525</v>
      </c>
      <c r="N41" s="61">
        <f t="shared" si="2"/>
        <v>440</v>
      </c>
      <c r="O41" s="62"/>
      <c r="Q41" s="184">
        <v>20</v>
      </c>
      <c r="R41" s="59" t="s">
        <v>80</v>
      </c>
      <c r="S41" s="60">
        <v>121525</v>
      </c>
      <c r="T41" s="60">
        <v>121869</v>
      </c>
      <c r="U41" s="61">
        <f t="shared" si="3"/>
        <v>344</v>
      </c>
      <c r="V41" s="62"/>
    </row>
    <row r="42" spans="2:22" ht="15" x14ac:dyDescent="0.2">
      <c r="B42" s="55"/>
      <c r="C42" s="189"/>
      <c r="D42" s="59" t="s">
        <v>81</v>
      </c>
      <c r="E42" s="141">
        <v>70567</v>
      </c>
      <c r="F42" s="141">
        <v>70767</v>
      </c>
      <c r="G42" s="61">
        <f t="shared" si="1"/>
        <v>200</v>
      </c>
      <c r="H42" s="62"/>
      <c r="J42" s="189"/>
      <c r="K42" s="59" t="s">
        <v>81</v>
      </c>
      <c r="L42" s="141">
        <v>70767</v>
      </c>
      <c r="M42" s="141">
        <v>70914</v>
      </c>
      <c r="N42" s="61">
        <f t="shared" si="2"/>
        <v>147</v>
      </c>
      <c r="O42" s="62"/>
      <c r="Q42" s="189"/>
      <c r="R42" s="59" t="s">
        <v>81</v>
      </c>
      <c r="S42" s="60">
        <v>70914</v>
      </c>
      <c r="T42" s="60">
        <v>71994</v>
      </c>
      <c r="U42" s="61">
        <f t="shared" si="3"/>
        <v>1080</v>
      </c>
      <c r="V42" s="62"/>
    </row>
    <row r="43" spans="2:22" ht="15" x14ac:dyDescent="0.2">
      <c r="B43" s="55"/>
      <c r="C43" s="185"/>
      <c r="D43" s="59" t="s">
        <v>82</v>
      </c>
      <c r="E43" s="60">
        <v>3402</v>
      </c>
      <c r="F43" s="60">
        <v>3416</v>
      </c>
      <c r="G43" s="61">
        <f t="shared" si="1"/>
        <v>14</v>
      </c>
      <c r="H43" s="62"/>
      <c r="J43" s="185"/>
      <c r="K43" s="59" t="s">
        <v>82</v>
      </c>
      <c r="L43" s="60">
        <v>3416</v>
      </c>
      <c r="M43" s="60">
        <v>3418</v>
      </c>
      <c r="N43" s="61">
        <f t="shared" si="2"/>
        <v>2</v>
      </c>
      <c r="O43" s="62"/>
      <c r="Q43" s="185"/>
      <c r="R43" s="59" t="s">
        <v>82</v>
      </c>
      <c r="S43" s="60">
        <v>3418</v>
      </c>
      <c r="T43" s="60">
        <v>3456</v>
      </c>
      <c r="U43" s="61">
        <f t="shared" si="3"/>
        <v>38</v>
      </c>
      <c r="V43" s="62"/>
    </row>
    <row r="44" spans="2:22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  <c r="Q44" s="69"/>
      <c r="R44" s="70"/>
      <c r="S44" s="70"/>
      <c r="T44" s="70"/>
      <c r="U44" s="70">
        <f t="shared" si="3"/>
        <v>0</v>
      </c>
      <c r="V44" s="72"/>
    </row>
    <row r="45" spans="2:22" ht="15" x14ac:dyDescent="0.2">
      <c r="B45" s="55"/>
      <c r="C45" s="184">
        <v>21</v>
      </c>
      <c r="D45" s="73" t="s">
        <v>83</v>
      </c>
      <c r="E45" s="60">
        <v>3769</v>
      </c>
      <c r="F45" s="60">
        <v>3779</v>
      </c>
      <c r="G45" s="61">
        <f t="shared" ref="G45:G50" si="4">F45-E45</f>
        <v>10</v>
      </c>
      <c r="H45" s="63" t="s">
        <v>12</v>
      </c>
      <c r="J45" s="184">
        <v>21</v>
      </c>
      <c r="K45" s="73" t="s">
        <v>83</v>
      </c>
      <c r="L45" s="60">
        <v>3779</v>
      </c>
      <c r="M45" s="60">
        <v>3792</v>
      </c>
      <c r="N45" s="61">
        <f t="shared" si="2"/>
        <v>13</v>
      </c>
      <c r="O45" s="63" t="s">
        <v>12</v>
      </c>
      <c r="Q45" s="184">
        <v>21</v>
      </c>
      <c r="R45" s="73" t="s">
        <v>83</v>
      </c>
      <c r="S45" s="60">
        <v>3792</v>
      </c>
      <c r="T45" s="60">
        <v>3794</v>
      </c>
      <c r="U45" s="61">
        <f t="shared" si="3"/>
        <v>2</v>
      </c>
      <c r="V45" s="63" t="s">
        <v>12</v>
      </c>
    </row>
    <row r="46" spans="2:22" ht="15" x14ac:dyDescent="0.2">
      <c r="B46" s="55"/>
      <c r="C46" s="189"/>
      <c r="D46" s="73" t="s">
        <v>82</v>
      </c>
      <c r="E46" s="60">
        <v>44244</v>
      </c>
      <c r="F46" s="60">
        <v>44962</v>
      </c>
      <c r="G46" s="61">
        <f t="shared" si="4"/>
        <v>718</v>
      </c>
      <c r="H46" s="62"/>
      <c r="J46" s="189"/>
      <c r="K46" s="73" t="s">
        <v>82</v>
      </c>
      <c r="L46" s="60">
        <v>44962</v>
      </c>
      <c r="M46" s="60">
        <v>45639</v>
      </c>
      <c r="N46" s="61">
        <f t="shared" si="2"/>
        <v>677</v>
      </c>
      <c r="O46" s="62"/>
      <c r="Q46" s="189"/>
      <c r="R46" s="73" t="s">
        <v>82</v>
      </c>
      <c r="S46" s="60">
        <v>45639</v>
      </c>
      <c r="T46" s="60">
        <v>45855</v>
      </c>
      <c r="U46" s="61">
        <f t="shared" si="3"/>
        <v>216</v>
      </c>
      <c r="V46" s="62"/>
    </row>
    <row r="47" spans="2:22" ht="15" x14ac:dyDescent="0.2">
      <c r="B47" s="55"/>
      <c r="C47" s="184">
        <v>22</v>
      </c>
      <c r="D47" s="73" t="s">
        <v>83</v>
      </c>
      <c r="E47" s="74">
        <v>13711</v>
      </c>
      <c r="F47" s="74">
        <v>13737</v>
      </c>
      <c r="G47" s="61">
        <f t="shared" si="4"/>
        <v>26</v>
      </c>
      <c r="H47" s="62"/>
      <c r="I47" t="s">
        <v>12</v>
      </c>
      <c r="J47" s="184">
        <v>22</v>
      </c>
      <c r="K47" s="73" t="s">
        <v>83</v>
      </c>
      <c r="L47" s="74">
        <v>13737</v>
      </c>
      <c r="M47" s="74">
        <v>13759</v>
      </c>
      <c r="N47" s="61">
        <f t="shared" si="2"/>
        <v>22</v>
      </c>
      <c r="O47" s="62"/>
      <c r="Q47" s="184">
        <v>22</v>
      </c>
      <c r="R47" s="73" t="s">
        <v>83</v>
      </c>
      <c r="S47" s="60">
        <v>13759</v>
      </c>
      <c r="T47" s="60">
        <v>13770</v>
      </c>
      <c r="U47" s="61">
        <f t="shared" si="3"/>
        <v>11</v>
      </c>
      <c r="V47" s="62"/>
    </row>
    <row r="48" spans="2:22" ht="15" x14ac:dyDescent="0.2">
      <c r="B48" s="55"/>
      <c r="C48" s="189"/>
      <c r="D48" s="73" t="s">
        <v>82</v>
      </c>
      <c r="E48" s="74">
        <v>20778</v>
      </c>
      <c r="F48" s="74">
        <v>20919</v>
      </c>
      <c r="G48" s="61">
        <f t="shared" si="4"/>
        <v>141</v>
      </c>
      <c r="H48" s="62"/>
      <c r="J48" s="189"/>
      <c r="K48" s="73" t="s">
        <v>82</v>
      </c>
      <c r="L48" s="74">
        <v>20919</v>
      </c>
      <c r="M48" s="74">
        <v>21064</v>
      </c>
      <c r="N48" s="61">
        <f t="shared" si="2"/>
        <v>145</v>
      </c>
      <c r="O48" s="62"/>
      <c r="Q48" s="189"/>
      <c r="R48" s="73" t="s">
        <v>82</v>
      </c>
      <c r="S48" s="60">
        <v>21064</v>
      </c>
      <c r="T48" s="60">
        <v>21207</v>
      </c>
      <c r="U48" s="61">
        <f t="shared" si="3"/>
        <v>143</v>
      </c>
      <c r="V48" s="62"/>
    </row>
    <row r="49" spans="1:22" ht="15" x14ac:dyDescent="0.2">
      <c r="B49" s="55"/>
      <c r="C49" s="184">
        <v>23</v>
      </c>
      <c r="D49" s="59" t="s">
        <v>83</v>
      </c>
      <c r="E49" s="60"/>
      <c r="F49" s="74"/>
      <c r="G49" s="61">
        <f t="shared" si="4"/>
        <v>0</v>
      </c>
      <c r="H49" s="62"/>
      <c r="J49" s="184">
        <v>23</v>
      </c>
      <c r="K49" s="59" t="s">
        <v>83</v>
      </c>
      <c r="L49" s="74"/>
      <c r="M49" s="74"/>
      <c r="N49" s="61">
        <f t="shared" si="2"/>
        <v>0</v>
      </c>
      <c r="O49" s="62"/>
      <c r="Q49" s="184">
        <v>23</v>
      </c>
      <c r="R49" s="59" t="s">
        <v>83</v>
      </c>
      <c r="S49" s="60"/>
      <c r="T49" s="60"/>
      <c r="U49" s="61">
        <f t="shared" si="3"/>
        <v>0</v>
      </c>
      <c r="V49" s="62"/>
    </row>
    <row r="50" spans="1:22" ht="15" x14ac:dyDescent="0.2">
      <c r="B50" s="55"/>
      <c r="C50" s="189"/>
      <c r="D50" s="59" t="s">
        <v>82</v>
      </c>
      <c r="E50" s="60"/>
      <c r="F50" s="74"/>
      <c r="G50" s="61">
        <f t="shared" si="4"/>
        <v>0</v>
      </c>
      <c r="H50" s="62"/>
      <c r="J50" s="189"/>
      <c r="K50" s="59" t="s">
        <v>82</v>
      </c>
      <c r="L50" s="74"/>
      <c r="M50" s="74"/>
      <c r="N50" s="61">
        <f t="shared" si="2"/>
        <v>0</v>
      </c>
      <c r="O50" s="62"/>
      <c r="Q50" s="189"/>
      <c r="R50" s="59" t="s">
        <v>82</v>
      </c>
      <c r="S50" s="60"/>
      <c r="T50" s="60"/>
      <c r="U50" s="61">
        <f t="shared" si="3"/>
        <v>0</v>
      </c>
      <c r="V50" s="62"/>
    </row>
    <row r="51" spans="1:22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  <c r="Q51" s="75"/>
      <c r="R51" s="70"/>
      <c r="S51" s="71"/>
      <c r="T51" s="71"/>
      <c r="U51" s="70">
        <f t="shared" si="3"/>
        <v>0</v>
      </c>
      <c r="V51" s="72"/>
    </row>
    <row r="52" spans="1:22" ht="15" x14ac:dyDescent="0.2">
      <c r="B52" s="55"/>
      <c r="C52" s="190">
        <v>24</v>
      </c>
      <c r="D52" s="59" t="s">
        <v>84</v>
      </c>
      <c r="E52" s="141">
        <v>251533</v>
      </c>
      <c r="F52" s="141">
        <v>252472</v>
      </c>
      <c r="G52" s="61">
        <f t="shared" ref="G52:G60" si="5">F52-E52</f>
        <v>939</v>
      </c>
      <c r="H52" s="76"/>
      <c r="J52" s="190">
        <v>24</v>
      </c>
      <c r="K52" s="59" t="s">
        <v>84</v>
      </c>
      <c r="L52" s="141">
        <v>252472</v>
      </c>
      <c r="M52" s="141">
        <v>253528</v>
      </c>
      <c r="N52" s="61">
        <f t="shared" si="2"/>
        <v>1056</v>
      </c>
      <c r="O52" s="76"/>
      <c r="Q52" s="190">
        <v>24</v>
      </c>
      <c r="R52" s="59" t="s">
        <v>84</v>
      </c>
      <c r="S52" s="60">
        <v>253528</v>
      </c>
      <c r="T52" s="60">
        <v>254504</v>
      </c>
      <c r="U52" s="61">
        <f t="shared" si="3"/>
        <v>976</v>
      </c>
      <c r="V52" s="76"/>
    </row>
    <row r="53" spans="1:22" ht="15" x14ac:dyDescent="0.2">
      <c r="B53" s="55"/>
      <c r="C53" s="191"/>
      <c r="D53" s="59" t="s">
        <v>85</v>
      </c>
      <c r="E53" s="141">
        <v>539540</v>
      </c>
      <c r="F53" s="141">
        <v>539991</v>
      </c>
      <c r="G53" s="61">
        <f t="shared" si="5"/>
        <v>451</v>
      </c>
      <c r="H53" s="68"/>
      <c r="J53" s="191"/>
      <c r="K53" s="59" t="s">
        <v>85</v>
      </c>
      <c r="L53" s="141">
        <v>539991</v>
      </c>
      <c r="M53" s="141">
        <v>540445</v>
      </c>
      <c r="N53" s="61">
        <f t="shared" si="2"/>
        <v>454</v>
      </c>
      <c r="O53" s="68"/>
      <c r="Q53" s="191"/>
      <c r="R53" s="59" t="s">
        <v>85</v>
      </c>
      <c r="S53" s="60">
        <v>540445</v>
      </c>
      <c r="T53" s="60">
        <v>540901</v>
      </c>
      <c r="U53" s="61">
        <f t="shared" si="3"/>
        <v>456</v>
      </c>
      <c r="V53" s="68"/>
    </row>
    <row r="54" spans="1:22" ht="15" x14ac:dyDescent="0.2">
      <c r="B54" s="55"/>
      <c r="C54" s="192"/>
      <c r="D54" s="59" t="s">
        <v>84</v>
      </c>
      <c r="E54" s="141">
        <v>34567</v>
      </c>
      <c r="F54" s="141">
        <v>34567</v>
      </c>
      <c r="G54" s="61">
        <f t="shared" si="5"/>
        <v>0</v>
      </c>
      <c r="H54" s="77" t="s">
        <v>12</v>
      </c>
      <c r="J54" s="192"/>
      <c r="K54" s="59" t="s">
        <v>84</v>
      </c>
      <c r="L54" s="141">
        <v>34567</v>
      </c>
      <c r="M54" s="141">
        <v>34567</v>
      </c>
      <c r="N54" s="61">
        <f t="shared" si="2"/>
        <v>0</v>
      </c>
      <c r="O54" s="77" t="s">
        <v>12</v>
      </c>
      <c r="Q54" s="192"/>
      <c r="R54" s="59" t="s">
        <v>84</v>
      </c>
      <c r="S54" s="60">
        <v>34567</v>
      </c>
      <c r="T54" s="60">
        <v>34567</v>
      </c>
      <c r="U54" s="61">
        <f t="shared" si="3"/>
        <v>0</v>
      </c>
      <c r="V54" s="77" t="s">
        <v>12</v>
      </c>
    </row>
    <row r="55" spans="1:22" ht="15" x14ac:dyDescent="0.2">
      <c r="B55" s="55"/>
      <c r="C55" s="184">
        <v>25</v>
      </c>
      <c r="D55" s="59" t="s">
        <v>84</v>
      </c>
      <c r="E55" s="74">
        <v>330</v>
      </c>
      <c r="F55" s="74">
        <v>330</v>
      </c>
      <c r="G55" s="61">
        <f t="shared" si="5"/>
        <v>0</v>
      </c>
      <c r="H55" s="62"/>
      <c r="J55" s="184">
        <v>25</v>
      </c>
      <c r="K55" s="59" t="s">
        <v>84</v>
      </c>
      <c r="L55" s="74">
        <v>330</v>
      </c>
      <c r="M55" s="74">
        <v>330</v>
      </c>
      <c r="N55" s="61">
        <f t="shared" si="2"/>
        <v>0</v>
      </c>
      <c r="O55" s="62"/>
      <c r="Q55" s="184">
        <v>25</v>
      </c>
      <c r="R55" s="59" t="s">
        <v>84</v>
      </c>
      <c r="S55" s="60">
        <v>330</v>
      </c>
      <c r="T55" s="60">
        <v>330</v>
      </c>
      <c r="U55" s="61">
        <f t="shared" si="3"/>
        <v>0</v>
      </c>
      <c r="V55" s="62"/>
    </row>
    <row r="56" spans="1:22" ht="15" x14ac:dyDescent="0.2">
      <c r="B56" s="55"/>
      <c r="C56" s="185"/>
      <c r="D56" s="59" t="s">
        <v>85</v>
      </c>
      <c r="E56" s="74">
        <v>3</v>
      </c>
      <c r="F56" s="74">
        <v>3</v>
      </c>
      <c r="G56" s="61">
        <f t="shared" si="5"/>
        <v>0</v>
      </c>
      <c r="H56" s="62"/>
      <c r="J56" s="185"/>
      <c r="K56" s="59" t="s">
        <v>85</v>
      </c>
      <c r="L56" s="74">
        <v>3</v>
      </c>
      <c r="M56" s="74">
        <v>3</v>
      </c>
      <c r="N56" s="61">
        <f t="shared" si="2"/>
        <v>0</v>
      </c>
      <c r="O56" s="62"/>
      <c r="Q56" s="185"/>
      <c r="R56" s="59" t="s">
        <v>85</v>
      </c>
      <c r="S56" s="60">
        <v>3</v>
      </c>
      <c r="T56" s="60">
        <v>3</v>
      </c>
      <c r="U56" s="61">
        <f t="shared" si="3"/>
        <v>0</v>
      </c>
      <c r="V56" s="62"/>
    </row>
    <row r="57" spans="1:22" ht="15" x14ac:dyDescent="0.2">
      <c r="B57" s="55"/>
      <c r="C57" s="184">
        <v>26</v>
      </c>
      <c r="D57" s="59" t="s">
        <v>84</v>
      </c>
      <c r="E57" s="60">
        <v>730301</v>
      </c>
      <c r="F57" s="60">
        <v>733920</v>
      </c>
      <c r="G57" s="61">
        <f t="shared" si="5"/>
        <v>3619</v>
      </c>
      <c r="H57" s="62"/>
      <c r="J57" s="184">
        <v>26</v>
      </c>
      <c r="K57" s="59" t="s">
        <v>84</v>
      </c>
      <c r="L57" s="60">
        <v>733920</v>
      </c>
      <c r="M57" s="60">
        <v>737028</v>
      </c>
      <c r="N57" s="61">
        <f t="shared" si="2"/>
        <v>3108</v>
      </c>
      <c r="O57" s="62"/>
      <c r="Q57" s="184">
        <v>26</v>
      </c>
      <c r="R57" s="59" t="s">
        <v>84</v>
      </c>
      <c r="S57" s="60">
        <v>737028</v>
      </c>
      <c r="T57" s="60">
        <v>740310</v>
      </c>
      <c r="U57" s="61">
        <f t="shared" si="3"/>
        <v>3282</v>
      </c>
      <c r="V57" s="62"/>
    </row>
    <row r="58" spans="1:22" ht="15" x14ac:dyDescent="0.2">
      <c r="A58" s="65"/>
      <c r="B58" s="55"/>
      <c r="C58" s="185"/>
      <c r="D58" s="59" t="s">
        <v>85</v>
      </c>
      <c r="E58" s="60">
        <v>804405</v>
      </c>
      <c r="F58" s="60">
        <v>808835</v>
      </c>
      <c r="G58" s="61">
        <f t="shared" si="5"/>
        <v>4430</v>
      </c>
      <c r="H58" s="68"/>
      <c r="I58" s="65"/>
      <c r="J58" s="185"/>
      <c r="K58" s="59" t="s">
        <v>85</v>
      </c>
      <c r="L58" s="60">
        <v>808835</v>
      </c>
      <c r="M58" s="60">
        <v>812807</v>
      </c>
      <c r="N58" s="61">
        <f t="shared" si="2"/>
        <v>3972</v>
      </c>
      <c r="O58" s="68"/>
      <c r="Q58" s="185"/>
      <c r="R58" s="59" t="s">
        <v>85</v>
      </c>
      <c r="S58" s="60">
        <v>812807</v>
      </c>
      <c r="T58" s="60">
        <v>816379</v>
      </c>
      <c r="U58" s="61">
        <f t="shared" si="3"/>
        <v>3572</v>
      </c>
      <c r="V58" s="68"/>
    </row>
    <row r="59" spans="1:22" ht="15" x14ac:dyDescent="0.2">
      <c r="A59" s="65"/>
      <c r="B59" s="55"/>
      <c r="C59" s="184">
        <v>27</v>
      </c>
      <c r="D59" s="59" t="s">
        <v>84</v>
      </c>
      <c r="E59" s="60">
        <v>247819</v>
      </c>
      <c r="F59" s="60">
        <v>249147</v>
      </c>
      <c r="G59" s="61">
        <f t="shared" si="5"/>
        <v>1328</v>
      </c>
      <c r="H59" s="62"/>
      <c r="I59" s="65"/>
      <c r="J59" s="184">
        <v>27</v>
      </c>
      <c r="K59" s="59" t="s">
        <v>84</v>
      </c>
      <c r="L59" s="60">
        <v>249147</v>
      </c>
      <c r="M59" s="60">
        <v>250138</v>
      </c>
      <c r="N59" s="61">
        <f t="shared" si="2"/>
        <v>991</v>
      </c>
      <c r="O59" s="62"/>
      <c r="Q59" s="184">
        <v>27</v>
      </c>
      <c r="R59" s="59" t="s">
        <v>84</v>
      </c>
      <c r="S59" s="60">
        <v>250138</v>
      </c>
      <c r="T59" s="60">
        <v>251124</v>
      </c>
      <c r="U59" s="61">
        <f t="shared" si="3"/>
        <v>986</v>
      </c>
      <c r="V59" s="62"/>
    </row>
    <row r="60" spans="1:22" ht="15" x14ac:dyDescent="0.2">
      <c r="A60" s="65"/>
      <c r="B60" s="55"/>
      <c r="C60" s="185"/>
      <c r="D60" s="59" t="s">
        <v>85</v>
      </c>
      <c r="E60" s="60">
        <v>104997</v>
      </c>
      <c r="F60" s="60">
        <v>106037</v>
      </c>
      <c r="G60" s="61">
        <f t="shared" si="5"/>
        <v>1040</v>
      </c>
      <c r="H60" s="62"/>
      <c r="I60" s="65"/>
      <c r="J60" s="185"/>
      <c r="K60" s="59" t="s">
        <v>85</v>
      </c>
      <c r="L60" s="60">
        <v>106037</v>
      </c>
      <c r="M60" s="60">
        <v>106368</v>
      </c>
      <c r="N60" s="61">
        <f t="shared" si="2"/>
        <v>331</v>
      </c>
      <c r="O60" s="62"/>
      <c r="Q60" s="185"/>
      <c r="R60" s="59" t="s">
        <v>85</v>
      </c>
      <c r="S60" s="60">
        <v>106368</v>
      </c>
      <c r="T60" s="60">
        <v>106703</v>
      </c>
      <c r="U60" s="61">
        <f t="shared" si="3"/>
        <v>335</v>
      </c>
      <c r="V60" s="62"/>
    </row>
    <row r="61" spans="1:22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  <c r="Q61" s="69"/>
      <c r="R61" s="70"/>
      <c r="S61" s="70"/>
      <c r="T61" s="70"/>
      <c r="U61" s="70">
        <f t="shared" si="3"/>
        <v>0</v>
      </c>
      <c r="V61" s="72"/>
    </row>
    <row r="62" spans="1:22" ht="15" x14ac:dyDescent="0.2">
      <c r="A62" s="65"/>
      <c r="B62" s="55"/>
      <c r="C62" s="184">
        <v>28</v>
      </c>
      <c r="D62" s="179" t="s">
        <v>86</v>
      </c>
      <c r="E62" s="60"/>
      <c r="F62" s="60"/>
      <c r="G62" s="61"/>
      <c r="H62" s="181" t="s">
        <v>87</v>
      </c>
      <c r="I62" s="65"/>
      <c r="J62" s="184">
        <v>28</v>
      </c>
      <c r="K62" s="179" t="s">
        <v>86</v>
      </c>
      <c r="L62" s="60"/>
      <c r="M62" s="60"/>
      <c r="N62" s="61"/>
      <c r="O62" s="181" t="s">
        <v>87</v>
      </c>
      <c r="Q62" s="184">
        <v>28</v>
      </c>
      <c r="R62" s="179" t="s">
        <v>86</v>
      </c>
      <c r="S62" s="60"/>
      <c r="T62" s="60"/>
      <c r="U62" s="61">
        <f t="shared" si="3"/>
        <v>0</v>
      </c>
      <c r="V62" s="181" t="s">
        <v>87</v>
      </c>
    </row>
    <row r="63" spans="1:22" ht="15" x14ac:dyDescent="0.2">
      <c r="A63" s="65"/>
      <c r="B63" s="55"/>
      <c r="C63" s="185"/>
      <c r="D63" s="180"/>
      <c r="E63" s="60"/>
      <c r="F63" s="60"/>
      <c r="G63" s="61"/>
      <c r="H63" s="182"/>
      <c r="I63" s="65"/>
      <c r="J63" s="185"/>
      <c r="K63" s="180"/>
      <c r="L63" s="60"/>
      <c r="M63" s="60"/>
      <c r="N63" s="61"/>
      <c r="O63" s="182"/>
      <c r="Q63" s="185"/>
      <c r="R63" s="180"/>
      <c r="S63" s="60"/>
      <c r="T63" s="60"/>
      <c r="U63" s="61">
        <f t="shared" si="3"/>
        <v>0</v>
      </c>
      <c r="V63" s="182"/>
    </row>
    <row r="64" spans="1:22" x14ac:dyDescent="0.2">
      <c r="A64" s="65"/>
      <c r="B64" s="55"/>
      <c r="C64" s="183" t="s">
        <v>88</v>
      </c>
      <c r="D64" s="183"/>
      <c r="E64" s="183"/>
      <c r="F64" s="183"/>
      <c r="G64" s="79">
        <f>SUM(G2:G63)</f>
        <v>35162</v>
      </c>
      <c r="H64" s="80"/>
      <c r="I64" s="65"/>
      <c r="J64" s="183" t="s">
        <v>88</v>
      </c>
      <c r="K64" s="183"/>
      <c r="L64" s="183"/>
      <c r="M64" s="183"/>
      <c r="N64" s="79">
        <f>SUM(N2:N63)</f>
        <v>28625</v>
      </c>
      <c r="O64" s="80"/>
      <c r="Q64" s="183" t="s">
        <v>88</v>
      </c>
      <c r="R64" s="183"/>
      <c r="S64" s="183"/>
      <c r="T64" s="183"/>
      <c r="U64" s="79">
        <f>SUM(U2:U63)</f>
        <v>29985</v>
      </c>
      <c r="V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86">
        <v>44652</v>
      </c>
      <c r="C69" s="187"/>
      <c r="D69" s="187"/>
      <c r="E69" s="188"/>
      <c r="F69" s="83"/>
      <c r="G69" s="186">
        <v>44682</v>
      </c>
      <c r="H69" s="187"/>
      <c r="I69" s="187"/>
      <c r="J69" s="188"/>
      <c r="K69" s="83"/>
      <c r="L69" s="176" t="s">
        <v>25</v>
      </c>
      <c r="M69" s="177"/>
      <c r="N69" s="177"/>
      <c r="O69" s="178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98168</v>
      </c>
      <c r="D71" s="87">
        <v>59277</v>
      </c>
      <c r="E71" s="88">
        <v>78918</v>
      </c>
      <c r="F71" s="81"/>
      <c r="G71" s="85">
        <v>6</v>
      </c>
      <c r="H71" s="86">
        <v>98728</v>
      </c>
      <c r="I71" s="87">
        <v>59726</v>
      </c>
      <c r="J71" s="88">
        <v>78923</v>
      </c>
      <c r="K71" s="81"/>
      <c r="L71" s="84">
        <v>6</v>
      </c>
      <c r="M71" s="89">
        <f>H71-C71</f>
        <v>560</v>
      </c>
      <c r="N71" s="89">
        <f>I71-D71</f>
        <v>449</v>
      </c>
      <c r="O71" s="89">
        <f>J71-E71</f>
        <v>5</v>
      </c>
    </row>
    <row r="72" spans="1:15" ht="15.75" thickBot="1" x14ac:dyDescent="0.25">
      <c r="A72" s="81"/>
      <c r="B72" s="85">
        <v>7</v>
      </c>
      <c r="C72" s="86">
        <v>101305</v>
      </c>
      <c r="D72" s="87">
        <v>105850</v>
      </c>
      <c r="E72" s="88">
        <v>67398</v>
      </c>
      <c r="F72" s="81"/>
      <c r="G72" s="85">
        <v>7</v>
      </c>
      <c r="H72" s="86">
        <v>101991</v>
      </c>
      <c r="I72" s="87">
        <v>105999</v>
      </c>
      <c r="J72" s="88">
        <v>67964</v>
      </c>
      <c r="K72" s="81"/>
      <c r="L72" s="84">
        <v>7</v>
      </c>
      <c r="M72" s="89">
        <f t="shared" ref="M72:O94" si="6">H72-C72</f>
        <v>686</v>
      </c>
      <c r="N72" s="89">
        <f t="shared" si="6"/>
        <v>149</v>
      </c>
      <c r="O72" s="89">
        <f t="shared" si="6"/>
        <v>566</v>
      </c>
    </row>
    <row r="73" spans="1:15" ht="15.75" thickBot="1" x14ac:dyDescent="0.25">
      <c r="A73" s="81"/>
      <c r="B73" s="85">
        <v>8</v>
      </c>
      <c r="C73" s="86">
        <v>119911</v>
      </c>
      <c r="D73" s="87">
        <v>264475</v>
      </c>
      <c r="E73" s="88">
        <v>113232</v>
      </c>
      <c r="F73" s="81"/>
      <c r="G73" s="85">
        <v>8</v>
      </c>
      <c r="H73" s="86">
        <v>121283</v>
      </c>
      <c r="I73" s="87">
        <v>266639</v>
      </c>
      <c r="J73" s="88">
        <v>113657</v>
      </c>
      <c r="K73" s="81"/>
      <c r="L73" s="84">
        <v>8</v>
      </c>
      <c r="M73" s="89">
        <f t="shared" si="6"/>
        <v>1372</v>
      </c>
      <c r="N73" s="89">
        <f t="shared" si="6"/>
        <v>2164</v>
      </c>
      <c r="O73" s="89">
        <f t="shared" si="6"/>
        <v>425</v>
      </c>
    </row>
    <row r="74" spans="1:15" ht="15.75" thickBot="1" x14ac:dyDescent="0.25">
      <c r="A74" s="81"/>
      <c r="B74" s="85">
        <v>9</v>
      </c>
      <c r="C74" s="86">
        <v>69594</v>
      </c>
      <c r="D74" s="87">
        <v>156516</v>
      </c>
      <c r="E74" s="88">
        <v>164163</v>
      </c>
      <c r="F74" s="81"/>
      <c r="G74" s="85">
        <v>9</v>
      </c>
      <c r="H74" s="86">
        <v>69664</v>
      </c>
      <c r="I74" s="87">
        <v>156891</v>
      </c>
      <c r="J74" s="88">
        <v>165552</v>
      </c>
      <c r="K74" s="81"/>
      <c r="L74" s="84">
        <v>9</v>
      </c>
      <c r="M74" s="89">
        <f t="shared" si="6"/>
        <v>70</v>
      </c>
      <c r="N74" s="89">
        <f t="shared" si="6"/>
        <v>375</v>
      </c>
      <c r="O74" s="89">
        <f t="shared" si="6"/>
        <v>1389</v>
      </c>
    </row>
    <row r="75" spans="1:15" ht="15.75" thickBot="1" x14ac:dyDescent="0.25">
      <c r="A75" s="81"/>
      <c r="B75" s="85">
        <v>10</v>
      </c>
      <c r="C75" s="86">
        <v>77326</v>
      </c>
      <c r="D75" s="87">
        <v>125459</v>
      </c>
      <c r="E75" s="88">
        <v>153548</v>
      </c>
      <c r="F75" s="81"/>
      <c r="G75" s="85">
        <v>10</v>
      </c>
      <c r="H75" s="86">
        <v>77982</v>
      </c>
      <c r="I75" s="87">
        <v>126318</v>
      </c>
      <c r="J75" s="88">
        <v>154953</v>
      </c>
      <c r="K75" s="81"/>
      <c r="L75" s="84">
        <v>10</v>
      </c>
      <c r="M75" s="89">
        <f t="shared" si="6"/>
        <v>656</v>
      </c>
      <c r="N75" s="89">
        <f t="shared" si="6"/>
        <v>859</v>
      </c>
      <c r="O75" s="89">
        <f t="shared" si="6"/>
        <v>1405</v>
      </c>
    </row>
    <row r="76" spans="1:15" ht="15.75" thickBot="1" x14ac:dyDescent="0.25">
      <c r="A76" s="81"/>
      <c r="B76" s="85">
        <v>11</v>
      </c>
      <c r="C76" s="86">
        <v>161862</v>
      </c>
      <c r="D76" s="87">
        <v>188559</v>
      </c>
      <c r="E76" s="88">
        <v>214407</v>
      </c>
      <c r="F76" s="81"/>
      <c r="G76" s="85">
        <v>11</v>
      </c>
      <c r="H76" s="86">
        <v>163460</v>
      </c>
      <c r="I76" s="87">
        <v>189116</v>
      </c>
      <c r="J76" s="88">
        <v>214676</v>
      </c>
      <c r="K76" s="81"/>
      <c r="L76" s="84">
        <v>11</v>
      </c>
      <c r="M76" s="89">
        <f t="shared" si="6"/>
        <v>1598</v>
      </c>
      <c r="N76" s="89">
        <f t="shared" si="6"/>
        <v>557</v>
      </c>
      <c r="O76" s="89">
        <f t="shared" si="6"/>
        <v>269</v>
      </c>
    </row>
    <row r="77" spans="1:15" ht="15.75" thickBot="1" x14ac:dyDescent="0.25">
      <c r="A77" s="81"/>
      <c r="B77" s="85">
        <v>12</v>
      </c>
      <c r="C77" s="86">
        <v>156381</v>
      </c>
      <c r="D77" s="87">
        <v>98612</v>
      </c>
      <c r="E77" s="88">
        <v>101404</v>
      </c>
      <c r="F77" s="81"/>
      <c r="G77" s="85">
        <v>12</v>
      </c>
      <c r="H77" s="86">
        <v>157077</v>
      </c>
      <c r="I77" s="87">
        <v>99775</v>
      </c>
      <c r="J77" s="88">
        <v>101606</v>
      </c>
      <c r="K77" s="81"/>
      <c r="L77" s="84">
        <v>12</v>
      </c>
      <c r="M77" s="89">
        <f t="shared" si="6"/>
        <v>696</v>
      </c>
      <c r="N77" s="89">
        <f>I77-D77</f>
        <v>1163</v>
      </c>
      <c r="O77" s="89">
        <f t="shared" si="6"/>
        <v>202</v>
      </c>
    </row>
    <row r="78" spans="1:15" ht="15.75" thickBot="1" x14ac:dyDescent="0.25">
      <c r="A78" s="81"/>
      <c r="B78" s="85">
        <v>14</v>
      </c>
      <c r="C78" s="86">
        <v>123678</v>
      </c>
      <c r="D78" s="87">
        <v>49048</v>
      </c>
      <c r="E78" s="88">
        <v>51872</v>
      </c>
      <c r="F78" s="81"/>
      <c r="G78" s="85">
        <v>14</v>
      </c>
      <c r="H78" s="86">
        <v>123684</v>
      </c>
      <c r="I78" s="87">
        <v>49135</v>
      </c>
      <c r="J78" s="88">
        <v>51948</v>
      </c>
      <c r="K78" s="81"/>
      <c r="L78" s="84">
        <v>14</v>
      </c>
      <c r="M78" s="89">
        <f t="shared" si="6"/>
        <v>6</v>
      </c>
      <c r="N78" s="89">
        <f t="shared" si="6"/>
        <v>87</v>
      </c>
      <c r="O78" s="89">
        <f t="shared" si="6"/>
        <v>76</v>
      </c>
    </row>
    <row r="79" spans="1:15" ht="15.75" thickBot="1" x14ac:dyDescent="0.25">
      <c r="A79" s="81"/>
      <c r="B79" s="85">
        <v>15</v>
      </c>
      <c r="C79" s="86">
        <v>175959</v>
      </c>
      <c r="D79" s="87">
        <v>152823</v>
      </c>
      <c r="E79" s="88">
        <v>164362</v>
      </c>
      <c r="F79" s="81"/>
      <c r="G79" s="85">
        <v>15</v>
      </c>
      <c r="H79" s="86">
        <v>176550</v>
      </c>
      <c r="I79" s="87">
        <v>155178</v>
      </c>
      <c r="J79" s="88">
        <v>165024</v>
      </c>
      <c r="K79" s="81"/>
      <c r="L79" s="84">
        <v>15</v>
      </c>
      <c r="M79" s="89">
        <f t="shared" si="6"/>
        <v>591</v>
      </c>
      <c r="N79" s="89">
        <f t="shared" si="6"/>
        <v>2355</v>
      </c>
      <c r="O79" s="89">
        <f t="shared" si="6"/>
        <v>662</v>
      </c>
    </row>
    <row r="80" spans="1:15" ht="15.75" thickBot="1" x14ac:dyDescent="0.25">
      <c r="A80" s="81"/>
      <c r="B80" s="85">
        <v>16</v>
      </c>
      <c r="C80" s="86">
        <v>130643</v>
      </c>
      <c r="D80" s="87">
        <v>154261</v>
      </c>
      <c r="E80" s="88">
        <v>220645</v>
      </c>
      <c r="F80" s="81"/>
      <c r="G80" s="85">
        <v>16</v>
      </c>
      <c r="H80" s="86">
        <v>131005</v>
      </c>
      <c r="I80" s="87">
        <v>158093</v>
      </c>
      <c r="J80" s="88">
        <v>220954</v>
      </c>
      <c r="K80" s="81"/>
      <c r="L80" s="84">
        <v>16</v>
      </c>
      <c r="M80" s="89">
        <f t="shared" si="6"/>
        <v>362</v>
      </c>
      <c r="N80" s="89">
        <f t="shared" si="6"/>
        <v>3832</v>
      </c>
      <c r="O80" s="89">
        <f t="shared" si="6"/>
        <v>309</v>
      </c>
    </row>
    <row r="81" spans="1:15" ht="15.75" thickBot="1" x14ac:dyDescent="0.25">
      <c r="A81" s="81"/>
      <c r="B81" s="85">
        <v>17</v>
      </c>
      <c r="C81" s="86">
        <v>38475</v>
      </c>
      <c r="D81" s="87">
        <v>88658</v>
      </c>
      <c r="E81" s="88">
        <v>203694</v>
      </c>
      <c r="F81" s="81"/>
      <c r="G81" s="85">
        <v>17</v>
      </c>
      <c r="H81" s="86">
        <v>38476</v>
      </c>
      <c r="I81" s="87">
        <v>88865</v>
      </c>
      <c r="J81" s="88">
        <v>203858</v>
      </c>
      <c r="K81" s="81"/>
      <c r="L81" s="84">
        <v>17</v>
      </c>
      <c r="M81" s="89">
        <f t="shared" si="6"/>
        <v>1</v>
      </c>
      <c r="N81" s="89">
        <f t="shared" si="6"/>
        <v>207</v>
      </c>
      <c r="O81" s="89">
        <f t="shared" si="6"/>
        <v>164</v>
      </c>
    </row>
    <row r="82" spans="1:15" ht="15.75" thickBot="1" x14ac:dyDescent="0.25">
      <c r="A82" s="81"/>
      <c r="B82" s="85">
        <v>18</v>
      </c>
      <c r="C82" s="86">
        <v>140551</v>
      </c>
      <c r="D82" s="87">
        <v>75529</v>
      </c>
      <c r="E82" s="88">
        <v>166010</v>
      </c>
      <c r="F82" s="81"/>
      <c r="G82" s="85">
        <v>18</v>
      </c>
      <c r="H82" s="86">
        <v>140994</v>
      </c>
      <c r="I82" s="87">
        <v>75685</v>
      </c>
      <c r="J82" s="88">
        <v>166522</v>
      </c>
      <c r="K82" s="81"/>
      <c r="L82" s="84">
        <v>18</v>
      </c>
      <c r="M82" s="89">
        <f t="shared" si="6"/>
        <v>443</v>
      </c>
      <c r="N82" s="89">
        <f t="shared" si="6"/>
        <v>156</v>
      </c>
      <c r="O82" s="89">
        <f t="shared" si="6"/>
        <v>512</v>
      </c>
    </row>
    <row r="83" spans="1:15" ht="15.75" thickBot="1" x14ac:dyDescent="0.25">
      <c r="A83" s="81"/>
      <c r="B83" s="85">
        <v>19</v>
      </c>
      <c r="C83" s="86">
        <v>78392</v>
      </c>
      <c r="D83" s="87">
        <v>175537</v>
      </c>
      <c r="E83" s="88">
        <v>129874</v>
      </c>
      <c r="F83" s="81"/>
      <c r="G83" s="85">
        <v>19</v>
      </c>
      <c r="H83" s="86">
        <v>78488</v>
      </c>
      <c r="I83" s="87">
        <v>175993</v>
      </c>
      <c r="J83" s="88">
        <v>130578</v>
      </c>
      <c r="K83" s="81"/>
      <c r="L83" s="84">
        <v>19</v>
      </c>
      <c r="M83" s="89">
        <f t="shared" si="6"/>
        <v>96</v>
      </c>
      <c r="N83" s="89">
        <f t="shared" si="6"/>
        <v>456</v>
      </c>
      <c r="O83" s="89">
        <f t="shared" si="6"/>
        <v>704</v>
      </c>
    </row>
    <row r="84" spans="1:15" ht="15.75" thickBot="1" x14ac:dyDescent="0.25">
      <c r="A84" s="81"/>
      <c r="B84" s="85">
        <v>20</v>
      </c>
      <c r="C84" s="86">
        <v>147197</v>
      </c>
      <c r="D84" s="87">
        <v>178278</v>
      </c>
      <c r="E84" s="88">
        <v>90916</v>
      </c>
      <c r="F84" s="81"/>
      <c r="G84" s="85">
        <v>20</v>
      </c>
      <c r="H84" s="86">
        <v>147813</v>
      </c>
      <c r="I84" s="87">
        <v>179150</v>
      </c>
      <c r="J84" s="88">
        <v>90949</v>
      </c>
      <c r="K84" s="81"/>
      <c r="L84" s="84">
        <v>20</v>
      </c>
      <c r="M84" s="89">
        <f>H84-C84</f>
        <v>616</v>
      </c>
      <c r="N84" s="89">
        <f t="shared" si="6"/>
        <v>872</v>
      </c>
      <c r="O84" s="89">
        <f t="shared" si="6"/>
        <v>33</v>
      </c>
    </row>
    <row r="85" spans="1:15" ht="15.75" thickBot="1" x14ac:dyDescent="0.25">
      <c r="A85" s="81"/>
      <c r="B85" s="85">
        <v>21</v>
      </c>
      <c r="C85" s="86">
        <v>194011</v>
      </c>
      <c r="D85" s="87">
        <v>92560</v>
      </c>
      <c r="E85" s="88">
        <v>117927</v>
      </c>
      <c r="F85" s="81"/>
      <c r="G85" s="85">
        <v>21</v>
      </c>
      <c r="H85" s="86">
        <v>194278</v>
      </c>
      <c r="I85" s="87">
        <v>93086</v>
      </c>
      <c r="J85" s="88">
        <v>118367</v>
      </c>
      <c r="K85" s="81"/>
      <c r="L85" s="84">
        <v>21</v>
      </c>
      <c r="M85" s="89">
        <f t="shared" si="6"/>
        <v>267</v>
      </c>
      <c r="N85" s="89">
        <f t="shared" si="6"/>
        <v>526</v>
      </c>
      <c r="O85" s="89">
        <f t="shared" si="6"/>
        <v>440</v>
      </c>
    </row>
    <row r="86" spans="1:15" ht="15.75" thickBot="1" x14ac:dyDescent="0.25">
      <c r="A86" s="81"/>
      <c r="B86" s="85">
        <v>22</v>
      </c>
      <c r="C86" s="86">
        <v>141829</v>
      </c>
      <c r="D86" s="87">
        <v>100057</v>
      </c>
      <c r="E86" s="88">
        <v>122868</v>
      </c>
      <c r="F86" s="81"/>
      <c r="G86" s="85">
        <v>22</v>
      </c>
      <c r="H86" s="86">
        <v>142784</v>
      </c>
      <c r="I86" s="87">
        <v>100769</v>
      </c>
      <c r="J86" s="88">
        <v>122914</v>
      </c>
      <c r="K86" s="81"/>
      <c r="L86" s="84">
        <v>22</v>
      </c>
      <c r="M86" s="89">
        <f t="shared" si="6"/>
        <v>955</v>
      </c>
      <c r="N86" s="89">
        <f t="shared" si="6"/>
        <v>712</v>
      </c>
      <c r="O86" s="89">
        <f t="shared" si="6"/>
        <v>46</v>
      </c>
    </row>
    <row r="87" spans="1:15" ht="15.75" thickBot="1" x14ac:dyDescent="0.25">
      <c r="A87" s="81"/>
      <c r="B87" s="85">
        <v>23</v>
      </c>
      <c r="C87" s="86">
        <v>131072</v>
      </c>
      <c r="D87" s="87">
        <v>159329</v>
      </c>
      <c r="E87" s="88">
        <v>298323</v>
      </c>
      <c r="F87" s="81"/>
      <c r="G87" s="85">
        <v>23</v>
      </c>
      <c r="H87" s="86">
        <v>131286</v>
      </c>
      <c r="I87" s="87">
        <v>159709</v>
      </c>
      <c r="J87" s="88">
        <v>299791</v>
      </c>
      <c r="K87" s="81"/>
      <c r="L87" s="84">
        <v>23</v>
      </c>
      <c r="M87" s="89">
        <f t="shared" si="6"/>
        <v>214</v>
      </c>
      <c r="N87" s="89">
        <f t="shared" si="6"/>
        <v>380</v>
      </c>
      <c r="O87" s="89">
        <f t="shared" si="6"/>
        <v>1468</v>
      </c>
    </row>
    <row r="88" spans="1:15" ht="15.75" thickBot="1" x14ac:dyDescent="0.25">
      <c r="A88" s="81"/>
      <c r="B88" s="85">
        <v>24</v>
      </c>
      <c r="C88" s="86">
        <v>81296</v>
      </c>
      <c r="D88" s="87">
        <v>154567</v>
      </c>
      <c r="E88" s="88">
        <v>102421</v>
      </c>
      <c r="F88" s="81"/>
      <c r="G88" s="85">
        <v>24</v>
      </c>
      <c r="H88" s="86">
        <v>81422</v>
      </c>
      <c r="I88" s="87">
        <v>155495</v>
      </c>
      <c r="J88" s="88">
        <v>102593</v>
      </c>
      <c r="K88" s="81"/>
      <c r="L88" s="84">
        <v>24</v>
      </c>
      <c r="M88" s="89">
        <f t="shared" si="6"/>
        <v>126</v>
      </c>
      <c r="N88" s="89">
        <f t="shared" si="6"/>
        <v>928</v>
      </c>
      <c r="O88" s="89">
        <f>J88-E88</f>
        <v>172</v>
      </c>
    </row>
    <row r="89" spans="1:15" ht="15.75" thickBot="1" x14ac:dyDescent="0.25">
      <c r="A89" s="81"/>
      <c r="B89" s="85">
        <v>25</v>
      </c>
      <c r="C89" s="86">
        <v>125845</v>
      </c>
      <c r="D89" s="87">
        <v>181702</v>
      </c>
      <c r="E89" s="88">
        <v>169525</v>
      </c>
      <c r="F89" s="81"/>
      <c r="G89" s="85">
        <v>25</v>
      </c>
      <c r="H89" s="86">
        <v>127005</v>
      </c>
      <c r="I89" s="87">
        <v>181906</v>
      </c>
      <c r="J89" s="88">
        <v>170782</v>
      </c>
      <c r="K89" s="81"/>
      <c r="L89" s="84">
        <v>25</v>
      </c>
      <c r="M89" s="89">
        <f t="shared" si="6"/>
        <v>1160</v>
      </c>
      <c r="N89" s="89">
        <f t="shared" si="6"/>
        <v>204</v>
      </c>
      <c r="O89" s="89">
        <f>J89-E89</f>
        <v>1257</v>
      </c>
    </row>
    <row r="90" spans="1:15" ht="15.75" thickBot="1" x14ac:dyDescent="0.25">
      <c r="A90" s="81"/>
      <c r="B90" s="85">
        <v>26</v>
      </c>
      <c r="C90" s="86">
        <v>121546</v>
      </c>
      <c r="D90" s="87">
        <v>56644</v>
      </c>
      <c r="E90" s="88">
        <v>59160</v>
      </c>
      <c r="F90" s="81"/>
      <c r="G90" s="85">
        <v>26</v>
      </c>
      <c r="H90" s="86">
        <v>122819</v>
      </c>
      <c r="I90" s="87">
        <v>57563</v>
      </c>
      <c r="J90" s="88">
        <v>59964</v>
      </c>
      <c r="K90" s="81"/>
      <c r="L90" s="84">
        <v>26</v>
      </c>
      <c r="M90" s="89">
        <f t="shared" si="6"/>
        <v>1273</v>
      </c>
      <c r="N90" s="89">
        <f t="shared" si="6"/>
        <v>919</v>
      </c>
      <c r="O90" s="89">
        <f t="shared" si="6"/>
        <v>804</v>
      </c>
    </row>
    <row r="91" spans="1:15" ht="15.75" thickBot="1" x14ac:dyDescent="0.25">
      <c r="A91" s="81"/>
      <c r="B91" s="85">
        <v>27</v>
      </c>
      <c r="C91" s="86">
        <v>104060</v>
      </c>
      <c r="D91" s="87">
        <v>113499</v>
      </c>
      <c r="E91" s="88">
        <v>126621</v>
      </c>
      <c r="F91" s="81"/>
      <c r="G91" s="85">
        <v>27</v>
      </c>
      <c r="H91" s="86">
        <v>104246</v>
      </c>
      <c r="I91" s="87">
        <v>114157</v>
      </c>
      <c r="J91" s="88">
        <v>127368</v>
      </c>
      <c r="K91" s="81"/>
      <c r="L91" s="84">
        <v>27</v>
      </c>
      <c r="M91" s="89">
        <f t="shared" si="6"/>
        <v>186</v>
      </c>
      <c r="N91" s="89">
        <f t="shared" si="6"/>
        <v>658</v>
      </c>
      <c r="O91" s="89">
        <f t="shared" si="6"/>
        <v>747</v>
      </c>
    </row>
    <row r="92" spans="1:15" ht="15.75" thickBot="1" x14ac:dyDescent="0.25">
      <c r="A92" s="81"/>
      <c r="B92" s="85">
        <v>28</v>
      </c>
      <c r="C92" s="86">
        <v>203813</v>
      </c>
      <c r="D92" s="87">
        <v>102210</v>
      </c>
      <c r="E92" s="88">
        <v>113052</v>
      </c>
      <c r="F92" s="81"/>
      <c r="G92" s="85">
        <v>28</v>
      </c>
      <c r="H92" s="86">
        <v>204033</v>
      </c>
      <c r="I92" s="87">
        <v>105999</v>
      </c>
      <c r="J92" s="88">
        <v>113586</v>
      </c>
      <c r="K92" s="81"/>
      <c r="L92" s="84">
        <v>28</v>
      </c>
      <c r="M92" s="89">
        <f t="shared" si="6"/>
        <v>220</v>
      </c>
      <c r="N92" s="89">
        <f t="shared" si="6"/>
        <v>3789</v>
      </c>
      <c r="O92" s="89">
        <f t="shared" si="6"/>
        <v>534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103369</v>
      </c>
      <c r="J93" s="88"/>
      <c r="K93" s="81"/>
      <c r="L93" s="84">
        <v>29</v>
      </c>
      <c r="M93" s="89">
        <f>H93-C93</f>
        <v>0</v>
      </c>
      <c r="N93" s="89">
        <f t="shared" si="6"/>
        <v>17152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/>
      <c r="J94" s="88"/>
      <c r="K94" s="81"/>
      <c r="L94" s="84">
        <v>30</v>
      </c>
      <c r="M94" s="89">
        <f>H94-C94</f>
        <v>0</v>
      </c>
      <c r="N94" s="89">
        <f t="shared" si="6"/>
        <v>-14818</v>
      </c>
      <c r="O94" s="81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10576101</v>
      </c>
      <c r="D2" s="95">
        <f>C2*1.27</f>
        <v>13431648.27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31077655</v>
      </c>
      <c r="K3" s="164">
        <f>J3-I3</f>
        <v>425199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99592973</v>
      </c>
      <c r="K4" s="164">
        <f>J4-I4</f>
        <v>1427532</v>
      </c>
    </row>
    <row r="5" spans="1:13" ht="13.5" thickBot="1" x14ac:dyDescent="0.25">
      <c r="A5" s="93"/>
      <c r="B5" s="99" t="s">
        <v>27</v>
      </c>
      <c r="C5" s="103">
        <f>(K10+K12)*0.842284+K26</f>
        <v>825961.18170000007</v>
      </c>
      <c r="D5" s="103">
        <f t="shared" ref="D5:D11" si="0">C5*1.27</f>
        <v>1048970.7007590001</v>
      </c>
      <c r="E5" s="104"/>
      <c r="F5" s="93"/>
      <c r="G5" s="93"/>
      <c r="H5" s="99" t="s">
        <v>23</v>
      </c>
      <c r="I5" s="105"/>
      <c r="J5" s="105"/>
      <c r="K5" s="125">
        <f>K3+K4</f>
        <v>1852731</v>
      </c>
    </row>
    <row r="6" spans="1:13" ht="13.5" thickBot="1" x14ac:dyDescent="0.25">
      <c r="A6" s="93"/>
      <c r="B6" s="99" t="s">
        <v>99</v>
      </c>
      <c r="C6" s="103">
        <f>(K10+K12+K26)*0.1488</f>
        <v>145448.28</v>
      </c>
      <c r="D6" s="103">
        <f t="shared" si="0"/>
        <v>184719.3156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9916096</v>
      </c>
      <c r="K6" s="164">
        <f>J6-I6</f>
        <v>128955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-9760634</v>
      </c>
      <c r="D7" s="103">
        <f t="shared" si="0"/>
        <v>-12396005.18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88747</v>
      </c>
      <c r="K7" s="164">
        <f>J7-I7</f>
        <v>-9813000</v>
      </c>
    </row>
    <row r="8" spans="1:13" ht="13.5" thickBot="1" x14ac:dyDescent="0.25">
      <c r="A8" s="93"/>
      <c r="B8" s="99" t="s">
        <v>103</v>
      </c>
      <c r="C8" s="103">
        <f>K21+K22+K23+K24</f>
        <v>34729</v>
      </c>
      <c r="D8" s="103">
        <f t="shared" si="0"/>
        <v>44105.83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6640354</v>
      </c>
      <c r="K8" s="90">
        <f>(J8-I8)*2</f>
        <v>233386</v>
      </c>
    </row>
    <row r="9" spans="1:13" ht="13.5" thickBot="1" x14ac:dyDescent="0.25">
      <c r="A9" s="93"/>
      <c r="B9" s="99" t="s">
        <v>137</v>
      </c>
      <c r="C9" s="103">
        <f>K25+K16+K17</f>
        <v>7211</v>
      </c>
      <c r="D9" s="103">
        <f t="shared" si="0"/>
        <v>9157.9699999999993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6626555</v>
      </c>
      <c r="K9" s="90">
        <f>J9-I9</f>
        <v>301745</v>
      </c>
    </row>
    <row r="10" spans="1:13" ht="13.5" thickBot="1" x14ac:dyDescent="0.25">
      <c r="A10" s="93"/>
      <c r="B10" s="99" t="s">
        <v>106</v>
      </c>
      <c r="C10" s="103">
        <f>K18</f>
        <v>13920</v>
      </c>
      <c r="D10" s="103">
        <f t="shared" si="0"/>
        <v>17678.400000000001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21212510</v>
      </c>
      <c r="K10" s="90">
        <f>J10-I10</f>
        <v>316887</v>
      </c>
    </row>
    <row r="11" spans="1:13" ht="13.5" thickBot="1" x14ac:dyDescent="0.25">
      <c r="A11" s="93"/>
      <c r="B11" s="99" t="s">
        <v>108</v>
      </c>
      <c r="C11" s="103">
        <f>K19+K20</f>
        <v>3929</v>
      </c>
      <c r="D11" s="103">
        <f t="shared" si="0"/>
        <v>4989.83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9148661</v>
      </c>
      <c r="K12" s="90">
        <f>(J12-I12)*2</f>
        <v>643788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-8188239</v>
      </c>
    </row>
    <row r="14" spans="1:13" ht="13.5" thickBot="1" x14ac:dyDescent="0.25">
      <c r="A14" s="93"/>
      <c r="B14" s="99" t="s">
        <v>42</v>
      </c>
      <c r="C14" s="103">
        <f>K29</f>
        <v>30600</v>
      </c>
      <c r="D14" s="111">
        <f t="shared" ref="D14:D22" si="1">C14*10.03</f>
        <v>306918</v>
      </c>
      <c r="E14" s="112"/>
      <c r="F14" s="93"/>
      <c r="G14" s="93"/>
      <c r="H14" s="99" t="s">
        <v>114</v>
      </c>
      <c r="I14" s="108"/>
      <c r="J14" s="109"/>
      <c r="K14" s="91">
        <f>K5-K13</f>
        <v>10040970</v>
      </c>
    </row>
    <row r="15" spans="1:13" ht="13.5" thickBot="1" x14ac:dyDescent="0.25">
      <c r="A15" s="93"/>
      <c r="B15" s="99" t="s">
        <v>115</v>
      </c>
      <c r="C15" s="113">
        <f>K30</f>
        <v>151.36199999999999</v>
      </c>
      <c r="D15" s="111">
        <f t="shared" si="1"/>
        <v>1518.16086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3246.0544884000001</v>
      </c>
      <c r="D16" s="111">
        <f t="shared" si="1"/>
        <v>32557.926518651999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3997</v>
      </c>
      <c r="K16" s="92">
        <f>(J16-I16)*160</f>
        <v>2560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316235</v>
      </c>
      <c r="K17" s="92">
        <f>(J17-I17)</f>
        <v>4554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26167</v>
      </c>
      <c r="K18" s="92">
        <f>(J18-I18)*160</f>
        <v>13920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154104</v>
      </c>
      <c r="K19" s="92">
        <f>J19-I19</f>
        <v>3929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47083</v>
      </c>
      <c r="K21" s="92">
        <f>(J21-I21)*120</f>
        <v>16680</v>
      </c>
    </row>
    <row r="22" spans="1:11" ht="13.5" thickBot="1" x14ac:dyDescent="0.25">
      <c r="A22" s="93"/>
      <c r="B22" s="99" t="s">
        <v>119</v>
      </c>
      <c r="C22" s="111">
        <f>C14-(C15+C16+C17+C18+C19+C20+C21)</f>
        <v>21382.583511600002</v>
      </c>
      <c r="D22" s="111">
        <f t="shared" si="1"/>
        <v>214467.31262134801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40635</v>
      </c>
      <c r="K22" s="92">
        <f>(J22-I22)*160</f>
        <v>15520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21684</v>
      </c>
      <c r="K23" s="92">
        <f>(J23-I23)*20</f>
        <v>1980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255278</v>
      </c>
      <c r="K24" s="92">
        <f>J24-I24</f>
        <v>549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226033</v>
      </c>
      <c r="K25" s="92">
        <f>J25-I25</f>
        <v>97</v>
      </c>
    </row>
    <row r="26" spans="1:11" ht="13.5" thickBot="1" x14ac:dyDescent="0.25">
      <c r="A26" s="93"/>
      <c r="B26" s="99" t="s">
        <v>42</v>
      </c>
      <c r="C26" s="117">
        <f>K35</f>
        <v>69913</v>
      </c>
      <c r="D26" s="103">
        <f>C26*3.65</f>
        <v>255182.44999999998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19672</v>
      </c>
      <c r="K26" s="92">
        <f>(J26-I26)*160</f>
        <v>16800</v>
      </c>
    </row>
    <row r="27" spans="1:11" ht="13.5" thickBot="1" x14ac:dyDescent="0.25">
      <c r="A27" s="93"/>
      <c r="B27" s="94" t="s">
        <v>124</v>
      </c>
      <c r="C27" s="117">
        <f>C26</f>
        <v>69913</v>
      </c>
      <c r="D27" s="103">
        <f>C27*3.65</f>
        <v>255182.44999999998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450062</v>
      </c>
      <c r="K29" s="92">
        <f>(J29-I29)*10</f>
        <v>30600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793563</v>
      </c>
      <c r="K30" s="92">
        <f>(J30-I30)*0.027</f>
        <v>151.36199999999999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8745</v>
      </c>
      <c r="K31" s="92">
        <f>(J31-I31)*0.027</f>
        <v>38.664000000000001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9299600</v>
      </c>
      <c r="K32" s="92">
        <f>(J32-I32)*0.027</f>
        <v>14806.8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18299143</v>
      </c>
      <c r="K35" s="123">
        <f>J35-I35</f>
        <v>69913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2022-06-01T00:57:18Z</dcterms:modified>
</cp:coreProperties>
</file>