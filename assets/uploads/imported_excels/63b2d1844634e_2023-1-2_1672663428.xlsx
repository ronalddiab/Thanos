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D6844D74-8118-4FB5-BAD3-936DB7A7621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C6" i="4" l="1"/>
  <c r="B32" i="2"/>
  <c r="I2" i="2"/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32" i="6" l="1"/>
  <c r="B10" i="8" l="1"/>
  <c r="C10" i="8"/>
  <c r="D10" i="8" s="1"/>
  <c r="G10" i="8"/>
  <c r="G11" i="8"/>
  <c r="C11" i="8"/>
  <c r="D11" i="8" s="1"/>
  <c r="E5" i="8"/>
  <c r="E6" i="8"/>
  <c r="E7" i="8"/>
  <c r="E8" i="8"/>
  <c r="E9" i="8"/>
  <c r="E11" i="8"/>
  <c r="E12" i="8"/>
  <c r="F12" i="8" s="1"/>
  <c r="E13" i="8"/>
  <c r="E14" i="8"/>
  <c r="F14" i="8" s="1"/>
  <c r="E15" i="8"/>
  <c r="E16" i="8"/>
  <c r="F16" i="8" s="1"/>
  <c r="E17" i="8"/>
  <c r="E18" i="8"/>
  <c r="E19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D14" i="8" s="1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F18" i="8" s="1"/>
  <c r="C19" i="8"/>
  <c r="C20" i="8"/>
  <c r="C21" i="8"/>
  <c r="C22" i="8"/>
  <c r="D22" i="8" s="1"/>
  <c r="F11" i="2"/>
  <c r="E12" i="3" s="1"/>
  <c r="F12" i="2"/>
  <c r="D13" i="4" s="1"/>
  <c r="F13" i="2"/>
  <c r="D14" i="4"/>
  <c r="F14" i="2"/>
  <c r="D15" i="4" s="1"/>
  <c r="F15" i="2"/>
  <c r="D16" i="4"/>
  <c r="S5" i="8"/>
  <c r="S6" i="8"/>
  <c r="S7" i="8"/>
  <c r="S8" i="8"/>
  <c r="S9" i="8"/>
  <c r="S10" i="8"/>
  <c r="B31" i="3"/>
  <c r="B32" i="3"/>
  <c r="C32" i="3" s="1"/>
  <c r="W29" i="8"/>
  <c r="W30" i="8"/>
  <c r="X30" i="8" s="1"/>
  <c r="W31" i="8"/>
  <c r="W32" i="8"/>
  <c r="W33" i="8"/>
  <c r="U29" i="8"/>
  <c r="V29" i="8" s="1"/>
  <c r="U30" i="8"/>
  <c r="U31" i="8"/>
  <c r="C31" i="8"/>
  <c r="U32" i="8"/>
  <c r="U33" i="8"/>
  <c r="S30" i="8"/>
  <c r="S31" i="8"/>
  <c r="S32" i="8"/>
  <c r="S33" i="8"/>
  <c r="Q30" i="8"/>
  <c r="Q31" i="8"/>
  <c r="Q32" i="8"/>
  <c r="Q33" i="8"/>
  <c r="O31" i="8"/>
  <c r="O32" i="8"/>
  <c r="C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3" i="8"/>
  <c r="V33" i="8" s="1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I29" i="4" s="1"/>
  <c r="P30" i="2"/>
  <c r="P31" i="2"/>
  <c r="O28" i="2"/>
  <c r="O29" i="2"/>
  <c r="N29" i="2"/>
  <c r="O30" i="2"/>
  <c r="O31" i="2"/>
  <c r="N31" i="2"/>
  <c r="N28" i="2"/>
  <c r="N30" i="2"/>
  <c r="M28" i="2"/>
  <c r="M29" i="2"/>
  <c r="L29" i="2"/>
  <c r="G30" i="4" s="1"/>
  <c r="M30" i="2"/>
  <c r="M31" i="2"/>
  <c r="L30" i="2"/>
  <c r="L31" i="2"/>
  <c r="K29" i="2"/>
  <c r="K30" i="2"/>
  <c r="K31" i="2"/>
  <c r="J29" i="2"/>
  <c r="I29" i="2"/>
  <c r="F30" i="4" s="1"/>
  <c r="J30" i="2"/>
  <c r="J31" i="2"/>
  <c r="I30" i="2"/>
  <c r="I31" i="2"/>
  <c r="G32" i="3" s="1"/>
  <c r="G29" i="2"/>
  <c r="E30" i="4" s="1"/>
  <c r="G30" i="2"/>
  <c r="E31" i="4" s="1"/>
  <c r="E30" i="2"/>
  <c r="C31" i="4" s="1"/>
  <c r="F30" i="2"/>
  <c r="D31" i="4" s="1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 s="1"/>
  <c r="E28" i="2"/>
  <c r="C29" i="4"/>
  <c r="V34" i="1"/>
  <c r="W34" i="1"/>
  <c r="X34" i="1"/>
  <c r="O22" i="2"/>
  <c r="O23" i="2"/>
  <c r="O24" i="2"/>
  <c r="O25" i="2"/>
  <c r="H26" i="4" s="1"/>
  <c r="O26" i="2"/>
  <c r="H27" i="4" s="1"/>
  <c r="O27" i="2"/>
  <c r="M22" i="2"/>
  <c r="M23" i="2"/>
  <c r="M24" i="2"/>
  <c r="M25" i="2"/>
  <c r="J23" i="2"/>
  <c r="J24" i="2"/>
  <c r="G20" i="8"/>
  <c r="B32" i="4"/>
  <c r="K21" i="8"/>
  <c r="E21" i="8"/>
  <c r="I21" i="8"/>
  <c r="M21" i="8"/>
  <c r="N21" i="8" s="1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I13" i="4" s="1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I5" i="4" s="1"/>
  <c r="R5" i="2"/>
  <c r="I6" i="4" s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L14" i="8" s="1"/>
  <c r="C14" i="8"/>
  <c r="G24" i="8"/>
  <c r="G25" i="8"/>
  <c r="C25" i="8"/>
  <c r="G19" i="8"/>
  <c r="G22" i="8"/>
  <c r="H22" i="8"/>
  <c r="G5" i="8"/>
  <c r="S4" i="8"/>
  <c r="Q5" i="8"/>
  <c r="Q6" i="8"/>
  <c r="Q7" i="8"/>
  <c r="Q8" i="8"/>
  <c r="Q9" i="8"/>
  <c r="Q10" i="8"/>
  <c r="R10" i="8" s="1"/>
  <c r="Q11" i="8"/>
  <c r="R11" i="8" s="1"/>
  <c r="Q12" i="8"/>
  <c r="Q13" i="8"/>
  <c r="R13" i="8" s="1"/>
  <c r="Q14" i="8"/>
  <c r="R14" i="8" s="1"/>
  <c r="Q15" i="8"/>
  <c r="Q16" i="8"/>
  <c r="Q17" i="8"/>
  <c r="Q18" i="8"/>
  <c r="R18" i="8" s="1"/>
  <c r="Q19" i="8"/>
  <c r="Q20" i="8"/>
  <c r="R20" i="8" s="1"/>
  <c r="Q22" i="8"/>
  <c r="R22" i="8" s="1"/>
  <c r="Q23" i="8"/>
  <c r="Q24" i="8"/>
  <c r="Q25" i="8"/>
  <c r="Q26" i="8"/>
  <c r="R26" i="8" s="1"/>
  <c r="Q27" i="8"/>
  <c r="Q28" i="8"/>
  <c r="Q29" i="8"/>
  <c r="Q4" i="8"/>
  <c r="C4" i="8"/>
  <c r="D4" i="8" s="1"/>
  <c r="S11" i="8"/>
  <c r="S12" i="8"/>
  <c r="S13" i="8"/>
  <c r="S14" i="8"/>
  <c r="T14" i="8" s="1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S29" i="8"/>
  <c r="U5" i="8"/>
  <c r="V5" i="8" s="1"/>
  <c r="U6" i="8"/>
  <c r="U7" i="8"/>
  <c r="C7" i="8"/>
  <c r="T7" i="8" s="1"/>
  <c r="U8" i="8"/>
  <c r="U9" i="8"/>
  <c r="U10" i="8"/>
  <c r="U11" i="8"/>
  <c r="U12" i="8"/>
  <c r="U13" i="8"/>
  <c r="U14" i="8"/>
  <c r="V14" i="8"/>
  <c r="U15" i="8"/>
  <c r="U16" i="8"/>
  <c r="U17" i="8"/>
  <c r="U18" i="8"/>
  <c r="U19" i="8"/>
  <c r="U20" i="8"/>
  <c r="U22" i="8"/>
  <c r="U23" i="8"/>
  <c r="U24" i="8"/>
  <c r="U25" i="8"/>
  <c r="U26" i="8"/>
  <c r="U27" i="8"/>
  <c r="U28" i="8"/>
  <c r="U4" i="8"/>
  <c r="G6" i="8"/>
  <c r="G7" i="8"/>
  <c r="G8" i="8"/>
  <c r="H8" i="8" s="1"/>
  <c r="G9" i="8"/>
  <c r="G12" i="8"/>
  <c r="G13" i="8"/>
  <c r="G14" i="8"/>
  <c r="H14" i="8" s="1"/>
  <c r="G15" i="8"/>
  <c r="G16" i="8"/>
  <c r="G17" i="8"/>
  <c r="G18" i="8"/>
  <c r="H18" i="8" s="1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X11" i="8" s="1"/>
  <c r="W12" i="8"/>
  <c r="W13" i="8"/>
  <c r="W14" i="8"/>
  <c r="W15" i="8"/>
  <c r="W16" i="8"/>
  <c r="W17" i="8"/>
  <c r="W18" i="8"/>
  <c r="X18" i="8" s="1"/>
  <c r="W19" i="8"/>
  <c r="W20" i="8"/>
  <c r="W22" i="8"/>
  <c r="W23" i="8"/>
  <c r="W24" i="8"/>
  <c r="W25" i="8"/>
  <c r="X25" i="8" s="1"/>
  <c r="W26" i="8"/>
  <c r="W27" i="8"/>
  <c r="W28" i="8"/>
  <c r="W5" i="8"/>
  <c r="W4" i="8"/>
  <c r="X4" i="8" s="1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P10" i="8" s="1"/>
  <c r="O11" i="8"/>
  <c r="O12" i="8"/>
  <c r="O13" i="8"/>
  <c r="O14" i="8"/>
  <c r="P14" i="8" s="1"/>
  <c r="O15" i="8"/>
  <c r="O16" i="8"/>
  <c r="O17" i="8"/>
  <c r="O18" i="8"/>
  <c r="P18" i="8" s="1"/>
  <c r="O19" i="8"/>
  <c r="O20" i="8"/>
  <c r="O22" i="8"/>
  <c r="P22" i="8" s="1"/>
  <c r="O23" i="8"/>
  <c r="C23" i="8"/>
  <c r="H23" i="8" s="1"/>
  <c r="O24" i="8"/>
  <c r="O25" i="8"/>
  <c r="O26" i="8"/>
  <c r="O27" i="8"/>
  <c r="O28" i="8"/>
  <c r="O29" i="8"/>
  <c r="O30" i="8"/>
  <c r="O4" i="8"/>
  <c r="M5" i="8"/>
  <c r="M6" i="8"/>
  <c r="M7" i="8"/>
  <c r="M8" i="8"/>
  <c r="C8" i="8"/>
  <c r="T8" i="8" s="1"/>
  <c r="M9" i="8"/>
  <c r="M10" i="8"/>
  <c r="N10" i="8" s="1"/>
  <c r="M11" i="8"/>
  <c r="M12" i="8"/>
  <c r="M13" i="8"/>
  <c r="M14" i="8"/>
  <c r="M15" i="8"/>
  <c r="M16" i="8"/>
  <c r="M17" i="8"/>
  <c r="M18" i="8"/>
  <c r="N18" i="8" s="1"/>
  <c r="M22" i="8"/>
  <c r="M23" i="8"/>
  <c r="N23" i="8" s="1"/>
  <c r="M24" i="8"/>
  <c r="M25" i="8"/>
  <c r="N25" i="8" s="1"/>
  <c r="M26" i="8"/>
  <c r="C26" i="8"/>
  <c r="L26" i="8" s="1"/>
  <c r="M27" i="8"/>
  <c r="M28" i="8"/>
  <c r="M29" i="8"/>
  <c r="M30" i="8"/>
  <c r="M4" i="8"/>
  <c r="K5" i="8"/>
  <c r="K6" i="8"/>
  <c r="K7" i="8"/>
  <c r="K8" i="8"/>
  <c r="K9" i="8"/>
  <c r="K10" i="8"/>
  <c r="L10" i="8" s="1"/>
  <c r="K11" i="8"/>
  <c r="K12" i="8"/>
  <c r="K13" i="8"/>
  <c r="K15" i="8"/>
  <c r="K16" i="8"/>
  <c r="L16" i="8" s="1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J10" i="8" s="1"/>
  <c r="I11" i="8"/>
  <c r="I12" i="8"/>
  <c r="I13" i="8"/>
  <c r="I14" i="8"/>
  <c r="I15" i="8"/>
  <c r="I16" i="8"/>
  <c r="I17" i="8"/>
  <c r="I18" i="8"/>
  <c r="J18" i="8" s="1"/>
  <c r="I19" i="8"/>
  <c r="J19" i="8" s="1"/>
  <c r="I20" i="8"/>
  <c r="J20" i="8" s="1"/>
  <c r="I22" i="8"/>
  <c r="J22" i="8" s="1"/>
  <c r="I23" i="8"/>
  <c r="I24" i="8"/>
  <c r="C24" i="8"/>
  <c r="D24" i="8" s="1"/>
  <c r="I25" i="8"/>
  <c r="I26" i="8"/>
  <c r="I27" i="8"/>
  <c r="I28" i="8"/>
  <c r="E28" i="8"/>
  <c r="I29" i="8"/>
  <c r="I30" i="8"/>
  <c r="I4" i="8"/>
  <c r="G4" i="8"/>
  <c r="C9" i="8"/>
  <c r="H9" i="8" s="1"/>
  <c r="E20" i="8"/>
  <c r="E22" i="8"/>
  <c r="E23" i="8"/>
  <c r="F23" i="8" s="1"/>
  <c r="E24" i="8"/>
  <c r="E25" i="8"/>
  <c r="E26" i="8"/>
  <c r="F26" i="8" s="1"/>
  <c r="E27" i="8"/>
  <c r="E29" i="8"/>
  <c r="E30" i="8"/>
  <c r="E31" i="8"/>
  <c r="E4" i="8"/>
  <c r="C5" i="8"/>
  <c r="C6" i="8"/>
  <c r="C12" i="8"/>
  <c r="R12" i="8" s="1"/>
  <c r="C15" i="8"/>
  <c r="C17" i="8"/>
  <c r="C29" i="8"/>
  <c r="J29" i="8" s="1"/>
  <c r="E25" i="2"/>
  <c r="C26" i="4" s="1"/>
  <c r="W26" i="2"/>
  <c r="O3" i="2"/>
  <c r="O4" i="2"/>
  <c r="O5" i="2"/>
  <c r="O6" i="2"/>
  <c r="O7" i="2"/>
  <c r="O8" i="2"/>
  <c r="O9" i="2"/>
  <c r="I10" i="3" s="1"/>
  <c r="O10" i="2"/>
  <c r="O11" i="2"/>
  <c r="O12" i="2"/>
  <c r="O13" i="2"/>
  <c r="O15" i="2"/>
  <c r="O16" i="2"/>
  <c r="H17" i="4" s="1"/>
  <c r="O2" i="2"/>
  <c r="P12" i="2"/>
  <c r="J22" i="2"/>
  <c r="X21" i="2"/>
  <c r="K22" i="4" s="1"/>
  <c r="W21" i="2"/>
  <c r="J22" i="4" s="1"/>
  <c r="V21" i="2"/>
  <c r="U21" i="2"/>
  <c r="T21" i="2"/>
  <c r="P21" i="2"/>
  <c r="N21" i="2"/>
  <c r="H22" i="4" s="1"/>
  <c r="M21" i="2"/>
  <c r="L21" i="2"/>
  <c r="G22" i="4" s="1"/>
  <c r="K21" i="2"/>
  <c r="J21" i="2"/>
  <c r="I21" i="2"/>
  <c r="F22" i="4" s="1"/>
  <c r="G21" i="2"/>
  <c r="E22" i="4" s="1"/>
  <c r="F21" i="2"/>
  <c r="D22" i="4" s="1"/>
  <c r="E21" i="2"/>
  <c r="C22" i="4"/>
  <c r="M10" i="2"/>
  <c r="M6" i="2"/>
  <c r="L6" i="2"/>
  <c r="H7" i="3" s="1"/>
  <c r="L7" i="2"/>
  <c r="G8" i="4" s="1"/>
  <c r="K6" i="2"/>
  <c r="K7" i="2"/>
  <c r="J6" i="2"/>
  <c r="J7" i="2"/>
  <c r="I7" i="2"/>
  <c r="I6" i="2"/>
  <c r="H6" i="2" s="1"/>
  <c r="G6" i="2"/>
  <c r="E7" i="4" s="1"/>
  <c r="G7" i="2"/>
  <c r="E8" i="4" s="1"/>
  <c r="F6" i="2"/>
  <c r="D7" i="4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V6" i="2"/>
  <c r="V7" i="2"/>
  <c r="U6" i="2"/>
  <c r="J7" i="3" s="1"/>
  <c r="U7" i="2"/>
  <c r="T6" i="2"/>
  <c r="T7" i="2"/>
  <c r="P6" i="2"/>
  <c r="P7" i="2"/>
  <c r="J8" i="3" s="1"/>
  <c r="N6" i="2"/>
  <c r="N7" i="2"/>
  <c r="E15" i="2"/>
  <c r="C16" i="4" s="1"/>
  <c r="E16" i="2"/>
  <c r="E17" i="2"/>
  <c r="C18" i="4" s="1"/>
  <c r="V25" i="2"/>
  <c r="B20" i="4"/>
  <c r="B3" i="4"/>
  <c r="K19" i="2"/>
  <c r="H19" i="2" s="1"/>
  <c r="E19" i="2"/>
  <c r="C20" i="4" s="1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F4" i="2"/>
  <c r="D5" i="4" s="1"/>
  <c r="F5" i="2"/>
  <c r="E6" i="3" s="1"/>
  <c r="D6" i="4"/>
  <c r="F8" i="2"/>
  <c r="D9" i="4" s="1"/>
  <c r="F9" i="2"/>
  <c r="E10" i="3" s="1"/>
  <c r="F10" i="2"/>
  <c r="D11" i="4" s="1"/>
  <c r="F16" i="2"/>
  <c r="D17" i="4"/>
  <c r="F17" i="2"/>
  <c r="F18" i="2"/>
  <c r="D19" i="4" s="1"/>
  <c r="F19" i="2"/>
  <c r="D20" i="4" s="1"/>
  <c r="F20" i="2"/>
  <c r="D21" i="4" s="1"/>
  <c r="F22" i="2"/>
  <c r="D23" i="4" s="1"/>
  <c r="F23" i="2"/>
  <c r="D24" i="4" s="1"/>
  <c r="F24" i="2"/>
  <c r="E25" i="3" s="1"/>
  <c r="F25" i="2"/>
  <c r="D26" i="4" s="1"/>
  <c r="F26" i="2"/>
  <c r="D27" i="4" s="1"/>
  <c r="F27" i="2"/>
  <c r="D28" i="4" s="1"/>
  <c r="F28" i="2"/>
  <c r="D29" i="4" s="1"/>
  <c r="D3" i="4"/>
  <c r="B4" i="3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D15" i="3" s="1"/>
  <c r="B16" i="3"/>
  <c r="B17" i="3"/>
  <c r="D17" i="3" s="1"/>
  <c r="B18" i="3"/>
  <c r="B19" i="3"/>
  <c r="C19" i="3" s="1"/>
  <c r="B20" i="3"/>
  <c r="L20" i="3" s="1"/>
  <c r="X19" i="2"/>
  <c r="B21" i="3"/>
  <c r="B22" i="3"/>
  <c r="B23" i="3"/>
  <c r="B24" i="3"/>
  <c r="B25" i="3"/>
  <c r="B26" i="3"/>
  <c r="B27" i="3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X3" i="2"/>
  <c r="K4" i="4" s="1"/>
  <c r="A30" i="3"/>
  <c r="A31" i="3"/>
  <c r="E3" i="2"/>
  <c r="C4" i="4"/>
  <c r="W18" i="2"/>
  <c r="M5" i="2"/>
  <c r="X5" i="2"/>
  <c r="K13" i="2"/>
  <c r="L10" i="2"/>
  <c r="H11" i="3" s="1"/>
  <c r="J9" i="2"/>
  <c r="I9" i="2"/>
  <c r="F10" i="4" s="1"/>
  <c r="E9" i="2"/>
  <c r="C10" i="4" s="1"/>
  <c r="X8" i="2"/>
  <c r="K9" i="4"/>
  <c r="W8" i="2"/>
  <c r="J9" i="4" s="1"/>
  <c r="V8" i="2"/>
  <c r="U8" i="2"/>
  <c r="T8" i="2"/>
  <c r="P8" i="2"/>
  <c r="I9" i="4" s="1"/>
  <c r="N8" i="2"/>
  <c r="M8" i="2"/>
  <c r="L8" i="2"/>
  <c r="K8" i="2"/>
  <c r="J8" i="2"/>
  <c r="G9" i="3" s="1"/>
  <c r="I8" i="2"/>
  <c r="G8" i="2"/>
  <c r="E9" i="4" s="1"/>
  <c r="E8" i="2"/>
  <c r="C9" i="4" s="1"/>
  <c r="I18" i="2"/>
  <c r="I17" i="2"/>
  <c r="H17" i="2" s="1"/>
  <c r="T3" i="2"/>
  <c r="I4" i="4" s="1"/>
  <c r="T4" i="2"/>
  <c r="T5" i="2"/>
  <c r="T9" i="2"/>
  <c r="T10" i="2"/>
  <c r="T11" i="2"/>
  <c r="I12" i="4" s="1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G4" i="4" s="1"/>
  <c r="L4" i="2"/>
  <c r="M4" i="2"/>
  <c r="H5" i="3" s="1"/>
  <c r="L5" i="2"/>
  <c r="L9" i="2"/>
  <c r="M9" i="2"/>
  <c r="L11" i="2"/>
  <c r="M11" i="2"/>
  <c r="G12" i="4" s="1"/>
  <c r="L12" i="2"/>
  <c r="M12" i="2"/>
  <c r="H13" i="3" s="1"/>
  <c r="L13" i="2"/>
  <c r="H14" i="3" s="1"/>
  <c r="M13" i="2"/>
  <c r="L14" i="2"/>
  <c r="G15" i="4" s="1"/>
  <c r="M14" i="2"/>
  <c r="L15" i="2"/>
  <c r="M15" i="2"/>
  <c r="L16" i="2"/>
  <c r="M16" i="2"/>
  <c r="L17" i="2"/>
  <c r="G18" i="4" s="1"/>
  <c r="M17" i="2"/>
  <c r="M18" i="2"/>
  <c r="M19" i="2"/>
  <c r="L20" i="2"/>
  <c r="M20" i="2"/>
  <c r="L22" i="2"/>
  <c r="L23" i="2"/>
  <c r="H24" i="3" s="1"/>
  <c r="L24" i="2"/>
  <c r="H25" i="3" s="1"/>
  <c r="L25" i="2"/>
  <c r="L26" i="2"/>
  <c r="H27" i="3" s="1"/>
  <c r="M26" i="2"/>
  <c r="L27" i="2"/>
  <c r="M27" i="2"/>
  <c r="H28" i="3"/>
  <c r="L28" i="2"/>
  <c r="M2" i="2"/>
  <c r="L2" i="2"/>
  <c r="E4" i="2"/>
  <c r="C5" i="4" s="1"/>
  <c r="E5" i="2"/>
  <c r="E10" i="2"/>
  <c r="C11" i="4"/>
  <c r="E11" i="2"/>
  <c r="D12" i="3" s="1"/>
  <c r="E12" i="2"/>
  <c r="C13" i="4" s="1"/>
  <c r="E13" i="2"/>
  <c r="D14" i="3" s="1"/>
  <c r="C14" i="4"/>
  <c r="E14" i="2"/>
  <c r="E18" i="2"/>
  <c r="E23" i="2"/>
  <c r="D24" i="3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/>
  <c r="X13" i="2"/>
  <c r="L14" i="3" s="1"/>
  <c r="X15" i="2"/>
  <c r="K16" i="4"/>
  <c r="X16" i="2"/>
  <c r="K17" i="4" s="1"/>
  <c r="X17" i="2"/>
  <c r="K18" i="4"/>
  <c r="X18" i="2"/>
  <c r="K19" i="4"/>
  <c r="X20" i="2"/>
  <c r="K21" i="4"/>
  <c r="X22" i="2"/>
  <c r="L23" i="3" s="1"/>
  <c r="X23" i="2"/>
  <c r="K24" i="4"/>
  <c r="X24" i="2"/>
  <c r="L25" i="3" s="1"/>
  <c r="X25" i="2"/>
  <c r="K26" i="4" s="1"/>
  <c r="X26" i="2"/>
  <c r="K27" i="4" s="1"/>
  <c r="X27" i="2"/>
  <c r="K28" i="4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J21" i="3" s="1"/>
  <c r="P22" i="2"/>
  <c r="I23" i="4" s="1"/>
  <c r="P23" i="2"/>
  <c r="J24" i="3" s="1"/>
  <c r="P24" i="2"/>
  <c r="I25" i="4" s="1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F11" i="4" s="1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F16" i="4" s="1"/>
  <c r="J15" i="2"/>
  <c r="K15" i="2"/>
  <c r="I16" i="2"/>
  <c r="H16" i="2" s="1"/>
  <c r="J16" i="2"/>
  <c r="K16" i="2"/>
  <c r="J17" i="2"/>
  <c r="K17" i="2"/>
  <c r="J18" i="2"/>
  <c r="F19" i="4" s="1"/>
  <c r="K18" i="2"/>
  <c r="I19" i="2"/>
  <c r="J19" i="2"/>
  <c r="I20" i="2"/>
  <c r="J20" i="2"/>
  <c r="K20" i="2"/>
  <c r="I22" i="2"/>
  <c r="K22" i="2"/>
  <c r="I23" i="2"/>
  <c r="K23" i="2"/>
  <c r="F24" i="4" s="1"/>
  <c r="I24" i="2"/>
  <c r="F25" i="4" s="1"/>
  <c r="K24" i="2"/>
  <c r="I25" i="2"/>
  <c r="J25" i="2"/>
  <c r="K25" i="2"/>
  <c r="I26" i="2"/>
  <c r="J26" i="2"/>
  <c r="K26" i="2"/>
  <c r="I27" i="2"/>
  <c r="J27" i="2"/>
  <c r="K27" i="2"/>
  <c r="I28" i="2"/>
  <c r="J28" i="2"/>
  <c r="G29" i="3" s="1"/>
  <c r="K28" i="2"/>
  <c r="K2" i="2"/>
  <c r="J2" i="2"/>
  <c r="G3" i="2"/>
  <c r="E4" i="4" s="1"/>
  <c r="G4" i="2"/>
  <c r="F5" i="3" s="1"/>
  <c r="G5" i="2"/>
  <c r="E6" i="4" s="1"/>
  <c r="G9" i="2"/>
  <c r="F10" i="3" s="1"/>
  <c r="E10" i="4"/>
  <c r="G10" i="2"/>
  <c r="E11" i="4"/>
  <c r="G11" i="2"/>
  <c r="F12" i="3" s="1"/>
  <c r="G12" i="2"/>
  <c r="E13" i="4" s="1"/>
  <c r="G13" i="2"/>
  <c r="E14" i="4" s="1"/>
  <c r="G14" i="2"/>
  <c r="E15" i="4" s="1"/>
  <c r="G15" i="2"/>
  <c r="E16" i="4" s="1"/>
  <c r="G16" i="2"/>
  <c r="E17" i="4" s="1"/>
  <c r="G17" i="2"/>
  <c r="E18" i="4" s="1"/>
  <c r="G18" i="2"/>
  <c r="E19" i="4" s="1"/>
  <c r="G19" i="2"/>
  <c r="E20" i="4"/>
  <c r="G20" i="2"/>
  <c r="F21" i="3" s="1"/>
  <c r="G22" i="2"/>
  <c r="F23" i="3" s="1"/>
  <c r="G23" i="2"/>
  <c r="E24" i="4" s="1"/>
  <c r="G24" i="2"/>
  <c r="E25" i="4" s="1"/>
  <c r="G25" i="2"/>
  <c r="E26" i="4" s="1"/>
  <c r="G26" i="2"/>
  <c r="E27" i="4" s="1"/>
  <c r="G27" i="2"/>
  <c r="E28" i="4" s="1"/>
  <c r="G28" i="2"/>
  <c r="E29" i="4" s="1"/>
  <c r="E3" i="4"/>
  <c r="N3" i="2"/>
  <c r="N4" i="2"/>
  <c r="N5" i="2"/>
  <c r="H6" i="4" s="1"/>
  <c r="N9" i="2"/>
  <c r="N10" i="2"/>
  <c r="N11" i="2"/>
  <c r="N12" i="2"/>
  <c r="N13" i="2"/>
  <c r="I14" i="3" s="1"/>
  <c r="N14" i="2"/>
  <c r="H15" i="4" s="1"/>
  <c r="N15" i="2"/>
  <c r="N16" i="2"/>
  <c r="N17" i="2"/>
  <c r="N18" i="2"/>
  <c r="H19" i="4" s="1"/>
  <c r="N19" i="2"/>
  <c r="H20" i="4" s="1"/>
  <c r="N20" i="2"/>
  <c r="I21" i="3" s="1"/>
  <c r="N22" i="2"/>
  <c r="H23" i="4" s="1"/>
  <c r="N23" i="2"/>
  <c r="I24" i="3" s="1"/>
  <c r="N24" i="2"/>
  <c r="I25" i="3" s="1"/>
  <c r="N25" i="2"/>
  <c r="N26" i="2"/>
  <c r="N27" i="2"/>
  <c r="I28" i="3" s="1"/>
  <c r="N2" i="2"/>
  <c r="H3" i="4" s="1"/>
  <c r="U10" i="2"/>
  <c r="U11" i="2"/>
  <c r="U12" i="2"/>
  <c r="U13" i="2"/>
  <c r="U15" i="2"/>
  <c r="U16" i="2"/>
  <c r="U17" i="2"/>
  <c r="I18" i="4" s="1"/>
  <c r="U18" i="2"/>
  <c r="U19" i="2"/>
  <c r="U20" i="2"/>
  <c r="U22" i="2"/>
  <c r="U23" i="2"/>
  <c r="U24" i="2"/>
  <c r="U25" i="2"/>
  <c r="I26" i="4" s="1"/>
  <c r="U26" i="2"/>
  <c r="U27" i="2"/>
  <c r="U3" i="2"/>
  <c r="U4" i="2"/>
  <c r="U5" i="2"/>
  <c r="U9" i="2"/>
  <c r="U2" i="2"/>
  <c r="A29" i="3"/>
  <c r="W3" i="2"/>
  <c r="W4" i="2"/>
  <c r="K5" i="3" s="1"/>
  <c r="W5" i="2"/>
  <c r="J6" i="4" s="1"/>
  <c r="W9" i="2"/>
  <c r="K10" i="3" s="1"/>
  <c r="W10" i="2"/>
  <c r="W11" i="2"/>
  <c r="W12" i="2"/>
  <c r="W13" i="2"/>
  <c r="J14" i="4" s="1"/>
  <c r="W15" i="2"/>
  <c r="W16" i="2"/>
  <c r="W17" i="2"/>
  <c r="W19" i="2"/>
  <c r="W20" i="2"/>
  <c r="W22" i="2"/>
  <c r="W23" i="2"/>
  <c r="W24" i="2"/>
  <c r="W25" i="2"/>
  <c r="J26" i="4" s="1"/>
  <c r="W27" i="2"/>
  <c r="J28" i="4" s="1"/>
  <c r="W2" i="2"/>
  <c r="V3" i="2"/>
  <c r="V4" i="2"/>
  <c r="V5" i="2"/>
  <c r="V9" i="2"/>
  <c r="V10" i="2"/>
  <c r="K11" i="3" s="1"/>
  <c r="V11" i="2"/>
  <c r="K12" i="3" s="1"/>
  <c r="V12" i="2"/>
  <c r="V13" i="2"/>
  <c r="V15" i="2"/>
  <c r="V16" i="2"/>
  <c r="V17" i="2"/>
  <c r="J18" i="4" s="1"/>
  <c r="V18" i="2"/>
  <c r="V19" i="2"/>
  <c r="J20" i="4" s="1"/>
  <c r="V20" i="2"/>
  <c r="K21" i="3" s="1"/>
  <c r="V22" i="2"/>
  <c r="V23" i="2"/>
  <c r="J24" i="4" s="1"/>
  <c r="V24" i="2"/>
  <c r="V26" i="2"/>
  <c r="J27" i="4" s="1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F29" i="3"/>
  <c r="D29" i="3"/>
  <c r="C25" i="3"/>
  <c r="C24" i="3"/>
  <c r="C7" i="3"/>
  <c r="D22" i="3"/>
  <c r="L21" i="3"/>
  <c r="C23" i="3"/>
  <c r="C22" i="3"/>
  <c r="N31" i="8"/>
  <c r="H23" i="3"/>
  <c r="X14" i="8"/>
  <c r="D23" i="3"/>
  <c r="J14" i="8"/>
  <c r="C11" i="3"/>
  <c r="I22" i="3"/>
  <c r="C17" i="4"/>
  <c r="E24" i="3"/>
  <c r="D4" i="4"/>
  <c r="K20" i="4"/>
  <c r="C21" i="3"/>
  <c r="D21" i="3"/>
  <c r="C13" i="3"/>
  <c r="C5" i="3"/>
  <c r="N20" i="8"/>
  <c r="C19" i="4"/>
  <c r="C14" i="3"/>
  <c r="C6" i="3"/>
  <c r="C3" i="3"/>
  <c r="F6" i="8"/>
  <c r="L5" i="3"/>
  <c r="H9" i="4"/>
  <c r="G11" i="4"/>
  <c r="I13" i="3"/>
  <c r="H16" i="3"/>
  <c r="H12" i="3"/>
  <c r="F11" i="3"/>
  <c r="D10" i="3"/>
  <c r="I11" i="3"/>
  <c r="L11" i="3"/>
  <c r="N17" i="8"/>
  <c r="T11" i="8"/>
  <c r="V11" i="8"/>
  <c r="D18" i="8"/>
  <c r="D7" i="3"/>
  <c r="E5" i="4"/>
  <c r="E14" i="3"/>
  <c r="L13" i="3"/>
  <c r="D17" i="8"/>
  <c r="C28" i="3"/>
  <c r="C24" i="4"/>
  <c r="D3" i="3"/>
  <c r="G16" i="4"/>
  <c r="L28" i="3"/>
  <c r="H21" i="3"/>
  <c r="K10" i="4"/>
  <c r="G28" i="4"/>
  <c r="F3" i="3"/>
  <c r="E23" i="3"/>
  <c r="L24" i="3"/>
  <c r="C3" i="4"/>
  <c r="I29" i="3"/>
  <c r="G23" i="4"/>
  <c r="H32" i="4"/>
  <c r="I32" i="4"/>
  <c r="L8" i="3"/>
  <c r="D11" i="3"/>
  <c r="L22" i="3"/>
  <c r="H11" i="4"/>
  <c r="H14" i="4"/>
  <c r="I6" i="3"/>
  <c r="F6" i="3"/>
  <c r="K22" i="3"/>
  <c r="E32" i="3"/>
  <c r="J29" i="4"/>
  <c r="M25" i="3"/>
  <c r="M22" i="3"/>
  <c r="H18" i="2"/>
  <c r="H16" i="4"/>
  <c r="F14" i="3"/>
  <c r="F8" i="4"/>
  <c r="G10" i="3"/>
  <c r="M10" i="3"/>
  <c r="H30" i="2"/>
  <c r="H7" i="4"/>
  <c r="E3" i="3"/>
  <c r="D6" i="3"/>
  <c r="H25" i="4"/>
  <c r="H15" i="2"/>
  <c r="M13" i="3"/>
  <c r="G13" i="4"/>
  <c r="H29" i="2"/>
  <c r="M30" i="3"/>
  <c r="M28" i="3"/>
  <c r="D5" i="3"/>
  <c r="J12" i="4"/>
  <c r="F12" i="4"/>
  <c r="H8" i="2"/>
  <c r="H7" i="2"/>
  <c r="K6" i="3"/>
  <c r="C15" i="4"/>
  <c r="M8" i="3"/>
  <c r="D18" i="4"/>
  <c r="F19" i="3"/>
  <c r="I8" i="3"/>
  <c r="F31" i="3"/>
  <c r="J13" i="4"/>
  <c r="I7" i="3"/>
  <c r="E7" i="3"/>
  <c r="G6" i="4"/>
  <c r="G20" i="4"/>
  <c r="H29" i="4"/>
  <c r="L19" i="3"/>
  <c r="M31" i="3"/>
  <c r="G12" i="3"/>
  <c r="F25" i="3"/>
  <c r="E22" i="3"/>
  <c r="H6" i="3"/>
  <c r="D13" i="3"/>
  <c r="J17" i="4"/>
  <c r="J5" i="4"/>
  <c r="J23" i="3"/>
  <c r="K13" i="3"/>
  <c r="M32" i="3"/>
  <c r="E17" i="3"/>
  <c r="J14" i="3"/>
  <c r="F32" i="4"/>
  <c r="F15" i="4"/>
  <c r="L7" i="3"/>
  <c r="M3" i="3"/>
  <c r="M33" i="3" s="1"/>
  <c r="M12" i="3"/>
  <c r="M17" i="3"/>
  <c r="F27" i="4"/>
  <c r="M14" i="3"/>
  <c r="E13" i="3"/>
  <c r="M19" i="3"/>
  <c r="J7" i="4"/>
  <c r="E21" i="3"/>
  <c r="I8" i="4"/>
  <c r="M6" i="3"/>
  <c r="K7" i="3"/>
  <c r="M4" i="3"/>
  <c r="L18" i="3"/>
  <c r="M5" i="3"/>
  <c r="G9" i="4"/>
  <c r="G26" i="4"/>
  <c r="G31" i="3"/>
  <c r="M29" i="3"/>
  <c r="H18" i="4"/>
  <c r="M21" i="3"/>
  <c r="M23" i="3"/>
  <c r="M16" i="3"/>
  <c r="I15" i="3"/>
  <c r="C33" i="3"/>
  <c r="K17" i="3"/>
  <c r="M11" i="3"/>
  <c r="M7" i="3"/>
  <c r="M24" i="3"/>
  <c r="L12" i="3"/>
  <c r="I16" i="4"/>
  <c r="F30" i="3"/>
  <c r="X5" i="8" l="1"/>
  <c r="J5" i="8"/>
  <c r="F5" i="8"/>
  <c r="J4" i="3"/>
  <c r="G3" i="3"/>
  <c r="G4" i="3"/>
  <c r="F3" i="4"/>
  <c r="J3" i="4"/>
  <c r="H4" i="4"/>
  <c r="I3" i="3"/>
  <c r="T29" i="8"/>
  <c r="Y20" i="8"/>
  <c r="F15" i="8"/>
  <c r="X22" i="8"/>
  <c r="F21" i="8"/>
  <c r="X20" i="8"/>
  <c r="F8" i="8"/>
  <c r="L25" i="8"/>
  <c r="P28" i="8"/>
  <c r="F24" i="8"/>
  <c r="X8" i="8"/>
  <c r="J28" i="8"/>
  <c r="N14" i="8"/>
  <c r="V28" i="8"/>
  <c r="V12" i="8"/>
  <c r="R8" i="8"/>
  <c r="L28" i="8"/>
  <c r="N24" i="8"/>
  <c r="X29" i="8"/>
  <c r="J11" i="8"/>
  <c r="P25" i="8"/>
  <c r="X15" i="8"/>
  <c r="J25" i="8"/>
  <c r="L19" i="8"/>
  <c r="R16" i="8"/>
  <c r="F22" i="8"/>
  <c r="H16" i="8"/>
  <c r="V22" i="8"/>
  <c r="F32" i="8"/>
  <c r="X32" i="8"/>
  <c r="P19" i="8"/>
  <c r="H5" i="8"/>
  <c r="J32" i="8"/>
  <c r="H4" i="8"/>
  <c r="N22" i="8"/>
  <c r="P16" i="8"/>
  <c r="T33" i="8"/>
  <c r="P6" i="8"/>
  <c r="J4" i="8"/>
  <c r="J16" i="8"/>
  <c r="T28" i="8"/>
  <c r="P33" i="8"/>
  <c r="L8" i="8"/>
  <c r="D32" i="8"/>
  <c r="H24" i="8"/>
  <c r="R32" i="8"/>
  <c r="Y30" i="8"/>
  <c r="J12" i="8"/>
  <c r="L5" i="8"/>
  <c r="T24" i="8"/>
  <c r="H13" i="8"/>
  <c r="H20" i="8"/>
  <c r="D33" i="8"/>
  <c r="J26" i="8"/>
  <c r="N12" i="8"/>
  <c r="T22" i="8"/>
  <c r="N32" i="8"/>
  <c r="Y27" i="8"/>
  <c r="Z27" i="8" s="1"/>
  <c r="P8" i="8"/>
  <c r="L4" i="8"/>
  <c r="P4" i="8"/>
  <c r="F4" i="8"/>
  <c r="R4" i="8"/>
  <c r="N4" i="8"/>
  <c r="I7" i="4"/>
  <c r="H10" i="2"/>
  <c r="H23" i="2"/>
  <c r="K14" i="4"/>
  <c r="J32" i="3"/>
  <c r="J8" i="4"/>
  <c r="H24" i="4"/>
  <c r="I20" i="4"/>
  <c r="H12" i="4"/>
  <c r="G27" i="4"/>
  <c r="J29" i="3"/>
  <c r="H28" i="4"/>
  <c r="J25" i="4"/>
  <c r="L27" i="4"/>
  <c r="G23" i="3"/>
  <c r="G24" i="4"/>
  <c r="D25" i="3"/>
  <c r="G25" i="3"/>
  <c r="F29" i="4"/>
  <c r="L29" i="4" s="1"/>
  <c r="H14" i="2"/>
  <c r="G6" i="3"/>
  <c r="I19" i="4"/>
  <c r="H22" i="3"/>
  <c r="J15" i="4"/>
  <c r="I27" i="4"/>
  <c r="I11" i="4"/>
  <c r="G17" i="3"/>
  <c r="E27" i="3"/>
  <c r="H29" i="3"/>
  <c r="F32" i="3"/>
  <c r="F17" i="4"/>
  <c r="E29" i="3"/>
  <c r="G22" i="3"/>
  <c r="J23" i="4"/>
  <c r="G14" i="4"/>
  <c r="G7" i="3"/>
  <c r="H21" i="2"/>
  <c r="E28" i="3"/>
  <c r="F9" i="3"/>
  <c r="E12" i="4"/>
  <c r="H27" i="2"/>
  <c r="F21" i="4"/>
  <c r="G14" i="3"/>
  <c r="H4" i="2"/>
  <c r="J17" i="3"/>
  <c r="G21" i="4"/>
  <c r="F9" i="4"/>
  <c r="I22" i="4"/>
  <c r="L22" i="4" s="1"/>
  <c r="G19" i="4"/>
  <c r="L19" i="4" s="1"/>
  <c r="I15" i="4"/>
  <c r="L15" i="4" s="1"/>
  <c r="J25" i="3"/>
  <c r="K28" i="3"/>
  <c r="J16" i="4"/>
  <c r="J5" i="3"/>
  <c r="X33" i="2"/>
  <c r="H8" i="4"/>
  <c r="H26" i="2"/>
  <c r="F13" i="4"/>
  <c r="F4" i="4"/>
  <c r="L4" i="4" s="1"/>
  <c r="I14" i="4"/>
  <c r="H10" i="3"/>
  <c r="I24" i="4"/>
  <c r="L24" i="4" s="1"/>
  <c r="L30" i="3"/>
  <c r="G24" i="3"/>
  <c r="F28" i="3"/>
  <c r="G19" i="3"/>
  <c r="F20" i="4"/>
  <c r="F22" i="3"/>
  <c r="I4" i="3"/>
  <c r="L31" i="3"/>
  <c r="C12" i="4"/>
  <c r="H9" i="2"/>
  <c r="H24" i="2"/>
  <c r="I21" i="4"/>
  <c r="H13" i="4"/>
  <c r="E21" i="4"/>
  <c r="E33" i="4" s="1"/>
  <c r="E35" i="4" s="1"/>
  <c r="G3" i="4"/>
  <c r="G33" i="4" s="1"/>
  <c r="G35" i="4" s="1"/>
  <c r="J19" i="4"/>
  <c r="J30" i="4"/>
  <c r="F7" i="4"/>
  <c r="L4" i="3"/>
  <c r="K24" i="3"/>
  <c r="J10" i="4"/>
  <c r="H25" i="2"/>
  <c r="F18" i="4"/>
  <c r="H11" i="2"/>
  <c r="J28" i="3"/>
  <c r="J6" i="3"/>
  <c r="G17" i="4"/>
  <c r="J10" i="3"/>
  <c r="G11" i="3"/>
  <c r="K3" i="3"/>
  <c r="G25" i="4"/>
  <c r="L3" i="3"/>
  <c r="E33" i="2"/>
  <c r="E4" i="3"/>
  <c r="J4" i="4"/>
  <c r="F7" i="3"/>
  <c r="F24" i="3"/>
  <c r="I5" i="3"/>
  <c r="I3" i="4"/>
  <c r="S33" i="2"/>
  <c r="L9" i="4"/>
  <c r="L16" i="4"/>
  <c r="L6" i="3"/>
  <c r="J11" i="4"/>
  <c r="L11" i="4" s="1"/>
  <c r="H19" i="3"/>
  <c r="I10" i="4"/>
  <c r="J3" i="3"/>
  <c r="G29" i="4"/>
  <c r="H13" i="2"/>
  <c r="K6" i="4"/>
  <c r="I26" i="3"/>
  <c r="D25" i="4"/>
  <c r="D10" i="4"/>
  <c r="G31" i="4"/>
  <c r="G10" i="4"/>
  <c r="F23" i="4"/>
  <c r="I12" i="3"/>
  <c r="F26" i="4"/>
  <c r="L26" i="4" s="1"/>
  <c r="H3" i="2"/>
  <c r="I23" i="3"/>
  <c r="G5" i="3"/>
  <c r="K14" i="3"/>
  <c r="K25" i="4"/>
  <c r="D12" i="4"/>
  <c r="L12" i="4" s="1"/>
  <c r="H5" i="2"/>
  <c r="J22" i="3"/>
  <c r="G13" i="3"/>
  <c r="H10" i="4"/>
  <c r="J12" i="3"/>
  <c r="H28" i="2"/>
  <c r="L18" i="4"/>
  <c r="I33" i="2"/>
  <c r="V33" i="2"/>
  <c r="P33" i="2"/>
  <c r="J13" i="3"/>
  <c r="H12" i="2"/>
  <c r="H20" i="2"/>
  <c r="K25" i="3"/>
  <c r="F14" i="4"/>
  <c r="I17" i="4"/>
  <c r="L17" i="4" s="1"/>
  <c r="Q33" i="2"/>
  <c r="G21" i="3"/>
  <c r="E23" i="4"/>
  <c r="G28" i="3"/>
  <c r="E5" i="3"/>
  <c r="K23" i="4"/>
  <c r="K33" i="4" s="1"/>
  <c r="K35" i="4" s="1"/>
  <c r="L20" i="4"/>
  <c r="J19" i="3"/>
  <c r="F28" i="4"/>
  <c r="H22" i="2"/>
  <c r="L14" i="4"/>
  <c r="O33" i="2"/>
  <c r="J32" i="4"/>
  <c r="K33" i="2"/>
  <c r="H5" i="4"/>
  <c r="J21" i="4"/>
  <c r="R33" i="2"/>
  <c r="H3" i="3"/>
  <c r="G5" i="4"/>
  <c r="F5" i="4"/>
  <c r="K23" i="3"/>
  <c r="F18" i="3"/>
  <c r="L13" i="4"/>
  <c r="J11" i="3"/>
  <c r="I28" i="4"/>
  <c r="F13" i="3"/>
  <c r="L8" i="4"/>
  <c r="H30" i="3"/>
  <c r="J33" i="2"/>
  <c r="H21" i="4"/>
  <c r="H2" i="2"/>
  <c r="F16" i="3"/>
  <c r="F6" i="4"/>
  <c r="L6" i="4" s="1"/>
  <c r="G7" i="4"/>
  <c r="E11" i="3"/>
  <c r="L10" i="4"/>
  <c r="L33" i="2"/>
  <c r="Z30" i="8"/>
  <c r="Z20" i="8"/>
  <c r="H12" i="8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Z11" i="8" s="1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Z28" i="8" s="1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G16" i="3"/>
  <c r="D16" i="3"/>
  <c r="K16" i="3"/>
  <c r="J18" i="3"/>
  <c r="I16" i="3"/>
  <c r="E16" i="3"/>
  <c r="K18" i="3"/>
  <c r="L16" i="3"/>
  <c r="Z6" i="8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W33" i="2"/>
  <c r="K32" i="3"/>
  <c r="I32" i="3"/>
  <c r="K35" i="8"/>
  <c r="E35" i="8"/>
  <c r="U35" i="8"/>
  <c r="R33" i="8"/>
  <c r="Y33" i="8"/>
  <c r="Z33" i="8" s="1"/>
  <c r="D32" i="3"/>
  <c r="C33" i="4"/>
  <c r="C35" i="4" s="1"/>
  <c r="D31" i="3"/>
  <c r="T33" i="2"/>
  <c r="L32" i="3"/>
  <c r="U33" i="2"/>
  <c r="I31" i="4"/>
  <c r="H31" i="2"/>
  <c r="N33" i="2"/>
  <c r="K31" i="3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3" i="2"/>
  <c r="H31" i="3"/>
  <c r="I30" i="4"/>
  <c r="J30" i="3"/>
  <c r="J31" i="3"/>
  <c r="F31" i="4"/>
  <c r="H30" i="4"/>
  <c r="F33" i="2"/>
  <c r="E30" i="3"/>
  <c r="K30" i="3"/>
  <c r="J31" i="4"/>
  <c r="G33" i="2"/>
  <c r="I30" i="3"/>
  <c r="H33" i="4" l="1"/>
  <c r="H35" i="4" s="1"/>
  <c r="L35" i="8"/>
  <c r="L32" i="4"/>
  <c r="L28" i="4"/>
  <c r="F33" i="4"/>
  <c r="F35" i="4" s="1"/>
  <c r="L7" i="4"/>
  <c r="L5" i="4"/>
  <c r="L23" i="4"/>
  <c r="D33" i="4"/>
  <c r="D35" i="4" s="1"/>
  <c r="L3" i="4"/>
  <c r="L21" i="4"/>
  <c r="L25" i="4"/>
  <c r="J33" i="4"/>
  <c r="J35" i="4" s="1"/>
  <c r="N35" i="8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<sst xmlns="http://schemas.openxmlformats.org/spreadsheetml/2006/main" count="236" uniqueCount="130">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</sst>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7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-686220</c:v>
                </c:pt>
                <c:pt idx="1">
                  <c:v>-3812500</c:v>
                </c:pt>
                <c:pt idx="2">
                  <c:v>-368230</c:v>
                </c:pt>
                <c:pt idx="3">
                  <c:v>-1457890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-596</c:v>
                </c:pt>
                <c:pt idx="1">
                  <c:v>8.8225715723717329E-3</c:v>
                </c:pt>
                <c:pt idx="2" formatCode="_(* #,##0.00_);_(* \(#,##0.00\);_(* &quot;-&quot;??_);_(@_)">
                  <c:v>-297820</c:v>
                </c:pt>
                <c:pt idx="3">
                  <c:v>4.4086212511472302</c:v>
                </c:pt>
                <c:pt idx="4" formatCode="0.00">
                  <c:v>-33017</c:v>
                </c:pt>
                <c:pt idx="5">
                  <c:v>0.48874974094798235</c:v>
                </c:pt>
                <c:pt idx="6" formatCode="0.00">
                  <c:v>-47309</c:v>
                </c:pt>
                <c:pt idx="7">
                  <c:v>0.70031382301566159</c:v>
                </c:pt>
                <c:pt idx="8" formatCode="0.00">
                  <c:v>-1004</c:v>
                </c:pt>
                <c:pt idx="9">
                  <c:v>1.4862184326612784E-2</c:v>
                </c:pt>
                <c:pt idx="10" formatCode="0.00">
                  <c:v>-2365</c:v>
                </c:pt>
                <c:pt idx="11">
                  <c:v>3.5009029813186487E-2</c:v>
                </c:pt>
                <c:pt idx="12" formatCode="0.00">
                  <c:v>-67417</c:v>
                </c:pt>
                <c:pt idx="13">
                  <c:v>0.99797199277614945</c:v>
                </c:pt>
                <c:pt idx="14" formatCode="_(* #,##0.00_);_(* \(#,##0.00\);_(* &quot;-&quot;??_);_(@_)">
                  <c:v>-286364</c:v>
                </c:pt>
                <c:pt idx="15">
                  <c:v>4.2390383989105009</c:v>
                </c:pt>
                <c:pt idx="16" formatCode="0.00">
                  <c:v>-124686</c:v>
                </c:pt>
                <c:pt idx="17">
                  <c:v>1.8457234212629896</c:v>
                </c:pt>
                <c:pt idx="18" formatCode="0.00">
                  <c:v>-24068</c:v>
                </c:pt>
                <c:pt idx="19">
                  <c:v>0.35627794061047457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-67554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-884646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I2" sqref="I2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4" customWidth="1"/>
    <col min="7" max="7" width="10.28515625" style="35" customWidth="1"/>
    <col min="8" max="8" width="10.42578125" style="114" customWidth="1"/>
    <col min="9" max="9" width="10.85546875" style="35" customWidth="1"/>
    <col min="10" max="10" width="9.85546875" style="114" customWidth="1"/>
    <col min="11" max="11" width="9.85546875" style="35" customWidth="1"/>
    <col min="12" max="12" width="9.5703125" style="121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8" t="s">
        <v>4</v>
      </c>
      <c r="F1" s="112" t="s">
        <v>5</v>
      </c>
      <c r="G1" s="33" t="s">
        <v>118</v>
      </c>
      <c r="H1" s="115" t="s">
        <v>110</v>
      </c>
      <c r="I1" s="33" t="s">
        <v>111</v>
      </c>
      <c r="J1" s="117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</v>
      </c>
      <c r="D2" s="87">
        <v>2023</v>
      </c>
      <c r="E2" s="45">
        <v>21239.999999999782</v>
      </c>
      <c r="F2" s="90"/>
      <c r="G2" s="84">
        <v>5598</v>
      </c>
      <c r="H2" s="116"/>
      <c r="I2" s="52">
        <v>498</v>
      </c>
      <c r="J2" s="118"/>
      <c r="K2" s="81"/>
      <c r="L2" s="119"/>
      <c r="M2" s="58"/>
      <c r="N2" s="58"/>
      <c r="O2" s="58"/>
    </row>
    <row r="3" spans="1:15" ht="15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45">
        <v>0</v>
      </c>
      <c r="F3" s="90"/>
      <c r="G3" s="84">
        <v>0</v>
      </c>
      <c r="H3" s="116"/>
      <c r="I3" s="52">
        <v>0</v>
      </c>
      <c r="J3" s="118"/>
      <c r="K3" s="81"/>
      <c r="L3" s="119"/>
      <c r="M3" s="58"/>
      <c r="N3" s="58"/>
      <c r="O3" s="58"/>
    </row>
    <row r="4" spans="1:15" ht="15" x14ac:dyDescent="0.25">
      <c r="A4" s="36" t="s">
        <v>9</v>
      </c>
      <c r="B4" s="37">
        <f t="shared" ref="B4:B30" si="0">B3+1</f>
        <v>3</v>
      </c>
      <c r="C4" s="38">
        <v>1</v>
      </c>
      <c r="D4" s="87">
        <v>2023</v>
      </c>
      <c r="E4" s="45">
        <v>0</v>
      </c>
      <c r="F4" s="90"/>
      <c r="G4" s="84">
        <v>0</v>
      </c>
      <c r="H4" s="116"/>
      <c r="I4" s="52">
        <v>0</v>
      </c>
      <c r="J4" s="118"/>
      <c r="K4" s="81"/>
      <c r="L4" s="119"/>
      <c r="M4" s="58"/>
      <c r="N4" s="58"/>
      <c r="O4" s="58"/>
    </row>
    <row r="5" spans="1:15" ht="15" x14ac:dyDescent="0.25">
      <c r="A5" s="36" t="s">
        <v>9</v>
      </c>
      <c r="B5" s="37">
        <f t="shared" si="0"/>
        <v>4</v>
      </c>
      <c r="C5" s="38">
        <v>1</v>
      </c>
      <c r="D5" s="87">
        <v>2023</v>
      </c>
      <c r="E5" s="45">
        <v>0</v>
      </c>
      <c r="F5" s="90"/>
      <c r="G5" s="84">
        <v>0</v>
      </c>
      <c r="H5" s="116"/>
      <c r="I5" s="52">
        <v>0</v>
      </c>
      <c r="J5" s="118"/>
      <c r="K5" s="81"/>
      <c r="L5" s="119"/>
      <c r="M5" s="58"/>
      <c r="N5" s="58"/>
      <c r="O5" s="58"/>
    </row>
    <row r="6" spans="1:15" ht="15" x14ac:dyDescent="0.25">
      <c r="A6" s="36" t="s">
        <v>9</v>
      </c>
      <c r="B6" s="37">
        <f t="shared" si="0"/>
        <v>5</v>
      </c>
      <c r="C6" s="38">
        <v>1</v>
      </c>
      <c r="D6" s="87">
        <v>2023</v>
      </c>
      <c r="E6" s="45">
        <v>0</v>
      </c>
      <c r="F6" s="90"/>
      <c r="G6" s="84">
        <v>0</v>
      </c>
      <c r="H6" s="116"/>
      <c r="I6" s="52">
        <v>0</v>
      </c>
      <c r="J6" s="118"/>
      <c r="K6" s="81"/>
      <c r="L6" s="119"/>
      <c r="M6" s="58"/>
      <c r="N6" s="58"/>
      <c r="O6" s="58"/>
    </row>
    <row r="7" spans="1:15" ht="15" x14ac:dyDescent="0.25">
      <c r="A7" s="36" t="s">
        <v>9</v>
      </c>
      <c r="B7" s="37">
        <f t="shared" si="0"/>
        <v>6</v>
      </c>
      <c r="C7" s="38">
        <v>1</v>
      </c>
      <c r="D7" s="87">
        <v>2023</v>
      </c>
      <c r="E7" s="45">
        <v>0</v>
      </c>
      <c r="F7" s="90"/>
      <c r="G7" s="84">
        <v>0</v>
      </c>
      <c r="H7" s="116"/>
      <c r="I7" s="52">
        <v>0</v>
      </c>
      <c r="J7" s="118"/>
      <c r="K7" s="81"/>
      <c r="L7" s="119"/>
      <c r="M7" s="58"/>
      <c r="N7" s="58"/>
      <c r="O7" s="58"/>
    </row>
    <row r="8" spans="1:15" ht="15" x14ac:dyDescent="0.25">
      <c r="A8" s="36" t="s">
        <v>9</v>
      </c>
      <c r="B8" s="37">
        <f t="shared" si="0"/>
        <v>7</v>
      </c>
      <c r="C8" s="38">
        <v>1</v>
      </c>
      <c r="D8" s="87">
        <v>2023</v>
      </c>
      <c r="E8" s="45">
        <v>0</v>
      </c>
      <c r="F8" s="90"/>
      <c r="G8" s="84">
        <v>0</v>
      </c>
      <c r="H8" s="116"/>
      <c r="I8" s="52">
        <v>0</v>
      </c>
      <c r="J8" s="118"/>
      <c r="K8" s="81"/>
      <c r="L8" s="119"/>
      <c r="M8" s="58"/>
      <c r="N8" s="58"/>
      <c r="O8" s="58"/>
    </row>
    <row r="9" spans="1:15" ht="15" x14ac:dyDescent="0.25">
      <c r="A9" s="36" t="s">
        <v>9</v>
      </c>
      <c r="B9" s="37">
        <f t="shared" si="0"/>
        <v>8</v>
      </c>
      <c r="C9" s="38">
        <v>1</v>
      </c>
      <c r="D9" s="87">
        <v>2023</v>
      </c>
      <c r="E9" s="45">
        <v>0</v>
      </c>
      <c r="F9" s="90"/>
      <c r="G9" s="84">
        <v>0</v>
      </c>
      <c r="H9" s="116"/>
      <c r="I9" s="52">
        <v>0</v>
      </c>
      <c r="J9" s="118"/>
      <c r="K9" s="81"/>
      <c r="L9" s="119"/>
      <c r="M9" s="58"/>
      <c r="N9" s="58"/>
      <c r="O9" s="58"/>
    </row>
    <row r="10" spans="1:15" ht="15" x14ac:dyDescent="0.25">
      <c r="A10" s="36" t="s">
        <v>9</v>
      </c>
      <c r="B10" s="37">
        <f t="shared" si="0"/>
        <v>9</v>
      </c>
      <c r="C10" s="38">
        <v>1</v>
      </c>
      <c r="D10" s="87">
        <v>2023</v>
      </c>
      <c r="E10" s="45">
        <v>0</v>
      </c>
      <c r="F10" s="90"/>
      <c r="G10" s="84">
        <v>0</v>
      </c>
      <c r="H10" s="116"/>
      <c r="I10" s="52">
        <v>0</v>
      </c>
      <c r="J10" s="118"/>
      <c r="K10" s="81"/>
      <c r="L10" s="119"/>
      <c r="M10" s="58"/>
      <c r="N10" s="58"/>
      <c r="O10" s="58"/>
    </row>
    <row r="11" spans="1:15" ht="15" x14ac:dyDescent="0.25">
      <c r="A11" s="36" t="s">
        <v>9</v>
      </c>
      <c r="B11" s="37">
        <f t="shared" si="0"/>
        <v>10</v>
      </c>
      <c r="C11" s="38">
        <v>1</v>
      </c>
      <c r="D11" s="87">
        <v>2023</v>
      </c>
      <c r="E11" s="45">
        <v>0</v>
      </c>
      <c r="F11" s="90"/>
      <c r="G11" s="84">
        <v>0</v>
      </c>
      <c r="H11" s="116"/>
      <c r="I11" s="52">
        <v>0</v>
      </c>
      <c r="J11" s="118"/>
      <c r="K11" s="81"/>
      <c r="L11" s="119"/>
      <c r="M11" s="58"/>
      <c r="N11" s="58"/>
      <c r="O11" s="58"/>
    </row>
    <row r="12" spans="1:15" ht="15" x14ac:dyDescent="0.25">
      <c r="A12" s="36" t="s">
        <v>9</v>
      </c>
      <c r="B12" s="37">
        <f t="shared" si="0"/>
        <v>11</v>
      </c>
      <c r="C12" s="38">
        <v>1</v>
      </c>
      <c r="D12" s="87">
        <v>2023</v>
      </c>
      <c r="E12" s="45">
        <v>0</v>
      </c>
      <c r="F12" s="90"/>
      <c r="G12" s="84">
        <v>0</v>
      </c>
      <c r="H12" s="116"/>
      <c r="I12" s="52">
        <v>0</v>
      </c>
      <c r="J12" s="118"/>
      <c r="K12" s="81"/>
      <c r="L12" s="119"/>
      <c r="M12" s="58"/>
      <c r="N12" s="58"/>
      <c r="O12" s="58"/>
    </row>
    <row r="13" spans="1:15" ht="15" x14ac:dyDescent="0.25">
      <c r="A13" s="36" t="s">
        <v>9</v>
      </c>
      <c r="B13" s="37">
        <f t="shared" si="0"/>
        <v>12</v>
      </c>
      <c r="C13" s="38">
        <v>1</v>
      </c>
      <c r="D13" s="87">
        <v>2023</v>
      </c>
      <c r="E13" s="45">
        <v>0</v>
      </c>
      <c r="F13" s="90"/>
      <c r="G13" s="84">
        <v>0</v>
      </c>
      <c r="H13" s="116"/>
      <c r="I13" s="52">
        <v>0</v>
      </c>
      <c r="J13" s="118"/>
      <c r="K13" s="81"/>
      <c r="L13" s="119"/>
      <c r="M13" s="58"/>
      <c r="N13" s="58"/>
      <c r="O13" s="58"/>
    </row>
    <row r="14" spans="1:15" ht="15" x14ac:dyDescent="0.25">
      <c r="A14" s="36" t="s">
        <v>9</v>
      </c>
      <c r="B14" s="37">
        <f t="shared" si="0"/>
        <v>13</v>
      </c>
      <c r="C14" s="38">
        <v>1</v>
      </c>
      <c r="D14" s="87">
        <v>2023</v>
      </c>
      <c r="E14" s="45">
        <v>0</v>
      </c>
      <c r="F14" s="90"/>
      <c r="G14" s="84">
        <v>0</v>
      </c>
      <c r="H14" s="116"/>
      <c r="I14" s="52">
        <v>0</v>
      </c>
      <c r="J14" s="118"/>
      <c r="K14" s="81"/>
      <c r="L14" s="119"/>
      <c r="M14" s="58"/>
      <c r="N14" s="58"/>
      <c r="O14" s="58"/>
    </row>
    <row r="15" spans="1:15" ht="15" x14ac:dyDescent="0.25">
      <c r="A15" s="36" t="s">
        <v>9</v>
      </c>
      <c r="B15" s="37">
        <f t="shared" si="0"/>
        <v>14</v>
      </c>
      <c r="C15" s="38">
        <v>1</v>
      </c>
      <c r="D15" s="87">
        <v>2023</v>
      </c>
      <c r="E15" s="45">
        <v>0</v>
      </c>
      <c r="F15" s="90"/>
      <c r="G15" s="84">
        <v>0</v>
      </c>
      <c r="H15" s="116"/>
      <c r="I15" s="52">
        <v>0</v>
      </c>
      <c r="J15" s="118"/>
      <c r="K15" s="81"/>
      <c r="L15" s="119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1</v>
      </c>
      <c r="D16" s="87">
        <v>2023</v>
      </c>
      <c r="E16" s="45">
        <v>0</v>
      </c>
      <c r="F16" s="90"/>
      <c r="G16" s="84">
        <v>0</v>
      </c>
      <c r="H16" s="116"/>
      <c r="I16" s="52">
        <v>0</v>
      </c>
      <c r="J16" s="118"/>
      <c r="K16" s="81"/>
      <c r="L16" s="119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1</v>
      </c>
      <c r="D17" s="87">
        <v>2023</v>
      </c>
      <c r="E17" s="45">
        <v>0</v>
      </c>
      <c r="F17" s="90"/>
      <c r="G17" s="84">
        <v>0</v>
      </c>
      <c r="H17" s="116"/>
      <c r="I17" s="52">
        <v>0</v>
      </c>
      <c r="J17" s="118"/>
      <c r="K17" s="81"/>
      <c r="L17" s="119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</v>
      </c>
      <c r="D18" s="87">
        <v>2023</v>
      </c>
      <c r="E18" s="45">
        <v>0</v>
      </c>
      <c r="F18" s="90"/>
      <c r="G18" s="84">
        <v>0</v>
      </c>
      <c r="H18" s="116"/>
      <c r="I18" s="52">
        <v>0</v>
      </c>
      <c r="J18" s="118"/>
      <c r="K18" s="81"/>
      <c r="L18" s="119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</v>
      </c>
      <c r="D19" s="87">
        <v>2023</v>
      </c>
      <c r="E19" s="45">
        <v>0</v>
      </c>
      <c r="F19" s="90"/>
      <c r="G19" s="84">
        <v>0</v>
      </c>
      <c r="H19" s="116"/>
      <c r="I19" s="52">
        <v>0</v>
      </c>
      <c r="J19" s="118"/>
      <c r="K19" s="81"/>
      <c r="L19" s="119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</v>
      </c>
      <c r="D20" s="87">
        <v>2023</v>
      </c>
      <c r="E20" s="45">
        <v>0</v>
      </c>
      <c r="F20" s="90"/>
      <c r="G20" s="84">
        <v>0</v>
      </c>
      <c r="H20" s="116"/>
      <c r="I20" s="52">
        <v>0</v>
      </c>
      <c r="J20" s="118"/>
      <c r="K20" s="81"/>
      <c r="L20" s="119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</v>
      </c>
      <c r="D21" s="87">
        <v>2023</v>
      </c>
      <c r="E21" s="45">
        <v>0</v>
      </c>
      <c r="F21" s="90"/>
      <c r="G21" s="84">
        <v>0</v>
      </c>
      <c r="H21" s="116"/>
      <c r="I21" s="52">
        <v>0</v>
      </c>
      <c r="J21" s="118"/>
      <c r="K21" s="81"/>
      <c r="L21" s="119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</v>
      </c>
      <c r="D22" s="87">
        <v>2023</v>
      </c>
      <c r="E22" s="45">
        <v>0</v>
      </c>
      <c r="F22" s="90"/>
      <c r="G22" s="84">
        <v>0</v>
      </c>
      <c r="H22" s="116"/>
      <c r="I22" s="52">
        <v>0</v>
      </c>
      <c r="J22" s="118"/>
      <c r="K22" s="81"/>
      <c r="L22" s="119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</v>
      </c>
      <c r="D23" s="87">
        <v>2023</v>
      </c>
      <c r="E23" s="45">
        <v>0</v>
      </c>
      <c r="F23" s="90"/>
      <c r="G23" s="84">
        <v>0</v>
      </c>
      <c r="H23" s="116"/>
      <c r="I23" s="52">
        <v>0</v>
      </c>
      <c r="J23" s="118"/>
      <c r="K23" s="81"/>
      <c r="L23" s="119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</v>
      </c>
      <c r="D24" s="87">
        <v>2023</v>
      </c>
      <c r="E24" s="45">
        <v>0</v>
      </c>
      <c r="F24" s="90"/>
      <c r="G24" s="84">
        <v>0</v>
      </c>
      <c r="H24" s="116"/>
      <c r="I24" s="52">
        <v>0</v>
      </c>
      <c r="J24" s="118"/>
      <c r="K24" s="81"/>
      <c r="L24" s="119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</v>
      </c>
      <c r="D25" s="87">
        <v>2023</v>
      </c>
      <c r="E25" s="45">
        <v>0</v>
      </c>
      <c r="F25" s="90"/>
      <c r="G25" s="84">
        <v>0</v>
      </c>
      <c r="H25" s="116"/>
      <c r="I25" s="52">
        <v>0</v>
      </c>
      <c r="J25" s="118"/>
      <c r="K25" s="81"/>
      <c r="L25" s="119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45">
        <v>0</v>
      </c>
      <c r="F26" s="90"/>
      <c r="G26" s="84">
        <v>0</v>
      </c>
      <c r="H26" s="116"/>
      <c r="I26" s="52">
        <v>0</v>
      </c>
      <c r="J26" s="118"/>
      <c r="K26" s="81"/>
      <c r="L26" s="119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</v>
      </c>
      <c r="D27" s="87">
        <v>2023</v>
      </c>
      <c r="E27" s="45">
        <v>0</v>
      </c>
      <c r="F27" s="90"/>
      <c r="G27" s="84">
        <v>0</v>
      </c>
      <c r="H27" s="116"/>
      <c r="I27" s="52">
        <v>0</v>
      </c>
      <c r="J27" s="118"/>
      <c r="K27" s="81"/>
      <c r="L27" s="119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</v>
      </c>
      <c r="D28" s="87">
        <v>2023</v>
      </c>
      <c r="E28" s="45">
        <v>0</v>
      </c>
      <c r="F28" s="90"/>
      <c r="G28" s="84">
        <v>0</v>
      </c>
      <c r="H28" s="116"/>
      <c r="I28" s="52">
        <v>0</v>
      </c>
      <c r="J28" s="118"/>
      <c r="K28" s="81"/>
      <c r="L28" s="119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</v>
      </c>
      <c r="D29" s="87">
        <v>2023</v>
      </c>
      <c r="E29" s="45">
        <v>0</v>
      </c>
      <c r="F29" s="90"/>
      <c r="G29" s="84">
        <v>0</v>
      </c>
      <c r="H29" s="116"/>
      <c r="I29" s="52">
        <v>0</v>
      </c>
      <c r="J29" s="118"/>
      <c r="K29" s="81"/>
      <c r="L29" s="119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</v>
      </c>
      <c r="D30" s="87">
        <v>2023</v>
      </c>
      <c r="E30" s="45">
        <v>0</v>
      </c>
      <c r="F30" s="90"/>
      <c r="G30" s="84">
        <v>0</v>
      </c>
      <c r="H30" s="116"/>
      <c r="I30" s="52">
        <v>0</v>
      </c>
      <c r="J30" s="118"/>
      <c r="K30" s="81"/>
      <c r="L30" s="119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1</v>
      </c>
      <c r="D31" s="87">
        <v>2023</v>
      </c>
      <c r="E31" s="45">
        <v>0</v>
      </c>
      <c r="F31" s="90"/>
      <c r="G31" s="84">
        <v>0</v>
      </c>
      <c r="H31" s="116"/>
      <c r="I31" s="52">
        <v>0</v>
      </c>
      <c r="J31" s="118"/>
      <c r="K31" s="81"/>
      <c r="L31" s="119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1</v>
      </c>
      <c r="D32" s="87">
        <v>2023</v>
      </c>
      <c r="E32" s="45">
        <v>0</v>
      </c>
      <c r="F32" s="90"/>
      <c r="G32" s="84">
        <v>0</v>
      </c>
      <c r="H32" s="116"/>
      <c r="I32" s="52">
        <v>0</v>
      </c>
      <c r="J32" s="118"/>
      <c r="K32" s="81"/>
      <c r="L32" s="119"/>
      <c r="M32" s="58"/>
      <c r="N32" s="58"/>
      <c r="O32" s="58"/>
    </row>
    <row r="33" spans="1:15" ht="18.75" customHeight="1" x14ac:dyDescent="0.2">
      <c r="A33" s="129" t="s">
        <v>41</v>
      </c>
      <c r="B33" s="129"/>
      <c r="C33" s="129"/>
      <c r="D33" s="129"/>
      <c r="E33" s="80">
        <f>SUM(E2:E32)</f>
        <v>21239.999999999782</v>
      </c>
      <c r="F33" s="113">
        <v>0</v>
      </c>
      <c r="G33" s="80">
        <f>SUM(G2:G32)</f>
        <v>5598</v>
      </c>
      <c r="H33" s="113">
        <v>0</v>
      </c>
      <c r="I33" s="80">
        <f>SUM(I2:I32)</f>
        <v>498</v>
      </c>
      <c r="J33" s="113">
        <v>0</v>
      </c>
      <c r="K33" s="79">
        <f>SUM(K2:K31)</f>
        <v>0</v>
      </c>
      <c r="L33" s="120">
        <v>0</v>
      </c>
      <c r="M33" s="80">
        <f>SUM(M2:M32)</f>
        <v>0</v>
      </c>
      <c r="N33" s="80">
        <f>SUM(N2:N32)</f>
        <v>0</v>
      </c>
      <c r="O33" s="80">
        <f>SUM(O2:O32)</f>
        <v>0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N2" sqref="N2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22" t="s">
        <v>123</v>
      </c>
      <c r="F1" s="122" t="s">
        <v>124</v>
      </c>
      <c r="G1" s="123" t="s">
        <v>125</v>
      </c>
      <c r="H1" s="123" t="s">
        <v>104</v>
      </c>
      <c r="I1" s="124" t="s">
        <v>120</v>
      </c>
      <c r="J1" s="124" t="s">
        <v>121</v>
      </c>
      <c r="K1" s="124" t="s">
        <v>122</v>
      </c>
      <c r="L1" s="125" t="s">
        <v>126</v>
      </c>
      <c r="M1" s="125" t="s">
        <v>127</v>
      </c>
      <c r="N1" s="125" t="s">
        <v>128</v>
      </c>
      <c r="O1" s="125" t="s">
        <v>129</v>
      </c>
      <c r="P1" s="126" t="s">
        <v>33</v>
      </c>
      <c r="Q1" s="126" t="s">
        <v>34</v>
      </c>
      <c r="R1" s="126" t="s">
        <v>35</v>
      </c>
      <c r="S1" s="126" t="s">
        <v>36</v>
      </c>
      <c r="T1" s="126" t="s">
        <v>37</v>
      </c>
      <c r="U1" s="126" t="s">
        <v>38</v>
      </c>
      <c r="V1" s="126" t="s">
        <v>39</v>
      </c>
      <c r="W1" s="127" t="s">
        <v>40</v>
      </c>
      <c r="X1" s="128" t="s">
        <v>92</v>
      </c>
    </row>
    <row r="2" spans="1:24" x14ac:dyDescent="0.25">
      <c r="A2" s="36" t="s">
        <v>9</v>
      </c>
      <c r="B2" s="37">
        <v>1</v>
      </c>
      <c r="C2" s="38">
        <v>1</v>
      </c>
      <c r="D2" s="87">
        <v>2023</v>
      </c>
      <c r="E2" s="3">
        <v>0</v>
      </c>
      <c r="F2" s="2">
        <v>0</v>
      </c>
      <c r="G2" s="2">
        <v>0</v>
      </c>
      <c r="H2" s="2">
        <f>I2+J2+K2</f>
        <v>2120.0000000000614</v>
      </c>
      <c r="I2" s="2">
        <f>('Kwh Reading'!J5-'Kwh Reading'!J4)*1000</f>
        <v>1010.0000000001046</v>
      </c>
      <c r="J2" s="2">
        <f>('Kwh Reading'!K5-'Kwh Reading'!K4)*1000</f>
        <v>559.99999999994543</v>
      </c>
      <c r="K2" s="2">
        <f>('Kwh Reading'!L5-'Kwh Reading'!L4)*1000</f>
        <v>550.00000000001137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360.00000000001364</v>
      </c>
      <c r="O2" s="2">
        <f>('Kwh Reading'!B5-'Kwh Reading'!B4)*1000000</f>
        <v>1099.9999999998788</v>
      </c>
      <c r="P2" s="2">
        <f>('Kwh Reading'!M5-'Kwh Reading'!M4)*1000</f>
        <v>480.00000000001819</v>
      </c>
      <c r="Q2" s="2">
        <f>('Kwh Reading'!H5-'Kwh Reading'!H4)*1000000</f>
        <v>699.99999999992292</v>
      </c>
      <c r="R2" s="2">
        <f>('Kwh Reading'!P5-'Kwh Reading'!P4)*1000000</f>
        <v>499.99999999994492</v>
      </c>
      <c r="S2" s="2">
        <f>('Kwh Reading'!G5-'Kwh Reading'!G4)*1000000</f>
        <v>499.99999999994492</v>
      </c>
      <c r="T2" s="2">
        <f>('Kwh Reading'!Q5-'Kwh Reading'!Q4)*1000</f>
        <v>399.99999999997726</v>
      </c>
      <c r="U2" s="2">
        <f>('Kwh Reading'!N5-'Kwh Reading'!N4)*1000</f>
        <v>389.99999999998636</v>
      </c>
      <c r="V2" s="2">
        <f>'Kwh Reading'!E5-'Kwh Reading'!E4</f>
        <v>2594.8000000007451</v>
      </c>
      <c r="W2" s="2">
        <f>'Kwh Reading'!D5-'Kwh Reading'!D4</f>
        <v>1461.4500000000116</v>
      </c>
      <c r="X2" s="21">
        <f>('Kwh Reading'!O5-'Kwh Reading'!O4)*1000</f>
        <v>269.99999999998181</v>
      </c>
    </row>
    <row r="3" spans="1:24" x14ac:dyDescent="0.25">
      <c r="A3" s="36" t="s">
        <v>9</v>
      </c>
      <c r="B3" s="37">
        <f>B2+1</f>
        <v>2</v>
      </c>
      <c r="C3" s="38">
        <v>1</v>
      </c>
      <c r="D3" s="87">
        <v>2023</v>
      </c>
      <c r="E3" s="3">
        <f>('Kwh Reading'!T6-'Kwh Reading'!T5)*1000</f>
        <v>-686220</v>
      </c>
      <c r="F3" s="2">
        <f>('Kwh Reading'!F6-'Kwh Reading'!F5)*1000000</f>
        <v>-3812500</v>
      </c>
      <c r="G3" s="2">
        <f>('Kwh Reading'!C6-'Kwh Reading'!C5)*1000</f>
        <v>-368230</v>
      </c>
      <c r="H3" s="2">
        <f t="shared" ref="H3:H31" si="0">I3+J3+K3</f>
        <v>-1460010</v>
      </c>
      <c r="I3" s="2">
        <f>('Kwh Reading'!J6-'Kwh Reading'!J5)*1000</f>
        <v>-569940</v>
      </c>
      <c r="J3" s="2">
        <f>('Kwh Reading'!K6-'Kwh Reading'!K5)*1000</f>
        <v>-525910</v>
      </c>
      <c r="K3" s="2">
        <f>('Kwh Reading'!L6-'Kwh Reading'!L5)*1000</f>
        <v>-364160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-400380</v>
      </c>
      <c r="O3" s="2">
        <f>('Kwh Reading'!B6-'Kwh Reading'!B5)*1000000</f>
        <v>-1603000</v>
      </c>
      <c r="P3" s="2">
        <f>('Kwh Reading'!M6-'Kwh Reading'!M5)*1000</f>
        <v>-888270</v>
      </c>
      <c r="Q3" s="2">
        <f>('Kwh Reading'!H6-'Kwh Reading'!H5)*1000000</f>
        <v>-1109700</v>
      </c>
      <c r="R3" s="2">
        <f>('Kwh Reading'!P6-'Kwh Reading'!P5)*1000000</f>
        <v>-1077100</v>
      </c>
      <c r="S3" s="2">
        <f>('Kwh Reading'!G6-'Kwh Reading'!G5)*1000000</f>
        <v>-1181700</v>
      </c>
      <c r="T3" s="2">
        <f>('Kwh Reading'!Q6-'Kwh Reading'!Q5)*1000</f>
        <v>-780400</v>
      </c>
      <c r="U3" s="2">
        <f>('Kwh Reading'!N6-'Kwh Reading'!N5)*1000</f>
        <v>-802890</v>
      </c>
      <c r="V3" s="2">
        <f>'Kwh Reading'!E6-'Kwh Reading'!E5</f>
        <v>-9644919.9100000001</v>
      </c>
      <c r="W3" s="2">
        <f>'Kwh Reading'!D6-'Kwh Reading'!D5</f>
        <v>-135730.73000000001</v>
      </c>
      <c r="X3" s="21">
        <f>('Kwh Reading'!O6-'Kwh Reading'!O5)*1000</f>
        <v>-269150</v>
      </c>
    </row>
    <row r="4" spans="1:24" x14ac:dyDescent="0.25">
      <c r="A4" s="36" t="s">
        <v>9</v>
      </c>
      <c r="B4" s="37">
        <f t="shared" ref="B4:B32" si="1">B3+1</f>
        <v>3</v>
      </c>
      <c r="C4" s="38">
        <v>1</v>
      </c>
      <c r="D4" s="87">
        <v>2023</v>
      </c>
      <c r="E4" s="3">
        <f>('Kwh Reading'!T7-'Kwh Reading'!T6)*1000</f>
        <v>0</v>
      </c>
      <c r="F4" s="2">
        <f>('Kwh Reading'!F7-'Kwh Reading'!F6)*1000000</f>
        <v>0</v>
      </c>
      <c r="G4" s="2">
        <f>('Kwh Reading'!C7-'Kwh Reading'!C6)*1000</f>
        <v>0</v>
      </c>
      <c r="H4" s="2">
        <f t="shared" si="0"/>
        <v>0</v>
      </c>
      <c r="I4" s="2">
        <f>('Kwh Reading'!J7-'Kwh Reading'!J6)*1000</f>
        <v>0</v>
      </c>
      <c r="J4" s="2">
        <f>('Kwh Reading'!K7-'Kwh Reading'!K6)*1000</f>
        <v>0</v>
      </c>
      <c r="K4" s="2">
        <f>('Kwh Reading'!L7-'Kwh Reading'!L6)*1000</f>
        <v>0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0</v>
      </c>
      <c r="O4" s="2">
        <f>('Kwh Reading'!B7-'Kwh Reading'!B6)*1000000</f>
        <v>0</v>
      </c>
      <c r="P4" s="2">
        <f>('Kwh Reading'!M7-'Kwh Reading'!M6)*1000</f>
        <v>0</v>
      </c>
      <c r="Q4" s="2">
        <f>('Kwh Reading'!H7-'Kwh Reading'!H6)*1000000</f>
        <v>0</v>
      </c>
      <c r="R4" s="2">
        <f>('Kwh Reading'!P7-'Kwh Reading'!P6)*1000000</f>
        <v>0</v>
      </c>
      <c r="S4" s="2">
        <f>('Kwh Reading'!G7-'Kwh Reading'!G6)*1000000</f>
        <v>0</v>
      </c>
      <c r="T4" s="2">
        <f>('Kwh Reading'!Q7-'Kwh Reading'!Q6)*1000</f>
        <v>0</v>
      </c>
      <c r="U4" s="2">
        <f>('Kwh Reading'!N7-'Kwh Reading'!N6)*1000</f>
        <v>0</v>
      </c>
      <c r="V4" s="2">
        <f>'Kwh Reading'!E7-'Kwh Reading'!E6</f>
        <v>0</v>
      </c>
      <c r="W4" s="2">
        <f>'Kwh Reading'!D7-'Kwh Reading'!D6</f>
        <v>0</v>
      </c>
      <c r="X4" s="21">
        <f>('Kwh Reading'!O7-'Kwh Reading'!O6)*1000</f>
        <v>0</v>
      </c>
    </row>
    <row r="5" spans="1:24" x14ac:dyDescent="0.25">
      <c r="A5" s="36" t="s">
        <v>9</v>
      </c>
      <c r="B5" s="37">
        <f t="shared" si="1"/>
        <v>4</v>
      </c>
      <c r="C5" s="38">
        <v>1</v>
      </c>
      <c r="D5" s="87">
        <v>2023</v>
      </c>
      <c r="E5" s="3">
        <f>('Kwh Reading'!T8-'Kwh Reading'!T7)*1000</f>
        <v>0</v>
      </c>
      <c r="F5" s="2">
        <f>('Kwh Reading'!F8-'Kwh Reading'!F7)*1000000</f>
        <v>0</v>
      </c>
      <c r="G5" s="2">
        <f>('Kwh Reading'!C8-'Kwh Reading'!C7)*1000</f>
        <v>0</v>
      </c>
      <c r="H5" s="2">
        <f t="shared" si="0"/>
        <v>0</v>
      </c>
      <c r="I5" s="2">
        <f>('Kwh Reading'!J8-'Kwh Reading'!J7)*1000</f>
        <v>0</v>
      </c>
      <c r="J5" s="2">
        <f>('Kwh Reading'!K8-'Kwh Reading'!K7)*1000</f>
        <v>0</v>
      </c>
      <c r="K5" s="2">
        <f>('Kwh Reading'!L8-'Kwh Reading'!L7)*1000</f>
        <v>0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0</v>
      </c>
      <c r="O5" s="2">
        <f>('Kwh Reading'!B8-'Kwh Reading'!B7)*1000000</f>
        <v>0</v>
      </c>
      <c r="P5" s="2">
        <f>('Kwh Reading'!M8-'Kwh Reading'!M7)*1000</f>
        <v>0</v>
      </c>
      <c r="Q5" s="2">
        <f>('Kwh Reading'!H8-'Kwh Reading'!H7)*1000000</f>
        <v>0</v>
      </c>
      <c r="R5" s="2">
        <f>('Kwh Reading'!P8-'Kwh Reading'!P7)*1000000</f>
        <v>0</v>
      </c>
      <c r="S5" s="2">
        <f>('Kwh Reading'!G8-'Kwh Reading'!G7)*1000000</f>
        <v>0</v>
      </c>
      <c r="T5" s="2">
        <f>('Kwh Reading'!Q8-'Kwh Reading'!Q7)*1000</f>
        <v>0</v>
      </c>
      <c r="U5" s="2">
        <f>('Kwh Reading'!N8-'Kwh Reading'!N7)*1000</f>
        <v>0</v>
      </c>
      <c r="V5" s="2">
        <f>'Kwh Reading'!E8-'Kwh Reading'!E7</f>
        <v>0</v>
      </c>
      <c r="W5" s="2">
        <f>'Kwh Reading'!D8-'Kwh Reading'!D7</f>
        <v>0</v>
      </c>
      <c r="X5" s="21">
        <f>('Kwh Reading'!O8-'Kwh Reading'!O7)*1000</f>
        <v>0</v>
      </c>
    </row>
    <row r="6" spans="1:24" x14ac:dyDescent="0.25">
      <c r="A6" s="36" t="s">
        <v>9</v>
      </c>
      <c r="B6" s="37">
        <f t="shared" si="1"/>
        <v>5</v>
      </c>
      <c r="C6" s="38">
        <v>1</v>
      </c>
      <c r="D6" s="87">
        <v>2023</v>
      </c>
      <c r="E6" s="3">
        <f>('Kwh Reading'!T9-'Kwh Reading'!T8)*1000</f>
        <v>0</v>
      </c>
      <c r="F6" s="2">
        <f>('Kwh Reading'!F9-'Kwh Reading'!F8)*1000000</f>
        <v>0</v>
      </c>
      <c r="G6" s="2">
        <f>('Kwh Reading'!C9-'Kwh Reading'!C8)*1000</f>
        <v>0</v>
      </c>
      <c r="H6" s="2">
        <f t="shared" si="0"/>
        <v>0</v>
      </c>
      <c r="I6" s="2">
        <f>('Kwh Reading'!J9-'Kwh Reading'!J8)*1000</f>
        <v>0</v>
      </c>
      <c r="J6" s="2">
        <f>('Kwh Reading'!K9-'Kwh Reading'!K8)*1000</f>
        <v>0</v>
      </c>
      <c r="K6" s="2">
        <f>('Kwh Reading'!L9-'Kwh Reading'!L8)*1000</f>
        <v>0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0</v>
      </c>
      <c r="O6" s="2">
        <f>('Kwh Reading'!B9-'Kwh Reading'!B8)*1000000</f>
        <v>0</v>
      </c>
      <c r="P6" s="2">
        <f>('Kwh Reading'!M9-'Kwh Reading'!M8)*1000</f>
        <v>0</v>
      </c>
      <c r="Q6" s="2">
        <f>('Kwh Reading'!H9-'Kwh Reading'!H8)*1000000</f>
        <v>0</v>
      </c>
      <c r="R6" s="2">
        <f>('Kwh Reading'!P9-'Kwh Reading'!P8)*1000000</f>
        <v>0</v>
      </c>
      <c r="S6" s="2">
        <f>('Kwh Reading'!G9-'Kwh Reading'!G8)*1000000</f>
        <v>0</v>
      </c>
      <c r="T6" s="2">
        <f>('Kwh Reading'!Q9-'Kwh Reading'!Q8)*1000</f>
        <v>0</v>
      </c>
      <c r="U6" s="2">
        <f>('Kwh Reading'!N9-'Kwh Reading'!N8)*1000</f>
        <v>0</v>
      </c>
      <c r="V6" s="2">
        <f>'Kwh Reading'!E9-'Kwh Reading'!E8</f>
        <v>0</v>
      </c>
      <c r="W6" s="2">
        <f>'Kwh Reading'!D9-'Kwh Reading'!D8</f>
        <v>0</v>
      </c>
      <c r="X6" s="21">
        <f>('Kwh Reading'!O9-'Kwh Reading'!O8)*1000</f>
        <v>0</v>
      </c>
    </row>
    <row r="7" spans="1:24" x14ac:dyDescent="0.25">
      <c r="A7" s="36" t="s">
        <v>9</v>
      </c>
      <c r="B7" s="37">
        <f t="shared" si="1"/>
        <v>6</v>
      </c>
      <c r="C7" s="38">
        <v>1</v>
      </c>
      <c r="D7" s="87">
        <v>2023</v>
      </c>
      <c r="E7" s="3">
        <f>('Kwh Reading'!T10-'Kwh Reading'!T9)*1000</f>
        <v>0</v>
      </c>
      <c r="F7" s="2">
        <f>('Kwh Reading'!F10-'Kwh Reading'!F9)*1000000</f>
        <v>0</v>
      </c>
      <c r="G7" s="2">
        <f>('Kwh Reading'!C10-'Kwh Reading'!C9)*1000</f>
        <v>0</v>
      </c>
      <c r="H7" s="2">
        <f t="shared" si="0"/>
        <v>0</v>
      </c>
      <c r="I7" s="2">
        <f>('Kwh Reading'!J10-'Kwh Reading'!J9)*1000</f>
        <v>0</v>
      </c>
      <c r="J7" s="2">
        <f>('Kwh Reading'!K10-'Kwh Reading'!K9)*1000</f>
        <v>0</v>
      </c>
      <c r="K7" s="2">
        <f>('Kwh Reading'!L10-'Kwh Reading'!L9)*1000</f>
        <v>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0</v>
      </c>
      <c r="O7" s="2">
        <f>('Kwh Reading'!B10-'Kwh Reading'!B9)*1000000</f>
        <v>0</v>
      </c>
      <c r="P7" s="2">
        <f>('Kwh Reading'!M10-'Kwh Reading'!M9)*1000</f>
        <v>0</v>
      </c>
      <c r="Q7" s="2">
        <f>('Kwh Reading'!H10-'Kwh Reading'!H9)*1000000</f>
        <v>0</v>
      </c>
      <c r="R7" s="2">
        <f>('Kwh Reading'!P10-'Kwh Reading'!P9)*1000000</f>
        <v>0</v>
      </c>
      <c r="S7" s="2">
        <f>('Kwh Reading'!G10-'Kwh Reading'!G9)*1000000</f>
        <v>0</v>
      </c>
      <c r="T7" s="2">
        <f>('Kwh Reading'!Q10-'Kwh Reading'!Q9)*1000</f>
        <v>0</v>
      </c>
      <c r="U7" s="2">
        <f>('Kwh Reading'!N10-'Kwh Reading'!N9)*1000</f>
        <v>0</v>
      </c>
      <c r="V7" s="2">
        <f>'Kwh Reading'!E10-'Kwh Reading'!E9</f>
        <v>0</v>
      </c>
      <c r="W7" s="2">
        <f>'Kwh Reading'!D10-'Kwh Reading'!D9</f>
        <v>0</v>
      </c>
      <c r="X7" s="21">
        <f>('Kwh Reading'!O10-'Kwh Reading'!O9)*1000</f>
        <v>0</v>
      </c>
    </row>
    <row r="8" spans="1:24" x14ac:dyDescent="0.25">
      <c r="A8" s="36" t="s">
        <v>9</v>
      </c>
      <c r="B8" s="37">
        <f t="shared" si="1"/>
        <v>7</v>
      </c>
      <c r="C8" s="38">
        <v>1</v>
      </c>
      <c r="D8" s="87">
        <v>2023</v>
      </c>
      <c r="E8" s="3">
        <f>('Kwh Reading'!T11-'Kwh Reading'!T10)*1000</f>
        <v>0</v>
      </c>
      <c r="F8" s="2">
        <f>('Kwh Reading'!F11-'Kwh Reading'!F10)*1000000</f>
        <v>0</v>
      </c>
      <c r="G8" s="2">
        <f>('Kwh Reading'!C11-'Kwh Reading'!C10)*1000</f>
        <v>0</v>
      </c>
      <c r="H8" s="2">
        <f t="shared" si="0"/>
        <v>0</v>
      </c>
      <c r="I8" s="2">
        <f>('Kwh Reading'!J11-'Kwh Reading'!J10)*1000</f>
        <v>0</v>
      </c>
      <c r="J8" s="2">
        <f>('Kwh Reading'!K11-'Kwh Reading'!K10)*1000</f>
        <v>0</v>
      </c>
      <c r="K8" s="2">
        <f>('Kwh Reading'!L11-'Kwh Reading'!L10)*1000</f>
        <v>0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0</v>
      </c>
      <c r="O8" s="2">
        <f>('Kwh Reading'!B11-'Kwh Reading'!B10)*1000000</f>
        <v>0</v>
      </c>
      <c r="P8" s="2">
        <f>('Kwh Reading'!M11-'Kwh Reading'!M10)*1000</f>
        <v>0</v>
      </c>
      <c r="Q8" s="2">
        <f>('Kwh Reading'!H11-'Kwh Reading'!H10)*1000000</f>
        <v>0</v>
      </c>
      <c r="R8" s="2">
        <f>('Kwh Reading'!P11-'Kwh Reading'!P10)*1000000</f>
        <v>0</v>
      </c>
      <c r="S8" s="2">
        <f>('Kwh Reading'!G11-'Kwh Reading'!G10)*1000000</f>
        <v>0</v>
      </c>
      <c r="T8" s="2">
        <f>('Kwh Reading'!Q11-'Kwh Reading'!Q10)*1000</f>
        <v>0</v>
      </c>
      <c r="U8" s="2">
        <f>('Kwh Reading'!N11-'Kwh Reading'!N10)*1000</f>
        <v>0</v>
      </c>
      <c r="V8" s="26">
        <f>'Kwh Reading'!E11-'Kwh Reading'!E10</f>
        <v>0</v>
      </c>
      <c r="W8" s="26">
        <f>'Kwh Reading'!D11-'Kwh Reading'!D10</f>
        <v>0</v>
      </c>
      <c r="X8" s="21">
        <f>('Kwh Reading'!O11-'Kwh Reading'!O10)*1000</f>
        <v>0</v>
      </c>
    </row>
    <row r="9" spans="1:24" x14ac:dyDescent="0.25">
      <c r="A9" s="36" t="s">
        <v>9</v>
      </c>
      <c r="B9" s="37">
        <f t="shared" si="1"/>
        <v>8</v>
      </c>
      <c r="C9" s="38">
        <v>1</v>
      </c>
      <c r="D9" s="87">
        <v>2023</v>
      </c>
      <c r="E9" s="3">
        <f>('Kwh Reading'!T12-'Kwh Reading'!T11)*1000</f>
        <v>0</v>
      </c>
      <c r="F9" s="2">
        <f>('Kwh Reading'!F12-'Kwh Reading'!F11)*1000000</f>
        <v>0</v>
      </c>
      <c r="G9" s="2">
        <f>('Kwh Reading'!C12-'Kwh Reading'!C11)*1000</f>
        <v>0</v>
      </c>
      <c r="H9" s="2">
        <f t="shared" si="0"/>
        <v>0</v>
      </c>
      <c r="I9" s="2">
        <f>('Kwh Reading'!J12-'Kwh Reading'!J11)*1000</f>
        <v>0</v>
      </c>
      <c r="J9" s="2">
        <f>('Kwh Reading'!K12-'Kwh Reading'!K11)*1000</f>
        <v>0</v>
      </c>
      <c r="K9" s="2">
        <f>('Kwh Reading'!L12-'Kwh Reading'!L11)*1000</f>
        <v>0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0</v>
      </c>
      <c r="O9" s="2">
        <f>('Kwh Reading'!B12-'Kwh Reading'!B11)*1000000</f>
        <v>0</v>
      </c>
      <c r="P9" s="2">
        <f>('Kwh Reading'!M12-'Kwh Reading'!M11)*1000</f>
        <v>0</v>
      </c>
      <c r="Q9" s="2">
        <f>('Kwh Reading'!H12-'Kwh Reading'!H11)*1000000</f>
        <v>0</v>
      </c>
      <c r="R9" s="2">
        <f>('Kwh Reading'!P12-'Kwh Reading'!P11)*1000000</f>
        <v>0</v>
      </c>
      <c r="S9" s="2">
        <f>('Kwh Reading'!G12-'Kwh Reading'!G11)*1000000</f>
        <v>0</v>
      </c>
      <c r="T9" s="2">
        <f>('Kwh Reading'!Q12-'Kwh Reading'!Q11)*1000</f>
        <v>0</v>
      </c>
      <c r="U9" s="2">
        <f>('Kwh Reading'!N12-'Kwh Reading'!N11)*1000</f>
        <v>0</v>
      </c>
      <c r="V9" s="26">
        <f>'Kwh Reading'!E12-'Kwh Reading'!E11</f>
        <v>0</v>
      </c>
      <c r="W9" s="26">
        <f>'Kwh Reading'!D12-'Kwh Reading'!D11</f>
        <v>0</v>
      </c>
      <c r="X9" s="21">
        <f>('Kwh Reading'!O12-'Kwh Reading'!O11)*1000</f>
        <v>0</v>
      </c>
    </row>
    <row r="10" spans="1:24" x14ac:dyDescent="0.25">
      <c r="A10" s="36" t="s">
        <v>9</v>
      </c>
      <c r="B10" s="37">
        <f t="shared" si="1"/>
        <v>9</v>
      </c>
      <c r="C10" s="38">
        <v>1</v>
      </c>
      <c r="D10" s="87">
        <v>2023</v>
      </c>
      <c r="E10" s="3">
        <f>('Kwh Reading'!T13-'Kwh Reading'!T12)*1000</f>
        <v>0</v>
      </c>
      <c r="F10" s="2">
        <f>('Kwh Reading'!F13-'Kwh Reading'!F12)*1000000</f>
        <v>0</v>
      </c>
      <c r="G10" s="2">
        <f>('Kwh Reading'!C13-'Kwh Reading'!C12)*1000</f>
        <v>0</v>
      </c>
      <c r="H10" s="2">
        <f t="shared" si="0"/>
        <v>0</v>
      </c>
      <c r="I10" s="2">
        <f>('Kwh Reading'!J13-'Kwh Reading'!J12)*1000</f>
        <v>0</v>
      </c>
      <c r="J10" s="2">
        <f>('Kwh Reading'!K13-'Kwh Reading'!K12)*1000</f>
        <v>0</v>
      </c>
      <c r="K10" s="2">
        <f>('Kwh Reading'!L13-'Kwh Reading'!L12)*1000</f>
        <v>0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0</v>
      </c>
      <c r="O10" s="2">
        <f>('Kwh Reading'!B13-'Kwh Reading'!B12)*1000000</f>
        <v>0</v>
      </c>
      <c r="P10" s="2">
        <f>('Kwh Reading'!M13-'Kwh Reading'!M12)*1000</f>
        <v>0</v>
      </c>
      <c r="Q10" s="2">
        <f>('Kwh Reading'!H13-'Kwh Reading'!H12)*1000000</f>
        <v>0</v>
      </c>
      <c r="R10" s="2">
        <f>('Kwh Reading'!P13-'Kwh Reading'!P12)*1000000</f>
        <v>0</v>
      </c>
      <c r="S10" s="2">
        <f>('Kwh Reading'!G13-'Kwh Reading'!G12)*1000000</f>
        <v>0</v>
      </c>
      <c r="T10" s="2">
        <f>('Kwh Reading'!Q13-'Kwh Reading'!Q12)*1000</f>
        <v>0</v>
      </c>
      <c r="U10" s="2">
        <f>('Kwh Reading'!N13-'Kwh Reading'!N12)*1000</f>
        <v>0</v>
      </c>
      <c r="V10" s="26">
        <f>'Kwh Reading'!E13-'Kwh Reading'!E12</f>
        <v>0</v>
      </c>
      <c r="W10" s="26">
        <f>'Kwh Reading'!D13-'Kwh Reading'!D12</f>
        <v>0</v>
      </c>
      <c r="X10" s="21">
        <f>('Kwh Reading'!O13-'Kwh Reading'!O12)*1000</f>
        <v>0</v>
      </c>
    </row>
    <row r="11" spans="1:24" x14ac:dyDescent="0.25">
      <c r="A11" s="36" t="s">
        <v>9</v>
      </c>
      <c r="B11" s="37">
        <f t="shared" si="1"/>
        <v>10</v>
      </c>
      <c r="C11" s="38">
        <v>1</v>
      </c>
      <c r="D11" s="87">
        <v>2023</v>
      </c>
      <c r="E11" s="3">
        <f>('Kwh Reading'!T14-'Kwh Reading'!T13)*1000</f>
        <v>0</v>
      </c>
      <c r="F11" s="2">
        <f>('Kwh Reading'!F14-'Kwh Reading'!F13)*1000000</f>
        <v>0</v>
      </c>
      <c r="G11" s="2">
        <f>('Kwh Reading'!C14-'Kwh Reading'!C13)*1000</f>
        <v>0</v>
      </c>
      <c r="H11" s="2">
        <f t="shared" si="0"/>
        <v>0</v>
      </c>
      <c r="I11" s="2">
        <f>('Kwh Reading'!J14-'Kwh Reading'!J13)*1000</f>
        <v>0</v>
      </c>
      <c r="J11" s="2">
        <f>('Kwh Reading'!K14-'Kwh Reading'!K13)*1000</f>
        <v>0</v>
      </c>
      <c r="K11" s="2">
        <f>('Kwh Reading'!L14-'Kwh Reading'!L13)*1000</f>
        <v>0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0</v>
      </c>
      <c r="O11" s="2">
        <f>('Kwh Reading'!B14-'Kwh Reading'!B13)*1000000</f>
        <v>0</v>
      </c>
      <c r="P11" s="2">
        <f>('Kwh Reading'!M14-'Kwh Reading'!M13)*1000</f>
        <v>0</v>
      </c>
      <c r="Q11" s="2">
        <f>('Kwh Reading'!H14-'Kwh Reading'!H13)*1000000</f>
        <v>0</v>
      </c>
      <c r="R11" s="2">
        <f>('Kwh Reading'!P14-'Kwh Reading'!P13)*1000000</f>
        <v>0</v>
      </c>
      <c r="S11" s="2">
        <f>('Kwh Reading'!G14-'Kwh Reading'!G13)*1000000</f>
        <v>0</v>
      </c>
      <c r="T11" s="2">
        <f>('Kwh Reading'!Q14-'Kwh Reading'!Q13)*1000</f>
        <v>0</v>
      </c>
      <c r="U11" s="2">
        <f>('Kwh Reading'!N14-'Kwh Reading'!N13)*1000</f>
        <v>0</v>
      </c>
      <c r="V11" s="26">
        <f>'Kwh Reading'!E14-'Kwh Reading'!E13</f>
        <v>0</v>
      </c>
      <c r="W11" s="26">
        <f>'Kwh Reading'!D14-'Kwh Reading'!D13</f>
        <v>0</v>
      </c>
      <c r="X11" s="21">
        <f>('Kwh Reading'!O14-'Kwh Reading'!O13)*1000</f>
        <v>0</v>
      </c>
    </row>
    <row r="12" spans="1:24" x14ac:dyDescent="0.25">
      <c r="A12" s="36" t="s">
        <v>9</v>
      </c>
      <c r="B12" s="37">
        <f t="shared" si="1"/>
        <v>11</v>
      </c>
      <c r="C12" s="38">
        <v>1</v>
      </c>
      <c r="D12" s="87">
        <v>2023</v>
      </c>
      <c r="E12" s="3">
        <f>('Kwh Reading'!T15-'Kwh Reading'!T14)*1000</f>
        <v>0</v>
      </c>
      <c r="F12" s="2">
        <f>('Kwh Reading'!F15-'Kwh Reading'!F14)*1000000</f>
        <v>0</v>
      </c>
      <c r="G12" s="2">
        <f>('Kwh Reading'!C15-'Kwh Reading'!C14)*1000</f>
        <v>0</v>
      </c>
      <c r="H12" s="2">
        <f t="shared" si="0"/>
        <v>0</v>
      </c>
      <c r="I12" s="2">
        <f>('Kwh Reading'!J15-'Kwh Reading'!J14)*1000</f>
        <v>0</v>
      </c>
      <c r="J12" s="2">
        <f>('Kwh Reading'!K15-'Kwh Reading'!K14)*1000</f>
        <v>0</v>
      </c>
      <c r="K12" s="2">
        <f>('Kwh Reading'!L15-'Kwh Reading'!L14)*1000</f>
        <v>0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0</v>
      </c>
      <c r="O12" s="2">
        <f>('Kwh Reading'!B15-'Kwh Reading'!B14)*1000000</f>
        <v>0</v>
      </c>
      <c r="P12" s="2">
        <f>('Kwh Reading'!M15-'Kwh Reading'!M14)*1000</f>
        <v>0</v>
      </c>
      <c r="Q12" s="2">
        <f>('Kwh Reading'!H15-'Kwh Reading'!H14)*1000000</f>
        <v>0</v>
      </c>
      <c r="R12" s="2">
        <f>('Kwh Reading'!P15-'Kwh Reading'!P14)*1000000</f>
        <v>0</v>
      </c>
      <c r="S12" s="2">
        <f>('Kwh Reading'!G15-'Kwh Reading'!G14)*1000000</f>
        <v>0</v>
      </c>
      <c r="T12" s="2">
        <f>('Kwh Reading'!Q15-'Kwh Reading'!Q14)*1000</f>
        <v>0</v>
      </c>
      <c r="U12" s="2">
        <f>('Kwh Reading'!N15-'Kwh Reading'!N14)*1000</f>
        <v>0</v>
      </c>
      <c r="V12" s="26">
        <f>'Kwh Reading'!E15-'Kwh Reading'!E14</f>
        <v>0</v>
      </c>
      <c r="W12" s="26">
        <f>'Kwh Reading'!D15-'Kwh Reading'!D14</f>
        <v>0</v>
      </c>
      <c r="X12" s="21">
        <f>('Kwh Reading'!O15-'Kwh Reading'!O14)*1000</f>
        <v>0</v>
      </c>
    </row>
    <row r="13" spans="1:24" x14ac:dyDescent="0.25">
      <c r="A13" s="36" t="s">
        <v>9</v>
      </c>
      <c r="B13" s="37">
        <f t="shared" si="1"/>
        <v>12</v>
      </c>
      <c r="C13" s="38">
        <v>1</v>
      </c>
      <c r="D13" s="87">
        <v>2023</v>
      </c>
      <c r="E13" s="3">
        <f>('Kwh Reading'!T16-'Kwh Reading'!T15)*1000</f>
        <v>0</v>
      </c>
      <c r="F13" s="2">
        <f>('Kwh Reading'!F16-'Kwh Reading'!F15)*1000000</f>
        <v>0</v>
      </c>
      <c r="G13" s="2">
        <f>('Kwh Reading'!C16-'Kwh Reading'!C15)*1000</f>
        <v>0</v>
      </c>
      <c r="H13" s="2">
        <f t="shared" si="0"/>
        <v>0</v>
      </c>
      <c r="I13" s="2">
        <f>('Kwh Reading'!J16-'Kwh Reading'!J15)*1000</f>
        <v>0</v>
      </c>
      <c r="J13" s="2">
        <f>('Kwh Reading'!K16-'Kwh Reading'!K15)*1000</f>
        <v>0</v>
      </c>
      <c r="K13" s="2">
        <f>('Kwh Reading'!L16-'Kwh Reading'!L15)*1000</f>
        <v>0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0</v>
      </c>
      <c r="O13" s="2">
        <f>('Kwh Reading'!B16-'Kwh Reading'!B15)*1000000</f>
        <v>0</v>
      </c>
      <c r="P13" s="21">
        <f>('Kwh Reading'!M16-'Kwh Reading'!M15)*1000</f>
        <v>0</v>
      </c>
      <c r="Q13" s="2">
        <f>('Kwh Reading'!H16-'Kwh Reading'!H15)*1000000</f>
        <v>0</v>
      </c>
      <c r="R13" s="2">
        <f>('Kwh Reading'!P16-'Kwh Reading'!P15)*1000000</f>
        <v>0</v>
      </c>
      <c r="S13" s="2">
        <f>('Kwh Reading'!G16-'Kwh Reading'!G15)*1000000</f>
        <v>0</v>
      </c>
      <c r="T13" s="2">
        <f>('Kwh Reading'!Q16-'Kwh Reading'!Q15)*1000</f>
        <v>0</v>
      </c>
      <c r="U13" s="2">
        <f>('Kwh Reading'!N16-'Kwh Reading'!N15)*1000</f>
        <v>0</v>
      </c>
      <c r="V13" s="26">
        <f>'Kwh Reading'!E16-'Kwh Reading'!E15</f>
        <v>0</v>
      </c>
      <c r="W13" s="26">
        <f>'Kwh Reading'!D16-'Kwh Reading'!D15</f>
        <v>0</v>
      </c>
      <c r="X13" s="21">
        <f>('Kwh Reading'!O16-'Kwh Reading'!O15)*1000</f>
        <v>0</v>
      </c>
    </row>
    <row r="14" spans="1:24" x14ac:dyDescent="0.25">
      <c r="A14" s="36" t="s">
        <v>9</v>
      </c>
      <c r="B14" s="37">
        <f t="shared" si="1"/>
        <v>13</v>
      </c>
      <c r="C14" s="38">
        <v>1</v>
      </c>
      <c r="D14" s="87">
        <v>2023</v>
      </c>
      <c r="E14" s="3">
        <f>('Kwh Reading'!T17-'Kwh Reading'!T16)*1000</f>
        <v>0</v>
      </c>
      <c r="F14" s="2">
        <f>('Kwh Reading'!F17-'Kwh Reading'!F16)*1000000</f>
        <v>0</v>
      </c>
      <c r="G14" s="2">
        <f>('Kwh Reading'!C17-'Kwh Reading'!C16)*1000</f>
        <v>0</v>
      </c>
      <c r="H14" s="2">
        <f t="shared" si="0"/>
        <v>0</v>
      </c>
      <c r="I14" s="2">
        <f>('Kwh Reading'!J17-'Kwh Reading'!J16)*1000</f>
        <v>0</v>
      </c>
      <c r="J14" s="2">
        <f>('Kwh Reading'!K17-'Kwh Reading'!K16)*1000</f>
        <v>0</v>
      </c>
      <c r="K14" s="2">
        <f>('Kwh Reading'!L17-'Kwh Reading'!L16)*1000</f>
        <v>0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0</v>
      </c>
      <c r="O14" s="2">
        <f>('Kwh Reading'!B17-'Kwh Reading'!B16)*1000000</f>
        <v>0</v>
      </c>
      <c r="P14" s="2">
        <f>('Kwh Reading'!M17-'Kwh Reading'!M16)*1000</f>
        <v>0</v>
      </c>
      <c r="Q14" s="2">
        <f>('Kwh Reading'!H17-'Kwh Reading'!H16)*1000000</f>
        <v>0</v>
      </c>
      <c r="R14" s="2">
        <f>('Kwh Reading'!P17-'Kwh Reading'!P16)*1000000</f>
        <v>0</v>
      </c>
      <c r="S14" s="2">
        <f>('Kwh Reading'!G17-'Kwh Reading'!G16)*1000000</f>
        <v>0</v>
      </c>
      <c r="T14" s="2">
        <f>('Kwh Reading'!Q17-'Kwh Reading'!Q16)*1000</f>
        <v>0</v>
      </c>
      <c r="U14" s="2">
        <f>('Kwh Reading'!N17-'Kwh Reading'!N16)*1000</f>
        <v>0</v>
      </c>
      <c r="V14" s="26">
        <f>'Kwh Reading'!E17-'Kwh Reading'!E16</f>
        <v>0</v>
      </c>
      <c r="W14" s="26">
        <f>'Kwh Reading'!D17-'Kwh Reading'!D16</f>
        <v>0</v>
      </c>
      <c r="X14" s="21">
        <f>('Kwh Reading'!O17-'Kwh Reading'!O16)*1000</f>
        <v>0</v>
      </c>
    </row>
    <row r="15" spans="1:24" x14ac:dyDescent="0.25">
      <c r="A15" s="36" t="s">
        <v>9</v>
      </c>
      <c r="B15" s="37">
        <f t="shared" si="1"/>
        <v>14</v>
      </c>
      <c r="C15" s="38">
        <v>1</v>
      </c>
      <c r="D15" s="87">
        <v>2023</v>
      </c>
      <c r="E15" s="3">
        <f>('Kwh Reading'!T18-'Kwh Reading'!T17)*1000</f>
        <v>0</v>
      </c>
      <c r="F15" s="2">
        <f>('Kwh Reading'!F18-'Kwh Reading'!F17)*1000000</f>
        <v>0</v>
      </c>
      <c r="G15" s="2">
        <f>('Kwh Reading'!C18-'Kwh Reading'!C17)*1000</f>
        <v>0</v>
      </c>
      <c r="H15" s="2">
        <f t="shared" si="0"/>
        <v>0</v>
      </c>
      <c r="I15" s="2">
        <f>('Kwh Reading'!J18-'Kwh Reading'!J17)*1000</f>
        <v>0</v>
      </c>
      <c r="J15" s="2">
        <f>('Kwh Reading'!K18-'Kwh Reading'!K17)*1000</f>
        <v>0</v>
      </c>
      <c r="K15" s="2">
        <f>('Kwh Reading'!L18-'Kwh Reading'!L17)*1000</f>
        <v>0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0</v>
      </c>
      <c r="O15" s="2">
        <f>('Kwh Reading'!B18-'Kwh Reading'!B17)*1000000</f>
        <v>0</v>
      </c>
      <c r="P15" s="2">
        <f>('Kwh Reading'!M18-'Kwh Reading'!M17)*1000</f>
        <v>0</v>
      </c>
      <c r="Q15" s="2">
        <f>('Kwh Reading'!H18-'Kwh Reading'!H17)*1000000</f>
        <v>0</v>
      </c>
      <c r="R15" s="2">
        <f>('Kwh Reading'!P18-'Kwh Reading'!P17)*1000000</f>
        <v>0</v>
      </c>
      <c r="S15" s="2">
        <f>('Kwh Reading'!G18-'Kwh Reading'!G17)*1000000</f>
        <v>0</v>
      </c>
      <c r="T15" s="2">
        <f>('Kwh Reading'!Q18-'Kwh Reading'!Q17)*1000</f>
        <v>0</v>
      </c>
      <c r="U15" s="2">
        <f>('Kwh Reading'!N18-'Kwh Reading'!N17)*1000</f>
        <v>0</v>
      </c>
      <c r="V15" s="26">
        <f>'Kwh Reading'!E18-'Kwh Reading'!E17</f>
        <v>0</v>
      </c>
      <c r="W15" s="26">
        <f>'Kwh Reading'!D18-'Kwh Reading'!D17</f>
        <v>0</v>
      </c>
      <c r="X15" s="21">
        <f>('Kwh Reading'!O18-'Kwh Reading'!O17)*1000</f>
        <v>0</v>
      </c>
    </row>
    <row r="16" spans="1:24" x14ac:dyDescent="0.25">
      <c r="A16" s="36" t="s">
        <v>9</v>
      </c>
      <c r="B16" s="37">
        <f t="shared" si="1"/>
        <v>15</v>
      </c>
      <c r="C16" s="38">
        <v>1</v>
      </c>
      <c r="D16" s="87">
        <v>2023</v>
      </c>
      <c r="E16" s="3">
        <f>('Kwh Reading'!T19-'Kwh Reading'!T18)*1000</f>
        <v>0</v>
      </c>
      <c r="F16" s="2">
        <f>('Kwh Reading'!F19-'Kwh Reading'!F18)*1000000</f>
        <v>0</v>
      </c>
      <c r="G16" s="2">
        <f>('Kwh Reading'!C19-'Kwh Reading'!C18)*1000</f>
        <v>0</v>
      </c>
      <c r="H16" s="2">
        <f t="shared" si="0"/>
        <v>0</v>
      </c>
      <c r="I16" s="2">
        <f>('Kwh Reading'!J19-'Kwh Reading'!J18)*1000</f>
        <v>0</v>
      </c>
      <c r="J16" s="2">
        <f>('Kwh Reading'!K19-'Kwh Reading'!K18)*1000</f>
        <v>0</v>
      </c>
      <c r="K16" s="2">
        <f>('Kwh Reading'!L19-'Kwh Reading'!L18)*1000</f>
        <v>0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0</v>
      </c>
      <c r="O16" s="2">
        <f>('Kwh Reading'!B19-'Kwh Reading'!B18)*1000000</f>
        <v>0</v>
      </c>
      <c r="P16" s="2">
        <f>('Kwh Reading'!M19-'Kwh Reading'!M18)*1000</f>
        <v>0</v>
      </c>
      <c r="Q16" s="2">
        <f>('Kwh Reading'!H19-'Kwh Reading'!H18)*1000000</f>
        <v>0</v>
      </c>
      <c r="R16" s="21">
        <f>('Kwh Reading'!P19-'Kwh Reading'!P18)*1000000</f>
        <v>0</v>
      </c>
      <c r="S16" s="2">
        <f>('Kwh Reading'!G19-'Kwh Reading'!G18)*1000000</f>
        <v>0</v>
      </c>
      <c r="T16" s="2">
        <f>('Kwh Reading'!Q19-'Kwh Reading'!Q18)*1000</f>
        <v>0</v>
      </c>
      <c r="U16" s="2">
        <f>('Kwh Reading'!N19-'Kwh Reading'!N18)*1000</f>
        <v>0</v>
      </c>
      <c r="V16" s="26">
        <f>'Kwh Reading'!E19-'Kwh Reading'!E18</f>
        <v>0</v>
      </c>
      <c r="W16" s="26">
        <f>'Kwh Reading'!D19-'Kwh Reading'!D18</f>
        <v>0</v>
      </c>
      <c r="X16" s="21">
        <f>('Kwh Reading'!O19-'Kwh Reading'!O18)*1000</f>
        <v>0</v>
      </c>
    </row>
    <row r="17" spans="1:24" x14ac:dyDescent="0.25">
      <c r="A17" s="36" t="s">
        <v>9</v>
      </c>
      <c r="B17" s="37">
        <f t="shared" si="1"/>
        <v>16</v>
      </c>
      <c r="C17" s="38">
        <v>1</v>
      </c>
      <c r="D17" s="87">
        <v>2023</v>
      </c>
      <c r="E17" s="3">
        <f>('Kwh Reading'!T20-'Kwh Reading'!T19)*1000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0</v>
      </c>
      <c r="O17" s="2">
        <f>('Kwh Reading'!B20-'Kwh Reading'!B19)*1000000</f>
        <v>0</v>
      </c>
      <c r="P17" s="2">
        <f>('Kwh Reading'!M20-'Kwh Reading'!M19)*1000</f>
        <v>0</v>
      </c>
      <c r="Q17" s="2">
        <f>('Kwh Reading'!H20-'Kwh Reading'!H19)*1000000</f>
        <v>0</v>
      </c>
      <c r="R17" s="2">
        <f>('Kwh Reading'!P20-'Kwh Reading'!P19)*1000000</f>
        <v>0</v>
      </c>
      <c r="S17" s="2">
        <f>('Kwh Reading'!G20-'Kwh Reading'!G19)*1000000</f>
        <v>0</v>
      </c>
      <c r="T17" s="2">
        <f>('Kwh Reading'!Q20-'Kwh Reading'!Q19)*1000</f>
        <v>0</v>
      </c>
      <c r="U17" s="2">
        <f>('Kwh Reading'!N20-'Kwh Reading'!N19)*1000</f>
        <v>0</v>
      </c>
      <c r="V17" s="26">
        <f>'Kwh Reading'!E20-'Kwh Reading'!E19</f>
        <v>0</v>
      </c>
      <c r="W17" s="26">
        <f>'Kwh Reading'!D20-'Kwh Reading'!D19</f>
        <v>0</v>
      </c>
      <c r="X17" s="21">
        <f>('Kwh Reading'!O20-'Kwh Reading'!O19)*1000</f>
        <v>0</v>
      </c>
    </row>
    <row r="18" spans="1:24" x14ac:dyDescent="0.25">
      <c r="A18" s="36" t="s">
        <v>9</v>
      </c>
      <c r="B18" s="37">
        <f t="shared" si="1"/>
        <v>17</v>
      </c>
      <c r="C18" s="38">
        <v>1</v>
      </c>
      <c r="D18" s="87">
        <v>2023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</v>
      </c>
      <c r="D19" s="87">
        <v>2023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</v>
      </c>
      <c r="D20" s="87">
        <v>2023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</v>
      </c>
      <c r="D21" s="87">
        <v>2023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10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</v>
      </c>
      <c r="D22" s="87">
        <v>2023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</v>
      </c>
      <c r="D23" s="87">
        <v>2023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</v>
      </c>
      <c r="D24" s="87">
        <v>2023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96" customFormat="1" x14ac:dyDescent="0.25">
      <c r="A25" s="36" t="s">
        <v>9</v>
      </c>
      <c r="B25" s="37">
        <f t="shared" si="1"/>
        <v>24</v>
      </c>
      <c r="C25" s="38">
        <v>1</v>
      </c>
      <c r="D25" s="87">
        <v>2023</v>
      </c>
      <c r="E25" s="95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96" customFormat="1" x14ac:dyDescent="0.25">
      <c r="A26" s="36" t="s">
        <v>9</v>
      </c>
      <c r="B26" s="37">
        <f>B25+1</f>
        <v>25</v>
      </c>
      <c r="C26" s="38">
        <v>1</v>
      </c>
      <c r="D26" s="87">
        <v>2023</v>
      </c>
      <c r="E26" s="95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</v>
      </c>
      <c r="D27" s="87">
        <v>2023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</v>
      </c>
      <c r="D28" s="87">
        <v>2023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</v>
      </c>
      <c r="D29" s="87">
        <v>2023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</v>
      </c>
      <c r="D30" s="87">
        <v>2023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</v>
      </c>
      <c r="D31" s="87">
        <v>2023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36" t="s">
        <v>9</v>
      </c>
      <c r="B32" s="37">
        <f t="shared" si="1"/>
        <v>31</v>
      </c>
      <c r="C32" s="38">
        <v>1</v>
      </c>
      <c r="D32" s="87">
        <v>2023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1"/>
    </row>
    <row r="33" spans="1:24" x14ac:dyDescent="0.25">
      <c r="A33" s="111" t="s">
        <v>41</v>
      </c>
      <c r="B33" s="111"/>
      <c r="C33" s="111"/>
      <c r="D33" s="111"/>
      <c r="E33" s="60">
        <f>SUM(E2:E31)</f>
        <v>-686220</v>
      </c>
      <c r="F33" s="60">
        <f>SUM(F2:F31)</f>
        <v>-3812500</v>
      </c>
      <c r="G33" s="60">
        <f>SUM(G2:G31)</f>
        <v>-368230</v>
      </c>
      <c r="H33" s="60"/>
      <c r="I33" s="60">
        <f>SUM(I2:I31)</f>
        <v>-568929.99999999988</v>
      </c>
      <c r="J33" s="60">
        <f t="shared" ref="J33:X33" si="2">SUM(J2:J31)</f>
        <v>-525350</v>
      </c>
      <c r="K33" s="60">
        <f t="shared" si="2"/>
        <v>-363610</v>
      </c>
      <c r="L33" s="60">
        <f t="shared" si="2"/>
        <v>0</v>
      </c>
      <c r="M33" s="60">
        <f t="shared" si="2"/>
        <v>0</v>
      </c>
      <c r="N33" s="60">
        <f t="shared" si="2"/>
        <v>-400020</v>
      </c>
      <c r="O33" s="60">
        <f t="shared" si="2"/>
        <v>-1601900.0000000002</v>
      </c>
      <c r="P33" s="60">
        <f t="shared" si="2"/>
        <v>-887790</v>
      </c>
      <c r="Q33" s="60">
        <f t="shared" si="2"/>
        <v>-1109000</v>
      </c>
      <c r="R33" s="60">
        <f t="shared" si="2"/>
        <v>-1076600</v>
      </c>
      <c r="S33" s="60">
        <f t="shared" si="2"/>
        <v>-1181200</v>
      </c>
      <c r="T33" s="60">
        <f t="shared" si="2"/>
        <v>-780000</v>
      </c>
      <c r="U33" s="60">
        <f t="shared" si="2"/>
        <v>-802500</v>
      </c>
      <c r="V33" s="60">
        <f t="shared" si="2"/>
        <v>-9642325.1099999994</v>
      </c>
      <c r="W33" s="60">
        <f t="shared" si="2"/>
        <v>-134269.28</v>
      </c>
      <c r="X33" s="60">
        <f t="shared" si="2"/>
        <v>-268880</v>
      </c>
    </row>
    <row r="38" spans="1:24" x14ac:dyDescent="0.25">
      <c r="V38" s="63"/>
    </row>
    <row r="39" spans="1:24" x14ac:dyDescent="0.25">
      <c r="C39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61"/>
      <c r="V1" s="61"/>
    </row>
    <row r="2" spans="1:25" s="12" customFormat="1" ht="33" customHeight="1" x14ac:dyDescent="0.25">
      <c r="A2" s="22" t="s">
        <v>2</v>
      </c>
      <c r="B2" s="137" t="s">
        <v>113</v>
      </c>
      <c r="C2" s="137" t="s">
        <v>11</v>
      </c>
      <c r="D2" s="137" t="s">
        <v>12</v>
      </c>
      <c r="E2" s="137" t="s">
        <v>13</v>
      </c>
      <c r="F2" s="137" t="s">
        <v>14</v>
      </c>
      <c r="G2" s="132" t="s">
        <v>119</v>
      </c>
      <c r="H2" s="134" t="s">
        <v>15</v>
      </c>
      <c r="I2" s="137" t="s">
        <v>16</v>
      </c>
      <c r="J2" s="139" t="s">
        <v>17</v>
      </c>
      <c r="K2" s="140"/>
      <c r="L2" s="141"/>
      <c r="M2" s="132" t="s">
        <v>18</v>
      </c>
      <c r="N2" s="134" t="s">
        <v>19</v>
      </c>
      <c r="O2" s="135" t="s">
        <v>20</v>
      </c>
      <c r="P2" s="134" t="s">
        <v>21</v>
      </c>
      <c r="Q2" s="142" t="s">
        <v>22</v>
      </c>
      <c r="R2" s="137" t="s">
        <v>23</v>
      </c>
      <c r="S2" s="137" t="s">
        <v>24</v>
      </c>
      <c r="T2" s="137" t="s">
        <v>25</v>
      </c>
      <c r="V2" s="144" t="s">
        <v>6</v>
      </c>
      <c r="W2" s="144" t="s">
        <v>7</v>
      </c>
      <c r="X2" s="144" t="s">
        <v>8</v>
      </c>
    </row>
    <row r="3" spans="1:25" s="12" customFormat="1" ht="45" customHeight="1" x14ac:dyDescent="0.25">
      <c r="A3" s="23"/>
      <c r="B3" s="138"/>
      <c r="C3" s="138"/>
      <c r="D3" s="138"/>
      <c r="E3" s="138"/>
      <c r="F3" s="138"/>
      <c r="G3" s="133"/>
      <c r="H3" s="134"/>
      <c r="I3" s="138"/>
      <c r="J3" s="13" t="s">
        <v>26</v>
      </c>
      <c r="K3" s="13" t="s">
        <v>27</v>
      </c>
      <c r="L3" s="13" t="s">
        <v>28</v>
      </c>
      <c r="M3" s="133"/>
      <c r="N3" s="134"/>
      <c r="O3" s="136"/>
      <c r="P3" s="134"/>
      <c r="Q3" s="143"/>
      <c r="R3" s="138"/>
      <c r="S3" s="138"/>
      <c r="T3" s="138"/>
      <c r="V3" s="144"/>
      <c r="W3" s="144"/>
      <c r="X3" s="144"/>
    </row>
    <row r="4" spans="1:25" ht="21" customHeight="1" x14ac:dyDescent="0.25">
      <c r="A4" s="6">
        <v>44927</v>
      </c>
      <c r="B4" s="85">
        <v>1.6019000000000001</v>
      </c>
      <c r="C4" s="85">
        <v>367.94</v>
      </c>
      <c r="D4" s="85">
        <v>134269.28</v>
      </c>
      <c r="E4" s="85">
        <v>9642325.1099999994</v>
      </c>
      <c r="F4" s="85">
        <v>3.8098000000000001</v>
      </c>
      <c r="G4" s="85">
        <v>1.1812</v>
      </c>
      <c r="H4" s="85">
        <v>1.109</v>
      </c>
      <c r="I4" s="85">
        <v>400.02</v>
      </c>
      <c r="J4" s="85">
        <v>568.92999999999995</v>
      </c>
      <c r="K4" s="85">
        <v>525.35</v>
      </c>
      <c r="L4" s="85">
        <v>363.61</v>
      </c>
      <c r="M4" s="85">
        <v>887.79</v>
      </c>
      <c r="N4" s="85">
        <v>802.5</v>
      </c>
      <c r="O4" s="85">
        <v>268.88</v>
      </c>
      <c r="P4" s="85">
        <v>1.0766</v>
      </c>
      <c r="Q4" s="85">
        <v>780</v>
      </c>
      <c r="R4" s="85">
        <v>0</v>
      </c>
      <c r="S4" s="85">
        <v>0</v>
      </c>
      <c r="T4" s="85">
        <v>685.55</v>
      </c>
      <c r="V4" s="58"/>
      <c r="W4" s="58"/>
      <c r="X4" s="58"/>
      <c r="Y4" s="12"/>
    </row>
    <row r="5" spans="1:25" ht="21" customHeight="1" x14ac:dyDescent="0.25">
      <c r="A5" s="6">
        <v>44928</v>
      </c>
      <c r="B5" s="85">
        <v>1.603</v>
      </c>
      <c r="C5" s="85">
        <v>368.23</v>
      </c>
      <c r="D5" s="85">
        <v>135730.73000000001</v>
      </c>
      <c r="E5" s="85">
        <v>9644919.9100000001</v>
      </c>
      <c r="F5" s="85">
        <v>3.8125</v>
      </c>
      <c r="G5" s="85">
        <v>1.1817</v>
      </c>
      <c r="H5" s="85">
        <v>1.1096999999999999</v>
      </c>
      <c r="I5" s="85">
        <v>400.38</v>
      </c>
      <c r="J5" s="85">
        <v>569.94000000000005</v>
      </c>
      <c r="K5" s="85">
        <v>525.91</v>
      </c>
      <c r="L5" s="85">
        <v>364.16</v>
      </c>
      <c r="M5" s="85">
        <v>888.27</v>
      </c>
      <c r="N5" s="85">
        <v>802.89</v>
      </c>
      <c r="O5" s="85">
        <v>269.14999999999998</v>
      </c>
      <c r="P5" s="85">
        <v>1.0770999999999999</v>
      </c>
      <c r="Q5" s="85">
        <v>780.4</v>
      </c>
      <c r="R5" s="85">
        <v>0</v>
      </c>
      <c r="S5" s="85">
        <v>0</v>
      </c>
      <c r="T5" s="85">
        <v>686.22</v>
      </c>
      <c r="V5" s="58"/>
      <c r="W5" s="58"/>
      <c r="X5" s="58"/>
      <c r="Y5" s="12"/>
    </row>
    <row r="6" spans="1:25" ht="21" customHeight="1" x14ac:dyDescent="0.25">
      <c r="A6" s="6">
        <v>44929</v>
      </c>
      <c r="B6" s="85">
        <v>0</v>
      </c>
      <c r="C6" s="85">
        <v>0</v>
      </c>
      <c r="D6" s="85">
        <v>0</v>
      </c>
      <c r="E6" s="85">
        <v>0</v>
      </c>
      <c r="F6" s="85">
        <v>0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5">
        <v>0</v>
      </c>
      <c r="M6" s="85">
        <v>0</v>
      </c>
      <c r="N6" s="85">
        <v>0</v>
      </c>
      <c r="O6" s="85">
        <v>0</v>
      </c>
      <c r="P6" s="85">
        <v>0</v>
      </c>
      <c r="Q6" s="85">
        <v>0</v>
      </c>
      <c r="R6" s="85">
        <v>0</v>
      </c>
      <c r="S6" s="85">
        <v>0</v>
      </c>
      <c r="T6" s="85">
        <v>0</v>
      </c>
      <c r="V6" s="58"/>
      <c r="W6" s="58"/>
      <c r="X6" s="58"/>
      <c r="Y6" s="12"/>
    </row>
    <row r="7" spans="1:25" ht="21" customHeight="1" x14ac:dyDescent="0.25">
      <c r="A7" s="6">
        <v>44930</v>
      </c>
      <c r="B7" s="85">
        <v>0</v>
      </c>
      <c r="C7" s="85">
        <v>0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  <c r="I7" s="85">
        <v>0</v>
      </c>
      <c r="J7" s="85">
        <v>0</v>
      </c>
      <c r="K7" s="85">
        <v>0</v>
      </c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85">
        <v>0</v>
      </c>
      <c r="T7" s="85">
        <v>0</v>
      </c>
      <c r="V7" s="58"/>
      <c r="W7" s="58"/>
      <c r="X7" s="58"/>
      <c r="Y7" s="12"/>
    </row>
    <row r="8" spans="1:25" ht="21" customHeight="1" x14ac:dyDescent="0.25">
      <c r="A8" s="6">
        <v>44931</v>
      </c>
      <c r="B8" s="85">
        <v>0</v>
      </c>
      <c r="C8" s="85">
        <v>0</v>
      </c>
      <c r="D8" s="85">
        <v>0</v>
      </c>
      <c r="E8" s="85">
        <v>0</v>
      </c>
      <c r="F8" s="85">
        <v>0</v>
      </c>
      <c r="G8" s="85">
        <v>0</v>
      </c>
      <c r="H8" s="85">
        <v>0</v>
      </c>
      <c r="I8" s="85">
        <v>0</v>
      </c>
      <c r="J8" s="85">
        <v>0</v>
      </c>
      <c r="K8" s="85">
        <v>0</v>
      </c>
      <c r="L8" s="85">
        <v>0</v>
      </c>
      <c r="M8" s="85">
        <v>0</v>
      </c>
      <c r="N8" s="85">
        <v>0</v>
      </c>
      <c r="O8" s="85">
        <v>0</v>
      </c>
      <c r="P8" s="85">
        <v>0</v>
      </c>
      <c r="Q8" s="85">
        <v>0</v>
      </c>
      <c r="R8" s="85">
        <v>0</v>
      </c>
      <c r="S8" s="85">
        <v>0</v>
      </c>
      <c r="T8" s="85">
        <v>0</v>
      </c>
      <c r="V8" s="83"/>
      <c r="W8" s="83"/>
      <c r="X8" s="93"/>
      <c r="Y8" s="12"/>
    </row>
    <row r="9" spans="1:25" ht="21" customHeight="1" x14ac:dyDescent="0.25">
      <c r="A9" s="6">
        <v>44932</v>
      </c>
      <c r="B9" s="85">
        <v>0</v>
      </c>
      <c r="C9" s="85">
        <v>0</v>
      </c>
      <c r="D9" s="85">
        <v>0</v>
      </c>
      <c r="E9" s="85">
        <v>0</v>
      </c>
      <c r="F9" s="85">
        <v>0</v>
      </c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5">
        <v>0</v>
      </c>
      <c r="M9" s="85">
        <v>0</v>
      </c>
      <c r="N9" s="85">
        <v>0</v>
      </c>
      <c r="O9" s="85">
        <v>0</v>
      </c>
      <c r="P9" s="85">
        <v>0</v>
      </c>
      <c r="Q9" s="85">
        <v>0</v>
      </c>
      <c r="R9" s="85">
        <v>0</v>
      </c>
      <c r="S9" s="85">
        <v>0</v>
      </c>
      <c r="T9" s="85">
        <v>0</v>
      </c>
      <c r="V9" s="83"/>
      <c r="W9" s="83"/>
      <c r="X9" s="93"/>
      <c r="Y9" s="12"/>
    </row>
    <row r="10" spans="1:25" ht="21" customHeight="1" x14ac:dyDescent="0.25">
      <c r="A10" s="6">
        <v>44933</v>
      </c>
      <c r="B10" s="85">
        <v>0</v>
      </c>
      <c r="C10" s="85">
        <v>0</v>
      </c>
      <c r="D10" s="85">
        <v>0</v>
      </c>
      <c r="E10" s="85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85">
        <v>0</v>
      </c>
      <c r="T10" s="85">
        <v>0</v>
      </c>
      <c r="V10" s="83"/>
      <c r="W10" s="83"/>
      <c r="X10" s="83"/>
      <c r="Y10" s="12"/>
    </row>
    <row r="11" spans="1:25" ht="21" customHeight="1" x14ac:dyDescent="0.25">
      <c r="A11" s="6">
        <v>44934</v>
      </c>
      <c r="B11" s="85">
        <v>0</v>
      </c>
      <c r="C11" s="85">
        <v>0</v>
      </c>
      <c r="D11" s="85">
        <v>0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85">
        <v>0</v>
      </c>
      <c r="T11" s="85">
        <v>0</v>
      </c>
      <c r="V11" s="83"/>
      <c r="W11" s="83"/>
      <c r="X11" s="83"/>
      <c r="Y11" s="12"/>
    </row>
    <row r="12" spans="1:25" ht="21" customHeight="1" x14ac:dyDescent="0.25">
      <c r="A12" s="6">
        <v>44935</v>
      </c>
      <c r="B12" s="85">
        <v>0</v>
      </c>
      <c r="C12" s="85">
        <v>0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85">
        <v>0</v>
      </c>
      <c r="T12" s="85">
        <v>0</v>
      </c>
      <c r="V12" s="83"/>
      <c r="W12" s="83"/>
      <c r="X12" s="83"/>
      <c r="Y12" s="12"/>
    </row>
    <row r="13" spans="1:25" ht="21" customHeight="1" x14ac:dyDescent="0.25">
      <c r="A13" s="6">
        <v>44936</v>
      </c>
      <c r="B13" s="85">
        <v>0</v>
      </c>
      <c r="C13" s="85">
        <v>0</v>
      </c>
      <c r="D13" s="85">
        <v>0</v>
      </c>
      <c r="E13" s="85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85">
        <v>0</v>
      </c>
      <c r="T13" s="85">
        <v>0</v>
      </c>
      <c r="V13" s="83"/>
      <c r="W13" s="83"/>
      <c r="X13" s="83"/>
      <c r="Y13" s="12"/>
    </row>
    <row r="14" spans="1:25" ht="21" customHeight="1" x14ac:dyDescent="0.25">
      <c r="A14" s="6">
        <v>44937</v>
      </c>
      <c r="B14" s="85">
        <v>0</v>
      </c>
      <c r="C14" s="85">
        <v>0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85">
        <v>0</v>
      </c>
      <c r="T14" s="85">
        <v>0</v>
      </c>
      <c r="V14" s="83"/>
      <c r="W14" s="83"/>
      <c r="X14" s="83"/>
      <c r="Y14" s="12"/>
    </row>
    <row r="15" spans="1:25" ht="21" customHeight="1" x14ac:dyDescent="0.25">
      <c r="A15" s="6">
        <v>44938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V15" s="83"/>
      <c r="W15" s="83"/>
      <c r="X15" s="83"/>
      <c r="Y15" s="12"/>
    </row>
    <row r="16" spans="1:25" ht="21" customHeight="1" x14ac:dyDescent="0.25">
      <c r="A16" s="6">
        <v>44939</v>
      </c>
      <c r="B16" s="85">
        <v>0</v>
      </c>
      <c r="C16" s="85">
        <v>0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0</v>
      </c>
      <c r="Q16" s="85">
        <v>0</v>
      </c>
      <c r="R16" s="85">
        <v>0</v>
      </c>
      <c r="S16" s="85">
        <v>0</v>
      </c>
      <c r="T16" s="85">
        <v>0</v>
      </c>
      <c r="V16" s="83"/>
      <c r="W16" s="83"/>
      <c r="X16" s="83"/>
      <c r="Y16" s="12"/>
    </row>
    <row r="17" spans="1:25" ht="21" customHeight="1" x14ac:dyDescent="0.25">
      <c r="A17" s="6">
        <v>44940</v>
      </c>
      <c r="B17" s="85">
        <v>0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V17" s="83"/>
      <c r="W17" s="83"/>
      <c r="X17" s="83"/>
      <c r="Y17" s="12"/>
    </row>
    <row r="18" spans="1:25" ht="21" customHeight="1" x14ac:dyDescent="0.25">
      <c r="A18" s="6">
        <v>44941</v>
      </c>
      <c r="B18" s="85">
        <v>0</v>
      </c>
      <c r="C18" s="85">
        <v>0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85">
        <v>0</v>
      </c>
      <c r="T18" s="85">
        <v>0</v>
      </c>
      <c r="V18" s="83"/>
      <c r="W18" s="83"/>
      <c r="X18" s="83"/>
      <c r="Y18" s="12"/>
    </row>
    <row r="19" spans="1:25" ht="21" customHeight="1" x14ac:dyDescent="0.25">
      <c r="A19" s="6">
        <v>44942</v>
      </c>
      <c r="B19" s="85">
        <v>0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V19" s="83"/>
      <c r="W19" s="83"/>
      <c r="X19" s="83"/>
      <c r="Y19" s="12"/>
    </row>
    <row r="20" spans="1:25" ht="21" customHeight="1" x14ac:dyDescent="0.25">
      <c r="A20" s="6">
        <v>44943</v>
      </c>
      <c r="B20" s="85">
        <v>0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V20" s="83"/>
      <c r="W20" s="83"/>
      <c r="X20" s="83"/>
      <c r="Y20" s="12"/>
    </row>
    <row r="21" spans="1:25" ht="21" customHeight="1" x14ac:dyDescent="0.25">
      <c r="A21" s="6">
        <v>44944</v>
      </c>
      <c r="B21" s="85">
        <v>0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85">
        <v>0</v>
      </c>
      <c r="T21" s="85">
        <v>0</v>
      </c>
      <c r="V21" s="83"/>
      <c r="W21" s="83"/>
      <c r="X21" s="83"/>
      <c r="Y21" s="12"/>
    </row>
    <row r="22" spans="1:25" ht="21" customHeight="1" x14ac:dyDescent="0.25">
      <c r="A22" s="6">
        <v>44945</v>
      </c>
      <c r="B22" s="85">
        <v>0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>
        <v>0</v>
      </c>
      <c r="L22" s="85">
        <v>0</v>
      </c>
      <c r="M22" s="85">
        <v>0</v>
      </c>
      <c r="N22" s="85">
        <v>0</v>
      </c>
      <c r="O22" s="85">
        <v>0</v>
      </c>
      <c r="P22" s="85">
        <v>0</v>
      </c>
      <c r="Q22" s="85">
        <v>0</v>
      </c>
      <c r="R22" s="85">
        <v>0</v>
      </c>
      <c r="S22" s="85">
        <v>0</v>
      </c>
      <c r="T22" s="85">
        <v>0</v>
      </c>
      <c r="V22" s="83"/>
      <c r="W22" s="83"/>
      <c r="X22" s="83"/>
      <c r="Y22" s="12"/>
    </row>
    <row r="23" spans="1:25" ht="21" customHeight="1" x14ac:dyDescent="0.25">
      <c r="A23" s="6">
        <v>44946</v>
      </c>
      <c r="B23" s="85">
        <v>0</v>
      </c>
      <c r="C23" s="85">
        <v>0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V23" s="83"/>
      <c r="W23" s="83"/>
      <c r="X23" s="83"/>
      <c r="Y23" s="12"/>
    </row>
    <row r="24" spans="1:25" ht="21" customHeight="1" x14ac:dyDescent="0.25">
      <c r="A24" s="6">
        <v>44947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V24" s="83"/>
      <c r="W24" s="83"/>
      <c r="X24" s="83"/>
      <c r="Y24" s="12"/>
    </row>
    <row r="25" spans="1:25" ht="21" customHeight="1" x14ac:dyDescent="0.25">
      <c r="A25" s="6">
        <v>44948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V25" s="83"/>
      <c r="W25" s="83"/>
      <c r="X25" s="83"/>
      <c r="Y25" s="12"/>
    </row>
    <row r="26" spans="1:25" ht="21" customHeight="1" x14ac:dyDescent="0.25">
      <c r="A26" s="6">
        <v>44949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V26" s="83"/>
      <c r="W26" s="83"/>
      <c r="X26" s="83"/>
      <c r="Y26" s="12"/>
    </row>
    <row r="27" spans="1:25" s="96" customFormat="1" ht="21" customHeight="1" x14ac:dyDescent="0.25">
      <c r="A27" s="6">
        <v>44950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V27" s="97"/>
      <c r="W27" s="97"/>
      <c r="X27" s="97"/>
      <c r="Y27" s="98"/>
    </row>
    <row r="28" spans="1:25" ht="21" customHeight="1" x14ac:dyDescent="0.25">
      <c r="A28" s="6">
        <v>44951</v>
      </c>
      <c r="B28" s="85">
        <v>0</v>
      </c>
      <c r="C28" s="85">
        <v>0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V28" s="83"/>
      <c r="W28" s="83"/>
      <c r="X28" s="83"/>
      <c r="Y28" s="12"/>
    </row>
    <row r="29" spans="1:25" ht="21" customHeight="1" x14ac:dyDescent="0.25">
      <c r="A29" s="6">
        <v>44952</v>
      </c>
      <c r="B29" s="85">
        <v>0</v>
      </c>
      <c r="C29" s="85">
        <v>0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V29" s="83"/>
      <c r="W29" s="83"/>
      <c r="X29" s="83"/>
      <c r="Y29" s="12"/>
    </row>
    <row r="30" spans="1:25" ht="21" customHeight="1" x14ac:dyDescent="0.25">
      <c r="A30" s="6">
        <v>44953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V30" s="83"/>
      <c r="W30" s="83"/>
      <c r="X30" s="83"/>
      <c r="Y30" s="12"/>
    </row>
    <row r="31" spans="1:25" ht="21" customHeight="1" x14ac:dyDescent="0.25">
      <c r="A31" s="6">
        <v>44954</v>
      </c>
      <c r="B31" s="85">
        <v>0</v>
      </c>
      <c r="C31" s="85">
        <v>0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>
        <v>0</v>
      </c>
      <c r="L31" s="85">
        <v>0</v>
      </c>
      <c r="M31" s="85">
        <v>0</v>
      </c>
      <c r="N31" s="85">
        <v>0</v>
      </c>
      <c r="O31" s="85">
        <v>0</v>
      </c>
      <c r="P31" s="85">
        <v>0</v>
      </c>
      <c r="Q31" s="85">
        <v>0</v>
      </c>
      <c r="R31" s="85">
        <v>0</v>
      </c>
      <c r="S31" s="85">
        <v>0</v>
      </c>
      <c r="T31" s="85">
        <v>0</v>
      </c>
      <c r="V31" s="83"/>
      <c r="W31" s="83"/>
      <c r="X31" s="83"/>
      <c r="Y31" s="12"/>
    </row>
    <row r="32" spans="1:25" ht="19.5" customHeight="1" x14ac:dyDescent="0.25">
      <c r="A32" s="6">
        <v>44955</v>
      </c>
      <c r="B32" s="85">
        <v>0</v>
      </c>
      <c r="C32" s="85">
        <v>0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V32" s="83"/>
      <c r="W32" s="83"/>
      <c r="X32" s="83"/>
      <c r="Y32" s="12"/>
    </row>
    <row r="33" spans="1:24" ht="19.5" customHeight="1" x14ac:dyDescent="0.25">
      <c r="A33" s="6">
        <v>44956</v>
      </c>
      <c r="B33" s="85">
        <v>0</v>
      </c>
      <c r="C33" s="85">
        <v>0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V33" s="83"/>
      <c r="W33" s="83"/>
      <c r="X33" s="83"/>
    </row>
    <row r="34" spans="1:24" ht="21" customHeight="1" x14ac:dyDescent="0.25">
      <c r="A34" s="6">
        <v>44957</v>
      </c>
      <c r="B34" s="85">
        <v>0</v>
      </c>
      <c r="C34" s="85">
        <v>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>
        <v>0</v>
      </c>
      <c r="L34" s="85">
        <v>0</v>
      </c>
      <c r="M34" s="85">
        <v>0</v>
      </c>
      <c r="N34" s="85">
        <v>0</v>
      </c>
      <c r="O34" s="85">
        <v>0</v>
      </c>
      <c r="P34" s="85">
        <v>0</v>
      </c>
      <c r="Q34" s="85">
        <v>0</v>
      </c>
      <c r="R34" s="85">
        <v>0</v>
      </c>
      <c r="S34" s="85">
        <v>0</v>
      </c>
      <c r="T34" s="85">
        <v>0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86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44927</v>
      </c>
      <c r="B3" s="65">
        <f>TOTAL!E2</f>
        <v>21239.999999999782</v>
      </c>
      <c r="C3" s="1">
        <f>Submeters!E2</f>
        <v>0</v>
      </c>
      <c r="D3" s="1">
        <f>Submeters!F2</f>
        <v>0</v>
      </c>
      <c r="E3" s="1">
        <f>Submeters!G2</f>
        <v>0</v>
      </c>
      <c r="F3" s="1">
        <f>(Submeters!I2+Submeters!J2+Submeters!K2)</f>
        <v>2120.0000000000614</v>
      </c>
      <c r="G3" s="1">
        <f>(Submeters!L2+Submeters!M2)</f>
        <v>0</v>
      </c>
      <c r="H3" s="1">
        <f>(Submeters!N2+Submeters!O2)</f>
        <v>1459.9999999998925</v>
      </c>
      <c r="I3" s="1">
        <f>(Submeters!P2+Submeters!Q2+Submeters!R2+Submeters!S2+Submeters!T2+Submeters!U2)</f>
        <v>2969.9999999997945</v>
      </c>
      <c r="J3" s="1">
        <f>(Submeters!V2+Submeters!W2)</f>
        <v>4056.2500000007567</v>
      </c>
      <c r="K3" s="1">
        <f>Submeters!X2</f>
        <v>269.99999999998181</v>
      </c>
      <c r="L3" s="24">
        <f t="shared" ref="L3:L32" si="0">B3-C3-D3-E3-F3-G3-H3-I3-J3-K3</f>
        <v>10363.749999999296</v>
      </c>
    </row>
    <row r="4" spans="1:12" x14ac:dyDescent="0.25">
      <c r="A4" s="10">
        <f>'Kwh Reading'!A5</f>
        <v>44928</v>
      </c>
      <c r="B4" s="65">
        <f>TOTAL!E3</f>
        <v>0</v>
      </c>
      <c r="C4" s="1">
        <f>Submeters!E3</f>
        <v>-686220</v>
      </c>
      <c r="D4" s="1">
        <f>Submeters!F3</f>
        <v>-3812500</v>
      </c>
      <c r="E4" s="1">
        <f>Submeters!G3</f>
        <v>-368230</v>
      </c>
      <c r="F4" s="1">
        <f>(Submeters!I3+Submeters!J3+Submeters!K3)</f>
        <v>-1460010</v>
      </c>
      <c r="G4" s="1">
        <f>(Submeters!L3+Submeters!M3)</f>
        <v>0</v>
      </c>
      <c r="H4" s="1">
        <f>(Submeters!N3+Submeters!O3)</f>
        <v>-2003380</v>
      </c>
      <c r="I4" s="1">
        <f>(Submeters!P3+Submeters!Q3+Submeters!R3+Submeters!S3+Submeters!T3+Submeters!U3)</f>
        <v>-5840060</v>
      </c>
      <c r="J4" s="1">
        <f>(Submeters!V3+Submeters!W3)</f>
        <v>-9780650.6400000006</v>
      </c>
      <c r="K4" s="1">
        <f>Submeters!X3</f>
        <v>-269150</v>
      </c>
      <c r="L4" s="24">
        <f t="shared" si="0"/>
        <v>24220200.640000001</v>
      </c>
    </row>
    <row r="5" spans="1:12" x14ac:dyDescent="0.25">
      <c r="A5" s="10">
        <f>'Kwh Reading'!A6</f>
        <v>44929</v>
      </c>
      <c r="B5" s="65">
        <f>TOTAL!E4</f>
        <v>0</v>
      </c>
      <c r="C5" s="1">
        <f>Submeters!E4</f>
        <v>0</v>
      </c>
      <c r="D5" s="1">
        <f>Submeters!F4</f>
        <v>0</v>
      </c>
      <c r="E5" s="1">
        <f>Submeters!G4</f>
        <v>0</v>
      </c>
      <c r="F5" s="1">
        <f>(Submeters!I4+Submeters!J4+Submeters!K4)</f>
        <v>0</v>
      </c>
      <c r="G5" s="1">
        <f>(Submeters!L4+Submeters!M4)</f>
        <v>0</v>
      </c>
      <c r="H5" s="1">
        <f>(Submeters!N4+Submeters!O4)</f>
        <v>0</v>
      </c>
      <c r="I5" s="1">
        <f>(Submeters!P4+Submeters!Q4+Submeters!R4+Submeters!S4+Submeters!T4+Submeters!U4)</f>
        <v>0</v>
      </c>
      <c r="J5" s="1">
        <f>(Submeters!V4+Submeters!W4)</f>
        <v>0</v>
      </c>
      <c r="K5" s="1">
        <f>Submeters!X4</f>
        <v>0</v>
      </c>
      <c r="L5" s="24">
        <f t="shared" si="0"/>
        <v>0</v>
      </c>
    </row>
    <row r="6" spans="1:12" x14ac:dyDescent="0.25">
      <c r="A6" s="10">
        <f>'Kwh Reading'!A7</f>
        <v>44930</v>
      </c>
      <c r="B6" s="65">
        <f>TOTAL!E5</f>
        <v>0</v>
      </c>
      <c r="C6" s="1">
        <f>Submeters!E5</f>
        <v>0</v>
      </c>
      <c r="D6" s="1">
        <f>Submeters!F5</f>
        <v>0</v>
      </c>
      <c r="E6" s="1">
        <f>Submeters!G5</f>
        <v>0</v>
      </c>
      <c r="F6" s="1">
        <f>(Submeters!I5+Submeters!J5+Submeters!K5)</f>
        <v>0</v>
      </c>
      <c r="G6" s="1">
        <f>(Submeters!L5+Submeters!M5)</f>
        <v>0</v>
      </c>
      <c r="H6" s="1">
        <f>(Submeters!N5+Submeters!O5)</f>
        <v>0</v>
      </c>
      <c r="I6" s="1">
        <f>(Submeters!P5+Submeters!Q5+Submeters!R5+Submeters!S5+Submeters!T5+Submeters!U5)</f>
        <v>0</v>
      </c>
      <c r="J6" s="1">
        <f>(Submeters!V5+Submeters!W5)</f>
        <v>0</v>
      </c>
      <c r="K6" s="1">
        <f>Submeters!X5</f>
        <v>0</v>
      </c>
      <c r="L6" s="24">
        <f t="shared" si="0"/>
        <v>0</v>
      </c>
    </row>
    <row r="7" spans="1:12" x14ac:dyDescent="0.25">
      <c r="A7" s="10">
        <f>'Kwh Reading'!A8</f>
        <v>44931</v>
      </c>
      <c r="B7" s="65">
        <f>TOTAL!E6</f>
        <v>0</v>
      </c>
      <c r="C7" s="1">
        <f>Submeters!E6</f>
        <v>0</v>
      </c>
      <c r="D7" s="1">
        <f>Submeters!F6</f>
        <v>0</v>
      </c>
      <c r="E7" s="1">
        <f>Submeters!G6</f>
        <v>0</v>
      </c>
      <c r="F7" s="1">
        <f>(Submeters!I6+Submeters!J6+Submeters!K6)</f>
        <v>0</v>
      </c>
      <c r="G7" s="1">
        <f>(Submeters!L6+Submeters!M6)</f>
        <v>0</v>
      </c>
      <c r="H7" s="1">
        <f>(Submeters!N6+Submeters!O6)</f>
        <v>0</v>
      </c>
      <c r="I7" s="1">
        <f>(Submeters!P6+Submeters!Q6+Submeters!R6+Submeters!S6+Submeters!T6+Submeters!U6)</f>
        <v>0</v>
      </c>
      <c r="J7" s="1">
        <f>(Submeters!V6+Submeters!W6)</f>
        <v>0</v>
      </c>
      <c r="K7" s="1">
        <f>Submeters!X6</f>
        <v>0</v>
      </c>
      <c r="L7" s="24">
        <f t="shared" si="0"/>
        <v>0</v>
      </c>
    </row>
    <row r="8" spans="1:12" x14ac:dyDescent="0.25">
      <c r="A8" s="10">
        <f>'Kwh Reading'!A9</f>
        <v>44932</v>
      </c>
      <c r="B8" s="65">
        <f>TOTAL!E7</f>
        <v>0</v>
      </c>
      <c r="C8" s="1">
        <f>Submeters!E7</f>
        <v>0</v>
      </c>
      <c r="D8" s="1">
        <f>Submeters!F7</f>
        <v>0</v>
      </c>
      <c r="E8" s="1">
        <f>Submeters!G7</f>
        <v>0</v>
      </c>
      <c r="F8" s="1">
        <f>(Submeters!I7+Submeters!J7+Submeters!K7)</f>
        <v>0</v>
      </c>
      <c r="G8" s="1">
        <f>(Submeters!L7+Submeters!M7)</f>
        <v>0</v>
      </c>
      <c r="H8" s="1">
        <f>(Submeters!N7+Submeters!O7)</f>
        <v>0</v>
      </c>
      <c r="I8" s="1">
        <f>(Submeters!P7+Submeters!Q7+Submeters!R7+Submeters!S7+Submeters!T7+Submeters!U7)</f>
        <v>0</v>
      </c>
      <c r="J8" s="1">
        <f>(Submeters!V7+Submeters!W7)</f>
        <v>0</v>
      </c>
      <c r="K8" s="1">
        <f>Submeters!X7</f>
        <v>0</v>
      </c>
      <c r="L8" s="24">
        <f t="shared" si="0"/>
        <v>0</v>
      </c>
    </row>
    <row r="9" spans="1:12" x14ac:dyDescent="0.25">
      <c r="A9" s="10">
        <f>'Kwh Reading'!A10</f>
        <v>44933</v>
      </c>
      <c r="B9" s="65">
        <f>TOTAL!E8</f>
        <v>0</v>
      </c>
      <c r="C9" s="1">
        <f>Submeters!E8</f>
        <v>0</v>
      </c>
      <c r="D9" s="1">
        <f>Submeters!F8</f>
        <v>0</v>
      </c>
      <c r="E9" s="1">
        <f>Submeters!G8</f>
        <v>0</v>
      </c>
      <c r="F9" s="1">
        <f>(Submeters!I8+Submeters!J8+Submeters!K8)</f>
        <v>0</v>
      </c>
      <c r="G9" s="1">
        <f>(Submeters!L8+Submeters!M8)</f>
        <v>0</v>
      </c>
      <c r="H9" s="1">
        <f>(Submeters!N8+Submeters!O8)</f>
        <v>0</v>
      </c>
      <c r="I9" s="1">
        <f>(Submeters!P8+Submeters!Q8+Submeters!R8+Submeters!S8+Submeters!T8+Submeters!U8)</f>
        <v>0</v>
      </c>
      <c r="J9" s="1">
        <f>(Submeters!V8+Submeters!W8)</f>
        <v>0</v>
      </c>
      <c r="K9" s="1">
        <f>Submeters!X8</f>
        <v>0</v>
      </c>
      <c r="L9" s="24">
        <f t="shared" si="0"/>
        <v>0</v>
      </c>
    </row>
    <row r="10" spans="1:12" x14ac:dyDescent="0.25">
      <c r="A10" s="10">
        <f>'Kwh Reading'!A11</f>
        <v>44934</v>
      </c>
      <c r="B10" s="65">
        <f>TOTAL!E9</f>
        <v>0</v>
      </c>
      <c r="C10" s="1">
        <f>Submeters!E9</f>
        <v>0</v>
      </c>
      <c r="D10" s="1">
        <f>Submeters!F9</f>
        <v>0</v>
      </c>
      <c r="E10" s="1">
        <f>Submeters!G9</f>
        <v>0</v>
      </c>
      <c r="F10" s="1">
        <f>(Submeters!I9+Submeters!J9+Submeters!K9)</f>
        <v>0</v>
      </c>
      <c r="G10" s="1">
        <f>(Submeters!L9+Submeters!M9)</f>
        <v>0</v>
      </c>
      <c r="H10" s="1">
        <f>(Submeters!N9+Submeters!O9)</f>
        <v>0</v>
      </c>
      <c r="I10" s="1">
        <f>(Submeters!P9+Submeters!Q9+Submeters!R9+Submeters!S9+Submeters!T9+Submeters!U9)</f>
        <v>0</v>
      </c>
      <c r="J10" s="1">
        <f>(Submeters!V9+Submeters!W9)</f>
        <v>0</v>
      </c>
      <c r="K10" s="1">
        <f>Submeters!X9</f>
        <v>0</v>
      </c>
      <c r="L10" s="24">
        <f t="shared" si="0"/>
        <v>0</v>
      </c>
    </row>
    <row r="11" spans="1:12" x14ac:dyDescent="0.25">
      <c r="A11" s="10">
        <f>'Kwh Reading'!A12</f>
        <v>44935</v>
      </c>
      <c r="B11" s="65">
        <f>TOTAL!E10</f>
        <v>0</v>
      </c>
      <c r="C11" s="1">
        <f>Submeters!E10</f>
        <v>0</v>
      </c>
      <c r="D11" s="1">
        <f>Submeters!F10</f>
        <v>0</v>
      </c>
      <c r="E11" s="1">
        <f>Submeters!G10</f>
        <v>0</v>
      </c>
      <c r="F11" s="1">
        <f>(Submeters!I10+Submeters!J10+Submeters!K10)</f>
        <v>0</v>
      </c>
      <c r="G11" s="1">
        <f>(Submeters!L10+Submeters!M10)</f>
        <v>0</v>
      </c>
      <c r="H11" s="1">
        <f>(Submeters!N10+Submeters!O10)</f>
        <v>0</v>
      </c>
      <c r="I11" s="1">
        <f>(Submeters!P10+Submeters!Q10+Submeters!R10+Submeters!S10+Submeters!T10+Submeters!U10)</f>
        <v>0</v>
      </c>
      <c r="J11" s="1">
        <f>(Submeters!V10+Submeters!W10)</f>
        <v>0</v>
      </c>
      <c r="K11" s="1">
        <f>Submeters!X10</f>
        <v>0</v>
      </c>
      <c r="L11" s="24">
        <f t="shared" si="0"/>
        <v>0</v>
      </c>
    </row>
    <row r="12" spans="1:12" x14ac:dyDescent="0.25">
      <c r="A12" s="10">
        <f>'Kwh Reading'!A13</f>
        <v>44936</v>
      </c>
      <c r="B12" s="65">
        <f>TOTAL!E11</f>
        <v>0</v>
      </c>
      <c r="C12" s="1">
        <f>Submeters!E11</f>
        <v>0</v>
      </c>
      <c r="D12" s="1">
        <f>Submeters!F11</f>
        <v>0</v>
      </c>
      <c r="E12" s="1">
        <f>Submeters!G11</f>
        <v>0</v>
      </c>
      <c r="F12" s="1">
        <f>(Submeters!I11+Submeters!J11+Submeters!K11)</f>
        <v>0</v>
      </c>
      <c r="G12" s="1">
        <f>(Submeters!L11+Submeters!M11)</f>
        <v>0</v>
      </c>
      <c r="H12" s="1">
        <f>(Submeters!N11+Submeters!O11)</f>
        <v>0</v>
      </c>
      <c r="I12" s="1">
        <f>(Submeters!P11+Submeters!Q11+Submeters!R11+Submeters!S11+Submeters!T11+Submeters!U11)</f>
        <v>0</v>
      </c>
      <c r="J12" s="1">
        <f>(Submeters!V11+Submeters!W11)</f>
        <v>0</v>
      </c>
      <c r="K12" s="1">
        <f>Submeters!X11</f>
        <v>0</v>
      </c>
      <c r="L12" s="24">
        <f t="shared" si="0"/>
        <v>0</v>
      </c>
    </row>
    <row r="13" spans="1:12" x14ac:dyDescent="0.25">
      <c r="A13" s="10">
        <f>'Kwh Reading'!A14</f>
        <v>44937</v>
      </c>
      <c r="B13" s="65">
        <f>TOTAL!E12</f>
        <v>0</v>
      </c>
      <c r="C13" s="1">
        <f>Submeters!E12</f>
        <v>0</v>
      </c>
      <c r="D13" s="1">
        <f>Submeters!F12</f>
        <v>0</v>
      </c>
      <c r="E13" s="1">
        <f>Submeters!G12</f>
        <v>0</v>
      </c>
      <c r="F13" s="1">
        <f>(Submeters!I12+Submeters!J12+Submeters!K12)</f>
        <v>0</v>
      </c>
      <c r="G13" s="1">
        <f>(Submeters!L12+Submeters!M12)</f>
        <v>0</v>
      </c>
      <c r="H13" s="1">
        <f>(Submeters!N12+Submeters!O12)</f>
        <v>0</v>
      </c>
      <c r="I13" s="1">
        <f>(Submeters!P12+Submeters!Q12+Submeters!R12+Submeters!S12+Submeters!T12+Submeters!U12)</f>
        <v>0</v>
      </c>
      <c r="J13" s="1">
        <f>(Submeters!V12+Submeters!W12)</f>
        <v>0</v>
      </c>
      <c r="K13" s="1">
        <f>Submeters!X12</f>
        <v>0</v>
      </c>
      <c r="L13" s="24">
        <f t="shared" si="0"/>
        <v>0</v>
      </c>
    </row>
    <row r="14" spans="1:12" x14ac:dyDescent="0.25">
      <c r="A14" s="10">
        <f>'Kwh Reading'!A15</f>
        <v>44938</v>
      </c>
      <c r="B14" s="65">
        <f>TOTAL!E13</f>
        <v>0</v>
      </c>
      <c r="C14" s="1">
        <f>Submeters!E13</f>
        <v>0</v>
      </c>
      <c r="D14" s="1">
        <f>Submeters!F13</f>
        <v>0</v>
      </c>
      <c r="E14" s="1">
        <f>Submeters!G13</f>
        <v>0</v>
      </c>
      <c r="F14" s="1">
        <f>(Submeters!I13+Submeters!J13+Submeters!K13)</f>
        <v>0</v>
      </c>
      <c r="G14" s="1">
        <f>(Submeters!L13+Submeters!M13)</f>
        <v>0</v>
      </c>
      <c r="H14" s="1">
        <f>(Submeters!N13+Submeters!O13)</f>
        <v>0</v>
      </c>
      <c r="I14" s="1">
        <f>(Submeters!P13+Submeters!Q13+Submeters!R13+Submeters!S13+Submeters!T13+Submeters!U13)</f>
        <v>0</v>
      </c>
      <c r="J14" s="1">
        <f>(Submeters!V13+Submeters!W13)</f>
        <v>0</v>
      </c>
      <c r="K14" s="1">
        <f>Submeters!X13</f>
        <v>0</v>
      </c>
      <c r="L14" s="24">
        <f t="shared" si="0"/>
        <v>0</v>
      </c>
    </row>
    <row r="15" spans="1:12" x14ac:dyDescent="0.25">
      <c r="A15" s="10">
        <f>'Kwh Reading'!A16</f>
        <v>44939</v>
      </c>
      <c r="B15" s="65">
        <f>TOTAL!E14</f>
        <v>0</v>
      </c>
      <c r="C15" s="1">
        <f>Submeters!E14</f>
        <v>0</v>
      </c>
      <c r="D15" s="1">
        <f>Submeters!F14</f>
        <v>0</v>
      </c>
      <c r="E15" s="1">
        <f>Submeters!G14</f>
        <v>0</v>
      </c>
      <c r="F15" s="1">
        <f>(Submeters!I14+Submeters!J14+Submeters!K14)</f>
        <v>0</v>
      </c>
      <c r="G15" s="1">
        <f>(Submeters!L14+Submeters!M14)</f>
        <v>0</v>
      </c>
      <c r="H15" s="1">
        <f>(Submeters!N14+Submeters!O14)</f>
        <v>0</v>
      </c>
      <c r="I15" s="1">
        <f>(Submeters!P14+Submeters!Q14+Submeters!R14+Submeters!S14+Submeters!T14+Submeters!U14)</f>
        <v>0</v>
      </c>
      <c r="J15" s="1">
        <f>(Submeters!V14+Submeters!W14)</f>
        <v>0</v>
      </c>
      <c r="K15" s="1">
        <f>Submeters!X14</f>
        <v>0</v>
      </c>
      <c r="L15" s="24">
        <f t="shared" si="0"/>
        <v>0</v>
      </c>
    </row>
    <row r="16" spans="1:12" x14ac:dyDescent="0.25">
      <c r="A16" s="10">
        <f>'Kwh Reading'!A17</f>
        <v>44940</v>
      </c>
      <c r="B16" s="65">
        <f>TOTAL!E15</f>
        <v>0</v>
      </c>
      <c r="C16" s="1">
        <f>Submeters!E15</f>
        <v>0</v>
      </c>
      <c r="D16" s="1">
        <f>Submeters!F15</f>
        <v>0</v>
      </c>
      <c r="E16" s="1">
        <f>Submeters!G15</f>
        <v>0</v>
      </c>
      <c r="F16" s="1">
        <f>(Submeters!I15+Submeters!J15+Submeters!K15)</f>
        <v>0</v>
      </c>
      <c r="G16" s="1">
        <f>(Submeters!L15+Submeters!M15)</f>
        <v>0</v>
      </c>
      <c r="H16" s="1">
        <f>(Submeters!N15+Submeters!O15)</f>
        <v>0</v>
      </c>
      <c r="I16" s="1">
        <f>(Submeters!P15+Submeters!Q15+Submeters!R15+Submeters!S15+Submeters!T15+Submeters!U15)</f>
        <v>0</v>
      </c>
      <c r="J16" s="1">
        <f>(Submeters!V15+Submeters!W15)</f>
        <v>0</v>
      </c>
      <c r="K16" s="1">
        <f>Submeters!X15</f>
        <v>0</v>
      </c>
      <c r="L16" s="24">
        <f t="shared" si="0"/>
        <v>0</v>
      </c>
    </row>
    <row r="17" spans="1:12" x14ac:dyDescent="0.25">
      <c r="A17" s="10">
        <f>'Kwh Reading'!A18</f>
        <v>44941</v>
      </c>
      <c r="B17" s="65">
        <f>TOTAL!E16</f>
        <v>0</v>
      </c>
      <c r="C17" s="1">
        <f>Submeters!E16</f>
        <v>0</v>
      </c>
      <c r="D17" s="1">
        <f>Submeters!F16</f>
        <v>0</v>
      </c>
      <c r="E17" s="1">
        <f>Submeters!G16</f>
        <v>0</v>
      </c>
      <c r="F17" s="1">
        <f>(Submeters!I16+Submeters!J16+Submeters!K16)</f>
        <v>0</v>
      </c>
      <c r="G17" s="1">
        <f>(Submeters!L16+Submeters!M16)</f>
        <v>0</v>
      </c>
      <c r="H17" s="1">
        <f>(Submeters!N16+Submeters!O16)</f>
        <v>0</v>
      </c>
      <c r="I17" s="1">
        <f>(Submeters!P16+Submeters!Q16+Submeters!R16+Submeters!S16+Submeters!T16+Submeters!U16)</f>
        <v>0</v>
      </c>
      <c r="J17" s="1">
        <f>(Submeters!V16+Submeters!W16)</f>
        <v>0</v>
      </c>
      <c r="K17" s="1">
        <f>Submeters!X16</f>
        <v>0</v>
      </c>
      <c r="L17" s="24">
        <f t="shared" si="0"/>
        <v>0</v>
      </c>
    </row>
    <row r="18" spans="1:12" x14ac:dyDescent="0.25">
      <c r="A18" s="10">
        <f>'Kwh Reading'!A19</f>
        <v>44942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(Submeters!L17+Submeters!M17)</f>
        <v>0</v>
      </c>
      <c r="H18" s="1">
        <f>(Submeters!N17+Submeters!O17)</f>
        <v>0</v>
      </c>
      <c r="I18" s="1">
        <f>(Submeters!P17+Submeters!Q17+Submeters!R17+Submeters!S17+Submeters!T17+Submeters!U17)</f>
        <v>0</v>
      </c>
      <c r="J18" s="1">
        <f>(Submeters!V17+Submeters!W17)</f>
        <v>0</v>
      </c>
      <c r="K18" s="1">
        <f>Submeters!X17</f>
        <v>0</v>
      </c>
      <c r="L18" s="24">
        <f t="shared" si="0"/>
        <v>0</v>
      </c>
    </row>
    <row r="19" spans="1:12" x14ac:dyDescent="0.25">
      <c r="A19" s="10">
        <f>'Kwh Reading'!A20</f>
        <v>44943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44944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44945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44946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44947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44948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44949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44950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44951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44952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44953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44954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44955</v>
      </c>
      <c r="B31" s="65">
        <f>TOTAL!E30</f>
        <v>0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>
        <f t="shared" si="0"/>
        <v>0</v>
      </c>
    </row>
    <row r="32" spans="1:12" x14ac:dyDescent="0.25">
      <c r="A32" s="10">
        <f>'Kwh Reading'!A33</f>
        <v>44956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>
        <f>SUM(B3:B32)</f>
        <v>21239.999999999782</v>
      </c>
      <c r="C33" s="60">
        <f>SUM(C3:C32)</f>
        <v>-686220</v>
      </c>
      <c r="D33" s="60">
        <f t="shared" ref="D33:L33" si="1">SUM(D3:D32)</f>
        <v>-3812500</v>
      </c>
      <c r="E33" s="60">
        <f t="shared" si="1"/>
        <v>-368230</v>
      </c>
      <c r="F33" s="60">
        <f t="shared" si="1"/>
        <v>-1457890</v>
      </c>
      <c r="G33" s="60">
        <f t="shared" si="1"/>
        <v>0</v>
      </c>
      <c r="H33" s="60">
        <f t="shared" si="1"/>
        <v>-2001920</v>
      </c>
      <c r="I33" s="60">
        <f t="shared" si="1"/>
        <v>-5837090</v>
      </c>
      <c r="J33" s="60">
        <f t="shared" si="1"/>
        <v>-9776594.3900000006</v>
      </c>
      <c r="K33" s="60">
        <f t="shared" si="1"/>
        <v>-268880</v>
      </c>
      <c r="L33" s="60">
        <f t="shared" si="1"/>
        <v>24230564.390000001</v>
      </c>
      <c r="M33" s="66">
        <f>C33+D33+E33+F33+G33+H33+I33+J33+K33+L33</f>
        <v>21240</v>
      </c>
    </row>
    <row r="35" spans="1:13" ht="15.75" x14ac:dyDescent="0.25">
      <c r="A35" s="67" t="s">
        <v>52</v>
      </c>
      <c r="B35" s="91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44927</v>
      </c>
      <c r="B3" s="92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44928</v>
      </c>
      <c r="B4" s="92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44929</v>
      </c>
      <c r="B5" s="92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44930</v>
      </c>
      <c r="B6" s="92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44931</v>
      </c>
      <c r="B7" s="92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44932</v>
      </c>
      <c r="B8" s="92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44933</v>
      </c>
      <c r="B9" s="92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44934</v>
      </c>
      <c r="B10" s="92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44935</v>
      </c>
      <c r="B11" s="92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44936</v>
      </c>
      <c r="B12" s="92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44937</v>
      </c>
      <c r="B13" s="92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44938</v>
      </c>
      <c r="B14" s="92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44939</v>
      </c>
      <c r="B15" s="92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44940</v>
      </c>
      <c r="B16" s="92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44941</v>
      </c>
      <c r="B17" s="92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44942</v>
      </c>
      <c r="B18" s="92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44943</v>
      </c>
      <c r="B19" s="92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44944</v>
      </c>
      <c r="B20" s="92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44945</v>
      </c>
      <c r="B21" s="92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44946</v>
      </c>
      <c r="B22" s="92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44947</v>
      </c>
      <c r="B23" s="92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44948</v>
      </c>
      <c r="B24" s="92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44949</v>
      </c>
      <c r="B25" s="92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44950</v>
      </c>
      <c r="B26" s="92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44951</v>
      </c>
      <c r="B27" s="92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44952</v>
      </c>
      <c r="B28" s="92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44953</v>
      </c>
      <c r="B29" s="92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44954</v>
      </c>
      <c r="B30" s="92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44955</v>
      </c>
      <c r="B31" s="92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44956</v>
      </c>
      <c r="B32" s="92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5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5" sqref="Q5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89" t="s">
        <v>82</v>
      </c>
      <c r="E2" s="89" t="s">
        <v>83</v>
      </c>
      <c r="F2" s="89" t="s">
        <v>84</v>
      </c>
      <c r="G2" s="89" t="s">
        <v>85</v>
      </c>
      <c r="H2" s="89" t="s">
        <v>86</v>
      </c>
      <c r="I2" s="89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44927</v>
      </c>
      <c r="B3" s="25">
        <v>26481</v>
      </c>
      <c r="C3" s="25">
        <v>41073</v>
      </c>
      <c r="D3" s="25">
        <v>301189</v>
      </c>
      <c r="E3" s="25">
        <v>286364</v>
      </c>
      <c r="F3" s="25">
        <v>67417</v>
      </c>
      <c r="G3" s="25">
        <v>124686</v>
      </c>
      <c r="H3" s="45">
        <v>614</v>
      </c>
      <c r="I3" s="109">
        <v>80326</v>
      </c>
      <c r="J3" s="25">
        <v>24068</v>
      </c>
      <c r="K3" s="25">
        <v>19597</v>
      </c>
      <c r="L3" s="25">
        <v>19597</v>
      </c>
      <c r="M3" s="25">
        <v>28749</v>
      </c>
      <c r="N3" s="25">
        <v>9090</v>
      </c>
      <c r="O3" s="25">
        <v>2479</v>
      </c>
      <c r="P3" s="25">
        <v>33017</v>
      </c>
      <c r="Q3" s="25">
        <v>2365</v>
      </c>
      <c r="R3" s="25">
        <v>1004</v>
      </c>
    </row>
    <row r="4" spans="1:21" x14ac:dyDescent="0.25">
      <c r="A4" s="44">
        <v>44928</v>
      </c>
      <c r="B4" s="25">
        <v>26661</v>
      </c>
      <c r="C4" s="25">
        <v>41423</v>
      </c>
      <c r="D4" s="25">
        <v>301366</v>
      </c>
      <c r="E4" s="25">
        <v>286536</v>
      </c>
      <c r="F4" s="25">
        <v>67418</v>
      </c>
      <c r="G4" s="25">
        <v>124732</v>
      </c>
      <c r="H4" s="45">
        <v>657</v>
      </c>
      <c r="I4" s="109">
        <v>80377</v>
      </c>
      <c r="J4" s="25">
        <v>24076</v>
      </c>
      <c r="K4" s="25">
        <v>19600</v>
      </c>
      <c r="L4" s="25">
        <v>19600</v>
      </c>
      <c r="M4" s="25">
        <v>28754</v>
      </c>
      <c r="N4" s="25">
        <v>9093</v>
      </c>
      <c r="O4" s="25">
        <v>2482</v>
      </c>
      <c r="P4" s="25">
        <v>33024</v>
      </c>
      <c r="Q4" s="25">
        <v>2368</v>
      </c>
      <c r="R4" s="25">
        <v>1011</v>
      </c>
    </row>
    <row r="5" spans="1:21" x14ac:dyDescent="0.25">
      <c r="A5" s="44">
        <v>44929</v>
      </c>
      <c r="B5" s="25">
        <v>0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45">
        <v>0</v>
      </c>
      <c r="I5" s="109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</row>
    <row r="6" spans="1:21" x14ac:dyDescent="0.25">
      <c r="A6" s="44">
        <v>44930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45">
        <v>0</v>
      </c>
      <c r="I6" s="109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</row>
    <row r="7" spans="1:21" x14ac:dyDescent="0.25">
      <c r="A7" s="44">
        <v>44931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45">
        <v>0</v>
      </c>
      <c r="I7" s="109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</row>
    <row r="8" spans="1:21" x14ac:dyDescent="0.25">
      <c r="A8" s="44">
        <v>44932</v>
      </c>
      <c r="B8" s="25">
        <v>0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45">
        <v>0</v>
      </c>
      <c r="I8" s="109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</row>
    <row r="9" spans="1:21" x14ac:dyDescent="0.25">
      <c r="A9" s="44">
        <v>44933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45">
        <v>0</v>
      </c>
      <c r="I9" s="109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</row>
    <row r="10" spans="1:21" x14ac:dyDescent="0.25">
      <c r="A10" s="44">
        <v>44934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45">
        <v>0</v>
      </c>
      <c r="I10" s="109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</row>
    <row r="11" spans="1:21" x14ac:dyDescent="0.25">
      <c r="A11" s="44">
        <v>44935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45">
        <v>0</v>
      </c>
      <c r="I11" s="109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</row>
    <row r="12" spans="1:21" x14ac:dyDescent="0.25">
      <c r="A12" s="44">
        <v>44936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45">
        <v>0</v>
      </c>
      <c r="I12" s="109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</row>
    <row r="13" spans="1:21" x14ac:dyDescent="0.25">
      <c r="A13" s="44">
        <v>44937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45">
        <v>0</v>
      </c>
      <c r="I13" s="109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</row>
    <row r="14" spans="1:21" x14ac:dyDescent="0.25">
      <c r="A14" s="44">
        <v>44938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45">
        <v>0</v>
      </c>
      <c r="I14" s="109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</row>
    <row r="15" spans="1:21" x14ac:dyDescent="0.25">
      <c r="A15" s="44">
        <v>44939</v>
      </c>
      <c r="B15" s="25">
        <v>0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45">
        <v>0</v>
      </c>
      <c r="I15" s="109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T15" s="82"/>
      <c r="U15" s="82"/>
    </row>
    <row r="16" spans="1:21" x14ac:dyDescent="0.25">
      <c r="A16" s="44">
        <v>44940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45">
        <v>0</v>
      </c>
      <c r="I16" s="109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</row>
    <row r="17" spans="1:21" x14ac:dyDescent="0.25">
      <c r="A17" s="44">
        <v>44941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45">
        <v>0</v>
      </c>
      <c r="I17" s="109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</row>
    <row r="18" spans="1:21" x14ac:dyDescent="0.25">
      <c r="A18" s="44">
        <v>44942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45">
        <v>0</v>
      </c>
      <c r="I18" s="109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U18" s="82"/>
    </row>
    <row r="19" spans="1:21" x14ac:dyDescent="0.25">
      <c r="A19" s="44">
        <v>44943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45">
        <v>0</v>
      </c>
      <c r="I19" s="109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</row>
    <row r="20" spans="1:21" x14ac:dyDescent="0.25">
      <c r="A20" s="44">
        <v>44944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45">
        <v>0</v>
      </c>
      <c r="I20" s="109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</row>
    <row r="21" spans="1:21" x14ac:dyDescent="0.25">
      <c r="A21" s="44">
        <v>44945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45">
        <v>0</v>
      </c>
      <c r="I21" s="109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</row>
    <row r="22" spans="1:21" x14ac:dyDescent="0.25">
      <c r="A22" s="44">
        <v>44946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45">
        <v>0</v>
      </c>
      <c r="I22" s="109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</row>
    <row r="23" spans="1:21" x14ac:dyDescent="0.25">
      <c r="A23" s="44">
        <v>44947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45">
        <v>0</v>
      </c>
      <c r="I23" s="109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8" t="s">
        <v>114</v>
      </c>
    </row>
    <row r="24" spans="1:21" x14ac:dyDescent="0.25">
      <c r="A24" s="44">
        <v>44948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45">
        <v>0</v>
      </c>
      <c r="I24" s="109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8" t="s">
        <v>116</v>
      </c>
    </row>
    <row r="25" spans="1:21" x14ac:dyDescent="0.25">
      <c r="A25" s="44">
        <v>44949</v>
      </c>
      <c r="B25" s="25">
        <v>0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45">
        <v>0</v>
      </c>
      <c r="I25" s="109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</row>
    <row r="26" spans="1:21" x14ac:dyDescent="0.25">
      <c r="A26" s="44">
        <v>44950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45">
        <v>0</v>
      </c>
      <c r="I26" s="109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</row>
    <row r="27" spans="1:21" x14ac:dyDescent="0.25">
      <c r="A27" s="44">
        <v>44951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45">
        <v>0</v>
      </c>
      <c r="I27" s="109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</row>
    <row r="28" spans="1:21" x14ac:dyDescent="0.25">
      <c r="A28" s="44">
        <v>44952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45">
        <v>0</v>
      </c>
      <c r="I28" s="109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</row>
    <row r="29" spans="1:21" x14ac:dyDescent="0.25">
      <c r="A29" s="44">
        <v>44953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45">
        <v>0</v>
      </c>
      <c r="I29" s="109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</row>
    <row r="30" spans="1:21" x14ac:dyDescent="0.25">
      <c r="A30" s="44">
        <v>44954</v>
      </c>
      <c r="B30" s="25">
        <v>0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45">
        <v>0</v>
      </c>
      <c r="I30" s="109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</row>
    <row r="31" spans="1:21" x14ac:dyDescent="0.25">
      <c r="A31" s="44">
        <v>44955</v>
      </c>
      <c r="B31" s="25">
        <v>0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45">
        <v>0</v>
      </c>
      <c r="I31" s="109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</row>
    <row r="32" spans="1:21" x14ac:dyDescent="0.25">
      <c r="A32" s="44">
        <v>44956</v>
      </c>
      <c r="B32" s="25">
        <v>0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45">
        <v>0</v>
      </c>
      <c r="I32" s="109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</row>
    <row r="33" spans="1:18" x14ac:dyDescent="0.25">
      <c r="A33" s="44">
        <v>44957</v>
      </c>
      <c r="B33" s="25">
        <v>0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45">
        <v>0</v>
      </c>
      <c r="I33" s="109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</row>
    <row r="35" spans="1:18" x14ac:dyDescent="0.25">
      <c r="B35" s="82"/>
      <c r="C35" s="8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B1" zoomScale="90" zoomScaleNormal="90" workbookViewId="0">
      <pane ySplit="3" topLeftCell="A4" activePane="bottomLeft" state="frozen"/>
      <selection activeCell="C25" sqref="C25"/>
      <selection pane="bottomLeft" activeCell="G4" sqref="G4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46" t="s">
        <v>30</v>
      </c>
      <c r="B2" s="147" t="s">
        <v>97</v>
      </c>
      <c r="C2" s="147" t="s">
        <v>98</v>
      </c>
      <c r="D2" s="147"/>
      <c r="E2" s="148" t="s">
        <v>86</v>
      </c>
      <c r="F2" s="149"/>
      <c r="G2" s="150" t="s">
        <v>101</v>
      </c>
      <c r="H2" s="149"/>
      <c r="I2" s="150" t="s">
        <v>99</v>
      </c>
      <c r="J2" s="149"/>
      <c r="K2" s="150" t="s">
        <v>100</v>
      </c>
      <c r="L2" s="149"/>
      <c r="M2" s="150" t="s">
        <v>96</v>
      </c>
      <c r="N2" s="149"/>
      <c r="O2" s="150" t="s">
        <v>95</v>
      </c>
      <c r="P2" s="149"/>
      <c r="Q2" s="150" t="s">
        <v>102</v>
      </c>
      <c r="R2" s="149"/>
      <c r="S2" s="150" t="s">
        <v>103</v>
      </c>
      <c r="T2" s="149"/>
      <c r="U2" s="150" t="s">
        <v>104</v>
      </c>
      <c r="V2" s="149"/>
      <c r="W2" s="150" t="s">
        <v>88</v>
      </c>
      <c r="X2" s="151"/>
      <c r="Y2" s="152" t="s">
        <v>41</v>
      </c>
      <c r="Z2" s="152"/>
    </row>
    <row r="3" spans="1:26" ht="30" x14ac:dyDescent="0.35">
      <c r="A3" s="146"/>
      <c r="B3" s="147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44927</v>
      </c>
      <c r="B4" s="52">
        <f>TOTAL!I2</f>
        <v>498</v>
      </c>
      <c r="C4" s="53">
        <f>('Water Reading'!B4-'Water Reading'!B3)+('Water Reading'!C4-'Water Reading'!C3)</f>
        <v>530</v>
      </c>
      <c r="D4" s="54">
        <f>C4/B4</f>
        <v>1.0642570281124497</v>
      </c>
      <c r="E4" s="68">
        <f>'Water Reading'!H4-'Water Reading'!H3</f>
        <v>43</v>
      </c>
      <c r="F4" s="69">
        <f>E4/C4</f>
        <v>8.1132075471698109E-2</v>
      </c>
      <c r="G4" s="73">
        <f>('Water Reading'!D4-'Water Reading'!D3)-('Water Reading'!R4-'Water Reading'!R3)-('Water Reading'!Q4-'Water Reading'!Q3)</f>
        <v>167</v>
      </c>
      <c r="H4" s="69">
        <f>G4/C4</f>
        <v>0.31509433962264149</v>
      </c>
      <c r="I4" s="70">
        <f>'Water Reading'!P4-'Water Reading'!P3</f>
        <v>7</v>
      </c>
      <c r="J4" s="55">
        <f>I4/C4</f>
        <v>1.3207547169811321E-2</v>
      </c>
      <c r="K4" s="71">
        <f>('Water Reading'!I4-'Water Reading'!I3)-('Water Reading'!P4-'Water Reading'!P3)</f>
        <v>44</v>
      </c>
      <c r="L4" s="55">
        <f>K4/C4</f>
        <v>8.3018867924528297E-2</v>
      </c>
      <c r="M4" s="70">
        <f>'Water Reading'!R4-'Water Reading'!R3</f>
        <v>7</v>
      </c>
      <c r="N4" s="72">
        <f>M4/C4</f>
        <v>1.3207547169811321E-2</v>
      </c>
      <c r="O4" s="70">
        <f>'Water Reading'!Q4-'Water Reading'!Q3</f>
        <v>3</v>
      </c>
      <c r="P4" s="77">
        <f>O4/C4</f>
        <v>5.6603773584905656E-3</v>
      </c>
      <c r="Q4" s="71">
        <f>'Water Reading'!F4-'Water Reading'!F3</f>
        <v>1</v>
      </c>
      <c r="R4" s="78">
        <f>Q4/C4</f>
        <v>1.8867924528301887E-3</v>
      </c>
      <c r="S4" s="70">
        <f>'Water Reading'!E4-'Water Reading'!E3</f>
        <v>172</v>
      </c>
      <c r="T4" s="78">
        <f>S4/C4</f>
        <v>0.32452830188679244</v>
      </c>
      <c r="U4" s="70">
        <f>'Water Reading'!G4-'Water Reading'!G3</f>
        <v>46</v>
      </c>
      <c r="V4" s="78">
        <f>U4/C4</f>
        <v>8.6792452830188674E-2</v>
      </c>
      <c r="W4" s="71">
        <f>'Water Reading'!J4-'Water Reading'!J3</f>
        <v>8</v>
      </c>
      <c r="X4" s="78">
        <f>W4/C4</f>
        <v>1.509433962264151E-2</v>
      </c>
      <c r="Y4" s="53">
        <f t="shared" ref="Y4:Y33" si="0">E4+I4+K4+M4+O4+G4+Q4+S4+U4+W4</f>
        <v>498</v>
      </c>
      <c r="Z4" s="54">
        <f t="shared" ref="Z4:Z35" si="1">Y4/B4</f>
        <v>1</v>
      </c>
    </row>
    <row r="5" spans="1:26" x14ac:dyDescent="0.25">
      <c r="A5" s="6">
        <f>'Water Reading'!A4</f>
        <v>44928</v>
      </c>
      <c r="B5" s="52">
        <f>TOTAL!I3</f>
        <v>0</v>
      </c>
      <c r="C5" s="53">
        <f>('Water Reading'!B5-'Water Reading'!B4)+('Water Reading'!C5-'Water Reading'!C4)</f>
        <v>-68084</v>
      </c>
      <c r="D5" s="54" t="e">
        <f t="shared" ref="D5:D33" si="2">C5/B5</f>
        <v>#DIV/0!</v>
      </c>
      <c r="E5" s="68">
        <f>'Water Reading'!H5-'Water Reading'!H4</f>
        <v>-657</v>
      </c>
      <c r="F5" s="69">
        <f t="shared" ref="F5:F33" si="3">E5/C5</f>
        <v>9.6498443099700369E-3</v>
      </c>
      <c r="G5" s="73">
        <f>('Water Reading'!D5-'Water Reading'!D4)-('Water Reading'!R5-'Water Reading'!R4)-('Water Reading'!Q5-'Water Reading'!Q4)</f>
        <v>-297987</v>
      </c>
      <c r="H5" s="69">
        <f t="shared" ref="H5:H33" si="4">G5/C5</f>
        <v>4.3767551847717527</v>
      </c>
      <c r="I5" s="70">
        <f>'Water Reading'!P5-'Water Reading'!P4</f>
        <v>-33024</v>
      </c>
      <c r="J5" s="55">
        <f t="shared" ref="J5:J33" si="5">I5/C5</f>
        <v>0.48504788202808297</v>
      </c>
      <c r="K5" s="71">
        <f>('Water Reading'!I5-'Water Reading'!I4)-('Water Reading'!P5-'Water Reading'!P4)</f>
        <v>-47353</v>
      </c>
      <c r="L5" s="55">
        <f t="shared" ref="L5:L33" si="6">K5/C5</f>
        <v>0.69550848951295463</v>
      </c>
      <c r="M5" s="70">
        <f>'Water Reading'!R5-'Water Reading'!R4</f>
        <v>-1011</v>
      </c>
      <c r="N5" s="72">
        <f t="shared" ref="N5:N33" si="7">M5/C5</f>
        <v>1.4849303801186769E-2</v>
      </c>
      <c r="O5" s="70">
        <f>'Water Reading'!Q5-'Water Reading'!Q4</f>
        <v>-2368</v>
      </c>
      <c r="P5" s="77">
        <f t="shared" ref="P5:P33" si="8">O5/C5</f>
        <v>3.4780565184184244E-2</v>
      </c>
      <c r="Q5" s="71">
        <f>'Water Reading'!F5-'Water Reading'!F4</f>
        <v>-67418</v>
      </c>
      <c r="R5" s="78">
        <f t="shared" ref="R5:R33" si="9">Q5/C5</f>
        <v>0.99021796604194823</v>
      </c>
      <c r="S5" s="70">
        <f>'Water Reading'!E5-'Water Reading'!E4</f>
        <v>-286536</v>
      </c>
      <c r="T5" s="78">
        <f t="shared" ref="T5:T33" si="10">S5/C5</f>
        <v>4.2085658891956994</v>
      </c>
      <c r="U5" s="70">
        <f>'Water Reading'!G5-'Water Reading'!G4</f>
        <v>-124732</v>
      </c>
      <c r="V5" s="78">
        <f t="shared" ref="V5:V33" si="11">U5/C5</f>
        <v>1.8320310205040833</v>
      </c>
      <c r="W5" s="71">
        <f>'Water Reading'!J5-'Water Reading'!J4</f>
        <v>-24076</v>
      </c>
      <c r="X5" s="78">
        <f t="shared" ref="X5:X33" si="12">W5/C5</f>
        <v>0.35362199635744079</v>
      </c>
      <c r="Y5" s="53">
        <f t="shared" si="0"/>
        <v>-885162</v>
      </c>
      <c r="Z5" s="54" t="e">
        <f t="shared" si="1"/>
        <v>#DIV/0!</v>
      </c>
    </row>
    <row r="6" spans="1:26" x14ac:dyDescent="0.25">
      <c r="A6" s="6">
        <f>'Water Reading'!A5</f>
        <v>44929</v>
      </c>
      <c r="B6" s="52">
        <f>TOTAL!I4</f>
        <v>0</v>
      </c>
      <c r="C6" s="53">
        <f>('Water Reading'!B6-'Water Reading'!B5)+('Water Reading'!C6-'Water Reading'!C5)</f>
        <v>0</v>
      </c>
      <c r="D6" s="54" t="e">
        <f t="shared" si="2"/>
        <v>#DIV/0!</v>
      </c>
      <c r="E6" s="68">
        <f>'Water Reading'!H6-'Water Reading'!H5</f>
        <v>0</v>
      </c>
      <c r="F6" s="69" t="e">
        <f t="shared" si="3"/>
        <v>#DIV/0!</v>
      </c>
      <c r="G6" s="73">
        <f>('Water Reading'!D6-'Water Reading'!D5)-('Water Reading'!R6-'Water Reading'!R5)-('Water Reading'!Q6-'Water Reading'!Q5)</f>
        <v>0</v>
      </c>
      <c r="H6" s="69" t="e">
        <f t="shared" si="4"/>
        <v>#DIV/0!</v>
      </c>
      <c r="I6" s="70">
        <f>'Water Reading'!P6-'Water Reading'!P5</f>
        <v>0</v>
      </c>
      <c r="J6" s="55" t="e">
        <f t="shared" si="5"/>
        <v>#DIV/0!</v>
      </c>
      <c r="K6" s="71">
        <f>('Water Reading'!I6-'Water Reading'!I5)-('Water Reading'!P6-'Water Reading'!P5)</f>
        <v>0</v>
      </c>
      <c r="L6" s="55" t="e">
        <f t="shared" si="6"/>
        <v>#DIV/0!</v>
      </c>
      <c r="M6" s="70">
        <f>'Water Reading'!R6-'Water Reading'!R5</f>
        <v>0</v>
      </c>
      <c r="N6" s="72" t="e">
        <f t="shared" si="7"/>
        <v>#DIV/0!</v>
      </c>
      <c r="O6" s="70">
        <f>'Water Reading'!Q6-'Water Reading'!Q5</f>
        <v>0</v>
      </c>
      <c r="P6" s="77" t="e">
        <f t="shared" si="8"/>
        <v>#DIV/0!</v>
      </c>
      <c r="Q6" s="71">
        <f>'Water Reading'!F6-'Water Reading'!F5</f>
        <v>0</v>
      </c>
      <c r="R6" s="78" t="e">
        <f t="shared" si="9"/>
        <v>#DIV/0!</v>
      </c>
      <c r="S6" s="70">
        <f>'Water Reading'!E6-'Water Reading'!E5</f>
        <v>0</v>
      </c>
      <c r="T6" s="78" t="e">
        <f t="shared" si="10"/>
        <v>#DIV/0!</v>
      </c>
      <c r="U6" s="70">
        <f>'Water Reading'!G6-'Water Reading'!G5</f>
        <v>0</v>
      </c>
      <c r="V6" s="78" t="e">
        <f t="shared" si="11"/>
        <v>#DIV/0!</v>
      </c>
      <c r="W6" s="71">
        <f>'Water Reading'!J6-'Water Reading'!J5</f>
        <v>0</v>
      </c>
      <c r="X6" s="78" t="e">
        <f t="shared" si="12"/>
        <v>#DIV/0!</v>
      </c>
      <c r="Y6" s="53">
        <f t="shared" si="0"/>
        <v>0</v>
      </c>
      <c r="Z6" s="54" t="e">
        <f t="shared" si="1"/>
        <v>#DIV/0!</v>
      </c>
    </row>
    <row r="7" spans="1:26" x14ac:dyDescent="0.25">
      <c r="A7" s="6">
        <f>'Water Reading'!A6</f>
        <v>44930</v>
      </c>
      <c r="B7" s="52">
        <f>TOTAL!I5</f>
        <v>0</v>
      </c>
      <c r="C7" s="53">
        <f>('Water Reading'!B7-'Water Reading'!B6)+('Water Reading'!C7-'Water Reading'!C6)</f>
        <v>0</v>
      </c>
      <c r="D7" s="54" t="e">
        <f t="shared" si="2"/>
        <v>#DIV/0!</v>
      </c>
      <c r="E7" s="68">
        <f>'Water Reading'!H7-'Water Reading'!H6</f>
        <v>0</v>
      </c>
      <c r="F7" s="69" t="e">
        <f t="shared" si="3"/>
        <v>#DIV/0!</v>
      </c>
      <c r="G7" s="73">
        <f>('Water Reading'!D7-'Water Reading'!D6)-('Water Reading'!R7-'Water Reading'!R6)-('Water Reading'!Q7-'Water Reading'!Q6)</f>
        <v>0</v>
      </c>
      <c r="H7" s="69" t="e">
        <f t="shared" si="4"/>
        <v>#DIV/0!</v>
      </c>
      <c r="I7" s="70">
        <f>'Water Reading'!P7-'Water Reading'!P6</f>
        <v>0</v>
      </c>
      <c r="J7" s="55" t="e">
        <f t="shared" si="5"/>
        <v>#DIV/0!</v>
      </c>
      <c r="K7" s="71">
        <f>('Water Reading'!I7-'Water Reading'!I6)-('Water Reading'!P7-'Water Reading'!P6)</f>
        <v>0</v>
      </c>
      <c r="L7" s="55" t="e">
        <f t="shared" si="6"/>
        <v>#DIV/0!</v>
      </c>
      <c r="M7" s="70">
        <f>'Water Reading'!R7-'Water Reading'!R6</f>
        <v>0</v>
      </c>
      <c r="N7" s="72" t="e">
        <f t="shared" si="7"/>
        <v>#DIV/0!</v>
      </c>
      <c r="O7" s="70">
        <f>'Water Reading'!Q7-'Water Reading'!Q6</f>
        <v>0</v>
      </c>
      <c r="P7" s="77" t="e">
        <f t="shared" si="8"/>
        <v>#DIV/0!</v>
      </c>
      <c r="Q7" s="71">
        <f>'Water Reading'!F7-'Water Reading'!F6</f>
        <v>0</v>
      </c>
      <c r="R7" s="78" t="e">
        <f t="shared" si="9"/>
        <v>#DIV/0!</v>
      </c>
      <c r="S7" s="70">
        <f>'Water Reading'!E7-'Water Reading'!E6</f>
        <v>0</v>
      </c>
      <c r="T7" s="78" t="e">
        <f t="shared" si="10"/>
        <v>#DIV/0!</v>
      </c>
      <c r="U7" s="70">
        <f>'Water Reading'!G7-'Water Reading'!G6</f>
        <v>0</v>
      </c>
      <c r="V7" s="78" t="e">
        <f t="shared" si="11"/>
        <v>#DIV/0!</v>
      </c>
      <c r="W7" s="71">
        <f>'Water Reading'!J7-'Water Reading'!J6</f>
        <v>0</v>
      </c>
      <c r="X7" s="78" t="e">
        <f t="shared" si="12"/>
        <v>#DIV/0!</v>
      </c>
      <c r="Y7" s="53">
        <f t="shared" si="0"/>
        <v>0</v>
      </c>
      <c r="Z7" s="54" t="e">
        <f t="shared" si="1"/>
        <v>#DIV/0!</v>
      </c>
    </row>
    <row r="8" spans="1:26" x14ac:dyDescent="0.25">
      <c r="A8" s="6">
        <f>'Water Reading'!A7</f>
        <v>44931</v>
      </c>
      <c r="B8" s="52">
        <f>TOTAL!I6</f>
        <v>0</v>
      </c>
      <c r="C8" s="53">
        <f>('Water Reading'!B8-'Water Reading'!B7)+('Water Reading'!C8-'Water Reading'!C7)</f>
        <v>0</v>
      </c>
      <c r="D8" s="54" t="e">
        <f t="shared" si="2"/>
        <v>#DIV/0!</v>
      </c>
      <c r="E8" s="68">
        <f>'Water Reading'!H8-'Water Reading'!H7</f>
        <v>0</v>
      </c>
      <c r="F8" s="69" t="e">
        <f t="shared" si="3"/>
        <v>#DIV/0!</v>
      </c>
      <c r="G8" s="73">
        <f>('Water Reading'!D8-'Water Reading'!D7)-('Water Reading'!R8-'Water Reading'!R7)-('Water Reading'!Q8-'Water Reading'!Q7)</f>
        <v>0</v>
      </c>
      <c r="H8" s="69" t="e">
        <f t="shared" si="4"/>
        <v>#DIV/0!</v>
      </c>
      <c r="I8" s="70">
        <f>'Water Reading'!P8-'Water Reading'!P7</f>
        <v>0</v>
      </c>
      <c r="J8" s="55" t="e">
        <f t="shared" si="5"/>
        <v>#DIV/0!</v>
      </c>
      <c r="K8" s="71">
        <f>('Water Reading'!I8-'Water Reading'!I7)-('Water Reading'!P8-'Water Reading'!P7)</f>
        <v>0</v>
      </c>
      <c r="L8" s="55" t="e">
        <f t="shared" si="6"/>
        <v>#DIV/0!</v>
      </c>
      <c r="M8" s="70">
        <f>'Water Reading'!R8-'Water Reading'!R7</f>
        <v>0</v>
      </c>
      <c r="N8" s="72" t="e">
        <f t="shared" si="7"/>
        <v>#DIV/0!</v>
      </c>
      <c r="O8" s="70">
        <f>'Water Reading'!Q8-'Water Reading'!Q7</f>
        <v>0</v>
      </c>
      <c r="P8" s="77" t="e">
        <f t="shared" si="8"/>
        <v>#DIV/0!</v>
      </c>
      <c r="Q8" s="71">
        <f>'Water Reading'!F8-'Water Reading'!F7</f>
        <v>0</v>
      </c>
      <c r="R8" s="78" t="e">
        <f t="shared" si="9"/>
        <v>#DIV/0!</v>
      </c>
      <c r="S8" s="70">
        <f>'Water Reading'!E8-'Water Reading'!E7</f>
        <v>0</v>
      </c>
      <c r="T8" s="78" t="e">
        <f t="shared" si="10"/>
        <v>#DIV/0!</v>
      </c>
      <c r="U8" s="70">
        <f>'Water Reading'!G8-'Water Reading'!G7</f>
        <v>0</v>
      </c>
      <c r="V8" s="78" t="e">
        <f t="shared" si="11"/>
        <v>#DIV/0!</v>
      </c>
      <c r="W8" s="71">
        <f>'Water Reading'!J8-'Water Reading'!J7</f>
        <v>0</v>
      </c>
      <c r="X8" s="78" t="e">
        <f t="shared" si="12"/>
        <v>#DIV/0!</v>
      </c>
      <c r="Y8" s="53">
        <f t="shared" si="0"/>
        <v>0</v>
      </c>
      <c r="Z8" s="54" t="e">
        <f t="shared" si="1"/>
        <v>#DIV/0!</v>
      </c>
    </row>
    <row r="9" spans="1:26" x14ac:dyDescent="0.25">
      <c r="A9" s="6">
        <f>'Water Reading'!A8</f>
        <v>44932</v>
      </c>
      <c r="B9" s="52">
        <f>TOTAL!I7</f>
        <v>0</v>
      </c>
      <c r="C9" s="53">
        <f>('Water Reading'!B9-'Water Reading'!B8)+('Water Reading'!C9-'Water Reading'!C8)</f>
        <v>0</v>
      </c>
      <c r="D9" s="54" t="e">
        <f t="shared" si="2"/>
        <v>#DIV/0!</v>
      </c>
      <c r="E9" s="68">
        <f>'Water Reading'!H9-'Water Reading'!H8</f>
        <v>0</v>
      </c>
      <c r="F9" s="69" t="e">
        <f t="shared" si="3"/>
        <v>#DIV/0!</v>
      </c>
      <c r="G9" s="73">
        <f>('Water Reading'!D9-'Water Reading'!D8)-('Water Reading'!R9-'Water Reading'!R8)-('Water Reading'!Q9-'Water Reading'!Q8)</f>
        <v>0</v>
      </c>
      <c r="H9" s="69" t="e">
        <f t="shared" si="4"/>
        <v>#DIV/0!</v>
      </c>
      <c r="I9" s="70">
        <f>'Water Reading'!P9-'Water Reading'!P8</f>
        <v>0</v>
      </c>
      <c r="J9" s="55" t="e">
        <f t="shared" si="5"/>
        <v>#DIV/0!</v>
      </c>
      <c r="K9" s="71">
        <f>('Water Reading'!I9-'Water Reading'!I8)-('Water Reading'!P9-'Water Reading'!P8)</f>
        <v>0</v>
      </c>
      <c r="L9" s="55" t="e">
        <f t="shared" si="6"/>
        <v>#DIV/0!</v>
      </c>
      <c r="M9" s="99">
        <f>'Water Reading'!R9-'Water Reading'!R8</f>
        <v>0</v>
      </c>
      <c r="N9" s="72" t="e">
        <f t="shared" si="7"/>
        <v>#DIV/0!</v>
      </c>
      <c r="O9" s="70">
        <f>'Water Reading'!Q9-'Water Reading'!Q8</f>
        <v>0</v>
      </c>
      <c r="P9" s="77" t="e">
        <f t="shared" si="8"/>
        <v>#DIV/0!</v>
      </c>
      <c r="Q9" s="71">
        <f>'Water Reading'!F9-'Water Reading'!F8</f>
        <v>0</v>
      </c>
      <c r="R9" s="78" t="e">
        <f t="shared" si="9"/>
        <v>#DIV/0!</v>
      </c>
      <c r="S9" s="70">
        <f>'Water Reading'!E9-'Water Reading'!E8</f>
        <v>0</v>
      </c>
      <c r="T9" s="78" t="e">
        <f t="shared" si="10"/>
        <v>#DIV/0!</v>
      </c>
      <c r="U9" s="70">
        <f>'Water Reading'!G9-'Water Reading'!G8</f>
        <v>0</v>
      </c>
      <c r="V9" s="78" t="e">
        <f t="shared" si="11"/>
        <v>#DIV/0!</v>
      </c>
      <c r="W9" s="71">
        <f>'Water Reading'!J9-'Water Reading'!J8</f>
        <v>0</v>
      </c>
      <c r="X9" s="78" t="e">
        <f t="shared" si="12"/>
        <v>#DIV/0!</v>
      </c>
      <c r="Y9" s="53">
        <f t="shared" si="0"/>
        <v>0</v>
      </c>
      <c r="Z9" s="54" t="e">
        <f t="shared" si="1"/>
        <v>#DIV/0!</v>
      </c>
    </row>
    <row r="10" spans="1:26" x14ac:dyDescent="0.25">
      <c r="A10" s="6">
        <f>'Water Reading'!A9</f>
        <v>44933</v>
      </c>
      <c r="B10" s="52">
        <f>TOTAL!I8</f>
        <v>0</v>
      </c>
      <c r="C10" s="53">
        <f>('Water Reading'!B10-'Water Reading'!B9)+('Water Reading'!C10-'Water Reading'!C9)</f>
        <v>0</v>
      </c>
      <c r="D10" s="54" t="e">
        <f t="shared" ref="D10" si="13">C10/B10</f>
        <v>#DIV/0!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0</v>
      </c>
      <c r="H10" s="69" t="e">
        <f t="shared" si="4"/>
        <v>#DIV/0!</v>
      </c>
      <c r="I10" s="70">
        <f>'Water Reading'!P10-'Water Reading'!P9</f>
        <v>0</v>
      </c>
      <c r="J10" s="55" t="e">
        <f t="shared" si="5"/>
        <v>#DIV/0!</v>
      </c>
      <c r="K10" s="94">
        <f>('Water Reading'!I10-'Water Reading'!I9)-('Water Reading'!P10-'Water Reading'!P9)</f>
        <v>0</v>
      </c>
      <c r="L10" s="55" t="e">
        <f t="shared" si="6"/>
        <v>#DIV/0!</v>
      </c>
      <c r="M10" s="70">
        <f>'Water Reading'!R10-'Water Reading'!R9</f>
        <v>0</v>
      </c>
      <c r="N10" s="72" t="e">
        <f t="shared" si="7"/>
        <v>#DIV/0!</v>
      </c>
      <c r="O10" s="70">
        <f>'Water Reading'!Q10-'Water Reading'!Q9</f>
        <v>0</v>
      </c>
      <c r="P10" s="77" t="e">
        <f t="shared" si="8"/>
        <v>#DIV/0!</v>
      </c>
      <c r="Q10" s="71">
        <f>'Water Reading'!F10-'Water Reading'!F9</f>
        <v>0</v>
      </c>
      <c r="R10" s="78" t="e">
        <f t="shared" si="9"/>
        <v>#DIV/0!</v>
      </c>
      <c r="S10" s="70">
        <f>'Water Reading'!E10-'Water Reading'!E9</f>
        <v>0</v>
      </c>
      <c r="T10" s="78" t="e">
        <f t="shared" si="10"/>
        <v>#DIV/0!</v>
      </c>
      <c r="U10" s="70">
        <f>'Water Reading'!G10-'Water Reading'!G9</f>
        <v>0</v>
      </c>
      <c r="V10" s="78" t="e">
        <f t="shared" si="11"/>
        <v>#DIV/0!</v>
      </c>
      <c r="W10" s="71">
        <f>'Water Reading'!J10-'Water Reading'!J9</f>
        <v>0</v>
      </c>
      <c r="X10" s="78" t="e">
        <f t="shared" si="12"/>
        <v>#DIV/0!</v>
      </c>
      <c r="Y10" s="53">
        <f t="shared" si="0"/>
        <v>18</v>
      </c>
      <c r="Z10" s="54" t="e">
        <f t="shared" si="1"/>
        <v>#DIV/0!</v>
      </c>
    </row>
    <row r="11" spans="1:26" x14ac:dyDescent="0.25">
      <c r="A11" s="6">
        <f>'Water Reading'!A10</f>
        <v>44934</v>
      </c>
      <c r="B11" s="52">
        <f>TOTAL!I9</f>
        <v>0</v>
      </c>
      <c r="C11" s="53">
        <f>('Water Reading'!B11-'Water Reading'!B10)+('Water Reading'!C11-'Water Reading'!C10)</f>
        <v>0</v>
      </c>
      <c r="D11" s="54" t="e">
        <f t="shared" si="2"/>
        <v>#DIV/0!</v>
      </c>
      <c r="E11" s="68">
        <f>'Water Reading'!H11-'Water Reading'!H10</f>
        <v>0</v>
      </c>
      <c r="F11" s="69" t="e">
        <f t="shared" si="3"/>
        <v>#DIV/0!</v>
      </c>
      <c r="G11" s="73">
        <f>('Water Reading'!D11-'Water Reading'!D10)-('Water Reading'!R11-'Water Reading'!R10)-('Water Reading'!Q11-'Water Reading'!Q10)</f>
        <v>0</v>
      </c>
      <c r="H11" s="69" t="e">
        <f t="shared" si="4"/>
        <v>#DIV/0!</v>
      </c>
      <c r="I11" s="70">
        <f>'Water Reading'!P11-'Water Reading'!P10</f>
        <v>0</v>
      </c>
      <c r="J11" s="55" t="e">
        <f t="shared" si="5"/>
        <v>#DIV/0!</v>
      </c>
      <c r="K11" s="71">
        <f>('Water Reading'!I11-'Water Reading'!I10)-('Water Reading'!P11-'Water Reading'!P10)</f>
        <v>0</v>
      </c>
      <c r="L11" s="55" t="e">
        <f t="shared" si="6"/>
        <v>#DIV/0!</v>
      </c>
      <c r="M11" s="70">
        <f>'Water Reading'!R11-'Water Reading'!R10</f>
        <v>0</v>
      </c>
      <c r="N11" s="72" t="e">
        <f t="shared" si="7"/>
        <v>#DIV/0!</v>
      </c>
      <c r="O11" s="70">
        <f>'Water Reading'!Q11-'Water Reading'!Q10</f>
        <v>0</v>
      </c>
      <c r="P11" s="77" t="e">
        <f t="shared" si="8"/>
        <v>#DIV/0!</v>
      </c>
      <c r="Q11" s="71">
        <f>'Water Reading'!F11-'Water Reading'!F10</f>
        <v>0</v>
      </c>
      <c r="R11" s="78" t="e">
        <f t="shared" si="9"/>
        <v>#DIV/0!</v>
      </c>
      <c r="S11" s="70">
        <f>'Water Reading'!E11-'Water Reading'!E10</f>
        <v>0</v>
      </c>
      <c r="T11" s="78" t="e">
        <f t="shared" si="10"/>
        <v>#DIV/0!</v>
      </c>
      <c r="U11" s="70">
        <f>'Water Reading'!G11-'Water Reading'!G10</f>
        <v>0</v>
      </c>
      <c r="V11" s="78" t="e">
        <f t="shared" si="11"/>
        <v>#DIV/0!</v>
      </c>
      <c r="W11" s="71">
        <f>'Water Reading'!J11-'Water Reading'!J10</f>
        <v>0</v>
      </c>
      <c r="X11" s="78" t="e">
        <f t="shared" si="12"/>
        <v>#DIV/0!</v>
      </c>
      <c r="Y11" s="53">
        <f t="shared" si="0"/>
        <v>0</v>
      </c>
      <c r="Z11" s="54" t="e">
        <f t="shared" si="1"/>
        <v>#DIV/0!</v>
      </c>
    </row>
    <row r="12" spans="1:26" x14ac:dyDescent="0.25">
      <c r="A12" s="6">
        <f>'Water Reading'!A11</f>
        <v>44935</v>
      </c>
      <c r="B12" s="52">
        <f>TOTAL!I10</f>
        <v>0</v>
      </c>
      <c r="C12" s="53">
        <f>('Water Reading'!B12-'Water Reading'!B11)+('Water Reading'!C12-'Water Reading'!C11)</f>
        <v>0</v>
      </c>
      <c r="D12" s="54" t="e">
        <f t="shared" si="2"/>
        <v>#DIV/0!</v>
      </c>
      <c r="E12" s="68">
        <f>'Water Reading'!H12-'Water Reading'!H11</f>
        <v>0</v>
      </c>
      <c r="F12" s="69" t="e">
        <f t="shared" si="3"/>
        <v>#DIV/0!</v>
      </c>
      <c r="G12" s="73">
        <f>('Water Reading'!D12-'Water Reading'!D11)-('Water Reading'!R12-'Water Reading'!R11)-('Water Reading'!Q12-'Water Reading'!Q11)</f>
        <v>0</v>
      </c>
      <c r="H12" s="69" t="e">
        <f t="shared" si="4"/>
        <v>#DIV/0!</v>
      </c>
      <c r="I12" s="70">
        <f>'Water Reading'!P12-'Water Reading'!P11</f>
        <v>0</v>
      </c>
      <c r="J12" s="55" t="e">
        <f t="shared" si="5"/>
        <v>#DIV/0!</v>
      </c>
      <c r="K12" s="71">
        <f>('Water Reading'!I12-'Water Reading'!I11)-('Water Reading'!P12-'Water Reading'!P11)</f>
        <v>0</v>
      </c>
      <c r="L12" s="55" t="e">
        <f t="shared" si="6"/>
        <v>#DIV/0!</v>
      </c>
      <c r="M12" s="70">
        <f>'Water Reading'!R12-'Water Reading'!R11</f>
        <v>0</v>
      </c>
      <c r="N12" s="72" t="e">
        <f t="shared" si="7"/>
        <v>#DIV/0!</v>
      </c>
      <c r="O12" s="70">
        <f>'Water Reading'!Q12-'Water Reading'!Q11</f>
        <v>0</v>
      </c>
      <c r="P12" s="77" t="e">
        <f t="shared" si="8"/>
        <v>#DIV/0!</v>
      </c>
      <c r="Q12" s="71">
        <f>'Water Reading'!F12-'Water Reading'!F11</f>
        <v>0</v>
      </c>
      <c r="R12" s="78" t="e">
        <f t="shared" si="9"/>
        <v>#DIV/0!</v>
      </c>
      <c r="S12" s="70">
        <f>'Water Reading'!E12-'Water Reading'!E11</f>
        <v>0</v>
      </c>
      <c r="T12" s="78" t="e">
        <f t="shared" si="10"/>
        <v>#DIV/0!</v>
      </c>
      <c r="U12" s="70">
        <f>'Water Reading'!G12-'Water Reading'!G11</f>
        <v>0</v>
      </c>
      <c r="V12" s="78" t="e">
        <f t="shared" si="11"/>
        <v>#DIV/0!</v>
      </c>
      <c r="W12" s="71">
        <f>'Water Reading'!J12-'Water Reading'!J11</f>
        <v>0</v>
      </c>
      <c r="X12" s="78" t="e">
        <f t="shared" si="12"/>
        <v>#DIV/0!</v>
      </c>
      <c r="Y12" s="53">
        <f t="shared" si="0"/>
        <v>0</v>
      </c>
      <c r="Z12" s="54" t="e">
        <f t="shared" si="1"/>
        <v>#DIV/0!</v>
      </c>
    </row>
    <row r="13" spans="1:26" x14ac:dyDescent="0.25">
      <c r="A13" s="6">
        <f>'Water Reading'!A12</f>
        <v>44936</v>
      </c>
      <c r="B13" s="52">
        <f>TOTAL!I11</f>
        <v>0</v>
      </c>
      <c r="C13" s="53">
        <f>('Water Reading'!B13-'Water Reading'!B12)+('Water Reading'!C13-'Water Reading'!C12)</f>
        <v>0</v>
      </c>
      <c r="D13" s="54" t="e">
        <f t="shared" si="2"/>
        <v>#DIV/0!</v>
      </c>
      <c r="E13" s="68">
        <f>'Water Reading'!H13-'Water Reading'!H12</f>
        <v>0</v>
      </c>
      <c r="F13" s="69" t="e">
        <f t="shared" si="3"/>
        <v>#DIV/0!</v>
      </c>
      <c r="G13" s="73">
        <f>('Water Reading'!D13-'Water Reading'!D12)-('Water Reading'!R13-'Water Reading'!R12)-('Water Reading'!Q13-'Water Reading'!Q12)</f>
        <v>0</v>
      </c>
      <c r="H13" s="69" t="e">
        <f t="shared" si="4"/>
        <v>#DIV/0!</v>
      </c>
      <c r="I13" s="70">
        <f>'Water Reading'!P13-'Water Reading'!P12</f>
        <v>0</v>
      </c>
      <c r="J13" s="55" t="e">
        <f t="shared" si="5"/>
        <v>#DIV/0!</v>
      </c>
      <c r="K13" s="71">
        <f>('Water Reading'!I13-'Water Reading'!I12)-('Water Reading'!P13-'Water Reading'!P12)</f>
        <v>0</v>
      </c>
      <c r="L13" s="55" t="e">
        <f t="shared" si="6"/>
        <v>#DIV/0!</v>
      </c>
      <c r="M13" s="70">
        <f>'Water Reading'!R13-'Water Reading'!R12</f>
        <v>0</v>
      </c>
      <c r="N13" s="72" t="e">
        <f t="shared" si="7"/>
        <v>#DIV/0!</v>
      </c>
      <c r="O13" s="70">
        <f>'Water Reading'!Q13-'Water Reading'!Q12</f>
        <v>0</v>
      </c>
      <c r="P13" s="77" t="e">
        <f t="shared" si="8"/>
        <v>#DIV/0!</v>
      </c>
      <c r="Q13" s="71">
        <f>'Water Reading'!F13-'Water Reading'!F12</f>
        <v>0</v>
      </c>
      <c r="R13" s="78" t="e">
        <f t="shared" si="9"/>
        <v>#DIV/0!</v>
      </c>
      <c r="S13" s="70">
        <f>'Water Reading'!E13-'Water Reading'!E12</f>
        <v>0</v>
      </c>
      <c r="T13" s="78" t="e">
        <f t="shared" si="10"/>
        <v>#DIV/0!</v>
      </c>
      <c r="U13" s="70">
        <f>'Water Reading'!G13-'Water Reading'!G12</f>
        <v>0</v>
      </c>
      <c r="V13" s="78" t="e">
        <f t="shared" si="11"/>
        <v>#DIV/0!</v>
      </c>
      <c r="W13" s="71">
        <f>'Water Reading'!J13-'Water Reading'!J12</f>
        <v>0</v>
      </c>
      <c r="X13" s="78" t="e">
        <f t="shared" si="12"/>
        <v>#DIV/0!</v>
      </c>
      <c r="Y13" s="53">
        <f t="shared" si="0"/>
        <v>0</v>
      </c>
      <c r="Z13" s="54" t="e">
        <f t="shared" si="1"/>
        <v>#DIV/0!</v>
      </c>
    </row>
    <row r="14" spans="1:26" x14ac:dyDescent="0.25">
      <c r="A14" s="6">
        <f>'Water Reading'!A13</f>
        <v>44937</v>
      </c>
      <c r="B14" s="52">
        <f>TOTAL!I12</f>
        <v>0</v>
      </c>
      <c r="C14" s="53">
        <f>('Water Reading'!B14-'Water Reading'!B13)+('Water Reading'!C14-'Water Reading'!C13)</f>
        <v>0</v>
      </c>
      <c r="D14" s="54" t="e">
        <f t="shared" si="2"/>
        <v>#DIV/0!</v>
      </c>
      <c r="E14" s="68">
        <f>'Water Reading'!H14-'Water Reading'!H13</f>
        <v>0</v>
      </c>
      <c r="F14" s="69" t="e">
        <f t="shared" si="3"/>
        <v>#DIV/0!</v>
      </c>
      <c r="G14" s="73">
        <f>('Water Reading'!D14-'Water Reading'!D13)-('Water Reading'!R14-'Water Reading'!R13)-('Water Reading'!Q14-'Water Reading'!Q13)</f>
        <v>0</v>
      </c>
      <c r="H14" s="69" t="e">
        <f t="shared" si="4"/>
        <v>#DIV/0!</v>
      </c>
      <c r="I14" s="70">
        <f>'Water Reading'!P14-'Water Reading'!P13</f>
        <v>0</v>
      </c>
      <c r="J14" s="55" t="e">
        <f t="shared" si="5"/>
        <v>#DIV/0!</v>
      </c>
      <c r="K14" s="71">
        <f>('Water Reading'!I14-'Water Reading'!I13)-('Water Reading'!P14-'Water Reading'!P13)</f>
        <v>0</v>
      </c>
      <c r="L14" s="55" t="e">
        <f t="shared" si="6"/>
        <v>#DIV/0!</v>
      </c>
      <c r="M14" s="70">
        <f>'Water Reading'!R14-'Water Reading'!R13</f>
        <v>0</v>
      </c>
      <c r="N14" s="72" t="e">
        <f t="shared" si="7"/>
        <v>#DIV/0!</v>
      </c>
      <c r="O14" s="70">
        <f>'Water Reading'!Q14-'Water Reading'!Q13</f>
        <v>0</v>
      </c>
      <c r="P14" s="77" t="e">
        <f t="shared" si="8"/>
        <v>#DIV/0!</v>
      </c>
      <c r="Q14" s="71">
        <f>'Water Reading'!F14-'Water Reading'!F13</f>
        <v>0</v>
      </c>
      <c r="R14" s="78" t="e">
        <f t="shared" si="9"/>
        <v>#DIV/0!</v>
      </c>
      <c r="S14" s="70">
        <f>'Water Reading'!E14-'Water Reading'!E13</f>
        <v>0</v>
      </c>
      <c r="T14" s="78" t="e">
        <f t="shared" si="10"/>
        <v>#DIV/0!</v>
      </c>
      <c r="U14" s="70">
        <f>'Water Reading'!G14-'Water Reading'!G13</f>
        <v>0</v>
      </c>
      <c r="V14" s="78" t="e">
        <f t="shared" si="11"/>
        <v>#DIV/0!</v>
      </c>
      <c r="W14" s="71">
        <f>'Water Reading'!J14-'Water Reading'!J13</f>
        <v>0</v>
      </c>
      <c r="X14" s="78" t="e">
        <f t="shared" si="12"/>
        <v>#DIV/0!</v>
      </c>
      <c r="Y14" s="53">
        <f t="shared" si="0"/>
        <v>0</v>
      </c>
      <c r="Z14" s="54" t="e">
        <f t="shared" si="1"/>
        <v>#DIV/0!</v>
      </c>
    </row>
    <row r="15" spans="1:26" s="96" customFormat="1" x14ac:dyDescent="0.25">
      <c r="A15" s="101">
        <f>'Water Reading'!A14</f>
        <v>44938</v>
      </c>
      <c r="B15" s="102">
        <f>TOTAL!I13</f>
        <v>0</v>
      </c>
      <c r="C15" s="103">
        <f>('Water Reading'!B15-'Water Reading'!B14)+('Water Reading'!C15-'Water Reading'!C14)</f>
        <v>0</v>
      </c>
      <c r="D15" s="104" t="e">
        <f t="shared" si="2"/>
        <v>#DIV/0!</v>
      </c>
      <c r="E15" s="68">
        <f>'Water Reading'!H15-'Water Reading'!H14</f>
        <v>0</v>
      </c>
      <c r="F15" s="105" t="e">
        <f t="shared" si="3"/>
        <v>#DIV/0!</v>
      </c>
      <c r="G15" s="73">
        <f>('Water Reading'!D15-'Water Reading'!D14)-('Water Reading'!R15-'Water Reading'!R14)-('Water Reading'!Q15-'Water Reading'!Q14)</f>
        <v>0</v>
      </c>
      <c r="H15" s="105" t="e">
        <f t="shared" si="4"/>
        <v>#DIV/0!</v>
      </c>
      <c r="I15" s="99">
        <f>'Water Reading'!P15-'Water Reading'!P14</f>
        <v>0</v>
      </c>
      <c r="J15" s="100" t="e">
        <f t="shared" si="5"/>
        <v>#DIV/0!</v>
      </c>
      <c r="K15" s="94">
        <f>('Water Reading'!I15-'Water Reading'!I14)-('Water Reading'!P15-'Water Reading'!P14)</f>
        <v>0</v>
      </c>
      <c r="L15" s="100" t="e">
        <f t="shared" si="6"/>
        <v>#DIV/0!</v>
      </c>
      <c r="M15" s="99">
        <f>'Water Reading'!R15-'Water Reading'!R14</f>
        <v>0</v>
      </c>
      <c r="N15" s="106" t="e">
        <f t="shared" si="7"/>
        <v>#DIV/0!</v>
      </c>
      <c r="O15" s="99">
        <f>'Water Reading'!Q15-'Water Reading'!Q14</f>
        <v>0</v>
      </c>
      <c r="P15" s="107" t="e">
        <f t="shared" si="8"/>
        <v>#DIV/0!</v>
      </c>
      <c r="Q15" s="94">
        <f>'Water Reading'!F15-'Water Reading'!F14</f>
        <v>0</v>
      </c>
      <c r="R15" s="108" t="e">
        <f t="shared" si="9"/>
        <v>#DIV/0!</v>
      </c>
      <c r="S15" s="99">
        <f>'Water Reading'!E15-'Water Reading'!E14</f>
        <v>0</v>
      </c>
      <c r="T15" s="108" t="e">
        <f t="shared" si="10"/>
        <v>#DIV/0!</v>
      </c>
      <c r="U15" s="99">
        <f>'Water Reading'!G15-'Water Reading'!G14</f>
        <v>0</v>
      </c>
      <c r="V15" s="108" t="e">
        <f t="shared" si="11"/>
        <v>#DIV/0!</v>
      </c>
      <c r="W15" s="94">
        <f>'Water Reading'!J15-'Water Reading'!J14</f>
        <v>0</v>
      </c>
      <c r="X15" s="108" t="e">
        <f t="shared" si="12"/>
        <v>#DIV/0!</v>
      </c>
      <c r="Y15" s="103">
        <f t="shared" si="0"/>
        <v>0</v>
      </c>
      <c r="Z15" s="104" t="e">
        <f t="shared" si="1"/>
        <v>#DIV/0!</v>
      </c>
    </row>
    <row r="16" spans="1:26" x14ac:dyDescent="0.25">
      <c r="A16" s="6">
        <f>'Water Reading'!A15</f>
        <v>44939</v>
      </c>
      <c r="B16" s="52">
        <f>TOTAL!I14</f>
        <v>0</v>
      </c>
      <c r="C16" s="53">
        <f>('Water Reading'!B16-'Water Reading'!B15)+('Water Reading'!C16-'Water Reading'!C15)</f>
        <v>0</v>
      </c>
      <c r="D16" s="54" t="e">
        <f t="shared" si="2"/>
        <v>#DIV/0!</v>
      </c>
      <c r="E16" s="68">
        <f>'Water Reading'!H16-'Water Reading'!H15</f>
        <v>0</v>
      </c>
      <c r="F16" s="69" t="e">
        <f t="shared" si="3"/>
        <v>#DIV/0!</v>
      </c>
      <c r="G16" s="73">
        <f>('Water Reading'!D16-'Water Reading'!D15)-('Water Reading'!R16-'Water Reading'!R15)-('Water Reading'!Q16-'Water Reading'!Q15)</f>
        <v>0</v>
      </c>
      <c r="H16" s="69" t="e">
        <f t="shared" si="4"/>
        <v>#DIV/0!</v>
      </c>
      <c r="I16" s="70">
        <f>'Water Reading'!P16-'Water Reading'!P15</f>
        <v>0</v>
      </c>
      <c r="J16" s="55" t="e">
        <f t="shared" si="5"/>
        <v>#DIV/0!</v>
      </c>
      <c r="K16" s="71">
        <f>('Water Reading'!I16-'Water Reading'!I15)-('Water Reading'!P16-'Water Reading'!P15)</f>
        <v>0</v>
      </c>
      <c r="L16" s="55" t="e">
        <f t="shared" si="6"/>
        <v>#DIV/0!</v>
      </c>
      <c r="M16" s="70">
        <f>'Water Reading'!R16-'Water Reading'!R15</f>
        <v>0</v>
      </c>
      <c r="N16" s="72" t="e">
        <f t="shared" si="7"/>
        <v>#DIV/0!</v>
      </c>
      <c r="O16" s="70">
        <f>'Water Reading'!Q16-'Water Reading'!Q15</f>
        <v>0</v>
      </c>
      <c r="P16" s="77" t="e">
        <f t="shared" si="8"/>
        <v>#DIV/0!</v>
      </c>
      <c r="Q16" s="71">
        <f>'Water Reading'!F16-'Water Reading'!F15</f>
        <v>0</v>
      </c>
      <c r="R16" s="78" t="e">
        <f t="shared" si="9"/>
        <v>#DIV/0!</v>
      </c>
      <c r="S16" s="70">
        <f>'Water Reading'!E16-'Water Reading'!E15</f>
        <v>0</v>
      </c>
      <c r="T16" s="78" t="e">
        <f t="shared" si="10"/>
        <v>#DIV/0!</v>
      </c>
      <c r="U16" s="70">
        <f>'Water Reading'!G16-'Water Reading'!G15</f>
        <v>0</v>
      </c>
      <c r="V16" s="78" t="e">
        <f t="shared" si="11"/>
        <v>#DIV/0!</v>
      </c>
      <c r="W16" s="71">
        <f>'Water Reading'!J16-'Water Reading'!J15</f>
        <v>0</v>
      </c>
      <c r="X16" s="78" t="e">
        <f t="shared" si="12"/>
        <v>#DIV/0!</v>
      </c>
      <c r="Y16" s="53">
        <f t="shared" si="0"/>
        <v>0</v>
      </c>
      <c r="Z16" s="54" t="e">
        <f t="shared" si="1"/>
        <v>#DIV/0!</v>
      </c>
    </row>
    <row r="17" spans="1:26" x14ac:dyDescent="0.25">
      <c r="A17" s="6">
        <f>'Water Reading'!A16</f>
        <v>44940</v>
      </c>
      <c r="B17" s="52">
        <f>TOTAL!I15</f>
        <v>0</v>
      </c>
      <c r="C17" s="53">
        <f>('Water Reading'!B17-'Water Reading'!B16)+('Water Reading'!C17-'Water Reading'!C16)</f>
        <v>0</v>
      </c>
      <c r="D17" s="54" t="e">
        <f t="shared" si="2"/>
        <v>#DIV/0!</v>
      </c>
      <c r="E17" s="68">
        <f>'Water Reading'!H17-'Water Reading'!H16</f>
        <v>0</v>
      </c>
      <c r="F17" s="69" t="e">
        <f t="shared" si="3"/>
        <v>#DIV/0!</v>
      </c>
      <c r="G17" s="73">
        <f>('Water Reading'!D17-'Water Reading'!D16)-('Water Reading'!R17-'Water Reading'!R16)-('Water Reading'!Q17-'Water Reading'!Q16)</f>
        <v>0</v>
      </c>
      <c r="H17" s="69" t="e">
        <f t="shared" si="4"/>
        <v>#DIV/0!</v>
      </c>
      <c r="I17" s="70">
        <f>'Water Reading'!P17-'Water Reading'!P16</f>
        <v>0</v>
      </c>
      <c r="J17" s="100" t="e">
        <f t="shared" si="5"/>
        <v>#DIV/0!</v>
      </c>
      <c r="K17" s="71">
        <f>('Water Reading'!I17-'Water Reading'!I16)-('Water Reading'!P17-'Water Reading'!P16)</f>
        <v>0</v>
      </c>
      <c r="L17" s="55" t="e">
        <f t="shared" si="6"/>
        <v>#DIV/0!</v>
      </c>
      <c r="M17" s="70">
        <f>'Water Reading'!R17-'Water Reading'!R16</f>
        <v>0</v>
      </c>
      <c r="N17" s="72" t="e">
        <f t="shared" si="7"/>
        <v>#DIV/0!</v>
      </c>
      <c r="O17" s="70">
        <f>'Water Reading'!Q17-'Water Reading'!Q16</f>
        <v>0</v>
      </c>
      <c r="P17" s="77" t="e">
        <f t="shared" si="8"/>
        <v>#DIV/0!</v>
      </c>
      <c r="Q17" s="71">
        <f>'Water Reading'!F17-'Water Reading'!F16</f>
        <v>0</v>
      </c>
      <c r="R17" s="78" t="e">
        <f t="shared" si="9"/>
        <v>#DIV/0!</v>
      </c>
      <c r="S17" s="70">
        <f>'Water Reading'!E17-'Water Reading'!E16</f>
        <v>0</v>
      </c>
      <c r="T17" s="78" t="e">
        <f t="shared" si="10"/>
        <v>#DIV/0!</v>
      </c>
      <c r="U17" s="70">
        <f>'Water Reading'!G17-'Water Reading'!G16</f>
        <v>0</v>
      </c>
      <c r="V17" s="78" t="e">
        <f t="shared" si="11"/>
        <v>#DIV/0!</v>
      </c>
      <c r="W17" s="71">
        <f>'Water Reading'!J17-'Water Reading'!J16</f>
        <v>0</v>
      </c>
      <c r="X17" s="78" t="e">
        <f t="shared" si="12"/>
        <v>#DIV/0!</v>
      </c>
      <c r="Y17" s="53">
        <f t="shared" si="0"/>
        <v>0</v>
      </c>
      <c r="Z17" s="54" t="e">
        <f t="shared" si="1"/>
        <v>#DIV/0!</v>
      </c>
    </row>
    <row r="18" spans="1:26" x14ac:dyDescent="0.25">
      <c r="A18" s="6">
        <f>'Water Reading'!A17</f>
        <v>44941</v>
      </c>
      <c r="B18" s="52">
        <f>TOTAL!I16</f>
        <v>0</v>
      </c>
      <c r="C18" s="53">
        <f>('Water Reading'!B18-'Water Reading'!B17)+('Water Reading'!C18-'Water Reading'!C17)</f>
        <v>0</v>
      </c>
      <c r="D18" s="54" t="e">
        <f t="shared" si="2"/>
        <v>#DIV/0!</v>
      </c>
      <c r="E18" s="68">
        <f>'Water Reading'!H18-'Water Reading'!H17</f>
        <v>0</v>
      </c>
      <c r="F18" s="69" t="e">
        <f t="shared" si="3"/>
        <v>#DIV/0!</v>
      </c>
      <c r="G18" s="73">
        <f>('Water Reading'!D18-'Water Reading'!D17)-('Water Reading'!R18-'Water Reading'!R17)-('Water Reading'!Q18-'Water Reading'!Q17)</f>
        <v>0</v>
      </c>
      <c r="H18" s="69" t="e">
        <f t="shared" si="4"/>
        <v>#DIV/0!</v>
      </c>
      <c r="I18" s="70">
        <f>'Water Reading'!P18-'Water Reading'!P17</f>
        <v>0</v>
      </c>
      <c r="J18" s="55" t="e">
        <f t="shared" si="5"/>
        <v>#DIV/0!</v>
      </c>
      <c r="K18" s="71">
        <f>('Water Reading'!I18-'Water Reading'!I17)-('Water Reading'!P18-'Water Reading'!P17)</f>
        <v>0</v>
      </c>
      <c r="L18" s="55" t="e">
        <f t="shared" si="6"/>
        <v>#DIV/0!</v>
      </c>
      <c r="M18" s="70">
        <f>'Water Reading'!R18-'Water Reading'!R17</f>
        <v>0</v>
      </c>
      <c r="N18" s="72" t="e">
        <f t="shared" si="7"/>
        <v>#DIV/0!</v>
      </c>
      <c r="O18" s="70">
        <f>'Water Reading'!Q18-'Water Reading'!Q17</f>
        <v>0</v>
      </c>
      <c r="P18" s="77" t="e">
        <f t="shared" si="8"/>
        <v>#DIV/0!</v>
      </c>
      <c r="Q18" s="71">
        <f>'Water Reading'!F18-'Water Reading'!F17</f>
        <v>0</v>
      </c>
      <c r="R18" s="78" t="e">
        <f t="shared" si="9"/>
        <v>#DIV/0!</v>
      </c>
      <c r="S18" s="70">
        <f>'Water Reading'!E18-'Water Reading'!E17</f>
        <v>0</v>
      </c>
      <c r="T18" s="78" t="e">
        <f t="shared" si="10"/>
        <v>#DIV/0!</v>
      </c>
      <c r="U18" s="70">
        <f>'Water Reading'!G18-'Water Reading'!G17</f>
        <v>0</v>
      </c>
      <c r="V18" s="78" t="e">
        <f t="shared" si="11"/>
        <v>#DIV/0!</v>
      </c>
      <c r="W18" s="71">
        <f>'Water Reading'!J18-'Water Reading'!J17</f>
        <v>0</v>
      </c>
      <c r="X18" s="78" t="e">
        <f t="shared" si="12"/>
        <v>#DIV/0!</v>
      </c>
      <c r="Y18" s="53">
        <f t="shared" si="0"/>
        <v>0</v>
      </c>
      <c r="Z18" s="54" t="e">
        <f t="shared" si="1"/>
        <v>#DIV/0!</v>
      </c>
    </row>
    <row r="19" spans="1:26" x14ac:dyDescent="0.25">
      <c r="A19" s="6">
        <f>'Water Reading'!A18</f>
        <v>44942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Reading'!G19-'Water Reading'!G18</f>
        <v>0</v>
      </c>
      <c r="V19" s="78" t="e">
        <f t="shared" si="11"/>
        <v>#DIV/0!</v>
      </c>
      <c r="W19" s="71">
        <f>'Water Reading'!J19-'Water Reading'!J18</f>
        <v>0</v>
      </c>
      <c r="X19" s="78" t="e">
        <f t="shared" si="12"/>
        <v>#DIV/0!</v>
      </c>
      <c r="Y19" s="53">
        <f t="shared" si="0"/>
        <v>0</v>
      </c>
      <c r="Z19" s="54" t="e">
        <f t="shared" si="1"/>
        <v>#DIV/0!</v>
      </c>
    </row>
    <row r="20" spans="1:26" x14ac:dyDescent="0.25">
      <c r="A20" s="6">
        <f>'Water Reading'!A19</f>
        <v>44943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94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44944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44945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44946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44947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44948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94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44949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44950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44951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4">
        <f>('Water Reading'!I28-'Water Reading'!I27)-('Water Reading'!P28-'Water Reading'!P27)</f>
        <v>0</v>
      </c>
      <c r="L28" s="10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4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44952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44953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44954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44955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44956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x14ac:dyDescent="0.25">
      <c r="A34" s="6">
        <f>'Water Reading'!A33</f>
        <v>44957</v>
      </c>
      <c r="B34" s="52">
        <f>TOTAL!I32</f>
        <v>0</v>
      </c>
      <c r="C34" s="53" t="e">
        <f>('Water Reading'!#REF!-'Water Reading'!B33)+('Water Reading'!#REF!-'Water Reading'!C33)</f>
        <v>#REF!</v>
      </c>
      <c r="D34" s="54" t="e">
        <f t="shared" ref="D34" si="14">C34/B34</f>
        <v>#REF!</v>
      </c>
      <c r="E34" s="68" t="e">
        <f>'Water Reading'!#REF!-'Water Reading'!H33</f>
        <v>#REF!</v>
      </c>
      <c r="F34" s="69" t="e">
        <f t="shared" ref="F34" si="15">E34/C34</f>
        <v>#REF!</v>
      </c>
      <c r="G34" s="73" t="e">
        <f>('Water Reading'!#REF!-'Water Reading'!D33)-('Water Reading'!#REF!-'Water Reading'!R33)-('Water Reading'!#REF!-'Water Reading'!Q33)</f>
        <v>#REF!</v>
      </c>
      <c r="H34" s="69" t="e">
        <f t="shared" ref="H34" si="16">G34/C34</f>
        <v>#REF!</v>
      </c>
      <c r="I34" s="70" t="e">
        <f>'Water Reading'!#REF!-'Water Reading'!P33</f>
        <v>#REF!</v>
      </c>
      <c r="J34" s="55" t="e">
        <f t="shared" ref="J34" si="17">I34/C34</f>
        <v>#REF!</v>
      </c>
      <c r="K34" s="71" t="e">
        <f>('Water Reading'!#REF!-'Water Reading'!I33)-('Water Reading'!#REF!-'Water Reading'!P33)</f>
        <v>#REF!</v>
      </c>
      <c r="L34" s="55" t="e">
        <f t="shared" ref="L34" si="18">K34/C34</f>
        <v>#REF!</v>
      </c>
      <c r="M34" s="70" t="e">
        <f>'Water Reading'!#REF!-'Water Reading'!R33</f>
        <v>#REF!</v>
      </c>
      <c r="N34" s="72" t="e">
        <f t="shared" ref="N34" si="19">M34/C34</f>
        <v>#REF!</v>
      </c>
      <c r="O34" s="70" t="e">
        <f>'Water Reading'!#REF!-'Water Reading'!Q33</f>
        <v>#REF!</v>
      </c>
      <c r="P34" s="77" t="e">
        <f t="shared" ref="P34" si="20">O34/C34</f>
        <v>#REF!</v>
      </c>
      <c r="Q34" s="71" t="e">
        <f>'Water Reading'!#REF!-'Water Reading'!F33</f>
        <v>#REF!</v>
      </c>
      <c r="R34" s="78" t="e">
        <f t="shared" ref="R34" si="21">Q34/C34</f>
        <v>#REF!</v>
      </c>
      <c r="S34" s="70" t="e">
        <f>'Water Reading'!#REF!-'Water Reading'!E33</f>
        <v>#REF!</v>
      </c>
      <c r="T34" s="78" t="e">
        <f t="shared" ref="T34" si="22">S34/C34</f>
        <v>#REF!</v>
      </c>
      <c r="U34" s="70" t="e">
        <f>'Water Reading'!#REF!-'Water Reading'!G33</f>
        <v>#REF!</v>
      </c>
      <c r="V34" s="78" t="e">
        <f t="shared" ref="V34" si="23">U34/C34</f>
        <v>#REF!</v>
      </c>
      <c r="W34" s="71" t="e">
        <f>'Water Reading'!#REF!-'Water Reading'!J33</f>
        <v>#REF!</v>
      </c>
      <c r="X34" s="78" t="e">
        <f t="shared" ref="X34" si="24">W34/C34</f>
        <v>#REF!</v>
      </c>
      <c r="Y34" s="53" t="e">
        <f t="shared" ref="Y34" si="25">E34+I34+K34+M34+O34+G34+Q34+S34+U34+W34</f>
        <v>#REF!</v>
      </c>
      <c r="Z34" s="54" t="e">
        <f t="shared" ref="Z34" si="26">Y34/B34</f>
        <v>#REF!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-67554</v>
      </c>
      <c r="D35" s="75" t="e">
        <f>C35/B35</f>
        <v>#VALUE!</v>
      </c>
      <c r="E35" s="5">
        <f>SUM(E4:E33)</f>
        <v>-596</v>
      </c>
      <c r="F35" s="74">
        <f>E35/C35</f>
        <v>8.8225715723717329E-3</v>
      </c>
      <c r="G35" s="60">
        <f>SUM(G4:G33)</f>
        <v>-297820</v>
      </c>
      <c r="H35" s="74">
        <f>G35/C35</f>
        <v>4.4086212511472302</v>
      </c>
      <c r="I35" s="5">
        <f>SUM(I4:I33)</f>
        <v>-33017</v>
      </c>
      <c r="J35" s="74">
        <f>I35/C35</f>
        <v>0.48874974094798235</v>
      </c>
      <c r="K35" s="5">
        <f>SUM(K4:K33)</f>
        <v>-47309</v>
      </c>
      <c r="L35" s="74">
        <f>K35/C35</f>
        <v>0.70031382301566159</v>
      </c>
      <c r="M35" s="5">
        <f>SUM(M4:M33)</f>
        <v>-1004</v>
      </c>
      <c r="N35" s="74">
        <f>M35/C35</f>
        <v>1.4862184326612784E-2</v>
      </c>
      <c r="O35" s="5">
        <f>SUM(O4:O33)</f>
        <v>-2365</v>
      </c>
      <c r="P35" s="74">
        <f>O35/C35</f>
        <v>3.5009029813186487E-2</v>
      </c>
      <c r="Q35" s="5">
        <f>SUM(Q4:Q33)</f>
        <v>-67417</v>
      </c>
      <c r="R35" s="74">
        <f>Q35/C35</f>
        <v>0.99797199277614945</v>
      </c>
      <c r="S35" s="60">
        <f>SUM(S4:S33)</f>
        <v>-286364</v>
      </c>
      <c r="T35" s="74">
        <f>S35/C35</f>
        <v>4.2390383989105009</v>
      </c>
      <c r="U35" s="5">
        <f>SUM(U4:U33)</f>
        <v>-124686</v>
      </c>
      <c r="V35" s="74">
        <f>U35/C35</f>
        <v>1.8457234212629896</v>
      </c>
      <c r="W35" s="5">
        <f>SUM(W4:W33)</f>
        <v>-24068</v>
      </c>
      <c r="X35" s="74">
        <f>W35/C35</f>
        <v>0.35627794061047457</v>
      </c>
      <c r="Y35" s="60">
        <f>SUM(Y4:Y33)</f>
        <v>-884646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2023-01-02T06:19:23Z</dcterms:modified>
  <cp:category/>
  <cp:contentStatus/>
</cp:coreProperties>
</file>