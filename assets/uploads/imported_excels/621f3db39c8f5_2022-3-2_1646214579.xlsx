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0521" documentId="8_{5B502D95-7A37-4D5A-8B6B-374537CC2F26}" xr6:coauthVersionLast="47" xr6:coauthVersionMax="47" xr10:uidLastSave="{59761027-74D6-4847-8E19-440DA40F4E6D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" i="2" l="1"/>
  <c r="V10" i="2"/>
  <c r="N11" i="2"/>
  <c r="N12" i="2"/>
  <c r="M11" i="2"/>
  <c r="N10" i="2"/>
  <c r="L11" i="2"/>
  <c r="F11" i="2"/>
  <c r="K10" i="6"/>
  <c r="I10" i="6"/>
  <c r="G10" i="6"/>
  <c r="E10" i="6"/>
  <c r="C10" i="6"/>
  <c r="M10" i="2"/>
  <c r="L10" i="2"/>
  <c r="F10" i="2"/>
  <c r="G4" i="4"/>
  <c r="E4" i="4"/>
  <c r="C4" i="4"/>
  <c r="L27" i="22"/>
  <c r="L28" i="22"/>
  <c r="L29" i="22"/>
  <c r="L30" i="22"/>
  <c r="L31" i="22"/>
  <c r="K27" i="22"/>
  <c r="K28" i="22"/>
  <c r="K29" i="22"/>
  <c r="K30" i="22"/>
  <c r="I27" i="22"/>
  <c r="I28" i="22"/>
  <c r="I29" i="22"/>
  <c r="I30" i="22"/>
  <c r="G27" i="22"/>
  <c r="G28" i="22"/>
  <c r="G29" i="22"/>
  <c r="G30" i="22"/>
  <c r="G31" i="22"/>
  <c r="E27" i="22"/>
  <c r="E28" i="22"/>
  <c r="E29" i="22"/>
  <c r="E30" i="22"/>
  <c r="E31" i="22"/>
  <c r="E32" i="22"/>
  <c r="B27" i="22"/>
  <c r="B28" i="22"/>
  <c r="B29" i="22"/>
  <c r="B30" i="22"/>
  <c r="B31" i="22"/>
  <c r="B32" i="22"/>
  <c r="I26" i="21"/>
  <c r="I27" i="21"/>
  <c r="I28" i="21"/>
  <c r="I29" i="21"/>
  <c r="I30" i="21"/>
  <c r="I31" i="21"/>
  <c r="I32" i="21"/>
  <c r="H26" i="21"/>
  <c r="H27" i="21"/>
  <c r="H28" i="21"/>
  <c r="H29" i="21"/>
  <c r="H30" i="21"/>
  <c r="H31" i="21"/>
  <c r="H32" i="21"/>
  <c r="G27" i="21"/>
  <c r="G28" i="21"/>
  <c r="G29" i="21"/>
  <c r="G30" i="21"/>
  <c r="G31" i="21"/>
  <c r="F27" i="21"/>
  <c r="F28" i="21"/>
  <c r="F29" i="21"/>
  <c r="F30" i="21"/>
  <c r="F31" i="21"/>
  <c r="F32" i="21"/>
  <c r="E27" i="21"/>
  <c r="E28" i="21"/>
  <c r="E29" i="21"/>
  <c r="E30" i="21"/>
  <c r="E31" i="21"/>
  <c r="E32" i="21"/>
  <c r="B27" i="21"/>
  <c r="B28" i="21"/>
  <c r="B29" i="21"/>
  <c r="B30" i="21"/>
  <c r="B31" i="21"/>
  <c r="B32" i="21"/>
  <c r="Q39" i="2"/>
  <c r="Q36" i="2"/>
  <c r="Q37" i="2"/>
  <c r="O39" i="2"/>
  <c r="O36" i="2"/>
  <c r="O37" i="2"/>
  <c r="H39" i="2"/>
  <c r="H37" i="2"/>
  <c r="H36" i="2"/>
  <c r="X40" i="2"/>
  <c r="K37" i="6"/>
  <c r="I37" i="6"/>
  <c r="G37" i="6"/>
  <c r="E37" i="6"/>
  <c r="C37" i="6"/>
  <c r="X34" i="2"/>
  <c r="X35" i="2"/>
  <c r="X38" i="2"/>
  <c r="K36" i="6"/>
  <c r="I36" i="6"/>
  <c r="G36" i="6"/>
  <c r="E36" i="6"/>
  <c r="C36" i="6"/>
  <c r="K34" i="6"/>
  <c r="I34" i="6"/>
  <c r="G34" i="6"/>
  <c r="E34" i="6"/>
  <c r="C34" i="6"/>
  <c r="X33" i="2"/>
  <c r="K33" i="6"/>
  <c r="I33" i="6"/>
  <c r="G33" i="6"/>
  <c r="E33" i="6"/>
  <c r="C33" i="6"/>
  <c r="G27" i="4"/>
  <c r="E27" i="4"/>
  <c r="C27" i="4"/>
  <c r="K32" i="6"/>
  <c r="I32" i="6"/>
  <c r="G32" i="6"/>
  <c r="E32" i="6"/>
  <c r="C32" i="6"/>
  <c r="K31" i="6"/>
  <c r="I31" i="6"/>
  <c r="G31" i="6"/>
  <c r="E31" i="6"/>
  <c r="C31" i="6"/>
  <c r="X30" i="2"/>
  <c r="K30" i="6"/>
  <c r="I30" i="6"/>
  <c r="G30" i="6"/>
  <c r="E30" i="6"/>
  <c r="C30" i="6"/>
  <c r="X28" i="2"/>
  <c r="X29" i="2"/>
  <c r="K29" i="6"/>
  <c r="I29" i="6"/>
  <c r="G29" i="6"/>
  <c r="E29" i="6"/>
  <c r="C29" i="6"/>
  <c r="K28" i="6"/>
  <c r="I28" i="6"/>
  <c r="G28" i="6"/>
  <c r="E28" i="6"/>
  <c r="C28" i="6"/>
  <c r="X27" i="2"/>
  <c r="K27" i="6"/>
  <c r="I27" i="6"/>
  <c r="G27" i="6"/>
  <c r="E27" i="6"/>
  <c r="C27" i="6"/>
  <c r="X26" i="2"/>
  <c r="K26" i="6"/>
  <c r="I26" i="6"/>
  <c r="G26" i="6"/>
  <c r="E26" i="6"/>
  <c r="C26" i="6"/>
  <c r="K25" i="6"/>
  <c r="I25" i="6"/>
  <c r="G25" i="6"/>
  <c r="E25" i="6"/>
  <c r="C25" i="6"/>
  <c r="X24" i="2"/>
  <c r="C24" i="6"/>
  <c r="E24" i="6"/>
  <c r="G24" i="6"/>
  <c r="I24" i="6"/>
  <c r="K24" i="6"/>
  <c r="X19" i="2"/>
  <c r="X20" i="2"/>
  <c r="X21" i="2"/>
  <c r="X22" i="2"/>
  <c r="X23" i="2"/>
  <c r="K20" i="6"/>
  <c r="I20" i="6"/>
  <c r="G20" i="6"/>
  <c r="E20" i="6"/>
  <c r="C20" i="6"/>
  <c r="K19" i="6"/>
  <c r="I19" i="6"/>
  <c r="G19" i="6"/>
  <c r="E19" i="6"/>
  <c r="C19" i="6"/>
  <c r="X17" i="2"/>
  <c r="X18" i="2"/>
  <c r="K17" i="6"/>
  <c r="I17" i="6"/>
  <c r="G17" i="6"/>
  <c r="E17" i="6"/>
  <c r="C17" i="6"/>
  <c r="K16" i="6"/>
  <c r="I16" i="6"/>
  <c r="G16" i="6"/>
  <c r="E16" i="6"/>
  <c r="C16" i="6"/>
  <c r="X13" i="2"/>
  <c r="X14" i="2"/>
  <c r="X15" i="2"/>
  <c r="K13" i="6"/>
  <c r="I13" i="6"/>
  <c r="G13" i="6"/>
  <c r="E13" i="6"/>
  <c r="C13" i="6"/>
  <c r="X12" i="2"/>
  <c r="K12" i="6"/>
  <c r="I12" i="6"/>
  <c r="G12" i="6"/>
  <c r="E12" i="6"/>
  <c r="C12" i="6"/>
  <c r="X11" i="2"/>
  <c r="X10" i="2"/>
  <c r="K35" i="6"/>
  <c r="I35" i="6"/>
  <c r="G35" i="6"/>
  <c r="E35" i="6"/>
  <c r="C35" i="6"/>
  <c r="Q28" i="2"/>
  <c r="G21" i="4"/>
  <c r="E21" i="4"/>
  <c r="C21" i="4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18" i="6"/>
  <c r="I18" i="6"/>
  <c r="G18" i="6"/>
  <c r="E18" i="6"/>
  <c r="C18" i="6"/>
  <c r="K15" i="6"/>
  <c r="I15" i="6"/>
  <c r="G15" i="6"/>
  <c r="E15" i="6"/>
  <c r="C15" i="6"/>
  <c r="K14" i="6"/>
  <c r="I14" i="6"/>
  <c r="G14" i="6"/>
  <c r="E14" i="6"/>
  <c r="C14" i="6"/>
  <c r="G22" i="4"/>
  <c r="E22" i="4"/>
  <c r="C22" i="4"/>
  <c r="M4" i="4"/>
  <c r="M5" i="4"/>
  <c r="M6" i="4"/>
  <c r="M7" i="4"/>
  <c r="G17" i="4"/>
  <c r="P41" i="4"/>
  <c r="P42" i="4"/>
  <c r="L21" i="22"/>
  <c r="L22" i="22"/>
  <c r="L23" i="22"/>
  <c r="L24" i="22"/>
  <c r="L25" i="22"/>
  <c r="L26" i="22"/>
  <c r="L32" i="22"/>
  <c r="K20" i="22"/>
  <c r="K21" i="22"/>
  <c r="K22" i="22"/>
  <c r="K23" i="22"/>
  <c r="K24" i="22"/>
  <c r="K25" i="22"/>
  <c r="K26" i="22"/>
  <c r="K31" i="22"/>
  <c r="K32" i="22"/>
  <c r="C35" i="4"/>
  <c r="G32" i="21"/>
  <c r="I32" i="22"/>
  <c r="I31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2" i="4"/>
  <c r="G14" i="4"/>
  <c r="G16" i="4"/>
  <c r="G26" i="4"/>
  <c r="E8" i="4"/>
  <c r="E12" i="4"/>
  <c r="E14" i="4"/>
  <c r="E16" i="4"/>
  <c r="E17" i="4"/>
  <c r="E26" i="4"/>
  <c r="C8" i="4"/>
  <c r="C12" i="4"/>
  <c r="C14" i="4"/>
  <c r="C16" i="4"/>
  <c r="C17" i="4"/>
  <c r="C26" i="4"/>
  <c r="AC9" i="4"/>
  <c r="AC10" i="4"/>
  <c r="G6" i="21"/>
  <c r="G7" i="21"/>
  <c r="G8" i="21"/>
  <c r="O11" i="2"/>
  <c r="I23" i="21"/>
  <c r="I24" i="21"/>
  <c r="I25" i="21"/>
  <c r="H23" i="21"/>
  <c r="H24" i="21"/>
  <c r="H25" i="21"/>
  <c r="G23" i="21"/>
  <c r="G24" i="21"/>
  <c r="G25" i="21"/>
  <c r="G26" i="21"/>
  <c r="F23" i="21"/>
  <c r="F24" i="21"/>
  <c r="F25" i="21"/>
  <c r="F26" i="21"/>
  <c r="E26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40" i="2"/>
  <c r="H40" i="2"/>
  <c r="Q40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29" i="4" l="1"/>
  <c r="E29" i="4"/>
  <c r="C29" i="4"/>
  <c r="X31" i="2"/>
  <c r="X32" i="2"/>
  <c r="G24" i="4"/>
  <c r="E24" i="4"/>
  <c r="C24" i="4"/>
  <c r="X25" i="2"/>
  <c r="G15" i="4"/>
  <c r="E15" i="4"/>
  <c r="C15" i="4"/>
  <c r="X16" i="2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1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2" i="22" s="1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<sst xmlns="http://schemas.openxmlformats.org/spreadsheetml/2006/main" count="484" uniqueCount="187">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</sst>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19" fillId="32" borderId="10" xfId="0" applyFont="1" applyFill="1" applyBorder="1" applyAlignment="1">
      <alignment horizontal="center" vertic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104</c:v>
                </c:pt>
                <c:pt idx="1">
                  <c:v>119.10000000000582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3191</c:v>
                </c:pt>
                <c:pt idx="1">
                  <c:v>3545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5249</c:v>
                </c:pt>
                <c:pt idx="1">
                  <c:v>5210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2431</c:v>
                </c:pt>
                <c:pt idx="1">
                  <c:v>2489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1119.97235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1" workbookViewId="0">
      <selection activeCell="L26" sqref="L26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3</v>
      </c>
      <c r="D2" s="141">
        <v>2022</v>
      </c>
      <c r="E2" s="137">
        <f>submetering!E2+submetering!F2+submetering!G2</f>
        <v>10871</v>
      </c>
      <c r="F2" s="134">
        <v>1.05</v>
      </c>
      <c r="G2" s="134">
        <f>'Consommation mensuel énergie'!V10</f>
        <v>1119.97235</v>
      </c>
      <c r="H2" s="134">
        <v>9.9649999999999999</v>
      </c>
      <c r="I2" s="134">
        <f>'Consommation mensuel énergie'!F10</f>
        <v>104</v>
      </c>
      <c r="J2" s="134">
        <v>11.4</v>
      </c>
      <c r="K2" s="137">
        <f>'Consommation mensuel énergie'!D10</f>
        <v>102</v>
      </c>
      <c r="L2" s="137">
        <f>'Consommation mensuel énergie'!E10</f>
        <v>149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3</v>
      </c>
      <c r="D3" s="141">
        <v>2022</v>
      </c>
      <c r="E3" s="137">
        <f>submetering!E3+submetering!F3+submetering!G3</f>
        <v>8755</v>
      </c>
      <c r="F3" s="134">
        <v>1.05</v>
      </c>
      <c r="G3" s="134">
        <f>'Consommation mensuel énergie'!V11</f>
        <v>0</v>
      </c>
      <c r="H3" s="134">
        <v>9.9649999999999999</v>
      </c>
      <c r="I3" s="134">
        <f>'Consommation mensuel énergie'!F11</f>
        <v>119.10000000000582</v>
      </c>
      <c r="J3" s="134">
        <v>11.4</v>
      </c>
      <c r="K3" s="137">
        <f>'Consommation mensuel énergie'!D11</f>
        <v>0</v>
      </c>
      <c r="L3" s="137">
        <f>'Consommation mensuel énergie'!E11</f>
        <v>0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3</v>
      </c>
      <c r="D4" s="141">
        <v>2022</v>
      </c>
      <c r="E4" s="137">
        <f>submetering!E4+submetering!F4+submetering!G4</f>
        <v>0</v>
      </c>
      <c r="F4" s="134">
        <v>1.05</v>
      </c>
      <c r="G4" s="134">
        <f>'Consommation mensuel énergie'!V12</f>
        <v>0</v>
      </c>
      <c r="H4" s="134">
        <v>9.9649999999999999</v>
      </c>
      <c r="I4" s="134">
        <f>'Consommation mensuel énergie'!F12</f>
        <v>0</v>
      </c>
      <c r="J4" s="134">
        <v>11.4</v>
      </c>
      <c r="K4" s="137">
        <f>'Consommation mensuel énergie'!D12</f>
        <v>0</v>
      </c>
      <c r="L4" s="137">
        <f>'Consommation mensuel énergie'!E12</f>
        <v>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3</v>
      </c>
      <c r="D5" s="141">
        <v>2022</v>
      </c>
      <c r="E5" s="137">
        <f>submetering!E5+submetering!F5+submetering!G5</f>
        <v>0</v>
      </c>
      <c r="F5" s="134">
        <v>1.05</v>
      </c>
      <c r="G5" s="134">
        <f>'Consommation mensuel énergie'!V13</f>
        <v>0</v>
      </c>
      <c r="H5" s="134">
        <v>9.9649999999999999</v>
      </c>
      <c r="I5" s="134">
        <f>'Consommation mensuel énergie'!F13</f>
        <v>0</v>
      </c>
      <c r="J5" s="134">
        <v>11.4</v>
      </c>
      <c r="K5" s="137">
        <f>'Consommation mensuel énergie'!D13</f>
        <v>0</v>
      </c>
      <c r="L5" s="137">
        <f>'Consommation mensuel énergie'!E13</f>
        <v>0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3</v>
      </c>
      <c r="D6" s="141">
        <v>2022</v>
      </c>
      <c r="E6" s="137">
        <f>submetering!E6+submetering!F6+submetering!G6</f>
        <v>0</v>
      </c>
      <c r="F6" s="134">
        <v>1.05</v>
      </c>
      <c r="G6" s="134">
        <f>'Consommation mensuel énergie'!V14</f>
        <v>0</v>
      </c>
      <c r="H6" s="134">
        <v>9.9649999999999999</v>
      </c>
      <c r="I6" s="134">
        <f>'Consommation mensuel énergie'!F14</f>
        <v>0</v>
      </c>
      <c r="J6" s="134">
        <v>11.4</v>
      </c>
      <c r="K6" s="137">
        <f>'Consommation mensuel énergie'!D14</f>
        <v>0</v>
      </c>
      <c r="L6" s="137">
        <f>'Consommation mensuel énergie'!E14</f>
        <v>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3</v>
      </c>
      <c r="D7" s="141">
        <v>2022</v>
      </c>
      <c r="E7" s="137">
        <f>submetering!E7+submetering!F7+submetering!G7</f>
        <v>0</v>
      </c>
      <c r="F7" s="134">
        <v>1.05</v>
      </c>
      <c r="G7" s="134">
        <f>'Consommation mensuel énergie'!V15</f>
        <v>0</v>
      </c>
      <c r="H7" s="134">
        <v>9.9649999999999999</v>
      </c>
      <c r="I7" s="134">
        <f>'Consommation mensuel énergie'!F15</f>
        <v>0</v>
      </c>
      <c r="J7" s="134">
        <v>11.4</v>
      </c>
      <c r="K7" s="137">
        <f>'Consommation mensuel énergie'!D15</f>
        <v>0</v>
      </c>
      <c r="L7" s="137">
        <f>'Consommation mensuel énergie'!E15</f>
        <v>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3</v>
      </c>
      <c r="D8" s="141">
        <v>2022</v>
      </c>
      <c r="E8" s="137">
        <f>submetering!E8+submetering!F8+submetering!G8</f>
        <v>0</v>
      </c>
      <c r="F8" s="134">
        <v>1.05</v>
      </c>
      <c r="G8" s="134">
        <f>'Consommation mensuel énergie'!V16</f>
        <v>0</v>
      </c>
      <c r="H8" s="134">
        <v>9.9649999999999999</v>
      </c>
      <c r="I8" s="134">
        <f>'Consommation mensuel énergie'!F16</f>
        <v>0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3</v>
      </c>
      <c r="D9" s="141">
        <v>2022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9.9649999999999999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3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9.9649999999999999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3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9.9649999999999999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3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3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9.9649999999999999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3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3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3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3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3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3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3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3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3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3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3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3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3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3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3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3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3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3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énergie'!V40</f>
        <v>0</v>
      </c>
      <c r="H31" s="134">
        <v>9.9649999999999999</v>
      </c>
      <c r="I31" s="134">
        <f>'Consommation mensuel énergie'!F38</f>
        <v>0</v>
      </c>
      <c r="J31" s="134">
        <v>11.4</v>
      </c>
      <c r="K31" s="137">
        <f>'Consommation mensuel énergie'!D38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3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énergie'!V41</f>
        <v>1119.97235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topLeftCell="A14" workbookViewId="0">
      <selection activeCell="I25" sqref="I25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3</v>
      </c>
      <c r="D2" s="141">
        <v>2022</v>
      </c>
      <c r="E2" s="137">
        <f>'Consommation mensuel énergie'!L10</f>
        <v>3191</v>
      </c>
      <c r="F2" s="137">
        <f>'Consommation mensuel énergie'!M10</f>
        <v>5249</v>
      </c>
      <c r="G2" s="137">
        <f>'Consommation mensuel énergie'!N10</f>
        <v>2431</v>
      </c>
      <c r="H2" s="137">
        <f>'Consommation mensuel énergie'!D10</f>
        <v>102</v>
      </c>
      <c r="I2" s="137">
        <f>'Consommation mensuel énergie'!E10</f>
        <v>149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3</v>
      </c>
      <c r="D3" s="141">
        <v>2022</v>
      </c>
      <c r="E3" s="137">
        <f>'Consommation mensuel énergie'!L11</f>
        <v>3545</v>
      </c>
      <c r="F3" s="137">
        <f>'Consommation mensuel énergie'!M11</f>
        <v>5210</v>
      </c>
      <c r="G3" s="137">
        <f>'Consommation mensuel énergie'!N14</f>
        <v>0</v>
      </c>
      <c r="H3" s="137">
        <f>'Consommation mensuel énergie'!D11</f>
        <v>0</v>
      </c>
      <c r="I3" s="137">
        <f>'Consommation mensuel énergie'!E11</f>
        <v>0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3</v>
      </c>
      <c r="D4" s="141">
        <v>2022</v>
      </c>
      <c r="E4" s="137">
        <f>'Consommation mensuel énergie'!L12</f>
        <v>0</v>
      </c>
      <c r="F4" s="137">
        <f>'Consommation mensuel énergie'!M12</f>
        <v>0</v>
      </c>
      <c r="G4" s="137">
        <f>'Consommation mensuel énergie'!N12</f>
        <v>0</v>
      </c>
      <c r="H4" s="137">
        <f>'Consommation mensuel énergie'!D12</f>
        <v>0</v>
      </c>
      <c r="I4" s="137">
        <f>'Consommation mensuel énergie'!E12</f>
        <v>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3</v>
      </c>
      <c r="D5" s="141">
        <v>2022</v>
      </c>
      <c r="E5" s="137">
        <f>'Consommation mensuel énergie'!L13</f>
        <v>0</v>
      </c>
      <c r="F5" s="137">
        <f>'Consommation mensuel énergie'!M13</f>
        <v>0</v>
      </c>
      <c r="G5" s="137">
        <f>'Consommation mensuel énergie'!N13</f>
        <v>0</v>
      </c>
      <c r="H5" s="137">
        <f>'Consommation mensuel énergie'!D13</f>
        <v>0</v>
      </c>
      <c r="I5" s="137">
        <f>'Consommation mensuel énergie'!E13</f>
        <v>0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3</v>
      </c>
      <c r="D6" s="141">
        <v>2022</v>
      </c>
      <c r="E6" s="137">
        <f>'Consommation mensuel énergie'!L14</f>
        <v>0</v>
      </c>
      <c r="F6" s="137">
        <f>'Consommation mensuel énergie'!M14</f>
        <v>0</v>
      </c>
      <c r="G6" s="137">
        <f>'Consommation mensuel énergie'!N14</f>
        <v>0</v>
      </c>
      <c r="H6" s="137">
        <f>'Consommation mensuel énergie'!D14</f>
        <v>0</v>
      </c>
      <c r="I6" s="137">
        <f>'Consommation mensuel énergie'!E14</f>
        <v>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3</v>
      </c>
      <c r="D7" s="141">
        <v>2022</v>
      </c>
      <c r="E7" s="137">
        <f>'Consommation mensuel énergie'!L15</f>
        <v>0</v>
      </c>
      <c r="F7" s="137">
        <f>'Consommation mensuel énergie'!M15</f>
        <v>0</v>
      </c>
      <c r="G7" s="137">
        <f>'Consommation mensuel énergie'!N15</f>
        <v>0</v>
      </c>
      <c r="H7" s="137">
        <f>'Consommation mensuel énergie'!D15</f>
        <v>0</v>
      </c>
      <c r="I7" s="137">
        <f>'Consommation mensuel énergie'!E15</f>
        <v>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3</v>
      </c>
      <c r="D8" s="141">
        <v>2022</v>
      </c>
      <c r="E8" s="137">
        <f>'Consommation mensuel énergie'!L16</f>
        <v>0</v>
      </c>
      <c r="F8" s="137">
        <f>'Consommation mensuel énergie'!M16</f>
        <v>0</v>
      </c>
      <c r="G8" s="137">
        <f>'Consommation mensuel énergie'!N16</f>
        <v>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3</v>
      </c>
      <c r="D9" s="141">
        <v>2022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3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3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3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3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3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3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3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3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3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3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3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3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3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3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3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3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3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3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3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3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3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3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3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0" activePane="bottomRight" state="frozen"/>
      <selection pane="bottomRight" activeCell="E11" sqref="E1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44621</v>
      </c>
      <c r="C10" s="7"/>
      <c r="D10" s="143">
        <v>102</v>
      </c>
      <c r="E10" s="143">
        <v>149</v>
      </c>
      <c r="F10" s="13">
        <f>'Suivi EAU-ELEC'!E9</f>
        <v>104</v>
      </c>
      <c r="G10" s="11"/>
      <c r="H10" s="168">
        <f>F10*8.79</f>
        <v>914.15999999999985</v>
      </c>
      <c r="I10" s="169"/>
      <c r="J10" s="169"/>
      <c r="K10" s="60">
        <v>42278</v>
      </c>
      <c r="L10" s="90">
        <f>'Suivi EAU-ELEC'!G9</f>
        <v>3191</v>
      </c>
      <c r="M10" s="91">
        <f>'Suivi EAU-ELEC'!I9</f>
        <v>5249</v>
      </c>
      <c r="N10" s="91">
        <f>'Suivi EAU-ELEC'!K9</f>
        <v>2431</v>
      </c>
      <c r="O10" s="91">
        <f>L10+M10+N10</f>
        <v>10871</v>
      </c>
      <c r="P10" s="11"/>
      <c r="Q10" s="34">
        <f>L10*0.6985+M10*0.9514+N10*1.3304</f>
        <v>10457.014500000001</v>
      </c>
      <c r="R10" s="11"/>
      <c r="S10" s="28"/>
      <c r="T10" s="11"/>
      <c r="U10" s="28"/>
      <c r="V10" s="146">
        <f>'Suvi Gaz'!O4</f>
        <v>1119.97235</v>
      </c>
      <c r="W10" s="11"/>
      <c r="X10" s="34">
        <f>V10*11.79</f>
        <v>13204.474006499999</v>
      </c>
    </row>
    <row r="11" spans="1:24" ht="32.25" customHeight="1">
      <c r="A11" s="2"/>
      <c r="B11" s="6">
        <v>44622</v>
      </c>
      <c r="C11" s="7"/>
      <c r="D11" s="143"/>
      <c r="E11" s="143"/>
      <c r="F11" s="13">
        <f>'Suivi EAU-ELEC'!E10</f>
        <v>119.10000000000582</v>
      </c>
      <c r="G11" s="11"/>
      <c r="H11" s="168">
        <f t="shared" ref="H11:H21" si="0">F11*8.79</f>
        <v>1046.8890000000511</v>
      </c>
      <c r="I11" s="169"/>
      <c r="J11" s="169"/>
      <c r="K11" s="60">
        <v>42279</v>
      </c>
      <c r="L11" s="90">
        <f>'Suivi EAU-ELEC'!G10</f>
        <v>3545</v>
      </c>
      <c r="M11" s="91">
        <f>'Suivi EAU-ELEC'!I10</f>
        <v>5210</v>
      </c>
      <c r="N11" s="91">
        <f>'Suivi EAU-ELEC'!K10</f>
        <v>2489</v>
      </c>
      <c r="O11" s="91">
        <f>L11+M11+N11</f>
        <v>11244</v>
      </c>
      <c r="P11" s="11"/>
      <c r="Q11" s="34">
        <f>L11*0.6985+M11*0.9514+N14*1.3304</f>
        <v>7432.9764999999998</v>
      </c>
      <c r="R11" s="11"/>
      <c r="S11" s="28"/>
      <c r="T11" s="11"/>
      <c r="U11" s="28"/>
      <c r="V11" s="146"/>
      <c r="W11" s="11"/>
      <c r="X11" s="34">
        <f t="shared" ref="X11:X40" si="1">V11*11.79</f>
        <v>0</v>
      </c>
    </row>
    <row r="12" spans="1:24" ht="32.25" customHeight="1">
      <c r="A12" s="2"/>
      <c r="B12" s="6">
        <v>44623</v>
      </c>
      <c r="C12" s="7"/>
      <c r="D12" s="143"/>
      <c r="E12" s="143"/>
      <c r="F12" s="13"/>
      <c r="G12" s="11"/>
      <c r="H12" s="168">
        <f t="shared" si="0"/>
        <v>0</v>
      </c>
      <c r="I12" s="169"/>
      <c r="J12" s="169"/>
      <c r="K12" s="60">
        <v>42280</v>
      </c>
      <c r="L12" s="90"/>
      <c r="M12" s="91"/>
      <c r="N12" s="91">
        <f>'Suivi EAU-ELEC'!K11</f>
        <v>0</v>
      </c>
      <c r="O12" s="91">
        <f>L12+M12+N12</f>
        <v>0</v>
      </c>
      <c r="P12" s="11"/>
      <c r="Q12" s="34">
        <f>L12*0.6985+M12*0.9514+N12*1.3304</f>
        <v>0</v>
      </c>
      <c r="R12" s="11"/>
      <c r="S12" s="28"/>
      <c r="T12" s="11"/>
      <c r="U12" s="28"/>
      <c r="V12" s="146"/>
      <c r="W12" s="11"/>
      <c r="X12" s="34">
        <f t="shared" si="1"/>
        <v>0</v>
      </c>
    </row>
    <row r="13" spans="1:24" ht="32.25" customHeight="1">
      <c r="A13" s="2"/>
      <c r="B13" s="6">
        <v>44624</v>
      </c>
      <c r="C13" s="7"/>
      <c r="D13" s="143"/>
      <c r="E13" s="143"/>
      <c r="F13" s="13"/>
      <c r="G13" s="11"/>
      <c r="H13" s="168">
        <f t="shared" si="0"/>
        <v>0</v>
      </c>
      <c r="I13" s="169"/>
      <c r="J13" s="169"/>
      <c r="K13" s="60">
        <v>42281</v>
      </c>
      <c r="L13" s="90"/>
      <c r="M13" s="91"/>
      <c r="N13" s="91"/>
      <c r="O13" s="91">
        <f t="shared" ref="O13:O40" si="2">L13+M13+N13</f>
        <v>0</v>
      </c>
      <c r="P13" s="11"/>
      <c r="Q13" s="34">
        <f t="shared" ref="Q13:Q40" si="3">L13*0.6985+M13*0.9514+N13*1.3304</f>
        <v>0</v>
      </c>
      <c r="R13" s="11"/>
      <c r="S13" s="28"/>
      <c r="T13" s="11"/>
      <c r="U13" s="28"/>
      <c r="V13" s="146"/>
      <c r="W13" s="11"/>
      <c r="X13" s="34">
        <f t="shared" si="1"/>
        <v>0</v>
      </c>
    </row>
    <row r="14" spans="1:24" ht="32.25" customHeight="1">
      <c r="A14" s="2"/>
      <c r="B14" s="6">
        <v>44625</v>
      </c>
      <c r="C14" s="7"/>
      <c r="D14" s="143"/>
      <c r="E14" s="143"/>
      <c r="F14" s="13"/>
      <c r="G14" s="12"/>
      <c r="H14" s="168">
        <f t="shared" si="0"/>
        <v>0</v>
      </c>
      <c r="I14" s="169"/>
      <c r="J14" s="169"/>
      <c r="K14" s="60">
        <v>42282</v>
      </c>
      <c r="L14" s="90"/>
      <c r="M14" s="91"/>
      <c r="N14" s="91"/>
      <c r="O14" s="91">
        <f t="shared" si="2"/>
        <v>0</v>
      </c>
      <c r="P14" s="12"/>
      <c r="Q14" s="34">
        <f t="shared" si="3"/>
        <v>0</v>
      </c>
      <c r="R14" s="12"/>
      <c r="S14" s="28"/>
      <c r="T14" s="12"/>
      <c r="U14" s="28"/>
      <c r="V14" s="146"/>
      <c r="W14" s="11"/>
      <c r="X14" s="34">
        <f t="shared" si="1"/>
        <v>0</v>
      </c>
    </row>
    <row r="15" spans="1:24" ht="32.25" customHeight="1">
      <c r="A15" s="5"/>
      <c r="B15" s="6">
        <v>44626</v>
      </c>
      <c r="C15" s="7"/>
      <c r="D15" s="143"/>
      <c r="E15" s="143"/>
      <c r="F15" s="13"/>
      <c r="G15" s="11"/>
      <c r="H15" s="168">
        <f t="shared" si="0"/>
        <v>0</v>
      </c>
      <c r="I15" s="169"/>
      <c r="J15" s="169"/>
      <c r="K15" s="60">
        <v>42283</v>
      </c>
      <c r="L15" s="90"/>
      <c r="M15" s="91"/>
      <c r="N15" s="91"/>
      <c r="O15" s="91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46"/>
      <c r="W15" s="11"/>
      <c r="X15" s="34">
        <f t="shared" si="1"/>
        <v>0</v>
      </c>
    </row>
    <row r="16" spans="1:24" ht="32.25" customHeight="1">
      <c r="A16" s="5"/>
      <c r="B16" s="6">
        <v>44627</v>
      </c>
      <c r="C16" s="7"/>
      <c r="D16" s="143"/>
      <c r="E16" s="143"/>
      <c r="F16" s="13"/>
      <c r="G16" s="11"/>
      <c r="H16" s="168">
        <f t="shared" si="0"/>
        <v>0</v>
      </c>
      <c r="I16" s="169"/>
      <c r="J16" s="169"/>
      <c r="K16" s="60">
        <v>42284</v>
      </c>
      <c r="L16" s="90"/>
      <c r="M16" s="91"/>
      <c r="N16" s="91"/>
      <c r="O16" s="91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44628</v>
      </c>
      <c r="C17" s="7"/>
      <c r="D17" s="143"/>
      <c r="E17" s="143"/>
      <c r="F17" s="13"/>
      <c r="G17" s="11"/>
      <c r="H17" s="168">
        <f t="shared" si="0"/>
        <v>0</v>
      </c>
      <c r="I17" s="169"/>
      <c r="J17" s="169"/>
      <c r="K17" s="60">
        <v>42285</v>
      </c>
      <c r="L17" s="90"/>
      <c r="M17" s="91"/>
      <c r="N17" s="91"/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44629</v>
      </c>
      <c r="C18" s="7"/>
      <c r="D18" s="143"/>
      <c r="E18" s="143"/>
      <c r="F18" s="13"/>
      <c r="G18" s="11"/>
      <c r="H18" s="168">
        <f t="shared" si="0"/>
        <v>0</v>
      </c>
      <c r="I18" s="169"/>
      <c r="J18" s="169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44630</v>
      </c>
      <c r="C19" s="7"/>
      <c r="D19" s="143"/>
      <c r="E19" s="143"/>
      <c r="F19" s="13"/>
      <c r="G19" s="12"/>
      <c r="H19" s="168">
        <f t="shared" si="0"/>
        <v>0</v>
      </c>
      <c r="I19" s="169"/>
      <c r="J19" s="169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44631</v>
      </c>
      <c r="C20" s="7"/>
      <c r="D20" s="143"/>
      <c r="E20" s="143"/>
      <c r="F20" s="13"/>
      <c r="G20" s="12"/>
      <c r="H20" s="168">
        <f t="shared" si="0"/>
        <v>0</v>
      </c>
      <c r="I20" s="169"/>
      <c r="J20" s="169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44632</v>
      </c>
      <c r="C21" s="7"/>
      <c r="D21" s="143"/>
      <c r="E21" s="143"/>
      <c r="F21" s="13"/>
      <c r="G21" s="12"/>
      <c r="H21" s="168">
        <f t="shared" si="0"/>
        <v>0</v>
      </c>
      <c r="I21" s="169"/>
      <c r="J21" s="169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44633</v>
      </c>
      <c r="C22" s="7"/>
      <c r="D22" s="143"/>
      <c r="E22" s="143"/>
      <c r="F22" s="13"/>
      <c r="G22" s="12"/>
      <c r="H22" s="168">
        <f t="shared" ref="H22:H35" si="4">F22*8.79</f>
        <v>0</v>
      </c>
      <c r="I22" s="169"/>
      <c r="J22" s="169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44634</v>
      </c>
      <c r="C23" s="7"/>
      <c r="D23" s="143"/>
      <c r="E23" s="143"/>
      <c r="F23" s="13"/>
      <c r="G23" s="14"/>
      <c r="H23" s="168">
        <f t="shared" si="4"/>
        <v>0</v>
      </c>
      <c r="I23" s="169"/>
      <c r="J23" s="169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44635</v>
      </c>
      <c r="C24" s="7"/>
      <c r="D24" s="143"/>
      <c r="E24" s="143"/>
      <c r="F24" s="13"/>
      <c r="G24" s="14"/>
      <c r="H24" s="168">
        <f t="shared" si="4"/>
        <v>0</v>
      </c>
      <c r="I24" s="169"/>
      <c r="J24" s="169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44636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44637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44638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44639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44640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44641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44642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44643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44644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44645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44646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44647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/>
    </row>
    <row r="37" spans="1:24" ht="33.75" customHeight="1">
      <c r="A37" s="2"/>
      <c r="B37" s="6">
        <v>44648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/>
    </row>
    <row r="38" spans="1:24" ht="33.75" customHeight="1">
      <c r="A38" s="2"/>
      <c r="B38" s="6">
        <v>44649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44650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/>
    </row>
    <row r="40" spans="1:24" ht="33.75" customHeight="1">
      <c r="A40" s="2"/>
      <c r="B40" s="6">
        <v>44651</v>
      </c>
      <c r="C40" s="7"/>
      <c r="D40" s="143"/>
      <c r="E40" s="143"/>
      <c r="F40" s="13"/>
      <c r="G40" s="11"/>
      <c r="H40" s="168">
        <f t="shared" ref="H40" si="6">F40*8.79</f>
        <v>0</v>
      </c>
      <c r="I40" s="169"/>
      <c r="J40" s="169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102</v>
      </c>
      <c r="E41" s="8">
        <f>SUM(E10:E40)</f>
        <v>149</v>
      </c>
      <c r="F41" s="152">
        <f>SUM(F10:F40)</f>
        <v>223.10000000000582</v>
      </c>
      <c r="G41" s="1"/>
      <c r="H41" s="206">
        <f>SUM(H10:H40)</f>
        <v>1961.0490000000509</v>
      </c>
      <c r="I41" s="207"/>
      <c r="J41" s="208"/>
      <c r="K41" s="1"/>
      <c r="L41" s="53">
        <f>SUM(L10:L40)</f>
        <v>6736</v>
      </c>
      <c r="M41" s="53">
        <f>SUM(M10:M40)</f>
        <v>10459</v>
      </c>
      <c r="N41" s="54">
        <f>SUM(N10:N40)</f>
        <v>4920</v>
      </c>
      <c r="O41" s="55">
        <f>SUM(O10:O40)</f>
        <v>22115</v>
      </c>
      <c r="P41" s="31"/>
      <c r="Q41" s="32">
        <f>SUM(Q10:Q40)</f>
        <v>17889.991000000002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1119.97235</v>
      </c>
      <c r="W41" s="31"/>
      <c r="X41" s="32">
        <f>SUM(X10:X40)</f>
        <v>13204.474006499999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6" t="s">
        <v>33</v>
      </c>
      <c r="B43" s="187"/>
      <c r="C43" s="187"/>
      <c r="D43" s="187"/>
      <c r="E43" s="187"/>
      <c r="F43" s="188"/>
      <c r="G43" s="26"/>
      <c r="H43" s="27" t="s">
        <v>34</v>
      </c>
      <c r="I43" s="198" t="s">
        <v>35</v>
      </c>
      <c r="J43" s="199"/>
      <c r="K43" s="200"/>
      <c r="L43" s="229" t="s">
        <v>36</v>
      </c>
      <c r="M43" s="230"/>
      <c r="N43" s="186" t="s">
        <v>37</v>
      </c>
      <c r="O43" s="187"/>
      <c r="P43" s="187"/>
      <c r="Q43" s="187"/>
      <c r="R43" s="187"/>
      <c r="S43" s="187"/>
      <c r="T43" s="187"/>
      <c r="U43" s="187"/>
      <c r="V43" s="187"/>
      <c r="W43" s="187"/>
      <c r="X43" s="188"/>
    </row>
    <row r="44" spans="1:24" s="18" customFormat="1" ht="29.25" customHeight="1" thickBot="1">
      <c r="A44" s="223" t="s">
        <v>38</v>
      </c>
      <c r="B44" s="224"/>
      <c r="C44" s="225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0">
        <f>L41</f>
        <v>6736</v>
      </c>
      <c r="J44" s="221"/>
      <c r="K44" s="222"/>
      <c r="L44" s="204">
        <f>I44*H44</f>
        <v>4705.0960000000005</v>
      </c>
      <c r="M44" s="205"/>
      <c r="N44" s="177">
        <f>L44+L45+L46</f>
        <v>21201.356599999999</v>
      </c>
      <c r="O44" s="178"/>
      <c r="P44" s="178"/>
      <c r="Q44" s="178"/>
      <c r="R44" s="178"/>
      <c r="S44" s="178"/>
      <c r="T44" s="178"/>
      <c r="U44" s="178"/>
      <c r="V44" s="178"/>
      <c r="W44" s="178"/>
      <c r="X44" s="179"/>
    </row>
    <row r="45" spans="1:24" s="18" customFormat="1" ht="29.25" customHeight="1" thickBot="1">
      <c r="A45" s="226"/>
      <c r="B45" s="227"/>
      <c r="C45" s="228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0">
        <f>M41</f>
        <v>10459</v>
      </c>
      <c r="J45" s="221"/>
      <c r="K45" s="222"/>
      <c r="L45" s="204">
        <f>I45*H45</f>
        <v>9950.6926000000003</v>
      </c>
      <c r="M45" s="205"/>
      <c r="N45" s="180"/>
      <c r="O45" s="181"/>
      <c r="P45" s="181"/>
      <c r="Q45" s="181"/>
      <c r="R45" s="181"/>
      <c r="S45" s="181"/>
      <c r="T45" s="181"/>
      <c r="U45" s="181"/>
      <c r="V45" s="181"/>
      <c r="W45" s="181"/>
      <c r="X45" s="182"/>
    </row>
    <row r="46" spans="1:24" s="18" customFormat="1" ht="24.75" customHeight="1" thickBot="1">
      <c r="A46" s="226"/>
      <c r="B46" s="227"/>
      <c r="C46" s="228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5">
        <f>N41</f>
        <v>4920</v>
      </c>
      <c r="J46" s="196"/>
      <c r="K46" s="197"/>
      <c r="L46" s="204">
        <f>I46*H46</f>
        <v>6545.5680000000002</v>
      </c>
      <c r="M46" s="205"/>
      <c r="N46" s="183"/>
      <c r="O46" s="184"/>
      <c r="P46" s="184"/>
      <c r="Q46" s="184"/>
      <c r="R46" s="184"/>
      <c r="S46" s="184"/>
      <c r="T46" s="184"/>
      <c r="U46" s="184"/>
      <c r="V46" s="184"/>
      <c r="W46" s="184"/>
      <c r="X46" s="18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1">
        <f>N44*1.3</f>
        <v>27561.763579999999</v>
      </c>
      <c r="O47" s="202"/>
      <c r="P47" s="202"/>
      <c r="Q47" s="202"/>
      <c r="R47" s="202"/>
      <c r="S47" s="202"/>
      <c r="T47" s="202"/>
      <c r="U47" s="202"/>
      <c r="V47" s="202"/>
      <c r="W47" s="202"/>
      <c r="X47" s="203"/>
    </row>
    <row r="48" spans="1:24" s="23" customFormat="1" ht="32.25" customHeight="1" thickBot="1">
      <c r="A48" s="215" t="s">
        <v>39</v>
      </c>
      <c r="B48" s="216"/>
      <c r="C48" s="216"/>
      <c r="D48" s="216"/>
      <c r="E48" s="216"/>
      <c r="F48" s="217"/>
      <c r="G48" s="21"/>
      <c r="H48" s="22">
        <v>8.7899999999999991</v>
      </c>
      <c r="I48" s="215">
        <f>F41</f>
        <v>223.10000000000582</v>
      </c>
      <c r="J48" s="216"/>
      <c r="K48" s="217"/>
      <c r="L48" s="218">
        <f>I48*H48</f>
        <v>1961.0490000000509</v>
      </c>
      <c r="M48" s="219"/>
      <c r="N48" s="174">
        <f>L48</f>
        <v>1961.0490000000509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6"/>
    </row>
    <row r="49" spans="1:24" s="23" customFormat="1" ht="36.75" customHeight="1">
      <c r="A49" s="189" t="s">
        <v>40</v>
      </c>
      <c r="B49" s="190"/>
      <c r="C49" s="190"/>
      <c r="D49" s="190"/>
      <c r="E49" s="190"/>
      <c r="F49" s="191"/>
      <c r="G49" s="24"/>
      <c r="H49" s="25">
        <v>11.79</v>
      </c>
      <c r="I49" s="192">
        <f>V41</f>
        <v>1119.97235</v>
      </c>
      <c r="J49" s="193"/>
      <c r="K49" s="194"/>
      <c r="L49" s="192">
        <f>I49*H49</f>
        <v>13204.474006499999</v>
      </c>
      <c r="M49" s="194"/>
      <c r="N49" s="171">
        <f>L49</f>
        <v>13204.474006499999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</row>
  </sheetData>
  <mergeCells count="73">
    <mergeCell ref="H38:J38"/>
    <mergeCell ref="L44:M44"/>
    <mergeCell ref="H33:J33"/>
    <mergeCell ref="H31:J31"/>
    <mergeCell ref="H35:J35"/>
    <mergeCell ref="H40:J40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B10" sqref="B10:K1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44621</v>
      </c>
      <c r="B9" s="116">
        <v>2560</v>
      </c>
      <c r="C9" s="115">
        <v>0</v>
      </c>
      <c r="D9" s="57">
        <v>136510</v>
      </c>
      <c r="E9" s="50">
        <v>104</v>
      </c>
      <c r="F9" s="51">
        <v>11511320</v>
      </c>
      <c r="G9" s="50">
        <v>3191</v>
      </c>
      <c r="H9" s="51">
        <v>19513625</v>
      </c>
      <c r="I9" s="50">
        <v>5249</v>
      </c>
      <c r="J9" s="51">
        <v>8573535</v>
      </c>
      <c r="K9" s="50">
        <v>2431</v>
      </c>
    </row>
    <row r="10" spans="1:12" ht="19.5">
      <c r="A10" s="59">
        <v>44622</v>
      </c>
      <c r="B10" s="116">
        <v>2560</v>
      </c>
      <c r="C10" s="115">
        <f>B10-B9</f>
        <v>0</v>
      </c>
      <c r="D10" s="57">
        <v>136629.1</v>
      </c>
      <c r="E10" s="50">
        <f>D10-D9</f>
        <v>119.10000000000582</v>
      </c>
      <c r="F10" s="51">
        <v>11514865</v>
      </c>
      <c r="G10" s="50">
        <f>F10-F9</f>
        <v>3545</v>
      </c>
      <c r="H10" s="51">
        <v>19518835</v>
      </c>
      <c r="I10" s="50">
        <f>H10-H9</f>
        <v>5210</v>
      </c>
      <c r="J10" s="51">
        <v>8576024</v>
      </c>
      <c r="K10" s="50">
        <f>J10-J9</f>
        <v>2489</v>
      </c>
    </row>
    <row r="11" spans="1:12" ht="19.5">
      <c r="A11" s="59">
        <v>44623</v>
      </c>
      <c r="B11" s="116"/>
      <c r="C11" s="115"/>
      <c r="D11" s="57"/>
      <c r="E11" s="50"/>
      <c r="F11" s="51"/>
      <c r="G11" s="50"/>
      <c r="H11" s="51"/>
      <c r="I11" s="50"/>
      <c r="J11" s="51"/>
      <c r="K11" s="50"/>
    </row>
    <row r="12" spans="1:12" ht="19.5">
      <c r="A12" s="59">
        <v>44624</v>
      </c>
      <c r="B12" s="116"/>
      <c r="C12" s="115">
        <f>B12-B11</f>
        <v>0</v>
      </c>
      <c r="D12" s="57"/>
      <c r="E12" s="50">
        <f>D12-D11</f>
        <v>0</v>
      </c>
      <c r="F12" s="51"/>
      <c r="G12" s="50">
        <f>F12-F11</f>
        <v>0</v>
      </c>
      <c r="H12" s="51"/>
      <c r="I12" s="50">
        <f>H12-H11</f>
        <v>0</v>
      </c>
      <c r="J12" s="51"/>
      <c r="K12" s="50">
        <f>J12-J11</f>
        <v>0</v>
      </c>
    </row>
    <row r="13" spans="1:12" ht="19.5">
      <c r="A13" s="59">
        <v>44625</v>
      </c>
      <c r="B13" s="116"/>
      <c r="C13" s="115">
        <f>B13-B12</f>
        <v>0</v>
      </c>
      <c r="D13" s="57"/>
      <c r="E13" s="50">
        <f>D13-D12</f>
        <v>0</v>
      </c>
      <c r="F13" s="51"/>
      <c r="G13" s="50">
        <f>F13-F12</f>
        <v>0</v>
      </c>
      <c r="H13" s="51"/>
      <c r="I13" s="50">
        <f>H13-H12</f>
        <v>0</v>
      </c>
      <c r="J13" s="51"/>
      <c r="K13" s="50">
        <f>J13-J12</f>
        <v>0</v>
      </c>
    </row>
    <row r="14" spans="1:12" ht="19.5">
      <c r="A14" s="59">
        <v>44626</v>
      </c>
      <c r="B14" s="116"/>
      <c r="C14" s="115">
        <f>B14-B13</f>
        <v>0</v>
      </c>
      <c r="D14" s="57"/>
      <c r="E14" s="50">
        <f>D14-D13</f>
        <v>0</v>
      </c>
      <c r="F14" s="51"/>
      <c r="G14" s="50">
        <f>F14-F13</f>
        <v>0</v>
      </c>
      <c r="H14" s="51"/>
      <c r="I14" s="50">
        <f>H14-H13</f>
        <v>0</v>
      </c>
      <c r="J14" s="51"/>
      <c r="K14" s="50">
        <f>J14-J13</f>
        <v>0</v>
      </c>
    </row>
    <row r="15" spans="1:12" ht="19.5">
      <c r="A15" s="59">
        <v>44627</v>
      </c>
      <c r="B15" s="116"/>
      <c r="C15" s="115">
        <f>B15-B14</f>
        <v>0</v>
      </c>
      <c r="D15" s="57"/>
      <c r="E15" s="50">
        <f>D15-D14</f>
        <v>0</v>
      </c>
      <c r="F15" s="51"/>
      <c r="G15" s="50">
        <f>F15-F14</f>
        <v>0</v>
      </c>
      <c r="H15" s="51"/>
      <c r="I15" s="50">
        <f>H15-H14</f>
        <v>0</v>
      </c>
      <c r="J15" s="51"/>
      <c r="K15" s="50">
        <f>J15-J14</f>
        <v>0</v>
      </c>
    </row>
    <row r="16" spans="1:12" ht="19.5">
      <c r="A16" s="59">
        <v>44628</v>
      </c>
      <c r="B16" s="116"/>
      <c r="C16" s="115">
        <f>B16-B15</f>
        <v>0</v>
      </c>
      <c r="D16" s="57"/>
      <c r="E16" s="50">
        <f>D16-D15</f>
        <v>0</v>
      </c>
      <c r="F16" s="51"/>
      <c r="G16" s="50">
        <f>F16-F15</f>
        <v>0</v>
      </c>
      <c r="H16" s="51"/>
      <c r="I16" s="50">
        <f>H16-H15</f>
        <v>0</v>
      </c>
      <c r="J16" s="51"/>
      <c r="K16" s="50">
        <f>J16-J15</f>
        <v>0</v>
      </c>
    </row>
    <row r="17" spans="1:29" ht="19.5">
      <c r="A17" s="59">
        <v>44629</v>
      </c>
      <c r="B17" s="116"/>
      <c r="C17" s="115">
        <f>B17-B16</f>
        <v>0</v>
      </c>
      <c r="D17" s="57"/>
      <c r="E17" s="50">
        <f>D17-D16</f>
        <v>0</v>
      </c>
      <c r="F17" s="51"/>
      <c r="G17" s="50">
        <f>F17-F16</f>
        <v>0</v>
      </c>
      <c r="H17" s="51"/>
      <c r="I17" s="50">
        <f>H17-H16</f>
        <v>0</v>
      </c>
      <c r="J17" s="51"/>
      <c r="K17" s="50">
        <f>J17-J16</f>
        <v>0</v>
      </c>
    </row>
    <row r="18" spans="1:29" ht="19.5">
      <c r="A18" s="59">
        <v>44630</v>
      </c>
      <c r="B18" s="116"/>
      <c r="C18" s="115">
        <f>B18-B17</f>
        <v>0</v>
      </c>
      <c r="D18" s="57"/>
      <c r="E18" s="50">
        <f>D18-D17</f>
        <v>0</v>
      </c>
      <c r="F18" s="51"/>
      <c r="G18" s="50">
        <f>F18-F17</f>
        <v>0</v>
      </c>
      <c r="H18" s="51"/>
      <c r="I18" s="50">
        <f>H18-H17</f>
        <v>0</v>
      </c>
      <c r="J18" s="51"/>
      <c r="K18" s="50">
        <f>J18-J17</f>
        <v>0</v>
      </c>
    </row>
    <row r="19" spans="1:29" ht="19.5">
      <c r="A19" s="59">
        <v>44631</v>
      </c>
      <c r="B19" s="116"/>
      <c r="C19" s="115">
        <f>B19-B18</f>
        <v>0</v>
      </c>
      <c r="D19" s="57"/>
      <c r="E19" s="50">
        <f>D19-D18</f>
        <v>0</v>
      </c>
      <c r="F19" s="51"/>
      <c r="G19" s="50">
        <f>F19-F18</f>
        <v>0</v>
      </c>
      <c r="H19" s="51"/>
      <c r="I19" s="50">
        <f>H19-H18</f>
        <v>0</v>
      </c>
      <c r="J19" s="51"/>
      <c r="K19" s="50">
        <f>J19-J18</f>
        <v>0</v>
      </c>
    </row>
    <row r="20" spans="1:29" ht="25.5">
      <c r="A20" s="59">
        <v>44632</v>
      </c>
      <c r="B20" s="116"/>
      <c r="C20" s="115">
        <f>B20-B19</f>
        <v>0</v>
      </c>
      <c r="D20" s="57"/>
      <c r="E20" s="50">
        <f>D20-D19</f>
        <v>0</v>
      </c>
      <c r="F20" s="51"/>
      <c r="G20" s="50">
        <f>F20-F19</f>
        <v>0</v>
      </c>
      <c r="H20" s="51"/>
      <c r="I20" s="50">
        <f>H20-H19</f>
        <v>0</v>
      </c>
      <c r="J20" s="51"/>
      <c r="K20" s="50">
        <f>J20-J19</f>
        <v>0</v>
      </c>
      <c r="L20" s="117" t="s">
        <v>18</v>
      </c>
      <c r="AC20" t="s">
        <v>56</v>
      </c>
    </row>
    <row r="21" spans="1:29" ht="19.5">
      <c r="A21" s="59">
        <v>44633</v>
      </c>
      <c r="B21" s="116"/>
      <c r="C21" s="115">
        <f>B21-B20</f>
        <v>0</v>
      </c>
      <c r="D21" s="57"/>
      <c r="E21" s="50">
        <f>D21-D20</f>
        <v>0</v>
      </c>
      <c r="F21" s="51"/>
      <c r="G21" s="50">
        <f>F21-F20</f>
        <v>0</v>
      </c>
      <c r="H21" s="51"/>
      <c r="I21" s="50">
        <f>H21-H20</f>
        <v>0</v>
      </c>
      <c r="J21" s="51"/>
      <c r="K21" s="50">
        <f>J21-J20</f>
        <v>0</v>
      </c>
    </row>
    <row r="22" spans="1:29" ht="19.5">
      <c r="A22" s="59">
        <v>44634</v>
      </c>
      <c r="B22" s="116"/>
      <c r="C22" s="115">
        <f>B22-B21</f>
        <v>0</v>
      </c>
      <c r="D22" s="57"/>
      <c r="E22" s="50">
        <f>D22-D21</f>
        <v>0</v>
      </c>
      <c r="F22" s="51"/>
      <c r="G22" s="50">
        <f>F22-F21</f>
        <v>0</v>
      </c>
      <c r="H22" s="51"/>
      <c r="I22" s="50">
        <f>H22-H21</f>
        <v>0</v>
      </c>
      <c r="J22" s="51"/>
      <c r="K22" s="50">
        <f>J22-J21</f>
        <v>0</v>
      </c>
    </row>
    <row r="23" spans="1:29" ht="19.5">
      <c r="A23" s="59">
        <v>44635</v>
      </c>
      <c r="B23" s="116"/>
      <c r="C23" s="115">
        <f>B23-B22</f>
        <v>0</v>
      </c>
      <c r="D23" s="57"/>
      <c r="E23" s="50">
        <f>D23-D22</f>
        <v>0</v>
      </c>
      <c r="F23" s="51"/>
      <c r="G23" s="50">
        <f>F23-F22</f>
        <v>0</v>
      </c>
      <c r="H23" s="51"/>
      <c r="I23" s="50">
        <f>H23-H22</f>
        <v>0</v>
      </c>
      <c r="J23" s="51"/>
      <c r="K23" s="50">
        <f>J23-J22</f>
        <v>0</v>
      </c>
    </row>
    <row r="24" spans="1:29" ht="19.5">
      <c r="A24" s="59">
        <v>44636</v>
      </c>
      <c r="B24" s="116"/>
      <c r="C24" s="115">
        <f>B24-B23</f>
        <v>0</v>
      </c>
      <c r="D24" s="57"/>
      <c r="E24" s="50">
        <f>D24-D23</f>
        <v>0</v>
      </c>
      <c r="F24" s="51"/>
      <c r="G24" s="50">
        <f>F24-F23</f>
        <v>0</v>
      </c>
      <c r="H24" s="51"/>
      <c r="I24" s="50">
        <f>H24-H23</f>
        <v>0</v>
      </c>
      <c r="J24" s="51"/>
      <c r="K24" s="50">
        <f>J24-J23</f>
        <v>0</v>
      </c>
    </row>
    <row r="25" spans="1:29" ht="19.5">
      <c r="A25" s="59">
        <v>44637</v>
      </c>
      <c r="B25" s="116"/>
      <c r="C25" s="115">
        <f>B25-B24</f>
        <v>0</v>
      </c>
      <c r="D25" s="57"/>
      <c r="E25" s="50">
        <f>D25-D24</f>
        <v>0</v>
      </c>
      <c r="F25" s="51"/>
      <c r="G25" s="50">
        <f t="shared" ref="G25:G34" si="0">F25-F24</f>
        <v>0</v>
      </c>
      <c r="H25" s="51"/>
      <c r="I25" s="50">
        <f>H25-H24</f>
        <v>0</v>
      </c>
      <c r="J25" s="51"/>
      <c r="K25" s="50">
        <f>J25-J24</f>
        <v>0</v>
      </c>
    </row>
    <row r="26" spans="1:29" ht="19.5">
      <c r="A26" s="59">
        <v>44638</v>
      </c>
      <c r="B26" s="116"/>
      <c r="C26" s="115">
        <f>B26-B25</f>
        <v>0</v>
      </c>
      <c r="D26" s="57"/>
      <c r="E26" s="50">
        <f>D26-D25</f>
        <v>0</v>
      </c>
      <c r="F26" s="51"/>
      <c r="G26" s="50">
        <f t="shared" si="0"/>
        <v>0</v>
      </c>
      <c r="H26" s="51"/>
      <c r="I26" s="50">
        <f>H26-H25</f>
        <v>0</v>
      </c>
      <c r="J26" s="51"/>
      <c r="K26" s="50">
        <f>J26-J25</f>
        <v>0</v>
      </c>
    </row>
    <row r="27" spans="1:29" ht="19.5">
      <c r="A27" s="59">
        <v>44639</v>
      </c>
      <c r="B27" s="116"/>
      <c r="C27" s="115">
        <f>B27-B26</f>
        <v>0</v>
      </c>
      <c r="D27" s="57"/>
      <c r="E27" s="50">
        <f>D27-D26</f>
        <v>0</v>
      </c>
      <c r="F27" s="51"/>
      <c r="G27" s="50">
        <f t="shared" si="0"/>
        <v>0</v>
      </c>
      <c r="H27" s="51"/>
      <c r="I27" s="50">
        <f>H27-H26</f>
        <v>0</v>
      </c>
      <c r="J27" s="51"/>
      <c r="K27" s="50">
        <f>J27-J26</f>
        <v>0</v>
      </c>
    </row>
    <row r="28" spans="1:29" ht="19.5">
      <c r="A28" s="59">
        <v>44640</v>
      </c>
      <c r="B28" s="116"/>
      <c r="C28" s="115">
        <f>B28-B27</f>
        <v>0</v>
      </c>
      <c r="D28" s="57"/>
      <c r="E28" s="50">
        <f>D28-D27</f>
        <v>0</v>
      </c>
      <c r="F28" s="51"/>
      <c r="G28" s="50">
        <f t="shared" si="0"/>
        <v>0</v>
      </c>
      <c r="H28" s="51"/>
      <c r="I28" s="50">
        <f>H28-H27</f>
        <v>0</v>
      </c>
      <c r="J28" s="51"/>
      <c r="K28" s="50">
        <f>J28-J27</f>
        <v>0</v>
      </c>
    </row>
    <row r="29" spans="1:29" ht="19.5">
      <c r="A29" s="59">
        <v>44641</v>
      </c>
      <c r="B29" s="116"/>
      <c r="C29" s="115">
        <f>B29-B28</f>
        <v>0</v>
      </c>
      <c r="D29" s="57"/>
      <c r="E29" s="50">
        <f>D29-D28</f>
        <v>0</v>
      </c>
      <c r="F29" s="51"/>
      <c r="G29" s="50">
        <f t="shared" si="0"/>
        <v>0</v>
      </c>
      <c r="H29" s="51"/>
      <c r="I29" s="50">
        <f>H29-H28</f>
        <v>0</v>
      </c>
      <c r="J29" s="51"/>
      <c r="K29" s="50">
        <f>J29-J28</f>
        <v>0</v>
      </c>
    </row>
    <row r="30" spans="1:29" ht="19.5">
      <c r="A30" s="59">
        <v>44642</v>
      </c>
      <c r="B30" s="116"/>
      <c r="C30" s="115">
        <f>B30-B29</f>
        <v>0</v>
      </c>
      <c r="D30" s="57"/>
      <c r="E30" s="50">
        <f>D30-D29</f>
        <v>0</v>
      </c>
      <c r="F30" s="51"/>
      <c r="G30" s="50">
        <f t="shared" si="0"/>
        <v>0</v>
      </c>
      <c r="H30" s="51"/>
      <c r="I30" s="50">
        <f>H30-H29</f>
        <v>0</v>
      </c>
      <c r="J30" s="51"/>
      <c r="K30" s="50">
        <f>J30-J29</f>
        <v>0</v>
      </c>
    </row>
    <row r="31" spans="1:29" ht="19.5">
      <c r="A31" s="59">
        <v>44643</v>
      </c>
      <c r="B31" s="116"/>
      <c r="C31" s="115">
        <f>B31-B30</f>
        <v>0</v>
      </c>
      <c r="D31" s="57"/>
      <c r="E31" s="50">
        <f t="shared" ref="E31:E34" si="1">D31-D30</f>
        <v>0</v>
      </c>
      <c r="F31" s="51"/>
      <c r="G31" s="50">
        <f t="shared" si="0"/>
        <v>0</v>
      </c>
      <c r="H31" s="51"/>
      <c r="I31" s="50">
        <f>H31-H30</f>
        <v>0</v>
      </c>
      <c r="J31" s="51"/>
      <c r="K31" s="50">
        <f>J31-J30</f>
        <v>0</v>
      </c>
    </row>
    <row r="32" spans="1:29" ht="19.5">
      <c r="A32" s="59">
        <v>44644</v>
      </c>
      <c r="B32" s="116"/>
      <c r="C32" s="115">
        <f>B32-B31</f>
        <v>0</v>
      </c>
      <c r="D32" s="57"/>
      <c r="E32" s="50">
        <f t="shared" si="1"/>
        <v>0</v>
      </c>
      <c r="F32" s="51"/>
      <c r="G32" s="50">
        <f t="shared" si="0"/>
        <v>0</v>
      </c>
      <c r="H32" s="51"/>
      <c r="I32" s="50">
        <f>H32-H31</f>
        <v>0</v>
      </c>
      <c r="J32" s="51"/>
      <c r="K32" s="50">
        <f>J32-J31</f>
        <v>0</v>
      </c>
    </row>
    <row r="33" spans="1:11" ht="19.5">
      <c r="A33" s="59">
        <v>44645</v>
      </c>
      <c r="B33" s="116"/>
      <c r="C33" s="115">
        <f>B33-B32</f>
        <v>0</v>
      </c>
      <c r="D33" s="57"/>
      <c r="E33" s="50">
        <f t="shared" si="1"/>
        <v>0</v>
      </c>
      <c r="F33" s="51"/>
      <c r="G33" s="50">
        <f t="shared" si="0"/>
        <v>0</v>
      </c>
      <c r="H33" s="51"/>
      <c r="I33" s="50">
        <f>H33-H32</f>
        <v>0</v>
      </c>
      <c r="J33" s="51"/>
      <c r="K33" s="50">
        <f>J33-J32</f>
        <v>0</v>
      </c>
    </row>
    <row r="34" spans="1:11" ht="19.5">
      <c r="A34" s="59">
        <v>44646</v>
      </c>
      <c r="B34" s="116"/>
      <c r="C34" s="115">
        <f>B34-B33</f>
        <v>0</v>
      </c>
      <c r="D34" s="57"/>
      <c r="E34" s="50">
        <f t="shared" si="1"/>
        <v>0</v>
      </c>
      <c r="F34" s="51"/>
      <c r="G34" s="50">
        <f t="shared" si="0"/>
        <v>0</v>
      </c>
      <c r="H34" s="51"/>
      <c r="I34" s="50">
        <f>H34-H33</f>
        <v>0</v>
      </c>
      <c r="J34" s="51"/>
      <c r="K34" s="50">
        <f>J34-J33</f>
        <v>0</v>
      </c>
    </row>
    <row r="35" spans="1:11" ht="19.5">
      <c r="A35" s="59">
        <v>44647</v>
      </c>
      <c r="B35" s="116"/>
      <c r="C35" s="115">
        <f t="shared" ref="C24:C40" si="2">B35-B34</f>
        <v>0</v>
      </c>
      <c r="D35" s="57"/>
      <c r="E35" s="50">
        <f t="shared" ref="E24:E40" si="3">D35-D34</f>
        <v>0</v>
      </c>
      <c r="F35" s="51"/>
      <c r="G35" s="50">
        <f>F35-F34</f>
        <v>0</v>
      </c>
      <c r="H35" s="51"/>
      <c r="I35" s="50">
        <f t="shared" ref="I24:I40" si="4">H35-H34</f>
        <v>0</v>
      </c>
      <c r="J35" s="51"/>
      <c r="K35" s="50">
        <f t="shared" ref="K24:K40" si="5">J35-J34</f>
        <v>0</v>
      </c>
    </row>
    <row r="36" spans="1:11" ht="19.5">
      <c r="A36" s="59">
        <v>44648</v>
      </c>
      <c r="B36" s="116"/>
      <c r="C36" s="115">
        <f t="shared" si="2"/>
        <v>0</v>
      </c>
      <c r="D36" s="57"/>
      <c r="E36" s="50">
        <f t="shared" si="3"/>
        <v>0</v>
      </c>
      <c r="F36" s="51"/>
      <c r="G36" s="50">
        <f>F36-F35</f>
        <v>0</v>
      </c>
      <c r="H36" s="51"/>
      <c r="I36" s="50">
        <f t="shared" si="4"/>
        <v>0</v>
      </c>
      <c r="J36" s="51"/>
      <c r="K36" s="50">
        <f t="shared" si="5"/>
        <v>0</v>
      </c>
    </row>
    <row r="37" spans="1:11" ht="19.5">
      <c r="A37" s="59">
        <v>44649</v>
      </c>
      <c r="B37" s="116"/>
      <c r="C37" s="115">
        <f t="shared" si="2"/>
        <v>0</v>
      </c>
      <c r="D37" s="57"/>
      <c r="E37" s="50">
        <f t="shared" si="3"/>
        <v>0</v>
      </c>
      <c r="F37" s="51"/>
      <c r="G37" s="50">
        <f>F37-F36</f>
        <v>0</v>
      </c>
      <c r="H37" s="51"/>
      <c r="I37" s="50">
        <f t="shared" si="4"/>
        <v>0</v>
      </c>
      <c r="J37" s="51"/>
      <c r="K37" s="50">
        <f t="shared" si="5"/>
        <v>0</v>
      </c>
    </row>
    <row r="38" spans="1:11" ht="19.5">
      <c r="A38" s="59">
        <v>44650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44651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44652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1" stopIfTrue="1" operator="lessThanOrEqual">
      <formula>0</formula>
    </cfRule>
  </conditionalFormatting>
  <conditionalFormatting sqref="E10:E34">
    <cfRule type="cellIs" dxfId="5" priority="8" stopIfTrue="1" operator="lessThanOrEqual">
      <formula>0</formula>
    </cfRule>
  </conditionalFormatting>
  <conditionalFormatting sqref="E10:E34">
    <cfRule type="cellIs" dxfId="4" priority="7" stopIfTrue="1" operator="lessThanOrEqual">
      <formula>0</formula>
    </cfRule>
  </conditionalFormatting>
  <conditionalFormatting sqref="E9">
    <cfRule type="cellIs" dxfId="3" priority="6" stopIfTrue="1" operator="lessThanOrEqual">
      <formula>0</formula>
    </cfRule>
  </conditionalFormatting>
  <conditionalFormatting sqref="E9">
    <cfRule type="cellIs" dxfId="2" priority="5" stopIfTrue="1" operator="lessThanOrEqual">
      <formula>0</formula>
    </cfRule>
  </conditionalFormatting>
  <conditionalFormatting sqref="E35:E40">
    <cfRule type="cellIs" dxfId="1" priority="2" stopIfTrue="1" operator="lessThanOrEqual">
      <formula>0</formula>
    </cfRule>
  </conditionalFormatting>
  <conditionalFormatting sqref="E35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B5" sqref="B5:H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44621</v>
      </c>
      <c r="B4" s="41">
        <v>66</v>
      </c>
      <c r="C4" s="39">
        <f t="shared" ref="C4" si="0">IF(AC4&gt;0,((B4-R4)+(S4-B5)),IF(B5=0, ,(B4-B5)))</f>
        <v>9</v>
      </c>
      <c r="D4" s="41">
        <v>68</v>
      </c>
      <c r="E4" s="39">
        <f t="shared" ref="E4" si="1">IF(AC4&gt;0,((D4-U4)+(V4-D5)),IF(D5=0, ,(D4-D5)))</f>
        <v>10</v>
      </c>
      <c r="F4" s="41">
        <v>72</v>
      </c>
      <c r="G4" s="39">
        <f t="shared" ref="G4" si="2">IF(AC4&gt;0,((F4-X4)+(Y4-F5)),IF(F5=0, ,(F4-F5)))</f>
        <v>9</v>
      </c>
      <c r="H4" s="41">
        <v>73</v>
      </c>
      <c r="I4" s="39">
        <f>IF(AC4&gt;0,((H4-AA4)+(AB4-H5)),IF(H5=0, ,(H4-H5)))</f>
        <v>7</v>
      </c>
      <c r="J4" s="39">
        <f>B4+D4+F4+H4</f>
        <v>279</v>
      </c>
      <c r="K4" s="39">
        <f>J4/4</f>
        <v>69.75</v>
      </c>
      <c r="L4" s="39">
        <f>IF(AC4&gt;0,((K4-AD4)+(AE4-K5)),IF(K5=0, ,(K4-K5)))</f>
        <v>8.75</v>
      </c>
      <c r="M4" s="149">
        <f t="shared" ref="M4:M7" si="3">6049*4</f>
        <v>24196</v>
      </c>
      <c r="N4" s="39">
        <f>L4*M4/100</f>
        <v>2117.15</v>
      </c>
      <c r="O4" s="433">
        <f>N4*0.529</f>
        <v>1119.97235</v>
      </c>
      <c r="P4" s="42">
        <f>O4*11.79</f>
        <v>13204.474006499999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44622</v>
      </c>
      <c r="B5" s="41">
        <v>57</v>
      </c>
      <c r="C5" s="39">
        <f t="shared" ref="C4:C35" si="7">IF(AC5&gt;0,((B5-R5)+(S5-B6)),IF(B6=0, ,(B5-B6)))</f>
        <v>0</v>
      </c>
      <c r="D5" s="41">
        <v>58</v>
      </c>
      <c r="E5" s="39">
        <f t="shared" ref="E4:E35" si="8">IF(AC5&gt;0,((D5-U5)+(V5-D6)),IF(D6=0, ,(D5-D6)))</f>
        <v>0</v>
      </c>
      <c r="F5" s="41">
        <v>63</v>
      </c>
      <c r="G5" s="39">
        <f t="shared" ref="G4:G35" si="9">IF(AC5&gt;0,((F5-X5)+(Y5-F6)),IF(F6=0, ,(F5-F6)))</f>
        <v>0</v>
      </c>
      <c r="H5" s="41">
        <v>66</v>
      </c>
      <c r="I5" s="39">
        <f>IF(AC5&gt;0,((H5-AA5)+(AB5-H6)),IF(H6=0, ,(H5-H6)))</f>
        <v>0</v>
      </c>
      <c r="J5" s="39">
        <f>B5+D5+F5+H5</f>
        <v>244</v>
      </c>
      <c r="K5" s="39">
        <f>J5/4</f>
        <v>61</v>
      </c>
      <c r="L5" s="39">
        <f>IF(AC5&gt;0,((K5-AD5)+(AE5-K6)),IF(K6=0, ,(K5-K6)))</f>
        <v>0</v>
      </c>
      <c r="M5" s="149">
        <f t="shared" si="3"/>
        <v>24196</v>
      </c>
      <c r="N5" s="39">
        <f>L5*M5/100</f>
        <v>0</v>
      </c>
      <c r="O5" s="39">
        <f>N5*0.529</f>
        <v>0</v>
      </c>
      <c r="P5" s="42">
        <f t="shared" ref="P5:P36" si="10">O5*11.79</f>
        <v>0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44623</v>
      </c>
      <c r="B6" s="41"/>
      <c r="C6" s="39">
        <f t="shared" si="7"/>
        <v>0</v>
      </c>
      <c r="D6" s="41"/>
      <c r="E6" s="39">
        <f t="shared" si="8"/>
        <v>0</v>
      </c>
      <c r="F6" s="41"/>
      <c r="G6" s="39">
        <f t="shared" si="9"/>
        <v>0</v>
      </c>
      <c r="H6" s="41"/>
      <c r="I6" s="39">
        <f t="shared" ref="I6:I36" si="11">IF(AC6&gt;0,((H6-AA6)+(AB6-H7)),IF(H7=0, ,(H6-H7)))</f>
        <v>0</v>
      </c>
      <c r="J6" s="39">
        <f t="shared" ref="J6:J42" si="12">B6+D6+F6+H6</f>
        <v>0</v>
      </c>
      <c r="K6" s="39">
        <f t="shared" ref="K6:K42" si="13">J6/4</f>
        <v>0</v>
      </c>
      <c r="L6" s="39">
        <f t="shared" ref="L6:L19" si="14">IF(AC6&gt;0,((K6-AD6)+(AE6-K7)),IF(K7=0, ,(K6-K7)))</f>
        <v>0</v>
      </c>
      <c r="M6" s="149">
        <f t="shared" si="3"/>
        <v>24196</v>
      </c>
      <c r="N6" s="39">
        <f t="shared" ref="N6:N42" si="15">L6*M6/100</f>
        <v>0</v>
      </c>
      <c r="O6" s="39">
        <f>N6*0.529</f>
        <v>0</v>
      </c>
      <c r="P6" s="42">
        <f t="shared" si="10"/>
        <v>0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44624</v>
      </c>
      <c r="B7" s="41"/>
      <c r="C7" s="39">
        <f t="shared" si="7"/>
        <v>0</v>
      </c>
      <c r="D7" s="41"/>
      <c r="E7" s="39">
        <f t="shared" si="8"/>
        <v>0</v>
      </c>
      <c r="F7" s="41"/>
      <c r="G7" s="39">
        <f t="shared" si="9"/>
        <v>0</v>
      </c>
      <c r="H7" s="41"/>
      <c r="I7" s="39">
        <f t="shared" si="11"/>
        <v>0</v>
      </c>
      <c r="J7" s="39">
        <f t="shared" si="12"/>
        <v>0</v>
      </c>
      <c r="K7" s="39">
        <f t="shared" si="13"/>
        <v>0</v>
      </c>
      <c r="L7" s="39">
        <f t="shared" si="14"/>
        <v>0</v>
      </c>
      <c r="M7" s="149">
        <f t="shared" si="3"/>
        <v>24196</v>
      </c>
      <c r="N7" s="39">
        <f t="shared" si="15"/>
        <v>0</v>
      </c>
      <c r="O7" s="39">
        <f>N7*0.53</f>
        <v>0</v>
      </c>
      <c r="P7" s="42">
        <f t="shared" si="10"/>
        <v>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44625</v>
      </c>
      <c r="B8" s="41"/>
      <c r="C8" s="39">
        <f t="shared" si="7"/>
        <v>0</v>
      </c>
      <c r="D8" s="41"/>
      <c r="E8" s="39">
        <f t="shared" si="8"/>
        <v>0</v>
      </c>
      <c r="F8" s="41"/>
      <c r="G8" s="39">
        <f t="shared" si="9"/>
        <v>0</v>
      </c>
      <c r="H8" s="41"/>
      <c r="I8" s="39">
        <f t="shared" si="11"/>
        <v>0</v>
      </c>
      <c r="J8" s="39">
        <f t="shared" si="12"/>
        <v>0</v>
      </c>
      <c r="K8" s="39">
        <f t="shared" si="13"/>
        <v>0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44626</v>
      </c>
      <c r="B9" s="41"/>
      <c r="C9" s="39">
        <f t="shared" si="7"/>
        <v>0</v>
      </c>
      <c r="D9" s="41"/>
      <c r="E9" s="39">
        <f t="shared" si="8"/>
        <v>0</v>
      </c>
      <c r="F9" s="41"/>
      <c r="G9" s="39">
        <f t="shared" si="9"/>
        <v>0</v>
      </c>
      <c r="H9" s="41"/>
      <c r="I9" s="39">
        <f t="shared" si="11"/>
        <v>0</v>
      </c>
      <c r="J9" s="39">
        <f t="shared" si="12"/>
        <v>0</v>
      </c>
      <c r="K9" s="39">
        <f t="shared" si="13"/>
        <v>0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44627</v>
      </c>
      <c r="B10" s="41"/>
      <c r="C10" s="39">
        <f t="shared" si="7"/>
        <v>0</v>
      </c>
      <c r="D10" s="41"/>
      <c r="E10" s="39">
        <f t="shared" si="8"/>
        <v>0</v>
      </c>
      <c r="F10" s="41"/>
      <c r="G10" s="39">
        <f t="shared" si="9"/>
        <v>0</v>
      </c>
      <c r="H10" s="41"/>
      <c r="I10" s="39">
        <f t="shared" si="11"/>
        <v>0</v>
      </c>
      <c r="J10" s="39">
        <f t="shared" si="12"/>
        <v>0</v>
      </c>
      <c r="K10" s="39">
        <f t="shared" si="13"/>
        <v>0</v>
      </c>
      <c r="L10" s="39">
        <f t="shared" si="14"/>
        <v>0</v>
      </c>
      <c r="M10" s="149">
        <f t="shared" si="17"/>
        <v>24196</v>
      </c>
      <c r="N10" s="39">
        <f t="shared" si="15"/>
        <v>0</v>
      </c>
      <c r="O10" s="148">
        <f t="shared" si="16"/>
        <v>0</v>
      </c>
      <c r="P10" s="42">
        <f t="shared" si="10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44628</v>
      </c>
      <c r="B11" s="41"/>
      <c r="C11" s="39">
        <f t="shared" si="7"/>
        <v>0</v>
      </c>
      <c r="D11" s="41"/>
      <c r="E11" s="39">
        <f t="shared" si="8"/>
        <v>0</v>
      </c>
      <c r="F11" s="41"/>
      <c r="G11" s="39">
        <f t="shared" si="9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44629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44630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44631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44632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44633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44634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44635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44636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44637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44638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44639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44640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44641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44642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44643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44644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44645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44646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44647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44648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44649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44650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44651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44652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8" si="30">O37*11.565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1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2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2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2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2117.15</v>
      </c>
      <c r="O43" s="39">
        <f>N43*0.529</f>
        <v>1119.97235</v>
      </c>
      <c r="P43" s="42">
        <f>O43*11.79</f>
        <v>13204.474006499999</v>
      </c>
      <c r="Q43" s="286">
        <f>SUM(Q4:Q42)</f>
        <v>0</v>
      </c>
      <c r="R43" s="287"/>
      <c r="S43" s="288"/>
      <c r="T43" s="289">
        <f>SUM(T4:T42)</f>
        <v>0</v>
      </c>
      <c r="U43" s="287"/>
      <c r="V43" s="288"/>
      <c r="W43" s="289">
        <f>SUM(W4:W42)</f>
        <v>0</v>
      </c>
      <c r="X43" s="287"/>
      <c r="Y43" s="288"/>
      <c r="Z43" s="289">
        <f>SUM(Z4:Z42)</f>
        <v>0</v>
      </c>
      <c r="AA43" s="287"/>
      <c r="AB43" s="288"/>
      <c r="AC43" s="39">
        <f t="shared" si="20"/>
        <v>0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2117.15</v>
      </c>
      <c r="L47" s="46">
        <f>O43</f>
        <v>1119.97235</v>
      </c>
      <c r="M47" s="46">
        <f>P43</f>
        <v>13204.474006499999</v>
      </c>
    </row>
    <row r="48" spans="1:31" ht="54.75" customHeight="1" thickBot="1">
      <c r="H48" s="282" t="s">
        <v>86</v>
      </c>
      <c r="I48" s="283"/>
      <c r="J48" s="284"/>
      <c r="K48" s="43">
        <f>AC44</f>
        <v>0</v>
      </c>
      <c r="L48" s="44">
        <f>K48*0.529</f>
        <v>0</v>
      </c>
      <c r="M48" s="44">
        <f>L48*11.79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2" zoomScaleNormal="100" workbookViewId="0">
      <selection activeCell="E20" sqref="E20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7">
        <v>95670781</v>
      </c>
      <c r="B8" s="347"/>
      <c r="C8" s="351">
        <v>44224</v>
      </c>
      <c r="D8" s="352"/>
      <c r="E8" s="113">
        <v>44620</v>
      </c>
      <c r="F8" s="163" t="s">
        <v>97</v>
      </c>
      <c r="G8" s="62"/>
      <c r="H8" s="62"/>
      <c r="I8" s="353"/>
      <c r="J8" s="354"/>
    </row>
    <row r="10" spans="1:10" ht="23.25" customHeight="1" thickBot="1"/>
    <row r="11" spans="1:10" ht="24.75" customHeight="1" thickTop="1">
      <c r="A11" s="331" t="s">
        <v>98</v>
      </c>
      <c r="B11" s="331"/>
      <c r="C11" s="355" t="s">
        <v>99</v>
      </c>
      <c r="D11" s="356"/>
      <c r="E11" s="331" t="s">
        <v>100</v>
      </c>
      <c r="F11" s="331"/>
      <c r="G11" s="355" t="s">
        <v>101</v>
      </c>
      <c r="H11" s="356"/>
      <c r="I11" s="357" t="s">
        <v>102</v>
      </c>
      <c r="J11" s="357"/>
    </row>
    <row r="12" spans="1:10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48">
        <v>815</v>
      </c>
      <c r="H12" s="348"/>
      <c r="I12" s="349"/>
      <c r="J12" s="349"/>
    </row>
    <row r="13" spans="1:10">
      <c r="A13" s="350"/>
      <c r="B13" s="434"/>
      <c r="C13" s="434"/>
      <c r="D13" s="434"/>
      <c r="E13" s="434"/>
      <c r="F13" s="434"/>
      <c r="G13" s="434"/>
      <c r="H13" s="434"/>
      <c r="I13" s="434"/>
      <c r="J13" s="434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36" t="s">
        <v>110</v>
      </c>
      <c r="B17" s="337"/>
      <c r="C17" s="66">
        <v>19508376</v>
      </c>
      <c r="D17" s="66">
        <v>19398677</v>
      </c>
      <c r="E17" s="67">
        <f>MIN(C17-D17)</f>
        <v>109699</v>
      </c>
      <c r="F17" s="67">
        <f>+E17</f>
        <v>109699</v>
      </c>
      <c r="G17" s="338"/>
      <c r="H17" s="339"/>
      <c r="I17" s="338">
        <f>+E17</f>
        <v>109699</v>
      </c>
      <c r="J17" s="339"/>
    </row>
    <row r="18" spans="1:10">
      <c r="A18" s="336" t="s">
        <v>111</v>
      </c>
      <c r="B18" s="337"/>
      <c r="C18" s="66">
        <v>11505965</v>
      </c>
      <c r="D18" s="66">
        <v>11424147</v>
      </c>
      <c r="E18" s="67">
        <f>MIN(C18-D18)</f>
        <v>81818</v>
      </c>
      <c r="F18" s="67">
        <f>+E18</f>
        <v>81818</v>
      </c>
      <c r="G18" s="338"/>
      <c r="H18" s="339"/>
      <c r="I18" s="338">
        <f>+E18</f>
        <v>81818</v>
      </c>
      <c r="J18" s="339"/>
    </row>
    <row r="19" spans="1:10">
      <c r="A19" s="336" t="s">
        <v>112</v>
      </c>
      <c r="B19" s="337"/>
      <c r="C19" s="66">
        <v>8571104</v>
      </c>
      <c r="D19" s="66">
        <v>8517838</v>
      </c>
      <c r="E19" s="67">
        <f>AVERAGE(C19-D19)</f>
        <v>53266</v>
      </c>
      <c r="F19" s="67">
        <f>+E19</f>
        <v>53266</v>
      </c>
      <c r="G19" s="338"/>
      <c r="H19" s="339"/>
      <c r="I19" s="338">
        <f>+E19</f>
        <v>53266</v>
      </c>
      <c r="J19" s="339"/>
    </row>
    <row r="20" spans="1:10" ht="15">
      <c r="A20" s="340" t="s">
        <v>113</v>
      </c>
      <c r="B20" s="341"/>
      <c r="C20" s="68"/>
      <c r="D20" s="69"/>
      <c r="E20" s="68">
        <f>SUM(E17:E19)</f>
        <v>244783</v>
      </c>
      <c r="F20" s="70"/>
      <c r="G20" s="342"/>
      <c r="H20" s="343"/>
      <c r="I20" s="342"/>
      <c r="J20" s="343"/>
    </row>
    <row r="21" spans="1:10">
      <c r="C21" s="110" t="s">
        <v>18</v>
      </c>
      <c r="D21" t="s">
        <v>114</v>
      </c>
      <c r="G21" s="323"/>
      <c r="H21" s="323"/>
    </row>
    <row r="22" spans="1:10" ht="13.5" thickBot="1">
      <c r="G22" s="324"/>
      <c r="H22" s="324"/>
    </row>
    <row r="23" spans="1:10" ht="13.5" thickTop="1">
      <c r="A23" s="325" t="s">
        <v>115</v>
      </c>
      <c r="B23" s="326"/>
      <c r="C23" s="327"/>
      <c r="D23" s="331" t="s">
        <v>116</v>
      </c>
      <c r="E23" s="331" t="s">
        <v>117</v>
      </c>
      <c r="F23" s="333" t="s">
        <v>118</v>
      </c>
      <c r="G23" s="335" t="s">
        <v>119</v>
      </c>
      <c r="H23" s="335"/>
      <c r="I23" s="319" t="s">
        <v>120</v>
      </c>
      <c r="J23" s="319"/>
    </row>
    <row r="24" spans="1:10">
      <c r="A24" s="328"/>
      <c r="B24" s="329"/>
      <c r="C24" s="330"/>
      <c r="D24" s="332"/>
      <c r="E24" s="332"/>
      <c r="F24" s="334"/>
      <c r="G24" s="164" t="s">
        <v>121</v>
      </c>
      <c r="H24" s="71" t="s">
        <v>122</v>
      </c>
      <c r="I24" s="319"/>
      <c r="J24" s="319"/>
    </row>
    <row r="25" spans="1:10" ht="15">
      <c r="A25" s="320" t="s">
        <v>123</v>
      </c>
      <c r="B25" s="321"/>
      <c r="C25" s="322"/>
      <c r="D25" s="67">
        <f>+E17</f>
        <v>109699</v>
      </c>
      <c r="E25" s="72">
        <v>0.95140000000000002</v>
      </c>
      <c r="F25" s="73">
        <f>PRODUCT(D25*E25)</f>
        <v>104367.6286</v>
      </c>
      <c r="G25" s="151">
        <v>14</v>
      </c>
      <c r="H25" s="65">
        <f>PRODUCT(0.14,F25)</f>
        <v>14611.468004</v>
      </c>
      <c r="I25" s="304">
        <f>SUM(H25,F25)</f>
        <v>118979.09660399999</v>
      </c>
      <c r="J25" s="305"/>
    </row>
    <row r="26" spans="1:10" ht="15">
      <c r="A26" s="301" t="s">
        <v>124</v>
      </c>
      <c r="B26" s="302"/>
      <c r="C26" s="303"/>
      <c r="D26" s="67">
        <f>+E18</f>
        <v>81818</v>
      </c>
      <c r="E26" s="74">
        <v>0.69850000000000001</v>
      </c>
      <c r="F26" s="73">
        <f>PRODUCT(D26*E26)</f>
        <v>57149.873</v>
      </c>
      <c r="G26">
        <v>14</v>
      </c>
      <c r="H26" s="67">
        <f>PRODUCT(0.14,F26)</f>
        <v>8000.9822200000008</v>
      </c>
      <c r="I26" s="304">
        <f t="shared" ref="I26:I31" si="0">SUM(H26,F26)</f>
        <v>65150.855219999998</v>
      </c>
      <c r="J26" s="305"/>
    </row>
    <row r="27" spans="1:10" ht="15">
      <c r="A27" s="301" t="s">
        <v>125</v>
      </c>
      <c r="B27" s="302"/>
      <c r="C27" s="303"/>
      <c r="D27" s="67">
        <f>+E19</f>
        <v>53266</v>
      </c>
      <c r="E27" s="74">
        <v>1.3304</v>
      </c>
      <c r="F27" s="73">
        <f>PRODUCT(D27*E27)</f>
        <v>70865.0864</v>
      </c>
      <c r="G27">
        <v>14</v>
      </c>
      <c r="H27" s="67">
        <f>PRODUCT(0.14,F27)</f>
        <v>9921.1120960000007</v>
      </c>
      <c r="I27" s="304">
        <f>SUM(H27,F27)</f>
        <v>80786.198495999997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278597.25799999997</v>
      </c>
      <c r="G32" s="85"/>
      <c r="H32" s="86"/>
      <c r="I32" s="313">
        <f>SUM(I25:J31)</f>
        <v>317546.89412000001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131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7">
        <v>95670781</v>
      </c>
      <c r="B8" s="347"/>
      <c r="C8" s="351">
        <v>44297</v>
      </c>
      <c r="D8" s="352"/>
      <c r="E8" s="113">
        <v>44327</v>
      </c>
      <c r="F8" s="163" t="s">
        <v>132</v>
      </c>
      <c r="G8" s="62"/>
      <c r="H8" s="62"/>
      <c r="I8" s="353"/>
      <c r="J8" s="354"/>
    </row>
    <row r="10" spans="1:10" ht="23.25" customHeight="1" thickBot="1"/>
    <row r="11" spans="1:10" ht="24.75" customHeight="1" thickTop="1">
      <c r="A11" s="331" t="s">
        <v>98</v>
      </c>
      <c r="B11" s="331"/>
      <c r="C11" s="355" t="s">
        <v>99</v>
      </c>
      <c r="D11" s="356"/>
      <c r="E11" s="331" t="s">
        <v>100</v>
      </c>
      <c r="F11" s="331"/>
      <c r="G11" s="355" t="s">
        <v>101</v>
      </c>
      <c r="H11" s="356"/>
      <c r="I11" s="357" t="s">
        <v>102</v>
      </c>
      <c r="J11" s="357"/>
    </row>
    <row r="12" spans="1:10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48">
        <v>712</v>
      </c>
      <c r="H12" s="348"/>
      <c r="I12" s="349"/>
      <c r="J12" s="349"/>
    </row>
    <row r="13" spans="1:10">
      <c r="A13" s="350"/>
      <c r="B13" s="434"/>
      <c r="C13" s="434"/>
      <c r="D13" s="434"/>
      <c r="E13" s="434"/>
      <c r="F13" s="434"/>
      <c r="G13" s="434"/>
      <c r="H13" s="434"/>
      <c r="I13" s="434"/>
      <c r="J13" s="434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36" t="s">
        <v>110</v>
      </c>
      <c r="B17" s="337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8"/>
      <c r="H17" s="339"/>
      <c r="I17" s="338">
        <f>+E17</f>
        <v>6887</v>
      </c>
      <c r="J17" s="339"/>
    </row>
    <row r="18" spans="1:10">
      <c r="A18" s="336" t="s">
        <v>111</v>
      </c>
      <c r="B18" s="337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8"/>
      <c r="H18" s="339"/>
      <c r="I18" s="338">
        <f>+E18</f>
        <v>3799</v>
      </c>
      <c r="J18" s="339"/>
    </row>
    <row r="19" spans="1:10">
      <c r="A19" s="336" t="s">
        <v>112</v>
      </c>
      <c r="B19" s="337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8"/>
      <c r="H19" s="339"/>
      <c r="I19" s="338">
        <f>+E19</f>
        <v>3073</v>
      </c>
      <c r="J19" s="339"/>
    </row>
    <row r="20" spans="1:10" ht="15">
      <c r="A20" s="340" t="s">
        <v>113</v>
      </c>
      <c r="B20" s="341"/>
      <c r="C20" s="68"/>
      <c r="D20" s="69"/>
      <c r="E20" s="68">
        <f>SUM(E17:E19)</f>
        <v>13759</v>
      </c>
      <c r="F20" s="70"/>
      <c r="G20" s="342"/>
      <c r="H20" s="343"/>
      <c r="I20" s="342"/>
      <c r="J20" s="343"/>
    </row>
    <row r="21" spans="1:10">
      <c r="C21" s="110" t="s">
        <v>18</v>
      </c>
      <c r="D21" t="s">
        <v>114</v>
      </c>
      <c r="G21" s="323"/>
      <c r="H21" s="323"/>
    </row>
    <row r="22" spans="1:10" ht="13.5" thickBot="1">
      <c r="G22" s="324"/>
      <c r="H22" s="324"/>
    </row>
    <row r="23" spans="1:10" ht="13.5" thickTop="1">
      <c r="A23" s="325" t="s">
        <v>115</v>
      </c>
      <c r="B23" s="326"/>
      <c r="C23" s="327"/>
      <c r="D23" s="331" t="s">
        <v>116</v>
      </c>
      <c r="E23" s="331" t="s">
        <v>117</v>
      </c>
      <c r="F23" s="333" t="s">
        <v>118</v>
      </c>
      <c r="G23" s="335" t="s">
        <v>119</v>
      </c>
      <c r="H23" s="335"/>
      <c r="I23" s="319" t="s">
        <v>120</v>
      </c>
      <c r="J23" s="319"/>
    </row>
    <row r="24" spans="1:10">
      <c r="A24" s="328"/>
      <c r="B24" s="329"/>
      <c r="C24" s="330"/>
      <c r="D24" s="332"/>
      <c r="E24" s="332"/>
      <c r="F24" s="334"/>
      <c r="G24" s="164" t="s">
        <v>121</v>
      </c>
      <c r="H24" s="71" t="s">
        <v>122</v>
      </c>
      <c r="I24" s="319"/>
      <c r="J24" s="319"/>
    </row>
    <row r="25" spans="1:10" ht="15">
      <c r="A25" s="320" t="s">
        <v>123</v>
      </c>
      <c r="B25" s="321"/>
      <c r="C25" s="322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4">
        <f>SUM(H25,F25)</f>
        <v>7469.6126519999998</v>
      </c>
      <c r="J25" s="305"/>
    </row>
    <row r="26" spans="1:10" ht="15">
      <c r="A26" s="301" t="s">
        <v>124</v>
      </c>
      <c r="B26" s="302"/>
      <c r="C26" s="303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4">
        <f t="shared" ref="I26:I31" si="0">SUM(H26,F26)</f>
        <v>3025.1057100000003</v>
      </c>
      <c r="J26" s="305"/>
    </row>
    <row r="27" spans="1:10" ht="15">
      <c r="A27" s="301" t="s">
        <v>125</v>
      </c>
      <c r="B27" s="302"/>
      <c r="C27" s="303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4">
        <f>SUM(H27,F27)</f>
        <v>4660.6838879999996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59508.8825</v>
      </c>
      <c r="G32" s="85"/>
      <c r="H32" s="86"/>
      <c r="I32" s="313">
        <f>SUM(I25:J31)</f>
        <v>67786.146049999996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5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58" t="s">
        <v>133</v>
      </c>
      <c r="C1" s="359"/>
      <c r="D1" s="359"/>
      <c r="E1" s="359"/>
      <c r="F1" s="404" t="s">
        <v>88</v>
      </c>
      <c r="G1" s="405"/>
      <c r="H1" s="406"/>
    </row>
    <row r="2" spans="1:8" ht="15.75" customHeight="1" thickBot="1">
      <c r="A2" s="402"/>
      <c r="B2" s="360"/>
      <c r="C2" s="361"/>
      <c r="D2" s="361"/>
      <c r="E2" s="361"/>
      <c r="F2" s="407"/>
      <c r="G2" s="408"/>
      <c r="H2" s="409"/>
    </row>
    <row r="3" spans="1:8" ht="15" customHeight="1">
      <c r="A3" s="402"/>
      <c r="B3" s="360"/>
      <c r="C3" s="361"/>
      <c r="D3" s="361"/>
      <c r="E3" s="361"/>
      <c r="F3" s="404" t="s">
        <v>89</v>
      </c>
      <c r="G3" s="405"/>
      <c r="H3" s="406"/>
    </row>
    <row r="4" spans="1:8" ht="15.75" customHeight="1" thickBot="1">
      <c r="A4" s="403"/>
      <c r="B4" s="362"/>
      <c r="C4" s="363"/>
      <c r="D4" s="363"/>
      <c r="E4" s="363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134294.1</v>
      </c>
      <c r="D8" s="97">
        <v>44593</v>
      </c>
      <c r="E8" s="96">
        <v>136510</v>
      </c>
      <c r="F8" s="97">
        <v>44621</v>
      </c>
      <c r="G8" s="98">
        <f>E8-C8</f>
        <v>2215.8999999999942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143</v>
      </c>
      <c r="B13" s="396">
        <f>G8</f>
        <v>2215.8999999999942</v>
      </c>
      <c r="C13" s="396"/>
      <c r="D13" s="396">
        <v>8.7899999999999991</v>
      </c>
      <c r="E13" s="396"/>
      <c r="F13" s="400">
        <f>PRODUCT(D13,B13)</f>
        <v>19477.760999999948</v>
      </c>
      <c r="G13" s="400"/>
      <c r="H13" s="400"/>
    </row>
    <row r="14" spans="1:8" ht="45" customHeight="1">
      <c r="A14" s="397" t="s">
        <v>144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f>G8</f>
        <v>2215.8999999999942</v>
      </c>
      <c r="C19" s="396"/>
      <c r="D19" s="396">
        <v>2.61</v>
      </c>
      <c r="E19" s="396"/>
      <c r="F19" s="396">
        <f>PRODUCT(D19,B19)</f>
        <v>5783.4989999999843</v>
      </c>
      <c r="G19" s="396"/>
      <c r="H19" s="396"/>
    </row>
    <row r="20" spans="1:8" ht="18.75">
      <c r="A20" s="392" t="s">
        <v>149</v>
      </c>
      <c r="B20" s="393"/>
      <c r="C20" s="393"/>
      <c r="D20" s="393"/>
      <c r="E20" s="394"/>
      <c r="F20" s="395">
        <f>SUM(F11+F13+F16+F17+F18+F19)</f>
        <v>25284.259999999933</v>
      </c>
      <c r="G20" s="395"/>
      <c r="H20" s="395"/>
    </row>
    <row r="21" spans="1:8" ht="15">
      <c r="A21" s="381" t="s">
        <v>150</v>
      </c>
      <c r="B21" s="382"/>
      <c r="C21" s="382"/>
      <c r="D21" s="382"/>
      <c r="E21" s="383"/>
      <c r="F21" s="396">
        <f>PRODUCT(F20,0.07)</f>
        <v>1769.8981999999955</v>
      </c>
      <c r="G21" s="396"/>
      <c r="H21" s="396"/>
    </row>
    <row r="22" spans="1:8" ht="15">
      <c r="A22" s="435" t="s">
        <v>151</v>
      </c>
      <c r="B22" s="436"/>
      <c r="C22" s="436"/>
      <c r="D22" s="436"/>
      <c r="E22" s="437"/>
      <c r="F22" s="396">
        <v>208.26</v>
      </c>
      <c r="G22" s="396"/>
      <c r="H22" s="396"/>
    </row>
    <row r="23" spans="1:8" ht="15.75">
      <c r="A23" s="381" t="s">
        <v>152</v>
      </c>
      <c r="B23" s="382"/>
      <c r="C23" s="382"/>
      <c r="D23" s="382"/>
      <c r="E23" s="383"/>
      <c r="F23" s="384">
        <f>SUM(F21:H22)</f>
        <v>1978.1581999999955</v>
      </c>
      <c r="G23" s="384"/>
      <c r="H23" s="384"/>
    </row>
    <row r="24" spans="1:8">
      <c r="A24" s="385" t="s">
        <v>153</v>
      </c>
      <c r="B24" s="386"/>
      <c r="C24" s="386"/>
      <c r="D24" s="386"/>
      <c r="E24" s="387"/>
      <c r="F24" s="391">
        <f>SUM(F20,F23)</f>
        <v>27262.418199999927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58" t="s">
        <v>133</v>
      </c>
      <c r="C1" s="359"/>
      <c r="D1" s="359"/>
      <c r="E1" s="359"/>
      <c r="F1" s="404" t="s">
        <v>88</v>
      </c>
      <c r="G1" s="405"/>
      <c r="H1" s="406"/>
    </row>
    <row r="2" spans="1:8" ht="15.75" customHeight="1" thickBot="1">
      <c r="A2" s="402"/>
      <c r="B2" s="360"/>
      <c r="C2" s="361"/>
      <c r="D2" s="361"/>
      <c r="E2" s="361"/>
      <c r="F2" s="407"/>
      <c r="G2" s="408"/>
      <c r="H2" s="409"/>
    </row>
    <row r="3" spans="1:8" ht="15" customHeight="1">
      <c r="A3" s="402"/>
      <c r="B3" s="360"/>
      <c r="C3" s="361"/>
      <c r="D3" s="361"/>
      <c r="E3" s="361"/>
      <c r="F3" s="404" t="s">
        <v>89</v>
      </c>
      <c r="G3" s="405"/>
      <c r="H3" s="406"/>
    </row>
    <row r="4" spans="1:8" ht="15.75" customHeight="1" thickBot="1">
      <c r="A4" s="403"/>
      <c r="B4" s="362"/>
      <c r="C4" s="363"/>
      <c r="D4" s="363"/>
      <c r="E4" s="363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143</v>
      </c>
      <c r="B13" s="396">
        <f>G8</f>
        <v>119.80000000000291</v>
      </c>
      <c r="C13" s="396"/>
      <c r="D13" s="396">
        <v>8.5</v>
      </c>
      <c r="E13" s="396"/>
      <c r="F13" s="400">
        <f>PRODUCT(D13,B13)</f>
        <v>1018.3000000000247</v>
      </c>
      <c r="G13" s="400"/>
      <c r="H13" s="400"/>
    </row>
    <row r="14" spans="1:8" ht="45" customHeight="1">
      <c r="A14" s="397" t="s">
        <v>144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6">
        <f>G8</f>
        <v>119.80000000000291</v>
      </c>
      <c r="C20" s="396"/>
      <c r="D20" s="396">
        <v>2.54</v>
      </c>
      <c r="E20" s="396"/>
      <c r="F20" s="396">
        <f>PRODUCT(D20,B20)</f>
        <v>304.29200000000742</v>
      </c>
      <c r="G20" s="396"/>
      <c r="H20" s="396"/>
    </row>
    <row r="21" spans="1:8" ht="18.75">
      <c r="A21" s="392" t="s">
        <v>149</v>
      </c>
      <c r="B21" s="393"/>
      <c r="C21" s="393"/>
      <c r="D21" s="393"/>
      <c r="E21" s="394"/>
      <c r="F21" s="395">
        <f>SUM(F11+F13+F16+F17+F18+F20)</f>
        <v>1345.5920000000322</v>
      </c>
      <c r="G21" s="395"/>
      <c r="H21" s="395"/>
    </row>
    <row r="22" spans="1:8" ht="15">
      <c r="A22" s="381" t="s">
        <v>150</v>
      </c>
      <c r="B22" s="382"/>
      <c r="C22" s="382"/>
      <c r="D22" s="382"/>
      <c r="E22" s="383"/>
      <c r="F22" s="396">
        <f>PRODUCT(F21,0.07)</f>
        <v>94.19144000000226</v>
      </c>
      <c r="G22" s="396"/>
      <c r="H22" s="396"/>
    </row>
    <row r="23" spans="1:8" ht="15">
      <c r="A23" s="435" t="s">
        <v>151</v>
      </c>
      <c r="B23" s="436"/>
      <c r="C23" s="436"/>
      <c r="D23" s="436"/>
      <c r="E23" s="437"/>
      <c r="F23" s="396">
        <v>208.26</v>
      </c>
      <c r="G23" s="396"/>
      <c r="H23" s="396"/>
    </row>
    <row r="24" spans="1:8" ht="15.75">
      <c r="A24" s="381" t="s">
        <v>152</v>
      </c>
      <c r="B24" s="382"/>
      <c r="C24" s="382"/>
      <c r="D24" s="382"/>
      <c r="E24" s="383"/>
      <c r="F24" s="384">
        <f>SUM(F22:H23)</f>
        <v>302.45144000000226</v>
      </c>
      <c r="G24" s="384"/>
      <c r="H24" s="384"/>
    </row>
    <row r="25" spans="1:8">
      <c r="A25" s="385" t="s">
        <v>153</v>
      </c>
      <c r="B25" s="386"/>
      <c r="C25" s="386"/>
      <c r="D25" s="386"/>
      <c r="E25" s="387"/>
      <c r="F25" s="391">
        <f>SUM(F21,F24)</f>
        <v>1648.0434400000345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58" t="s">
        <v>155</v>
      </c>
      <c r="C1" s="359"/>
      <c r="D1" s="359"/>
      <c r="E1" s="359"/>
      <c r="F1" s="404" t="s">
        <v>88</v>
      </c>
      <c r="G1" s="405"/>
      <c r="H1" s="406"/>
    </row>
    <row r="2" spans="1:8" ht="15.75" customHeight="1" thickBot="1">
      <c r="A2" s="402"/>
      <c r="B2" s="360"/>
      <c r="C2" s="361"/>
      <c r="D2" s="361"/>
      <c r="E2" s="361"/>
      <c r="F2" s="407"/>
      <c r="G2" s="408"/>
      <c r="H2" s="409"/>
    </row>
    <row r="3" spans="1:8" ht="15" customHeight="1">
      <c r="A3" s="402"/>
      <c r="B3" s="360"/>
      <c r="C3" s="361"/>
      <c r="D3" s="361"/>
      <c r="E3" s="361"/>
      <c r="F3" s="404" t="s">
        <v>89</v>
      </c>
      <c r="G3" s="405"/>
      <c r="H3" s="406"/>
    </row>
    <row r="4" spans="1:8" ht="15.75" customHeight="1" thickBot="1">
      <c r="A4" s="403"/>
      <c r="B4" s="362"/>
      <c r="C4" s="363"/>
      <c r="D4" s="363"/>
      <c r="E4" s="363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44228</v>
      </c>
      <c r="E8" s="96">
        <v>2560</v>
      </c>
      <c r="F8" s="97">
        <v>44621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144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149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150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5" t="s">
        <v>151</v>
      </c>
      <c r="B27" s="436"/>
      <c r="C27" s="436"/>
      <c r="D27" s="436"/>
      <c r="E27" s="437"/>
      <c r="F27" s="396">
        <v>2.4300000000000002</v>
      </c>
      <c r="G27" s="396"/>
      <c r="H27" s="396"/>
    </row>
    <row r="28" spans="1:8" ht="15.75">
      <c r="A28" s="381" t="s">
        <v>152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153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7" zoomScaleNormal="100" workbookViewId="0">
      <selection activeCell="D15" sqref="D15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8" zoomScaleNormal="100" workbookViewId="0">
      <selection activeCell="D26" sqref="D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7" zoomScaleNormal="100" workbookViewId="0">
      <selection activeCell="D26" sqref="D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2022-03-02T09:45:08Z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