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B32" i="3" l="1"/>
  <c r="L32" i="1"/>
  <c r="K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<sst xmlns="http://schemas.openxmlformats.org/spreadsheetml/2006/main" count="108" uniqueCount="33">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</sst>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E29" sqref="E29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2021</v>
      </c>
      <c r="E2" s="20">
        <f>Submetering!E2</f>
        <v>7216.76</v>
      </c>
      <c r="F2" s="16">
        <v>0.12</v>
      </c>
      <c r="G2" s="20">
        <f>Submetering!F2+Submetering!G2</f>
        <v>822.93000000000006</v>
      </c>
      <c r="H2" s="16">
        <v>0.71</v>
      </c>
      <c r="I2" s="20">
        <f>Submetering!J2+Submetering!I2+Submetering!H2</f>
        <v>86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2021</v>
      </c>
      <c r="E3" s="20">
        <f>Submetering!E3</f>
        <v>7309.05</v>
      </c>
      <c r="F3" s="16">
        <v>0.12</v>
      </c>
      <c r="G3" s="20">
        <f>Submetering!F3+Submetering!G3</f>
        <v>807.96</v>
      </c>
      <c r="H3" s="16">
        <v>0.71</v>
      </c>
      <c r="I3" s="20">
        <f>Submetering!J3+Submetering!I3+Submetering!H3</f>
        <v>88.58</v>
      </c>
      <c r="J3" s="16">
        <v>2.3196172978505634</v>
      </c>
      <c r="K3" s="20">
        <f>Submetering!K3</f>
        <v>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v>2021</v>
      </c>
      <c r="E4" s="20">
        <f>Submetering!E4</f>
        <v>7337.74</v>
      </c>
      <c r="F4" s="16">
        <v>0.12</v>
      </c>
      <c r="G4" s="20">
        <f>Submetering!F4+Submetering!G4</f>
        <v>756.07</v>
      </c>
      <c r="H4" s="16">
        <v>0.71</v>
      </c>
      <c r="I4" s="20">
        <f>Submetering!J4+Submetering!I4+Submetering!H4</f>
        <v>91.02</v>
      </c>
      <c r="J4" s="16">
        <v>2.3196172978505634</v>
      </c>
      <c r="K4" s="20">
        <f>Submetering!K4</f>
        <v>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2021</v>
      </c>
      <c r="E5" s="20">
        <f>Submetering!E5</f>
        <v>0</v>
      </c>
      <c r="F5" s="16">
        <v>0.12</v>
      </c>
      <c r="G5" s="20">
        <f>Submetering!F5+Submetering!G5</f>
        <v>0</v>
      </c>
      <c r="H5" s="16">
        <v>0.71</v>
      </c>
      <c r="I5" s="20">
        <f>Submetering!J5+Submetering!I5+Submetering!H5</f>
        <v>0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2021</v>
      </c>
      <c r="E6" s="20">
        <f>Submetering!E6</f>
        <v>0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2021</v>
      </c>
      <c r="E7" s="20">
        <f>Submetering!E7</f>
        <v>0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2021</v>
      </c>
      <c r="E8" s="20">
        <f>Submetering!E8</f>
        <v>0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2021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2021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12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E29" sqref="E29:K29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12</v>
      </c>
      <c r="D2" s="6">
        <v>2021</v>
      </c>
      <c r="E2" s="20">
        <v>7216.76</v>
      </c>
      <c r="F2" s="36">
        <v>815.71</v>
      </c>
      <c r="G2" s="36">
        <v>7.22</v>
      </c>
      <c r="H2" s="35">
        <v>1.5</v>
      </c>
      <c r="I2" s="35">
        <v>31.5</v>
      </c>
      <c r="J2" s="35">
        <v>53</v>
      </c>
      <c r="K2">
        <v>66</v>
      </c>
    </row>
    <row r="3" spans="1:12" x14ac:dyDescent="0.25">
      <c r="A3" s="17" t="s">
        <v>32</v>
      </c>
      <c r="B3" s="6">
        <f>B2+1</f>
        <v>2</v>
      </c>
      <c r="C3" s="6">
        <f>C2</f>
        <v>12</v>
      </c>
      <c r="D3" s="6">
        <v>2021</v>
      </c>
      <c r="E3" s="20">
        <v>7309.05</v>
      </c>
      <c r="F3" s="36">
        <v>794.26</v>
      </c>
      <c r="G3" s="36">
        <v>13.7</v>
      </c>
      <c r="H3" s="35">
        <v>1.58</v>
      </c>
      <c r="I3" s="35">
        <v>29.5</v>
      </c>
      <c r="J3" s="35">
        <v>57.5</v>
      </c>
      <c r="K3" s="6"/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12</v>
      </c>
      <c r="D4" s="6">
        <v>2021</v>
      </c>
      <c r="E4" s="20">
        <v>7337.74</v>
      </c>
      <c r="F4" s="36">
        <v>745.36</v>
      </c>
      <c r="G4" s="36">
        <v>10.71</v>
      </c>
      <c r="H4" s="35">
        <v>2.02</v>
      </c>
      <c r="I4" s="35">
        <v>36</v>
      </c>
      <c r="J4" s="35">
        <v>53</v>
      </c>
      <c r="K4" s="6"/>
    </row>
    <row r="5" spans="1:12" x14ac:dyDescent="0.25">
      <c r="A5" s="17" t="s">
        <v>32</v>
      </c>
      <c r="B5" s="6">
        <f t="shared" si="0"/>
        <v>4</v>
      </c>
      <c r="C5" s="6">
        <f t="shared" si="1"/>
        <v>12</v>
      </c>
      <c r="D5" s="6">
        <v>2021</v>
      </c>
      <c r="F5" s="36"/>
      <c r="G5" s="36"/>
      <c r="H5" s="35"/>
      <c r="I5" s="35"/>
      <c r="J5" s="35"/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12</v>
      </c>
      <c r="D6" s="6">
        <v>2021</v>
      </c>
      <c r="F6" s="36"/>
      <c r="G6" s="36"/>
      <c r="H6" s="35"/>
      <c r="I6" s="35"/>
      <c r="J6" s="35"/>
      <c r="K6" s="6"/>
    </row>
    <row r="7" spans="1:12" x14ac:dyDescent="0.25">
      <c r="A7" s="17" t="s">
        <v>32</v>
      </c>
      <c r="B7" s="6">
        <f t="shared" si="0"/>
        <v>6</v>
      </c>
      <c r="C7" s="6">
        <f t="shared" si="1"/>
        <v>12</v>
      </c>
      <c r="D7" s="6">
        <v>2021</v>
      </c>
      <c r="F7" s="36"/>
      <c r="G7" s="36"/>
      <c r="H7" s="35"/>
      <c r="I7" s="35"/>
      <c r="J7" s="35"/>
      <c r="K7" s="6"/>
    </row>
    <row r="8" spans="1:12" x14ac:dyDescent="0.25">
      <c r="A8" s="17" t="s">
        <v>32</v>
      </c>
      <c r="B8" s="6">
        <f t="shared" si="0"/>
        <v>7</v>
      </c>
      <c r="C8" s="6">
        <f t="shared" si="1"/>
        <v>12</v>
      </c>
      <c r="D8" s="6">
        <v>2021</v>
      </c>
      <c r="F8" s="36"/>
      <c r="G8" s="36"/>
      <c r="H8" s="35"/>
      <c r="I8" s="35"/>
      <c r="J8" s="35"/>
      <c r="K8" s="6"/>
    </row>
    <row r="9" spans="1:12" x14ac:dyDescent="0.25">
      <c r="A9" s="17" t="s">
        <v>32</v>
      </c>
      <c r="B9" s="6">
        <f t="shared" si="0"/>
        <v>8</v>
      </c>
      <c r="C9" s="6">
        <f t="shared" si="1"/>
        <v>12</v>
      </c>
      <c r="D9" s="6">
        <v>2021</v>
      </c>
      <c r="F9" s="36"/>
      <c r="G9" s="36"/>
      <c r="H9" s="35"/>
      <c r="I9" s="35"/>
      <c r="J9" s="35"/>
      <c r="K9" s="6"/>
    </row>
    <row r="10" spans="1:12" x14ac:dyDescent="0.25">
      <c r="A10" s="17" t="s">
        <v>32</v>
      </c>
      <c r="B10" s="6">
        <f t="shared" si="0"/>
        <v>9</v>
      </c>
      <c r="C10" s="6">
        <f t="shared" si="1"/>
        <v>12</v>
      </c>
      <c r="D10" s="6">
        <v>2021</v>
      </c>
      <c r="F10" s="35"/>
      <c r="G10" s="35"/>
      <c r="H10" s="35"/>
      <c r="I10" s="35"/>
      <c r="J10" s="35"/>
      <c r="K10" s="6"/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12</v>
      </c>
      <c r="D11" s="6">
        <v>2021</v>
      </c>
      <c r="F11" s="35"/>
      <c r="G11" s="35"/>
      <c r="H11" s="35"/>
      <c r="I11" s="36"/>
      <c r="J11" s="35"/>
      <c r="K11" s="37"/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12</v>
      </c>
      <c r="D12" s="6">
        <v>2021</v>
      </c>
      <c r="F12" s="35"/>
      <c r="G12" s="35"/>
      <c r="H12" s="35"/>
      <c r="I12" s="36"/>
      <c r="J12" s="35"/>
      <c r="K12" s="6"/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12</v>
      </c>
      <c r="D13" s="6">
        <v>2021</v>
      </c>
      <c r="E13" s="35"/>
      <c r="F13" s="35"/>
      <c r="G13" s="35"/>
      <c r="H13" s="35"/>
      <c r="I13" s="35"/>
      <c r="J13" s="35"/>
      <c r="K13" s="6"/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12</v>
      </c>
      <c r="D14" s="6">
        <v>2021</v>
      </c>
      <c r="E14" s="35"/>
      <c r="F14" s="35"/>
      <c r="G14" s="35"/>
      <c r="H14" s="35"/>
      <c r="I14" s="35"/>
      <c r="J14" s="35"/>
      <c r="K14" s="6"/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12</v>
      </c>
      <c r="D15" s="6">
        <v>2021</v>
      </c>
      <c r="E15" s="35"/>
      <c r="F15" s="35"/>
      <c r="G15" s="35"/>
      <c r="H15" s="35"/>
      <c r="I15" s="35"/>
      <c r="J15" s="35"/>
      <c r="K15" s="6"/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12</v>
      </c>
      <c r="D16" s="6">
        <v>2021</v>
      </c>
      <c r="E16" s="35"/>
      <c r="F16" s="35"/>
      <c r="G16" s="35"/>
      <c r="H16" s="35"/>
      <c r="I16" s="35"/>
      <c r="J16" s="35"/>
      <c r="K16" s="6"/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12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12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12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12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12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12</v>
      </c>
      <c r="D22" s="6">
        <v>2021</v>
      </c>
      <c r="E22" s="35"/>
      <c r="F22" s="35"/>
      <c r="G22" s="35"/>
      <c r="H22" s="35"/>
      <c r="I22" s="35"/>
      <c r="J22" s="35"/>
      <c r="K22" s="6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12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12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12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12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12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12</v>
      </c>
      <c r="D28" s="6">
        <v>2021</v>
      </c>
      <c r="E28" s="35"/>
      <c r="F28" s="35"/>
      <c r="G28" s="35"/>
      <c r="H28" s="35"/>
      <c r="I28" s="35"/>
      <c r="J28" s="35"/>
      <c r="K28" s="6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12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12</v>
      </c>
      <c r="D30" s="6">
        <v>2021</v>
      </c>
      <c r="E30" s="35"/>
      <c r="F30" s="35"/>
      <c r="G30" s="35"/>
      <c r="H30" s="35"/>
      <c r="I30" s="35"/>
      <c r="J30" s="35"/>
      <c r="K30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12</v>
      </c>
      <c r="D31" s="6">
        <v>2021</v>
      </c>
      <c r="E31" s="35"/>
      <c r="F31" s="35"/>
      <c r="G31" s="35"/>
      <c r="H31" s="35"/>
      <c r="I31" s="35"/>
      <c r="J31" s="35"/>
      <c r="K31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12</v>
      </c>
      <c r="D32" s="6">
        <v>2021</v>
      </c>
      <c r="E32" s="35"/>
      <c r="F32" s="35"/>
      <c r="G32" s="35"/>
      <c r="H32" s="35"/>
      <c r="I32" s="35"/>
      <c r="J32" s="35"/>
      <c r="K32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2021-12-05T08:04:05Z</dcterms:modified>
</cp:coreProperties>
</file>