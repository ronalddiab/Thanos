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filterPrivacy="1" defaultThemeVersion="124226"/>
  <xr:revisionPtr revIDLastSave="0" documentId="13_ncr:1_{B1158513-7BD3-4BA8-A5EF-05815C148CF0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<sst xmlns="http://schemas.openxmlformats.org/spreadsheetml/2006/main" count="203" uniqueCount="130">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</sst>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-507940</c:v>
                </c:pt>
                <c:pt idx="1">
                  <c:v>-2844100</c:v>
                </c:pt>
                <c:pt idx="2">
                  <c:v>-275830</c:v>
                </c:pt>
                <c:pt idx="3">
                  <c:v>-1055430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-59589</c:v>
                </c:pt>
                <c:pt idx="1">
                  <c:v>0.29724202261651195</c:v>
                </c:pt>
                <c:pt idx="2" formatCode="_(* #,##0.00_);_(* \(#,##0.00\);_(* &quot;-&quot;??_);_(@_)">
                  <c:v>-231386</c:v>
                </c:pt>
                <c:pt idx="3">
                  <c:v>1.1542003162520638</c:v>
                </c:pt>
                <c:pt idx="4" formatCode="0.00">
                  <c:v>-28987</c:v>
                </c:pt>
                <c:pt idx="5">
                  <c:v>0.14459303746639199</c:v>
                </c:pt>
                <c:pt idx="6" formatCode="0.00">
                  <c:v>-40609</c:v>
                </c:pt>
                <c:pt idx="7">
                  <c:v>0.20256593157183261</c:v>
                </c:pt>
                <c:pt idx="8" formatCode="0.00">
                  <c:v>-7315</c:v>
                </c:pt>
                <c:pt idx="9">
                  <c:v>3.6488704214532632E-2</c:v>
                </c:pt>
                <c:pt idx="10" formatCode="0.00">
                  <c:v>-1204</c:v>
                </c:pt>
                <c:pt idx="11">
                  <c:v>6.005796291769964E-3</c:v>
                </c:pt>
                <c:pt idx="12" formatCode="0.00">
                  <c:v>-8180</c:v>
                </c:pt>
                <c:pt idx="13">
                  <c:v>4.0803499723154737E-2</c:v>
                </c:pt>
                <c:pt idx="14" formatCode="_(* #,##0.00_);_(* \(#,##0.00\);_(* &quot;-&quot;??_);_(@_)">
                  <c:v>-259380</c:v>
                </c:pt>
                <c:pt idx="15">
                  <c:v>1.2938400682386157</c:v>
                </c:pt>
                <c:pt idx="16" formatCode="0.00">
                  <c:v>-1900</c:v>
                </c:pt>
                <c:pt idx="17">
                  <c:v>9.477585510268215E-3</c:v>
                </c:pt>
                <c:pt idx="18" formatCode="0.00">
                  <c:v>-7315</c:v>
                </c:pt>
                <c:pt idx="19">
                  <c:v>3.6488704214532632E-2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-200473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-645865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192704"/>
        <c:axId val="151194240"/>
      </c:barChart>
      <c:catAx>
        <c:axId val="151192704"/>
        <c:scaling>
          <c:orientation val="minMax"/>
        </c:scaling>
        <c:delete val="1"/>
        <c:axPos val="b"/>
        <c:majorTickMark val="none"/>
        <c:minorTickMark val="none"/>
        <c:tickLblPos val="nextTo"/>
        <c:crossAx val="151194240"/>
        <c:crosses val="autoZero"/>
        <c:auto val="1"/>
        <c:lblAlgn val="ctr"/>
        <c:lblOffset val="100"/>
        <c:noMultiLvlLbl val="0"/>
      </c:catAx>
      <c:valAx>
        <c:axId val="15119424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1192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8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</v>
      </c>
      <c r="D2" s="119">
        <v>2022</v>
      </c>
      <c r="E2" s="104">
        <v>27150.000000000091</v>
      </c>
      <c r="F2" s="120">
        <v>0.18</v>
      </c>
      <c r="G2" s="104">
        <v>6892</v>
      </c>
      <c r="H2" s="117">
        <v>0.63500000000000001</v>
      </c>
      <c r="I2" s="63">
        <v>416</v>
      </c>
      <c r="J2" s="73">
        <v>1.8</v>
      </c>
      <c r="K2" s="101"/>
      <c r="L2" s="73">
        <v>0.9</v>
      </c>
      <c r="M2" s="69">
        <v>83</v>
      </c>
      <c r="N2" s="69">
        <v>224</v>
      </c>
      <c r="O2" s="69">
        <v>627</v>
      </c>
    </row>
    <row r="3" spans="1:15" ht="15" x14ac:dyDescent="0.25">
      <c r="A3" s="44" t="s">
        <v>9</v>
      </c>
      <c r="B3" s="45">
        <f>B2+1</f>
        <v>2</v>
      </c>
      <c r="C3" s="46">
        <v>1</v>
      </c>
      <c r="D3" s="119">
        <v>2022</v>
      </c>
      <c r="E3" s="104">
        <v>24789.999999999738</v>
      </c>
      <c r="F3" s="120">
        <v>0.18</v>
      </c>
      <c r="G3" s="104">
        <v>7092</v>
      </c>
      <c r="H3" s="117">
        <v>0.63500000000000001</v>
      </c>
      <c r="I3" s="63">
        <v>411</v>
      </c>
      <c r="J3" s="73">
        <v>1.8</v>
      </c>
      <c r="K3" s="101"/>
      <c r="L3" s="73">
        <v>0.9</v>
      </c>
      <c r="M3" s="69">
        <v>72</v>
      </c>
      <c r="N3" s="69">
        <v>192</v>
      </c>
      <c r="O3" s="69">
        <v>502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</v>
      </c>
      <c r="D4" s="119">
        <v>2022</v>
      </c>
      <c r="E4" s="104">
        <v>24450.000000000502</v>
      </c>
      <c r="F4" s="120">
        <v>0.18</v>
      </c>
      <c r="G4" s="104">
        <v>6585</v>
      </c>
      <c r="H4" s="117">
        <v>0.63500000000000001</v>
      </c>
      <c r="I4" s="63">
        <v>360</v>
      </c>
      <c r="J4" s="73">
        <v>1.8</v>
      </c>
      <c r="K4" s="101"/>
      <c r="L4" s="73">
        <v>0.9</v>
      </c>
      <c r="M4" s="69">
        <v>78</v>
      </c>
      <c r="N4" s="69">
        <v>210</v>
      </c>
      <c r="O4" s="69">
        <v>569</v>
      </c>
    </row>
    <row r="5" spans="1:15" ht="15" x14ac:dyDescent="0.25">
      <c r="A5" s="44" t="s">
        <v>9</v>
      </c>
      <c r="B5" s="45">
        <f t="shared" si="0"/>
        <v>4</v>
      </c>
      <c r="C5" s="46">
        <v>1</v>
      </c>
      <c r="D5" s="119">
        <v>2022</v>
      </c>
      <c r="E5" s="104">
        <v>23100.000000000138</v>
      </c>
      <c r="F5" s="120">
        <v>0.18</v>
      </c>
      <c r="G5" s="104">
        <v>6526</v>
      </c>
      <c r="H5" s="117">
        <v>0.63500000000000001</v>
      </c>
      <c r="I5" s="63">
        <v>312</v>
      </c>
      <c r="J5" s="73">
        <v>1.8</v>
      </c>
      <c r="K5" s="101"/>
      <c r="L5" s="73">
        <v>0.9</v>
      </c>
      <c r="M5" s="69">
        <v>76</v>
      </c>
      <c r="N5" s="69">
        <v>207</v>
      </c>
      <c r="O5" s="69">
        <v>590</v>
      </c>
    </row>
    <row r="6" spans="1:15" ht="15" x14ac:dyDescent="0.25">
      <c r="A6" s="44" t="s">
        <v>9</v>
      </c>
      <c r="B6" s="45">
        <f t="shared" si="0"/>
        <v>5</v>
      </c>
      <c r="C6" s="46">
        <v>1</v>
      </c>
      <c r="D6" s="119">
        <v>2022</v>
      </c>
      <c r="E6" s="104">
        <v>23899.999999999865</v>
      </c>
      <c r="F6" s="120">
        <v>0.18</v>
      </c>
      <c r="G6" s="104">
        <v>6192</v>
      </c>
      <c r="H6" s="117">
        <v>0.63500000000000001</v>
      </c>
      <c r="I6" s="63">
        <v>389</v>
      </c>
      <c r="J6" s="73">
        <v>1.8</v>
      </c>
      <c r="K6" s="101"/>
      <c r="L6" s="73">
        <v>0.9</v>
      </c>
      <c r="M6" s="69">
        <v>96</v>
      </c>
      <c r="N6" s="69">
        <v>209</v>
      </c>
      <c r="O6" s="69">
        <v>586</v>
      </c>
    </row>
    <row r="7" spans="1:15" ht="15" x14ac:dyDescent="0.25">
      <c r="A7" s="44" t="s">
        <v>9</v>
      </c>
      <c r="B7" s="45">
        <f t="shared" si="0"/>
        <v>6</v>
      </c>
      <c r="C7" s="46">
        <v>1</v>
      </c>
      <c r="D7" s="119">
        <v>2022</v>
      </c>
      <c r="E7" s="104">
        <v>24070.000000000844</v>
      </c>
      <c r="F7" s="120">
        <v>0.18</v>
      </c>
      <c r="G7" s="104">
        <v>6346</v>
      </c>
      <c r="H7" s="117">
        <v>0.63500000000000001</v>
      </c>
      <c r="I7" s="63">
        <v>391</v>
      </c>
      <c r="J7" s="73">
        <v>1.8</v>
      </c>
      <c r="K7" s="101"/>
      <c r="L7" s="73">
        <v>0.9</v>
      </c>
      <c r="M7" s="69">
        <v>79</v>
      </c>
      <c r="N7" s="69">
        <v>210</v>
      </c>
      <c r="O7" s="69">
        <v>587</v>
      </c>
    </row>
    <row r="8" spans="1:15" ht="15" x14ac:dyDescent="0.25">
      <c r="A8" s="44" t="s">
        <v>9</v>
      </c>
      <c r="B8" s="45">
        <f t="shared" si="0"/>
        <v>7</v>
      </c>
      <c r="C8" s="46">
        <v>1</v>
      </c>
      <c r="D8" s="119">
        <v>2022</v>
      </c>
      <c r="E8" s="104"/>
      <c r="F8" s="120">
        <v>0.18</v>
      </c>
      <c r="G8" s="104"/>
      <c r="H8" s="117">
        <v>0.63500000000000001</v>
      </c>
      <c r="I8" s="63"/>
      <c r="J8" s="73">
        <v>1.8</v>
      </c>
      <c r="K8" s="101"/>
      <c r="L8" s="73">
        <v>0.9</v>
      </c>
      <c r="M8" s="69">
        <v>76</v>
      </c>
      <c r="N8" s="69">
        <v>198</v>
      </c>
      <c r="O8" s="69">
        <v>595</v>
      </c>
    </row>
    <row r="9" spans="1:15" ht="15" x14ac:dyDescent="0.25">
      <c r="A9" s="44" t="s">
        <v>9</v>
      </c>
      <c r="B9" s="45">
        <f t="shared" si="0"/>
        <v>8</v>
      </c>
      <c r="C9" s="46">
        <v>1</v>
      </c>
      <c r="D9" s="119">
        <v>2022</v>
      </c>
      <c r="E9" s="104"/>
      <c r="F9" s="120">
        <v>0.18</v>
      </c>
      <c r="G9" s="104"/>
      <c r="H9" s="117">
        <v>0.63500000000000001</v>
      </c>
      <c r="I9" s="63"/>
      <c r="J9" s="73">
        <v>1.8</v>
      </c>
      <c r="K9" s="101"/>
      <c r="L9" s="73">
        <v>0.9</v>
      </c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1</v>
      </c>
      <c r="D10" s="119">
        <v>2022</v>
      </c>
      <c r="E10" s="104"/>
      <c r="F10" s="120">
        <v>0.18</v>
      </c>
      <c r="G10" s="104"/>
      <c r="H10" s="117">
        <v>0.63500000000000001</v>
      </c>
      <c r="I10" s="63"/>
      <c r="J10" s="73">
        <v>1.8</v>
      </c>
      <c r="K10" s="101"/>
      <c r="L10" s="73">
        <v>0.9</v>
      </c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1</v>
      </c>
      <c r="D11" s="119">
        <v>2022</v>
      </c>
      <c r="E11" s="104"/>
      <c r="F11" s="120">
        <v>0.18</v>
      </c>
      <c r="G11" s="104"/>
      <c r="H11" s="117">
        <v>0.63500000000000001</v>
      </c>
      <c r="I11" s="63"/>
      <c r="J11" s="73">
        <v>1.8</v>
      </c>
      <c r="K11" s="101"/>
      <c r="L11" s="73">
        <v>0.9</v>
      </c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1</v>
      </c>
      <c r="D12" s="119">
        <v>2022</v>
      </c>
      <c r="E12" s="104"/>
      <c r="F12" s="120">
        <v>0.18</v>
      </c>
      <c r="G12" s="104"/>
      <c r="H12" s="117">
        <v>0.63500000000000001</v>
      </c>
      <c r="I12" s="63"/>
      <c r="J12" s="73">
        <v>1.8</v>
      </c>
      <c r="K12" s="101"/>
      <c r="L12" s="73">
        <v>0.9</v>
      </c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1</v>
      </c>
      <c r="D13" s="119">
        <v>2022</v>
      </c>
      <c r="E13" s="104"/>
      <c r="F13" s="120">
        <v>0.18</v>
      </c>
      <c r="G13" s="104"/>
      <c r="H13" s="117">
        <v>0.63500000000000001</v>
      </c>
      <c r="I13" s="63"/>
      <c r="J13" s="73">
        <v>1.8</v>
      </c>
      <c r="K13" s="101"/>
      <c r="L13" s="73">
        <v>0.9</v>
      </c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</v>
      </c>
      <c r="D14" s="119">
        <v>2022</v>
      </c>
      <c r="E14" s="104"/>
      <c r="F14" s="120">
        <v>0.18</v>
      </c>
      <c r="G14" s="104"/>
      <c r="H14" s="117">
        <v>0.63500000000000001</v>
      </c>
      <c r="I14" s="63"/>
      <c r="J14" s="73">
        <v>1.8</v>
      </c>
      <c r="K14" s="101"/>
      <c r="L14" s="73">
        <v>0.9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</v>
      </c>
      <c r="D15" s="119">
        <v>2022</v>
      </c>
      <c r="E15" s="104"/>
      <c r="F15" s="120">
        <v>0.18</v>
      </c>
      <c r="G15" s="104"/>
      <c r="H15" s="117">
        <v>0.63500000000000001</v>
      </c>
      <c r="I15" s="63"/>
      <c r="J15" s="73">
        <v>1.8</v>
      </c>
      <c r="K15" s="101"/>
      <c r="L15" s="73">
        <v>0.9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</v>
      </c>
      <c r="D16" s="119">
        <v>2022</v>
      </c>
      <c r="E16" s="104"/>
      <c r="F16" s="120">
        <v>0.18</v>
      </c>
      <c r="G16" s="104"/>
      <c r="H16" s="117">
        <v>0.63500000000000001</v>
      </c>
      <c r="I16" s="63"/>
      <c r="J16" s="73">
        <v>1.8</v>
      </c>
      <c r="K16" s="101"/>
      <c r="L16" s="73">
        <v>0.9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</v>
      </c>
      <c r="D17" s="119">
        <v>2022</v>
      </c>
      <c r="E17" s="104"/>
      <c r="F17" s="120">
        <v>0.18</v>
      </c>
      <c r="G17" s="104"/>
      <c r="H17" s="117">
        <v>0.63500000000000001</v>
      </c>
      <c r="I17" s="63"/>
      <c r="J17" s="73">
        <v>1.8</v>
      </c>
      <c r="K17" s="101"/>
      <c r="L17" s="73">
        <v>0.9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</v>
      </c>
      <c r="D18" s="119">
        <v>2022</v>
      </c>
      <c r="E18" s="104"/>
      <c r="F18" s="120">
        <v>0.18</v>
      </c>
      <c r="G18" s="104"/>
      <c r="H18" s="117">
        <v>0.63500000000000001</v>
      </c>
      <c r="I18" s="63"/>
      <c r="J18" s="73">
        <v>1.8</v>
      </c>
      <c r="K18" s="101"/>
      <c r="L18" s="73">
        <v>0.9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</v>
      </c>
      <c r="D19" s="119">
        <v>2022</v>
      </c>
      <c r="E19" s="104"/>
      <c r="F19" s="120">
        <v>0.18</v>
      </c>
      <c r="G19" s="104"/>
      <c r="H19" s="117">
        <v>0.63500000000000001</v>
      </c>
      <c r="I19" s="63"/>
      <c r="J19" s="73">
        <v>1.8</v>
      </c>
      <c r="K19" s="101"/>
      <c r="L19" s="73">
        <v>0.9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</v>
      </c>
      <c r="D20" s="119">
        <v>2022</v>
      </c>
      <c r="E20" s="104"/>
      <c r="F20" s="120">
        <v>0.18</v>
      </c>
      <c r="G20" s="104"/>
      <c r="H20" s="117">
        <v>0.63500000000000001</v>
      </c>
      <c r="I20" s="63"/>
      <c r="J20" s="73">
        <v>1.8</v>
      </c>
      <c r="K20" s="101"/>
      <c r="L20" s="73">
        <v>0.9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</v>
      </c>
      <c r="D21" s="119">
        <v>2022</v>
      </c>
      <c r="E21" s="104"/>
      <c r="F21" s="120">
        <v>0.18</v>
      </c>
      <c r="G21" s="104"/>
      <c r="H21" s="117">
        <v>0.63500000000000001</v>
      </c>
      <c r="I21" s="63"/>
      <c r="J21" s="73">
        <v>1.8</v>
      </c>
      <c r="K21" s="101"/>
      <c r="L21" s="73">
        <v>0.9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</v>
      </c>
      <c r="D22" s="119">
        <v>2022</v>
      </c>
      <c r="E22" s="104"/>
      <c r="F22" s="120">
        <v>0.18</v>
      </c>
      <c r="G22" s="104"/>
      <c r="H22" s="117">
        <v>0.63500000000000001</v>
      </c>
      <c r="I22" s="63"/>
      <c r="J22" s="73">
        <v>1.8</v>
      </c>
      <c r="K22" s="101"/>
      <c r="L22" s="73">
        <v>0.9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</v>
      </c>
      <c r="D23" s="119">
        <v>2022</v>
      </c>
      <c r="E23" s="104"/>
      <c r="F23" s="120">
        <v>0.18</v>
      </c>
      <c r="G23" s="104"/>
      <c r="H23" s="117">
        <v>0.63500000000000001</v>
      </c>
      <c r="I23" s="63"/>
      <c r="J23" s="73">
        <v>1.8</v>
      </c>
      <c r="K23" s="101"/>
      <c r="L23" s="73">
        <v>0.9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</v>
      </c>
      <c r="D24" s="119">
        <v>2022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</v>
      </c>
      <c r="D25" s="119">
        <v>2022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</v>
      </c>
      <c r="D26" s="119">
        <v>2022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</v>
      </c>
      <c r="D27" s="119">
        <v>2022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</v>
      </c>
      <c r="D28" s="119">
        <v>2022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</v>
      </c>
      <c r="D29" s="119">
        <v>2022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</v>
      </c>
      <c r="D30" s="119">
        <v>2022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</v>
      </c>
      <c r="D31" s="119">
        <v>2022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</v>
      </c>
      <c r="D32" s="119">
        <v>2022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147460.00000000116</v>
      </c>
      <c r="F33" s="97">
        <v>0</v>
      </c>
      <c r="G33" s="118">
        <f>SUM(G2:G32)</f>
        <v>39633</v>
      </c>
      <c r="H33" s="95">
        <v>0</v>
      </c>
      <c r="I33" s="96">
        <f>SUM(I2:I32)</f>
        <v>2279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560</v>
      </c>
      <c r="N33" s="99">
        <f t="shared" si="1"/>
        <v>1450</v>
      </c>
      <c r="O33" s="99">
        <f t="shared" si="1"/>
        <v>4056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C1" zoomScale="78" zoomScaleNormal="78" workbookViewId="0">
      <selection activeCell="V4" sqref="V4:X1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74"/>
      <c r="V1" s="74"/>
    </row>
    <row r="2" spans="1:25" s="17" customFormat="1" ht="33" customHeight="1" x14ac:dyDescent="0.25">
      <c r="A2" s="28" t="s">
        <v>2</v>
      </c>
      <c r="B2" s="124" t="s">
        <v>126</v>
      </c>
      <c r="C2" s="124" t="s">
        <v>11</v>
      </c>
      <c r="D2" s="124" t="s">
        <v>12</v>
      </c>
      <c r="E2" s="124" t="s">
        <v>13</v>
      </c>
      <c r="F2" s="124" t="s">
        <v>14</v>
      </c>
      <c r="G2" s="129" t="s">
        <v>15</v>
      </c>
      <c r="H2" s="131" t="s">
        <v>16</v>
      </c>
      <c r="I2" s="124" t="s">
        <v>17</v>
      </c>
      <c r="J2" s="134" t="s">
        <v>18</v>
      </c>
      <c r="K2" s="135"/>
      <c r="L2" s="136"/>
      <c r="M2" s="129" t="s">
        <v>19</v>
      </c>
      <c r="N2" s="131" t="s">
        <v>20</v>
      </c>
      <c r="O2" s="132" t="s">
        <v>21</v>
      </c>
      <c r="P2" s="131" t="s">
        <v>22</v>
      </c>
      <c r="Q2" s="137" t="s">
        <v>23</v>
      </c>
      <c r="R2" s="124" t="s">
        <v>24</v>
      </c>
      <c r="S2" s="124" t="s">
        <v>25</v>
      </c>
      <c r="T2" s="124" t="s">
        <v>26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29"/>
      <c r="B3" s="125"/>
      <c r="C3" s="125"/>
      <c r="D3" s="125"/>
      <c r="E3" s="125"/>
      <c r="F3" s="125"/>
      <c r="G3" s="130"/>
      <c r="H3" s="131"/>
      <c r="I3" s="125"/>
      <c r="J3" s="18" t="s">
        <v>27</v>
      </c>
      <c r="K3" s="18" t="s">
        <v>28</v>
      </c>
      <c r="L3" s="18" t="s">
        <v>29</v>
      </c>
      <c r="M3" s="130"/>
      <c r="N3" s="131"/>
      <c r="O3" s="133"/>
      <c r="P3" s="131"/>
      <c r="Q3" s="138"/>
      <c r="R3" s="125"/>
      <c r="S3" s="125"/>
      <c r="T3" s="125"/>
      <c r="V3" s="126"/>
      <c r="W3" s="126"/>
      <c r="X3" s="126"/>
    </row>
    <row r="4" spans="1:25" ht="21" customHeight="1" x14ac:dyDescent="0.25">
      <c r="A4" s="8">
        <v>44562</v>
      </c>
      <c r="B4" s="106">
        <v>1.2072000000000001</v>
      </c>
      <c r="C4" s="107">
        <v>275.83</v>
      </c>
      <c r="D4" s="107">
        <v>7887161.9199999999</v>
      </c>
      <c r="E4" s="107">
        <v>8710078.8900000006</v>
      </c>
      <c r="F4" s="107">
        <v>2.8441000000000001</v>
      </c>
      <c r="G4" s="107">
        <v>902.93</v>
      </c>
      <c r="H4" s="107">
        <v>755.89</v>
      </c>
      <c r="I4" s="107">
        <v>287.3</v>
      </c>
      <c r="J4" s="107">
        <v>381.99</v>
      </c>
      <c r="K4" s="107">
        <v>399.63</v>
      </c>
      <c r="L4" s="107">
        <v>273.81</v>
      </c>
      <c r="M4" s="107">
        <v>657.85</v>
      </c>
      <c r="N4" s="107">
        <v>611.64</v>
      </c>
      <c r="O4" s="107">
        <v>189.69</v>
      </c>
      <c r="P4" s="107">
        <v>798.26</v>
      </c>
      <c r="Q4" s="107">
        <v>588</v>
      </c>
      <c r="R4" s="107">
        <v>190.15</v>
      </c>
      <c r="S4" s="107">
        <v>138.71</v>
      </c>
      <c r="T4" s="107">
        <v>507.94</v>
      </c>
      <c r="V4" s="69">
        <v>83</v>
      </c>
      <c r="W4" s="69">
        <v>224</v>
      </c>
      <c r="X4" s="69">
        <v>627</v>
      </c>
      <c r="Y4" s="17"/>
    </row>
    <row r="5" spans="1:25" ht="21" customHeight="1" x14ac:dyDescent="0.25">
      <c r="A5" s="8">
        <v>44563</v>
      </c>
      <c r="B5" s="108">
        <v>1.2083999999999999</v>
      </c>
      <c r="C5" s="109">
        <v>276.11</v>
      </c>
      <c r="D5" s="109">
        <v>7889359.0099999998</v>
      </c>
      <c r="E5" s="109">
        <v>8712983.0700000003</v>
      </c>
      <c r="F5" s="109">
        <v>2.8468</v>
      </c>
      <c r="G5" s="109">
        <v>903.84</v>
      </c>
      <c r="H5" s="109">
        <v>757.15</v>
      </c>
      <c r="I5" s="109">
        <v>287.61</v>
      </c>
      <c r="J5" s="109">
        <v>382.75</v>
      </c>
      <c r="K5" s="109">
        <v>400.18</v>
      </c>
      <c r="L5" s="109">
        <v>274.13</v>
      </c>
      <c r="M5" s="109">
        <v>658.62</v>
      </c>
      <c r="N5" s="109">
        <v>612.41</v>
      </c>
      <c r="O5" s="109">
        <v>189.95</v>
      </c>
      <c r="P5" s="109">
        <v>799.34</v>
      </c>
      <c r="Q5" s="109">
        <v>588.79</v>
      </c>
      <c r="R5" s="109">
        <v>190.15</v>
      </c>
      <c r="S5" s="109">
        <v>138.87</v>
      </c>
      <c r="T5" s="109">
        <v>508.62</v>
      </c>
      <c r="V5" s="69">
        <v>72</v>
      </c>
      <c r="W5" s="69">
        <v>192</v>
      </c>
      <c r="X5" s="69">
        <v>502</v>
      </c>
      <c r="Y5" s="17"/>
    </row>
    <row r="6" spans="1:25" ht="21" customHeight="1" x14ac:dyDescent="0.25">
      <c r="A6" s="8">
        <v>44564</v>
      </c>
      <c r="B6" s="108">
        <v>1.2097</v>
      </c>
      <c r="C6" s="109">
        <v>276.38</v>
      </c>
      <c r="D6" s="109">
        <v>7891859.3399999999</v>
      </c>
      <c r="E6" s="109">
        <v>8716062.9000000004</v>
      </c>
      <c r="F6" s="109">
        <v>2.8496999999999999</v>
      </c>
      <c r="G6" s="109">
        <v>904.86</v>
      </c>
      <c r="H6" s="109">
        <v>758.42</v>
      </c>
      <c r="I6" s="109">
        <v>287.93</v>
      </c>
      <c r="J6" s="109">
        <v>383.5</v>
      </c>
      <c r="K6" s="109">
        <v>400.75</v>
      </c>
      <c r="L6" s="109">
        <v>274.44</v>
      </c>
      <c r="M6" s="109">
        <v>659.41</v>
      </c>
      <c r="N6" s="109">
        <v>613.16</v>
      </c>
      <c r="O6" s="109">
        <v>190.22</v>
      </c>
      <c r="P6" s="109">
        <v>800.45</v>
      </c>
      <c r="Q6" s="109">
        <v>589.59</v>
      </c>
      <c r="R6" s="109">
        <v>190.15</v>
      </c>
      <c r="S6" s="109">
        <v>139.03</v>
      </c>
      <c r="T6" s="109">
        <v>509.26</v>
      </c>
      <c r="V6" s="69">
        <v>78</v>
      </c>
      <c r="W6" s="69">
        <v>210</v>
      </c>
      <c r="X6" s="69">
        <v>569</v>
      </c>
      <c r="Y6" s="17"/>
    </row>
    <row r="7" spans="1:25" ht="21" customHeight="1" x14ac:dyDescent="0.25">
      <c r="A7" s="8">
        <v>44565</v>
      </c>
      <c r="B7" s="108">
        <v>1.2109000000000001</v>
      </c>
      <c r="C7" s="109">
        <v>276.66000000000003</v>
      </c>
      <c r="D7" s="109">
        <v>7894186.1100000003</v>
      </c>
      <c r="E7" s="109">
        <v>8718838.1500000004</v>
      </c>
      <c r="F7" s="109">
        <v>2.8525</v>
      </c>
      <c r="G7" s="109">
        <v>905.76</v>
      </c>
      <c r="H7" s="109">
        <v>759.46</v>
      </c>
      <c r="I7" s="109">
        <v>288.24</v>
      </c>
      <c r="J7" s="109">
        <v>384.29</v>
      </c>
      <c r="K7" s="109">
        <v>401.31</v>
      </c>
      <c r="L7" s="109">
        <v>274.79000000000002</v>
      </c>
      <c r="M7" s="109">
        <v>660.18</v>
      </c>
      <c r="N7" s="109">
        <v>613.84</v>
      </c>
      <c r="O7" s="109">
        <v>190.47</v>
      </c>
      <c r="P7" s="109">
        <v>801.48</v>
      </c>
      <c r="Q7" s="109">
        <v>590.29999999999995</v>
      </c>
      <c r="R7" s="109">
        <v>190.15</v>
      </c>
      <c r="S7" s="109">
        <v>139.21</v>
      </c>
      <c r="T7" s="109">
        <v>509.94</v>
      </c>
      <c r="V7" s="69">
        <v>76</v>
      </c>
      <c r="W7" s="69">
        <v>207</v>
      </c>
      <c r="X7" s="69">
        <v>590</v>
      </c>
      <c r="Y7" s="17"/>
    </row>
    <row r="8" spans="1:25" ht="21" customHeight="1" x14ac:dyDescent="0.25">
      <c r="A8" s="8">
        <v>44566</v>
      </c>
      <c r="B8" s="108">
        <v>1.212</v>
      </c>
      <c r="C8" s="109">
        <v>276.94</v>
      </c>
      <c r="D8" s="109">
        <v>7896291.2800000003</v>
      </c>
      <c r="E8" s="109">
        <v>8721279.4399999995</v>
      </c>
      <c r="F8" s="109">
        <v>2.8553000000000002</v>
      </c>
      <c r="G8" s="109">
        <v>906.57</v>
      </c>
      <c r="H8" s="109">
        <v>760.54</v>
      </c>
      <c r="I8" s="109">
        <v>288.49</v>
      </c>
      <c r="J8" s="109">
        <v>385</v>
      </c>
      <c r="K8" s="109">
        <v>401.87</v>
      </c>
      <c r="L8" s="109">
        <v>275.14999999999998</v>
      </c>
      <c r="M8" s="109">
        <v>660.93</v>
      </c>
      <c r="N8" s="109">
        <v>614.5</v>
      </c>
      <c r="O8" s="109">
        <v>190.73</v>
      </c>
      <c r="P8" s="109">
        <v>802.49</v>
      </c>
      <c r="Q8" s="109">
        <v>590.98</v>
      </c>
      <c r="R8" s="109">
        <v>190.15</v>
      </c>
      <c r="S8" s="109">
        <v>139.36000000000001</v>
      </c>
      <c r="T8" s="109">
        <v>510.57</v>
      </c>
      <c r="V8" s="103">
        <v>96</v>
      </c>
      <c r="W8" s="103">
        <v>209</v>
      </c>
      <c r="X8" s="103">
        <v>586</v>
      </c>
      <c r="Y8" s="17"/>
    </row>
    <row r="9" spans="1:25" ht="21" customHeight="1" x14ac:dyDescent="0.25">
      <c r="A9" s="8">
        <v>44567</v>
      </c>
      <c r="B9" s="110">
        <v>1.2132000000000001</v>
      </c>
      <c r="C9" s="111">
        <v>277.22000000000003</v>
      </c>
      <c r="D9" s="110">
        <v>7898394.8700000001</v>
      </c>
      <c r="E9" s="112">
        <v>8723728.1600000001</v>
      </c>
      <c r="F9" s="111">
        <v>2.8578999999999999</v>
      </c>
      <c r="G9" s="110">
        <v>907.36</v>
      </c>
      <c r="H9" s="112">
        <v>761.54</v>
      </c>
      <c r="I9" s="112">
        <v>288.73</v>
      </c>
      <c r="J9" s="109">
        <v>385.73</v>
      </c>
      <c r="K9" s="109">
        <v>402.41</v>
      </c>
      <c r="L9" s="109">
        <v>275.45</v>
      </c>
      <c r="M9" s="109">
        <v>661.61</v>
      </c>
      <c r="N9" s="109">
        <v>615.08000000000004</v>
      </c>
      <c r="O9" s="109">
        <v>191</v>
      </c>
      <c r="P9" s="109">
        <v>803.5</v>
      </c>
      <c r="Q9" s="109">
        <v>591.63</v>
      </c>
      <c r="R9" s="109">
        <v>190.15</v>
      </c>
      <c r="S9" s="109">
        <v>139.53</v>
      </c>
      <c r="T9" s="109">
        <v>511.19</v>
      </c>
      <c r="V9" s="103">
        <v>79</v>
      </c>
      <c r="W9" s="103">
        <v>210</v>
      </c>
      <c r="X9" s="103">
        <v>587</v>
      </c>
      <c r="Y9" s="17"/>
    </row>
    <row r="10" spans="1:25" ht="21" customHeight="1" x14ac:dyDescent="0.25">
      <c r="A10" s="8">
        <v>44568</v>
      </c>
      <c r="B10" s="106">
        <v>1.2143999999999999</v>
      </c>
      <c r="C10" s="107">
        <v>277.5</v>
      </c>
      <c r="D10" s="107">
        <v>7900574.3300000001</v>
      </c>
      <c r="E10" s="107">
        <v>8726383.6400000006</v>
      </c>
      <c r="F10" s="107">
        <v>2.8607</v>
      </c>
      <c r="G10" s="107">
        <v>908.2</v>
      </c>
      <c r="H10" s="107">
        <v>762.62</v>
      </c>
      <c r="I10" s="107">
        <v>289.02999999999997</v>
      </c>
      <c r="J10" s="109">
        <v>386.45</v>
      </c>
      <c r="K10" s="109">
        <v>402.95</v>
      </c>
      <c r="L10" s="109">
        <v>275.77999999999997</v>
      </c>
      <c r="M10" s="109">
        <v>662.33</v>
      </c>
      <c r="N10" s="109">
        <v>615.84</v>
      </c>
      <c r="O10" s="109">
        <v>191.29</v>
      </c>
      <c r="P10" s="109">
        <v>804.55</v>
      </c>
      <c r="Q10" s="109">
        <v>592.34</v>
      </c>
      <c r="R10" s="109">
        <v>190.15</v>
      </c>
      <c r="S10" s="109">
        <v>139.69</v>
      </c>
      <c r="T10" s="109">
        <v>511.83</v>
      </c>
      <c r="V10" s="103">
        <v>76</v>
      </c>
      <c r="W10" s="103">
        <v>198</v>
      </c>
      <c r="X10" s="103">
        <v>595</v>
      </c>
      <c r="Y10" s="17"/>
    </row>
    <row r="11" spans="1:25" ht="21" customHeight="1" x14ac:dyDescent="0.25">
      <c r="A11" s="8">
        <v>44569</v>
      </c>
      <c r="B11" s="108">
        <v>1.2155</v>
      </c>
      <c r="C11" s="109">
        <v>277.77999999999997</v>
      </c>
      <c r="D11" s="109">
        <v>7902742.0499999998</v>
      </c>
      <c r="E11" s="109">
        <v>8729009.4700000007</v>
      </c>
      <c r="F11" s="109">
        <v>2.8635000000000002</v>
      </c>
      <c r="G11" s="109">
        <v>909.07</v>
      </c>
      <c r="H11" s="109">
        <v>763.8</v>
      </c>
      <c r="I11" s="109">
        <v>289.36</v>
      </c>
      <c r="J11" s="109">
        <v>387.14</v>
      </c>
      <c r="K11" s="109">
        <v>403.43</v>
      </c>
      <c r="L11" s="109">
        <v>276.11</v>
      </c>
      <c r="M11" s="109">
        <v>663.06</v>
      </c>
      <c r="N11" s="109">
        <v>616.57000000000005</v>
      </c>
      <c r="O11" s="109">
        <v>191.55</v>
      </c>
      <c r="P11" s="109">
        <v>805.64</v>
      </c>
      <c r="Q11" s="109">
        <v>593.09</v>
      </c>
      <c r="R11" s="109">
        <v>190.15</v>
      </c>
      <c r="S11" s="109">
        <v>139.85</v>
      </c>
      <c r="T11" s="109">
        <v>512.42999999999995</v>
      </c>
      <c r="V11" s="103"/>
      <c r="W11" s="103"/>
      <c r="X11" s="103"/>
      <c r="Y11" s="17"/>
    </row>
    <row r="12" spans="1:25" ht="21" customHeight="1" x14ac:dyDescent="0.25">
      <c r="A12" s="8">
        <v>44570</v>
      </c>
      <c r="B12" s="108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V12" s="103"/>
      <c r="W12" s="103"/>
      <c r="X12" s="103"/>
      <c r="Y12" s="17"/>
    </row>
    <row r="13" spans="1:25" ht="21" customHeight="1" x14ac:dyDescent="0.25">
      <c r="A13" s="8">
        <v>44571</v>
      </c>
      <c r="B13" s="108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V13" s="103"/>
      <c r="W13" s="103"/>
      <c r="X13" s="103"/>
      <c r="Y13" s="17"/>
    </row>
    <row r="14" spans="1:25" ht="21" customHeight="1" x14ac:dyDescent="0.25">
      <c r="A14" s="8">
        <v>44572</v>
      </c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V14" s="103"/>
      <c r="W14" s="103"/>
      <c r="X14" s="103"/>
      <c r="Y14" s="17"/>
    </row>
    <row r="15" spans="1:25" ht="21" customHeight="1" x14ac:dyDescent="0.25">
      <c r="A15" s="8">
        <v>44573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V15" s="103"/>
      <c r="W15" s="103"/>
      <c r="X15" s="103"/>
      <c r="Y15" s="17"/>
    </row>
    <row r="16" spans="1:25" ht="21" customHeight="1" x14ac:dyDescent="0.25">
      <c r="A16" s="8">
        <v>44574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V16" s="103"/>
      <c r="W16" s="103"/>
      <c r="X16" s="103"/>
      <c r="Y16" s="17"/>
    </row>
    <row r="17" spans="1:25" ht="21" customHeight="1" x14ac:dyDescent="0.25">
      <c r="A17" s="8">
        <v>44575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44576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44577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44578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44579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44580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44581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44582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44583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44584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44585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44586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44587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44588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44589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44590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44591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560</v>
      </c>
      <c r="W35" s="75">
        <f>SUM(W4:W34)</f>
        <v>1450</v>
      </c>
      <c r="X35" s="75">
        <f>SUM(X4:X34)</f>
        <v>4056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V42" sqref="V4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2" t="s">
        <v>31</v>
      </c>
      <c r="B2" s="124" t="s">
        <v>32</v>
      </c>
      <c r="C2" s="124" t="s">
        <v>33</v>
      </c>
      <c r="D2" s="124" t="s">
        <v>119</v>
      </c>
      <c r="E2" s="132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3"/>
      <c r="B3" s="125"/>
      <c r="C3" s="125"/>
      <c r="D3" s="125"/>
      <c r="E3" s="133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44562</v>
      </c>
      <c r="B4" s="26">
        <f>TOTAL!E2</f>
        <v>27150.000000000091</v>
      </c>
      <c r="C4" s="4">
        <f>('Kwh Reading'!T5-'Kwh Reading'!T4)*1000</f>
        <v>680.00000000000682</v>
      </c>
      <c r="D4" s="2">
        <f>('Kwh Reading'!F5-'Kwh Reading'!F4)*1000000</f>
        <v>2699.9999999999245</v>
      </c>
      <c r="E4" s="2">
        <f>('Kwh Reading'!C5-'Kwh Reading'!C4)*1000</f>
        <v>280.00000000002956</v>
      </c>
      <c r="F4" s="2">
        <f>('Kwh Reading'!J5-'Kwh Reading'!J4)*1000</f>
        <v>759.99999999999091</v>
      </c>
      <c r="G4" s="2">
        <f>('Kwh Reading'!K5-'Kwh Reading'!K4)*1000</f>
        <v>550.00000000001137</v>
      </c>
      <c r="H4" s="2">
        <f>('Kwh Reading'!L5-'Kwh Reading'!L4)*1000</f>
        <v>319.99999999999318</v>
      </c>
      <c r="I4" s="2">
        <f>('Kwh Reading'!R5-'Kwh Reading'!R4)*1000</f>
        <v>0</v>
      </c>
      <c r="J4" s="2">
        <f>('Kwh Reading'!S5-'Kwh Reading'!S4)*1000</f>
        <v>159.99999999999659</v>
      </c>
      <c r="K4" s="2">
        <f>('Kwh Reading'!I5-'Kwh Reading'!I4)*1000</f>
        <v>310.00000000000227</v>
      </c>
      <c r="L4" s="2">
        <f>('Kwh Reading'!B5-'Kwh Reading'!B4)*1000000</f>
        <v>1199.9999999998679</v>
      </c>
      <c r="M4" s="2">
        <f>('Kwh Reading'!M5-'Kwh Reading'!M4)*1000</f>
        <v>769.99999999998181</v>
      </c>
      <c r="N4" s="2">
        <f>('Kwh Reading'!H5-'Kwh Reading'!H4)*1000</f>
        <v>1259.9999999999909</v>
      </c>
      <c r="O4" s="2">
        <f>('Kwh Reading'!P5-'Kwh Reading'!P4)*1000</f>
        <v>1080.0000000000409</v>
      </c>
      <c r="P4" s="2">
        <f>('Kwh Reading'!G5-'Kwh Reading'!G4)*1000</f>
        <v>910.00000000008185</v>
      </c>
      <c r="Q4" s="2">
        <f>('Kwh Reading'!Q5-'Kwh Reading'!Q4)*1000</f>
        <v>789.99999999996362</v>
      </c>
      <c r="R4" s="2">
        <f>('Kwh Reading'!N5-'Kwh Reading'!N4)*1000</f>
        <v>769.99999999998181</v>
      </c>
      <c r="S4" s="2">
        <f>'Kwh Reading'!E5-'Kwh Reading'!E4</f>
        <v>2904.179999999702</v>
      </c>
      <c r="T4" s="2">
        <f>'Kwh Reading'!D5-'Kwh Reading'!D4</f>
        <v>2197.089999999851</v>
      </c>
      <c r="U4" s="27">
        <f>('Kwh Reading'!O5-'Kwh Reading'!O4)*1000</f>
        <v>259.99999999999091</v>
      </c>
      <c r="V4" s="16">
        <f>B4-(SUM(C4:U4))</f>
        <v>9248.7300000006835</v>
      </c>
    </row>
    <row r="5" spans="1:22" x14ac:dyDescent="0.25">
      <c r="A5" s="3">
        <f>'Kwh Reading'!A5</f>
        <v>44563</v>
      </c>
      <c r="B5" s="26">
        <f>TOTAL!E3</f>
        <v>24789.999999999738</v>
      </c>
      <c r="C5" s="4">
        <f>('Kwh Reading'!T6-'Kwh Reading'!T5)*1000</f>
        <v>639.99999999998636</v>
      </c>
      <c r="D5" s="2">
        <f>('Kwh Reading'!F6-'Kwh Reading'!F5)*1000000</f>
        <v>2899.9999999999027</v>
      </c>
      <c r="E5" s="2">
        <f>('Kwh Reading'!C6-'Kwh Reading'!C5)*1000</f>
        <v>269.99999999998181</v>
      </c>
      <c r="F5" s="2">
        <f>('Kwh Reading'!J6-'Kwh Reading'!J5)*1000</f>
        <v>750</v>
      </c>
      <c r="G5" s="2">
        <f>('Kwh Reading'!K6-'Kwh Reading'!K5)*1000</f>
        <v>569.99999999999318</v>
      </c>
      <c r="H5" s="2">
        <f>('Kwh Reading'!L6-'Kwh Reading'!L5)*1000</f>
        <v>310.00000000000227</v>
      </c>
      <c r="I5" s="2">
        <f>('Kwh Reading'!R6-'Kwh Reading'!R5)*1000</f>
        <v>0</v>
      </c>
      <c r="J5" s="2">
        <f>('Kwh Reading'!S6-'Kwh Reading'!S5)*1000</f>
        <v>159.99999999999659</v>
      </c>
      <c r="K5" s="2">
        <f>('Kwh Reading'!I6-'Kwh Reading'!I5)*1000</f>
        <v>319.99999999999318</v>
      </c>
      <c r="L5" s="2">
        <f>('Kwh Reading'!B6-'Kwh Reading'!B5)*1000000</f>
        <v>1300.0000000000789</v>
      </c>
      <c r="M5" s="2">
        <f>('Kwh Reading'!M6-'Kwh Reading'!M5)*1000</f>
        <v>789.99999999996362</v>
      </c>
      <c r="N5" s="2">
        <f>('Kwh Reading'!H6-'Kwh Reading'!H5)*1000</f>
        <v>1269.9999999999818</v>
      </c>
      <c r="O5" s="2">
        <f>('Kwh Reading'!P6-'Kwh Reading'!P5)*1000</f>
        <v>1110.0000000000136</v>
      </c>
      <c r="P5" s="2">
        <f>('Kwh Reading'!G6-'Kwh Reading'!G5)*1000</f>
        <v>1019.9999999999818</v>
      </c>
      <c r="Q5" s="2">
        <f>('Kwh Reading'!Q6-'Kwh Reading'!Q5)*1000</f>
        <v>800.00000000006821</v>
      </c>
      <c r="R5" s="2">
        <f>('Kwh Reading'!N6-'Kwh Reading'!N5)*1000</f>
        <v>750</v>
      </c>
      <c r="S5" s="2">
        <f>'Kwh Reading'!E6-'Kwh Reading'!E5</f>
        <v>3079.8300000000745</v>
      </c>
      <c r="T5" s="2">
        <f>'Kwh Reading'!D6-'Kwh Reading'!D5</f>
        <v>2500.3300000000745</v>
      </c>
      <c r="U5" s="27">
        <f>('Kwh Reading'!O6-'Kwh Reading'!O5)*1000</f>
        <v>270.00000000001023</v>
      </c>
      <c r="V5" s="16">
        <f t="shared" ref="V5:V11" si="0">B5-(SUM(C5:U5))</f>
        <v>5979.8399999996327</v>
      </c>
    </row>
    <row r="6" spans="1:22" x14ac:dyDescent="0.25">
      <c r="A6" s="3">
        <f>'Kwh Reading'!A6</f>
        <v>44564</v>
      </c>
      <c r="B6" s="26">
        <f>TOTAL!E4</f>
        <v>24450.000000000502</v>
      </c>
      <c r="C6" s="4">
        <f>('Kwh Reading'!T7-'Kwh Reading'!T6)*1000</f>
        <v>680.00000000000682</v>
      </c>
      <c r="D6" s="2">
        <f>('Kwh Reading'!F7-'Kwh Reading'!F6)*1000000</f>
        <v>2800.0000000001355</v>
      </c>
      <c r="E6" s="2">
        <f>('Kwh Reading'!C7-'Kwh Reading'!C6)*1000</f>
        <v>280.00000000002956</v>
      </c>
      <c r="F6" s="2">
        <f>('Kwh Reading'!J7-'Kwh Reading'!J6)*1000</f>
        <v>790.00000000002046</v>
      </c>
      <c r="G6" s="2">
        <f>('Kwh Reading'!K7-'Kwh Reading'!K6)*1000</f>
        <v>560.00000000000227</v>
      </c>
      <c r="H6" s="2">
        <f>('Kwh Reading'!L7-'Kwh Reading'!L6)*1000</f>
        <v>350.00000000002274</v>
      </c>
      <c r="I6" s="2">
        <f>('Kwh Reading'!R7-'Kwh Reading'!R6)*1000</f>
        <v>0</v>
      </c>
      <c r="J6" s="2">
        <f>('Kwh Reading'!S7-'Kwh Reading'!S6)*1000</f>
        <v>180.00000000000682</v>
      </c>
      <c r="K6" s="2">
        <f>('Kwh Reading'!I7-'Kwh Reading'!I6)*1000</f>
        <v>310.00000000000227</v>
      </c>
      <c r="L6" s="2">
        <f>('Kwh Reading'!B7-'Kwh Reading'!B6)*1000000</f>
        <v>1200.0000000000898</v>
      </c>
      <c r="M6" s="2">
        <f>('Kwh Reading'!M7-'Kwh Reading'!M6)*1000</f>
        <v>769.99999999998181</v>
      </c>
      <c r="N6" s="2">
        <f>('Kwh Reading'!H7-'Kwh Reading'!H6)*1000</f>
        <v>1040.0000000000773</v>
      </c>
      <c r="O6" s="2">
        <f>('Kwh Reading'!P7-'Kwh Reading'!P6)*1000</f>
        <v>1029.9999999999727</v>
      </c>
      <c r="P6" s="2">
        <f>('Kwh Reading'!G7-'Kwh Reading'!G6)*1000</f>
        <v>899.99999999997726</v>
      </c>
      <c r="Q6" s="2">
        <f>('Kwh Reading'!Q7-'Kwh Reading'!Q6)*1000</f>
        <v>709.99999999992269</v>
      </c>
      <c r="R6" s="2">
        <f>('Kwh Reading'!N7-'Kwh Reading'!N6)*1000</f>
        <v>680.00000000006366</v>
      </c>
      <c r="S6" s="2">
        <f>'Kwh Reading'!E7-'Kwh Reading'!E6</f>
        <v>2775.25</v>
      </c>
      <c r="T6" s="2">
        <f>'Kwh Reading'!D7-'Kwh Reading'!D6</f>
        <v>2326.7700000004843</v>
      </c>
      <c r="U6" s="27">
        <f>('Kwh Reading'!O7-'Kwh Reading'!O6)*1000</f>
        <v>250</v>
      </c>
      <c r="V6" s="16">
        <f t="shared" si="0"/>
        <v>6817.9799999997049</v>
      </c>
    </row>
    <row r="7" spans="1:22" x14ac:dyDescent="0.25">
      <c r="A7" s="3">
        <f>'Kwh Reading'!A7</f>
        <v>44565</v>
      </c>
      <c r="B7" s="26">
        <f>TOTAL!E5</f>
        <v>23100.000000000138</v>
      </c>
      <c r="C7" s="4">
        <f>('Kwh Reading'!T8-'Kwh Reading'!T7)*1000</f>
        <v>629.99999999999545</v>
      </c>
      <c r="D7" s="2">
        <f>('Kwh Reading'!F8-'Kwh Reading'!F7)*1000000</f>
        <v>2800.0000000001355</v>
      </c>
      <c r="E7" s="2">
        <f>('Kwh Reading'!C8-'Kwh Reading'!C7)*1000</f>
        <v>279.99999999997272</v>
      </c>
      <c r="F7" s="2">
        <f>('Kwh Reading'!J8-'Kwh Reading'!J7)*1000</f>
        <v>709.99999999997954</v>
      </c>
      <c r="G7" s="2">
        <f>('Kwh Reading'!K8-'Kwh Reading'!K7)*1000</f>
        <v>560.00000000000227</v>
      </c>
      <c r="H7" s="2">
        <f>('Kwh Reading'!L8-'Kwh Reading'!L7)*1000</f>
        <v>359.9999999999568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1099.9999999998788</v>
      </c>
      <c r="M7" s="2">
        <f>('Kwh Reading'!M8-'Kwh Reading'!M7)*1000</f>
        <v>750</v>
      </c>
      <c r="N7" s="2">
        <f>('Kwh Reading'!H8-'Kwh Reading'!H7)*1000</f>
        <v>1079.9999999999272</v>
      </c>
      <c r="O7" s="2">
        <f>('Kwh Reading'!P8-'Kwh Reading'!P7)*1000</f>
        <v>1009.9999999999909</v>
      </c>
      <c r="P7" s="2">
        <f>('Kwh Reading'!G8-'Kwh Reading'!G7)*1000</f>
        <v>810.00000000005912</v>
      </c>
      <c r="Q7" s="2">
        <f>('Kwh Reading'!Q8-'Kwh Reading'!Q7)*1000</f>
        <v>680.00000000006366</v>
      </c>
      <c r="R7" s="2">
        <f>('Kwh Reading'!N8-'Kwh Reading'!N7)*1000</f>
        <v>659.99999999996817</v>
      </c>
      <c r="S7" s="2">
        <f>'Kwh Reading'!E8-'Kwh Reading'!E7</f>
        <v>2441.2899999991059</v>
      </c>
      <c r="T7" s="2">
        <f>'Kwh Reading'!D8-'Kwh Reading'!D7</f>
        <v>2105.1699999999255</v>
      </c>
      <c r="U7" s="27">
        <f>('Kwh Reading'!O8-'Kwh Reading'!O7)*1000</f>
        <v>259.99999999999091</v>
      </c>
      <c r="V7" s="16">
        <f t="shared" si="0"/>
        <v>6463.5400000011796</v>
      </c>
    </row>
    <row r="8" spans="1:22" x14ac:dyDescent="0.25">
      <c r="A8" s="3">
        <f>'Kwh Reading'!A8</f>
        <v>44566</v>
      </c>
      <c r="B8" s="26">
        <f>TOTAL!E6</f>
        <v>23899.999999999865</v>
      </c>
      <c r="C8" s="4">
        <f>('Kwh Reading'!T9-'Kwh Reading'!T8)*1000</f>
        <v>620.00000000000455</v>
      </c>
      <c r="D8" s="2">
        <f>('Kwh Reading'!F9-'Kwh Reading'!F8)*1000000</f>
        <v>2599.9999999997135</v>
      </c>
      <c r="E8" s="2">
        <f>('Kwh Reading'!C9-'Kwh Reading'!C8)*1000</f>
        <v>280.00000000002956</v>
      </c>
      <c r="F8" s="2">
        <f>('Kwh Reading'!J9-'Kwh Reading'!J8)*1000</f>
        <v>730.00000000001819</v>
      </c>
      <c r="G8" s="2">
        <f>('Kwh Reading'!K9-'Kwh Reading'!K8)*1000</f>
        <v>540.00000000002046</v>
      </c>
      <c r="H8" s="2">
        <f>('Kwh Reading'!L9-'Kwh Reading'!L8)*1000</f>
        <v>300.00000000001137</v>
      </c>
      <c r="I8" s="2">
        <f>('Kwh Reading'!R9-'Kwh Reading'!R8)*1000</f>
        <v>0</v>
      </c>
      <c r="J8" s="2">
        <f>('Kwh Reading'!S9-'Kwh Reading'!S8)*1000</f>
        <v>169.99999999998749</v>
      </c>
      <c r="K8" s="2">
        <f>('Kwh Reading'!I9-'Kwh Reading'!I8)*1000</f>
        <v>240.00000000000909</v>
      </c>
      <c r="L8" s="2">
        <f>('Kwh Reading'!B9-'Kwh Reading'!B8)*1000000</f>
        <v>1200.0000000000898</v>
      </c>
      <c r="M8" s="2">
        <f>('Kwh Reading'!M9-'Kwh Reading'!M8)*1000</f>
        <v>680.00000000006366</v>
      </c>
      <c r="N8" s="2">
        <f>('Kwh Reading'!H9-'Kwh Reading'!H8)*1000</f>
        <v>1000</v>
      </c>
      <c r="O8" s="2">
        <f>('Kwh Reading'!P9-'Kwh Reading'!P8)*1000</f>
        <v>1009.9999999999909</v>
      </c>
      <c r="P8" s="2">
        <f>('Kwh Reading'!G9-'Kwh Reading'!G8)*1000</f>
        <v>789.99999999996362</v>
      </c>
      <c r="Q8" s="2">
        <f>('Kwh Reading'!Q9-'Kwh Reading'!Q8)*1000</f>
        <v>649.99999999997726</v>
      </c>
      <c r="R8" s="2">
        <f>('Kwh Reading'!N9-'Kwh Reading'!N8)*1000</f>
        <v>580.00000000004093</v>
      </c>
      <c r="S8" s="2">
        <f>'Kwh Reading'!E9-'Kwh Reading'!E8</f>
        <v>2448.7200000006706</v>
      </c>
      <c r="T8" s="2">
        <f>'Kwh Reading'!D9-'Kwh Reading'!D8</f>
        <v>2103.589999999851</v>
      </c>
      <c r="U8" s="27">
        <f>('Kwh Reading'!O9-'Kwh Reading'!O8)*1000</f>
        <v>270.00000000001023</v>
      </c>
      <c r="V8" s="16">
        <f t="shared" si="0"/>
        <v>7687.6899999994166</v>
      </c>
    </row>
    <row r="9" spans="1:22" x14ac:dyDescent="0.25">
      <c r="A9" s="3">
        <f>'Kwh Reading'!A9</f>
        <v>44567</v>
      </c>
      <c r="B9" s="26">
        <f>TOTAL!E7</f>
        <v>24070.000000000844</v>
      </c>
      <c r="C9" s="4">
        <f>('Kwh Reading'!T10-'Kwh Reading'!T9)*1000</f>
        <v>639.99999999998636</v>
      </c>
      <c r="D9" s="2">
        <f>('Kwh Reading'!F10-'Kwh Reading'!F9)*1000000</f>
        <v>2800.0000000001355</v>
      </c>
      <c r="E9" s="2">
        <f>('Kwh Reading'!C10-'Kwh Reading'!C9)*1000</f>
        <v>279.99999999997272</v>
      </c>
      <c r="F9" s="2">
        <f>('Kwh Reading'!J10-'Kwh Reading'!J9)*1000</f>
        <v>719.99999999997044</v>
      </c>
      <c r="G9" s="2">
        <f>('Kwh Reading'!K10-'Kwh Reading'!K9)*1000</f>
        <v>539.99999999996362</v>
      </c>
      <c r="H9" s="2">
        <f>('Kwh Reading'!L10-'Kwh Reading'!L9)*1000</f>
        <v>329.99999999998408</v>
      </c>
      <c r="I9" s="2">
        <f>('Kwh Reading'!R10-'Kwh Reading'!R9)*1000</f>
        <v>0</v>
      </c>
      <c r="J9" s="2">
        <f>('Kwh Reading'!S10-'Kwh Reading'!S9)*1000</f>
        <v>159.99999999999659</v>
      </c>
      <c r="K9" s="2">
        <f>('Kwh Reading'!I10-'Kwh Reading'!I9)*1000</f>
        <v>299.99999999995453</v>
      </c>
      <c r="L9" s="2">
        <f>('Kwh Reading'!B10-'Kwh Reading'!B9)*1000000</f>
        <v>1199.9999999998679</v>
      </c>
      <c r="M9" s="2">
        <f>('Kwh Reading'!M10-'Kwh Reading'!M9)*1000</f>
        <v>720.00000000002728</v>
      </c>
      <c r="N9" s="2">
        <f>('Kwh Reading'!H10-'Kwh Reading'!H9)*1000</f>
        <v>1080.0000000000409</v>
      </c>
      <c r="O9" s="2">
        <f>('Kwh Reading'!P10-'Kwh Reading'!P9)*1000</f>
        <v>1049.9999999999545</v>
      </c>
      <c r="P9" s="2">
        <f>('Kwh Reading'!G10-'Kwh Reading'!G9)*1000</f>
        <v>840.00000000003183</v>
      </c>
      <c r="Q9" s="2">
        <f>('Kwh Reading'!Q10-'Kwh Reading'!Q9)*1000</f>
        <v>710.00000000003638</v>
      </c>
      <c r="R9" s="2">
        <f>('Kwh Reading'!N10-'Kwh Reading'!N9)*1000</f>
        <v>759.99999999999091</v>
      </c>
      <c r="S9" s="2">
        <f>'Kwh Reading'!E10-'Kwh Reading'!E9</f>
        <v>2655.480000000447</v>
      </c>
      <c r="T9" s="2">
        <f>'Kwh Reading'!D10-'Kwh Reading'!D9</f>
        <v>2179.4599999999627</v>
      </c>
      <c r="U9" s="27">
        <f>('Kwh Reading'!O10-'Kwh Reading'!O9)*1000</f>
        <v>289.99999999999204</v>
      </c>
      <c r="V9" s="16">
        <f t="shared" si="0"/>
        <v>6815.0600000005288</v>
      </c>
    </row>
    <row r="10" spans="1:22" x14ac:dyDescent="0.25">
      <c r="A10" s="3">
        <f>'Kwh Reading'!A10</f>
        <v>44568</v>
      </c>
      <c r="B10" s="26">
        <f>TOTAL!E8</f>
        <v>0</v>
      </c>
      <c r="C10" s="4">
        <f>('Kwh Reading'!T11-'Kwh Reading'!T10)*1000</f>
        <v>599.99999999996589</v>
      </c>
      <c r="D10" s="2">
        <f>('Kwh Reading'!F11-'Kwh Reading'!F10)*1000000</f>
        <v>2800.0000000001355</v>
      </c>
      <c r="E10" s="2">
        <f>('Kwh Reading'!C11-'Kwh Reading'!C10)*1000</f>
        <v>279.99999999997272</v>
      </c>
      <c r="F10" s="2">
        <f>('Kwh Reading'!J11-'Kwh Reading'!J10)*1000</f>
        <v>689.99999999999773</v>
      </c>
      <c r="G10" s="2">
        <f>('Kwh Reading'!K11-'Kwh Reading'!K10)*1000</f>
        <v>480.00000000001819</v>
      </c>
      <c r="H10" s="2">
        <f>('Kwh Reading'!L11-'Kwh Reading'!L10)*1000</f>
        <v>330.00000000004093</v>
      </c>
      <c r="I10" s="2">
        <f>('Kwh Reading'!R11-'Kwh Reading'!R10)*1000</f>
        <v>0</v>
      </c>
      <c r="J10" s="2">
        <f>('Kwh Reading'!S11-'Kwh Reading'!S10)*1000</f>
        <v>159.99999999999659</v>
      </c>
      <c r="K10" s="2">
        <f>('Kwh Reading'!I11-'Kwh Reading'!I10)*1000</f>
        <v>330.00000000004093</v>
      </c>
      <c r="L10" s="2">
        <f>('Kwh Reading'!B11-'Kwh Reading'!B10)*1000000</f>
        <v>1100.000000000101</v>
      </c>
      <c r="M10" s="2">
        <f>('Kwh Reading'!M11-'Kwh Reading'!M10)*1000</f>
        <v>729.9999999999045</v>
      </c>
      <c r="N10" s="2">
        <f>('Kwh Reading'!H11-'Kwh Reading'!H10)*1000</f>
        <v>1179.99999999995</v>
      </c>
      <c r="O10" s="2">
        <f>('Kwh Reading'!P11-'Kwh Reading'!P10)*1000</f>
        <v>1090.0000000000318</v>
      </c>
      <c r="P10" s="2">
        <f>('Kwh Reading'!G11-'Kwh Reading'!G10)*1000</f>
        <v>870.00000000000455</v>
      </c>
      <c r="Q10" s="2">
        <f>('Kwh Reading'!Q11-'Kwh Reading'!Q10)*1000</f>
        <v>750</v>
      </c>
      <c r="R10" s="2">
        <f>('Kwh Reading'!N11-'Kwh Reading'!N10)*1000</f>
        <v>730.00000000001819</v>
      </c>
      <c r="S10" s="33">
        <f>'Kwh Reading'!E11-'Kwh Reading'!E10</f>
        <v>2625.8300000000745</v>
      </c>
      <c r="T10" s="33">
        <f>'Kwh Reading'!D11-'Kwh Reading'!D10</f>
        <v>2167.7199999997392</v>
      </c>
      <c r="U10" s="27">
        <f>('Kwh Reading'!O11-'Kwh Reading'!O10)*1000</f>
        <v>260.00000000001933</v>
      </c>
      <c r="V10" s="16">
        <f t="shared" si="0"/>
        <v>-17173.55000000001</v>
      </c>
    </row>
    <row r="11" spans="1:22" x14ac:dyDescent="0.25">
      <c r="A11" s="3">
        <f>'Kwh Reading'!A11</f>
        <v>44569</v>
      </c>
      <c r="B11" s="26">
        <f>TOTAL!E9</f>
        <v>0</v>
      </c>
      <c r="C11" s="4">
        <f>('Kwh Reading'!T12-'Kwh Reading'!T11)*1000</f>
        <v>-512429.99999999994</v>
      </c>
      <c r="D11" s="2">
        <f>('Kwh Reading'!F12-'Kwh Reading'!F11)*1000000</f>
        <v>-2863500</v>
      </c>
      <c r="E11" s="2">
        <f>('Kwh Reading'!C12-'Kwh Reading'!C11)*1000</f>
        <v>-277780</v>
      </c>
      <c r="F11" s="2">
        <f>('Kwh Reading'!J12-'Kwh Reading'!J11)*1000</f>
        <v>-387140</v>
      </c>
      <c r="G11" s="2">
        <f>('Kwh Reading'!K12-'Kwh Reading'!K11)*1000</f>
        <v>-403430</v>
      </c>
      <c r="H11" s="2">
        <f>('Kwh Reading'!L12-'Kwh Reading'!L11)*1000</f>
        <v>-276110</v>
      </c>
      <c r="I11" s="2">
        <f>('Kwh Reading'!R12-'Kwh Reading'!R11)*1000</f>
        <v>-190150</v>
      </c>
      <c r="J11" s="2">
        <f>('Kwh Reading'!S12-'Kwh Reading'!S11)*1000</f>
        <v>-139850</v>
      </c>
      <c r="K11" s="2">
        <f>('Kwh Reading'!I12-'Kwh Reading'!I11)*1000</f>
        <v>-289360</v>
      </c>
      <c r="L11" s="2">
        <f>('Kwh Reading'!B12-'Kwh Reading'!B11)*1000000</f>
        <v>-1215500</v>
      </c>
      <c r="M11" s="2">
        <f>('Kwh Reading'!M12-'Kwh Reading'!M11)*1000</f>
        <v>-663060</v>
      </c>
      <c r="N11" s="2">
        <f>('Kwh Reading'!H12-'Kwh Reading'!H11)*1000</f>
        <v>-763800</v>
      </c>
      <c r="O11" s="2">
        <f>('Kwh Reading'!P12-'Kwh Reading'!P11)*1000</f>
        <v>-805640</v>
      </c>
      <c r="P11" s="2">
        <f>('Kwh Reading'!G12-'Kwh Reading'!G11)*1000</f>
        <v>-909070</v>
      </c>
      <c r="Q11" s="2">
        <f>('Kwh Reading'!Q12-'Kwh Reading'!Q11)*1000</f>
        <v>-593090</v>
      </c>
      <c r="R11" s="2">
        <f>('Kwh Reading'!N12-'Kwh Reading'!N11)*1000</f>
        <v>-616570</v>
      </c>
      <c r="S11" s="33">
        <f>'Kwh Reading'!E12-'Kwh Reading'!E11</f>
        <v>-8729009.4700000007</v>
      </c>
      <c r="T11" s="33">
        <f>'Kwh Reading'!D12-'Kwh Reading'!D11</f>
        <v>-7902742.0499999998</v>
      </c>
      <c r="U11" s="27">
        <f>('Kwh Reading'!O12-'Kwh Reading'!O11)*1000</f>
        <v>-191550</v>
      </c>
      <c r="V11" s="16">
        <f t="shared" si="0"/>
        <v>27729781.52</v>
      </c>
    </row>
    <row r="12" spans="1:22" x14ac:dyDescent="0.25">
      <c r="A12" s="3">
        <f>'Kwh Reading'!A12</f>
        <v>44570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44571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44572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44573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44574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44575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44576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44577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44578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44579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44580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44581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44582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44583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44584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44585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44586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44587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44588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44589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44590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44591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44592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147460.00000000116</v>
      </c>
      <c r="C35" s="72">
        <f t="shared" ref="C35" si="2">SUM(C4:C34)</f>
        <v>-507940</v>
      </c>
      <c r="D35" s="72">
        <f t="shared" ref="D35" si="3">SUM(D4:D34)</f>
        <v>-2844100</v>
      </c>
      <c r="E35" s="72">
        <f t="shared" ref="E35" si="4">SUM(E4:E34)</f>
        <v>-275830</v>
      </c>
      <c r="F35" s="72">
        <f t="shared" ref="F35" si="5">SUM(F4:F34)</f>
        <v>-381990</v>
      </c>
      <c r="G35" s="72">
        <f t="shared" ref="G35:U35" si="6">SUM(G4:G34)</f>
        <v>-399630</v>
      </c>
      <c r="H35" s="72">
        <f t="shared" si="6"/>
        <v>-273810</v>
      </c>
      <c r="I35" s="72">
        <f t="shared" si="6"/>
        <v>-190150</v>
      </c>
      <c r="J35" s="72">
        <f t="shared" si="6"/>
        <v>-138710</v>
      </c>
      <c r="K35" s="72">
        <f t="shared" si="6"/>
        <v>-287300</v>
      </c>
      <c r="L35" s="72">
        <f t="shared" si="6"/>
        <v>-1207200</v>
      </c>
      <c r="M35" s="72">
        <f t="shared" si="6"/>
        <v>-657850.00000000012</v>
      </c>
      <c r="N35" s="72">
        <f t="shared" si="6"/>
        <v>-755890</v>
      </c>
      <c r="O35" s="72">
        <f t="shared" si="6"/>
        <v>-798260</v>
      </c>
      <c r="P35" s="72">
        <f t="shared" si="6"/>
        <v>-902929.99999999988</v>
      </c>
      <c r="Q35" s="72">
        <f t="shared" si="6"/>
        <v>-588000</v>
      </c>
      <c r="R35" s="72">
        <f t="shared" si="6"/>
        <v>-611639.99999999988</v>
      </c>
      <c r="S35" s="72">
        <f t="shared" si="6"/>
        <v>-8710078.8900000006</v>
      </c>
      <c r="T35" s="72">
        <f t="shared" si="6"/>
        <v>-7887161.9199999999</v>
      </c>
      <c r="U35" s="72">
        <f t="shared" si="6"/>
        <v>-189690</v>
      </c>
      <c r="V35" s="72">
        <f>SUM(V4:V34)</f>
        <v>27755620.810000002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44562</v>
      </c>
      <c r="B3" s="80">
        <f>TOTAL!E2</f>
        <v>27150.000000000091</v>
      </c>
      <c r="C3" s="1">
        <f>'Kwh Consumption'!C4</f>
        <v>680.00000000000682</v>
      </c>
      <c r="D3" s="1">
        <f>'Kwh Consumption'!D4</f>
        <v>2699.9999999999245</v>
      </c>
      <c r="E3" s="1">
        <f>'Kwh Consumption'!E4</f>
        <v>280.00000000002956</v>
      </c>
      <c r="F3" s="1">
        <f>('Kwh Consumption'!F4+'Kwh Consumption'!G4+'Kwh Consumption'!H4)</f>
        <v>1629.9999999999955</v>
      </c>
      <c r="G3" s="16">
        <f>('Kwh Consumption'!I4+'Kwh Consumption'!J4)</f>
        <v>159.99999999999659</v>
      </c>
      <c r="H3" s="1">
        <f>('Kwh Consumption'!K4+'Kwh Consumption'!L4)</f>
        <v>1509.9999999998702</v>
      </c>
      <c r="I3" s="1">
        <f>('Kwh Consumption'!M4+'Kwh Consumption'!N4+'Kwh Consumption'!O4+'Kwh Consumption'!P4+'Kwh Consumption'!Q4+'Kwh Consumption'!R4)</f>
        <v>5580.0000000000409</v>
      </c>
      <c r="J3" s="1">
        <f>('Kwh Consumption'!S4+'Kwh Consumption'!T4)</f>
        <v>5101.269999999553</v>
      </c>
      <c r="K3" s="1">
        <f>'Kwh Consumption'!U4</f>
        <v>259.99999999999091</v>
      </c>
      <c r="L3" s="31">
        <f t="shared" ref="L3:L33" si="0">B3-C3-D3-E3-F3-G3-H3-I3-J3-K3</f>
        <v>9248.7300000006853</v>
      </c>
    </row>
    <row r="4" spans="1:12" x14ac:dyDescent="0.25">
      <c r="A4" s="14">
        <f>'Kwh Reading'!A5</f>
        <v>44563</v>
      </c>
      <c r="B4" s="80">
        <f>TOTAL!E3</f>
        <v>24789.999999999738</v>
      </c>
      <c r="C4" s="1">
        <f>'Kwh Consumption'!C5</f>
        <v>639.99999999998636</v>
      </c>
      <c r="D4" s="1">
        <f>'Kwh Consumption'!D5</f>
        <v>2899.9999999999027</v>
      </c>
      <c r="E4" s="1">
        <f>'Kwh Consumption'!E5</f>
        <v>269.99999999998181</v>
      </c>
      <c r="F4" s="1">
        <f>('Kwh Consumption'!F5+'Kwh Consumption'!G5+'Kwh Consumption'!H5)</f>
        <v>1629.9999999999955</v>
      </c>
      <c r="G4" s="16">
        <f>('Kwh Consumption'!I5+'Kwh Consumption'!J5)</f>
        <v>159.99999999999659</v>
      </c>
      <c r="H4" s="1">
        <f>('Kwh Consumption'!K5+'Kwh Consumption'!L5)</f>
        <v>1620.0000000000721</v>
      </c>
      <c r="I4" s="1">
        <f>('Kwh Consumption'!M5+'Kwh Consumption'!N5+'Kwh Consumption'!O5+'Kwh Consumption'!P5+'Kwh Consumption'!Q5+'Kwh Consumption'!R5)</f>
        <v>5740.0000000000091</v>
      </c>
      <c r="J4" s="1">
        <f>('Kwh Consumption'!S5+'Kwh Consumption'!T5)</f>
        <v>5580.160000000149</v>
      </c>
      <c r="K4" s="1">
        <f>'Kwh Consumption'!U5</f>
        <v>270.00000000001023</v>
      </c>
      <c r="L4" s="31">
        <f t="shared" si="0"/>
        <v>5979.8399999996354</v>
      </c>
    </row>
    <row r="5" spans="1:12" x14ac:dyDescent="0.25">
      <c r="A5" s="14">
        <f>'Kwh Reading'!A6</f>
        <v>44564</v>
      </c>
      <c r="B5" s="80">
        <f>TOTAL!E4</f>
        <v>24450.000000000502</v>
      </c>
      <c r="C5" s="1">
        <f>'Kwh Consumption'!C6</f>
        <v>680.00000000000682</v>
      </c>
      <c r="D5" s="1">
        <f>'Kwh Consumption'!D6</f>
        <v>2800.0000000001355</v>
      </c>
      <c r="E5" s="1">
        <f>'Kwh Consumption'!E6</f>
        <v>280.00000000002956</v>
      </c>
      <c r="F5" s="1">
        <f>('Kwh Consumption'!F6+'Kwh Consumption'!G6+'Kwh Consumption'!H6)</f>
        <v>1700.0000000000455</v>
      </c>
      <c r="G5" s="16">
        <f>('Kwh Consumption'!I6+'Kwh Consumption'!J6)</f>
        <v>180.00000000000682</v>
      </c>
      <c r="H5" s="1">
        <f>('Kwh Consumption'!K6+'Kwh Consumption'!L6)</f>
        <v>1510.0000000000921</v>
      </c>
      <c r="I5" s="1">
        <f>('Kwh Consumption'!M6+'Kwh Consumption'!N6+'Kwh Consumption'!O6+'Kwh Consumption'!P6+'Kwh Consumption'!Q6+'Kwh Consumption'!R6)</f>
        <v>5129.9999999999955</v>
      </c>
      <c r="J5" s="1">
        <f>('Kwh Consumption'!S6+'Kwh Consumption'!T6)</f>
        <v>5102.0200000004843</v>
      </c>
      <c r="K5" s="1">
        <f>'Kwh Consumption'!U6</f>
        <v>250</v>
      </c>
      <c r="L5" s="31">
        <f t="shared" si="0"/>
        <v>6817.9799999997049</v>
      </c>
    </row>
    <row r="6" spans="1:12" x14ac:dyDescent="0.25">
      <c r="A6" s="14">
        <f>'Kwh Reading'!A7</f>
        <v>44565</v>
      </c>
      <c r="B6" s="80">
        <f>TOTAL!E5</f>
        <v>23100.000000000138</v>
      </c>
      <c r="C6" s="1">
        <f>'Kwh Consumption'!C7</f>
        <v>629.99999999999545</v>
      </c>
      <c r="D6" s="1">
        <f>'Kwh Consumption'!D7</f>
        <v>2800.0000000001355</v>
      </c>
      <c r="E6" s="1">
        <f>'Kwh Consumption'!E7</f>
        <v>279.99999999997272</v>
      </c>
      <c r="F6" s="1">
        <f>('Kwh Consumption'!F7+'Kwh Consumption'!G7+'Kwh Consumption'!H7)</f>
        <v>1629.9999999999386</v>
      </c>
      <c r="G6" s="16">
        <f>('Kwh Consumption'!I7+'Kwh Consumption'!J7)</f>
        <v>150.00000000000568</v>
      </c>
      <c r="H6" s="1">
        <f>('Kwh Consumption'!K7+'Kwh Consumption'!L7)</f>
        <v>1349.9999999998788</v>
      </c>
      <c r="I6" s="1">
        <f>('Kwh Consumption'!M7+'Kwh Consumption'!N7+'Kwh Consumption'!O7+'Kwh Consumption'!P7+'Kwh Consumption'!Q7+'Kwh Consumption'!R7)</f>
        <v>4990.0000000000091</v>
      </c>
      <c r="J6" s="1">
        <f>('Kwh Consumption'!S7+'Kwh Consumption'!T7)</f>
        <v>4546.4599999990314</v>
      </c>
      <c r="K6" s="1">
        <f>'Kwh Consumption'!U7</f>
        <v>259.99999999999091</v>
      </c>
      <c r="L6" s="31">
        <f t="shared" si="0"/>
        <v>6463.5400000011814</v>
      </c>
    </row>
    <row r="7" spans="1:12" x14ac:dyDescent="0.25">
      <c r="A7" s="14">
        <f>'Kwh Reading'!A8</f>
        <v>44566</v>
      </c>
      <c r="B7" s="80">
        <f>TOTAL!E6</f>
        <v>23899.999999999865</v>
      </c>
      <c r="C7" s="1">
        <f>'Kwh Consumption'!C8</f>
        <v>620.00000000000455</v>
      </c>
      <c r="D7" s="1">
        <f>'Kwh Consumption'!D8</f>
        <v>2599.9999999997135</v>
      </c>
      <c r="E7" s="1">
        <f>'Kwh Consumption'!E8</f>
        <v>280.00000000002956</v>
      </c>
      <c r="F7" s="1">
        <f>('Kwh Consumption'!F8+'Kwh Consumption'!G8+'Kwh Consumption'!H8)</f>
        <v>1570.00000000005</v>
      </c>
      <c r="G7" s="16">
        <f>('Kwh Consumption'!I8+'Kwh Consumption'!J8)</f>
        <v>169.99999999998749</v>
      </c>
      <c r="H7" s="1">
        <f>('Kwh Consumption'!K8+'Kwh Consumption'!L8)</f>
        <v>1440.0000000000989</v>
      </c>
      <c r="I7" s="1">
        <f>('Kwh Consumption'!M8+'Kwh Consumption'!N8+'Kwh Consumption'!O8+'Kwh Consumption'!P8+'Kwh Consumption'!Q8+'Kwh Consumption'!R8)</f>
        <v>4710.0000000000364</v>
      </c>
      <c r="J7" s="1">
        <f>('Kwh Consumption'!S8+'Kwh Consumption'!T8)</f>
        <v>4552.3100000005215</v>
      </c>
      <c r="K7" s="1">
        <f>'Kwh Consumption'!U8</f>
        <v>270.00000000001023</v>
      </c>
      <c r="L7" s="31">
        <f t="shared" si="0"/>
        <v>7687.6899999994139</v>
      </c>
    </row>
    <row r="8" spans="1:12" x14ac:dyDescent="0.25">
      <c r="A8" s="14">
        <f>'Kwh Reading'!A9</f>
        <v>44567</v>
      </c>
      <c r="B8" s="80">
        <f>TOTAL!E7</f>
        <v>24070.000000000844</v>
      </c>
      <c r="C8" s="1">
        <f>'Kwh Consumption'!C9</f>
        <v>639.99999999998636</v>
      </c>
      <c r="D8" s="1">
        <f>'Kwh Consumption'!D9</f>
        <v>2800.0000000001355</v>
      </c>
      <c r="E8" s="1">
        <f>'Kwh Consumption'!E9</f>
        <v>279.99999999997272</v>
      </c>
      <c r="F8" s="1">
        <f>('Kwh Consumption'!F9+'Kwh Consumption'!G9+'Kwh Consumption'!H9)</f>
        <v>1589.9999999999181</v>
      </c>
      <c r="G8" s="16">
        <f>('Kwh Consumption'!I9+'Kwh Consumption'!J9)</f>
        <v>159.99999999999659</v>
      </c>
      <c r="H8" s="1">
        <f>('Kwh Consumption'!K9+'Kwh Consumption'!L9)</f>
        <v>1499.9999999998224</v>
      </c>
      <c r="I8" s="1">
        <f>('Kwh Consumption'!M9+'Kwh Consumption'!N9+'Kwh Consumption'!O9+'Kwh Consumption'!P9+'Kwh Consumption'!Q9+'Kwh Consumption'!R9)</f>
        <v>5160.0000000000819</v>
      </c>
      <c r="J8" s="1">
        <f>('Kwh Consumption'!S9+'Kwh Consumption'!T9)</f>
        <v>4834.9400000004098</v>
      </c>
      <c r="K8" s="1">
        <f>'Kwh Consumption'!U9</f>
        <v>289.99999999999204</v>
      </c>
      <c r="L8" s="31">
        <f t="shared" si="0"/>
        <v>6815.0600000005279</v>
      </c>
    </row>
    <row r="9" spans="1:12" x14ac:dyDescent="0.25">
      <c r="A9" s="14">
        <f>'Kwh Reading'!A10</f>
        <v>44568</v>
      </c>
      <c r="B9" s="80">
        <f>TOTAL!E8</f>
        <v>0</v>
      </c>
      <c r="C9" s="1">
        <f>'Kwh Consumption'!C10</f>
        <v>599.99999999996589</v>
      </c>
      <c r="D9" s="1">
        <f>'Kwh Consumption'!D10</f>
        <v>2800.0000000001355</v>
      </c>
      <c r="E9" s="1">
        <f>'Kwh Consumption'!E10</f>
        <v>279.99999999997272</v>
      </c>
      <c r="F9" s="1">
        <f>('Kwh Consumption'!F10+'Kwh Consumption'!G10+'Kwh Consumption'!H10)</f>
        <v>1500.0000000000568</v>
      </c>
      <c r="G9" s="16">
        <f>('Kwh Consumption'!I10+'Kwh Consumption'!J10)</f>
        <v>159.99999999999659</v>
      </c>
      <c r="H9" s="1">
        <f>('Kwh Consumption'!K10+'Kwh Consumption'!L10)</f>
        <v>1430.0000000001419</v>
      </c>
      <c r="I9" s="1">
        <f>('Kwh Consumption'!M10+'Kwh Consumption'!N10+'Kwh Consumption'!O10+'Kwh Consumption'!P10+'Kwh Consumption'!Q10+'Kwh Consumption'!R10)</f>
        <v>5349.9999999999091</v>
      </c>
      <c r="J9" s="1">
        <f>('Kwh Consumption'!S10+'Kwh Consumption'!T10)</f>
        <v>4793.5499999998137</v>
      </c>
      <c r="K9" s="1">
        <f>'Kwh Consumption'!U10</f>
        <v>260.00000000001933</v>
      </c>
      <c r="L9" s="31">
        <f t="shared" si="0"/>
        <v>-17173.55000000001</v>
      </c>
    </row>
    <row r="10" spans="1:12" x14ac:dyDescent="0.25">
      <c r="A10" s="14">
        <f>'Kwh Reading'!A11</f>
        <v>44569</v>
      </c>
      <c r="B10" s="80">
        <f>TOTAL!E9</f>
        <v>0</v>
      </c>
      <c r="C10" s="1">
        <f>'Kwh Consumption'!C11</f>
        <v>-512429.99999999994</v>
      </c>
      <c r="D10" s="1">
        <f>'Kwh Consumption'!D11</f>
        <v>-2863500</v>
      </c>
      <c r="E10" s="1">
        <f>'Kwh Consumption'!E11</f>
        <v>-277780</v>
      </c>
      <c r="F10" s="1">
        <f>('Kwh Consumption'!F11+'Kwh Consumption'!G11+'Kwh Consumption'!H11)</f>
        <v>-1066680</v>
      </c>
      <c r="G10" s="16">
        <f>('Kwh Consumption'!I11+'Kwh Consumption'!J11)</f>
        <v>-330000</v>
      </c>
      <c r="H10" s="1">
        <f>('Kwh Consumption'!K11+'Kwh Consumption'!L11)</f>
        <v>-1504860</v>
      </c>
      <c r="I10" s="1">
        <f>('Kwh Consumption'!M11+'Kwh Consumption'!N11+'Kwh Consumption'!O11+'Kwh Consumption'!P11+'Kwh Consumption'!Q11+'Kwh Consumption'!R11)</f>
        <v>-4351230</v>
      </c>
      <c r="J10" s="1">
        <f>('Kwh Consumption'!S11+'Kwh Consumption'!T11)</f>
        <v>-16631751.52</v>
      </c>
      <c r="K10" s="1">
        <f>'Kwh Consumption'!U11</f>
        <v>-191550</v>
      </c>
      <c r="L10" s="31">
        <f t="shared" si="0"/>
        <v>27729781.52</v>
      </c>
    </row>
    <row r="11" spans="1:12" x14ac:dyDescent="0.25">
      <c r="A11" s="14">
        <f>'Kwh Reading'!A12</f>
        <v>44570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44571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44572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44573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44574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44575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44576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44577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44578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44579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44580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44581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44582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44583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44584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44585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44586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44587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44588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44589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44590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44591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44592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147460.00000000116</v>
      </c>
      <c r="C34" s="72">
        <f>SUM(C3:C33)</f>
        <v>-507940</v>
      </c>
      <c r="D34" s="72">
        <f t="shared" ref="D34:L34" si="1">SUM(D3:D33)</f>
        <v>-2844100</v>
      </c>
      <c r="E34" s="72">
        <f t="shared" si="1"/>
        <v>-275830</v>
      </c>
      <c r="F34" s="72">
        <f t="shared" si="1"/>
        <v>-1055430</v>
      </c>
      <c r="G34" s="72">
        <f t="shared" si="1"/>
        <v>-328860</v>
      </c>
      <c r="H34" s="72">
        <f t="shared" si="1"/>
        <v>-1494500</v>
      </c>
      <c r="I34" s="72">
        <f t="shared" si="1"/>
        <v>-4314570</v>
      </c>
      <c r="J34" s="72">
        <f t="shared" si="1"/>
        <v>-16597240.809999999</v>
      </c>
      <c r="K34" s="72">
        <f t="shared" si="1"/>
        <v>-189690</v>
      </c>
      <c r="L34" s="72">
        <f t="shared" si="1"/>
        <v>27755620.810000002</v>
      </c>
      <c r="M34" s="81">
        <f>C34+D34+E34+F34+G34+H34+I34+J34+K34+L34</f>
        <v>147460.00000000373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-91429.2</v>
      </c>
      <c r="D36" s="72">
        <f>D34*B36</f>
        <v>-511938</v>
      </c>
      <c r="E36" s="72">
        <f>E34*B36</f>
        <v>-49649.4</v>
      </c>
      <c r="F36" s="72">
        <f>F34*B36</f>
        <v>-189977.4</v>
      </c>
      <c r="G36" s="72">
        <f>G34*B36</f>
        <v>-59194.799999999996</v>
      </c>
      <c r="H36" s="72">
        <f>H34*B36</f>
        <v>-269010</v>
      </c>
      <c r="I36" s="72">
        <f>I34*B36</f>
        <v>-776622.6</v>
      </c>
      <c r="J36" s="72">
        <f>J34*B36</f>
        <v>-2987503.3457999998</v>
      </c>
      <c r="K36" s="72">
        <f>K34*B36</f>
        <v>-34144.199999999997</v>
      </c>
      <c r="L36" s="72">
        <f>L34*B36</f>
        <v>4996011.7458000006</v>
      </c>
      <c r="M36" s="81">
        <f>C36+D36+E36+F36+G36+H36+I36+J36+K36+L36</f>
        <v>26542.800000000745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44562</v>
      </c>
      <c r="B3" s="11">
        <f>TOTAL!F2</f>
        <v>0.18</v>
      </c>
      <c r="C3" s="11">
        <f>'Kwh Consumption'!B4*' Kwh area wise $ '!B3</f>
        <v>4887.0000000000164</v>
      </c>
      <c r="D3" s="1">
        <f>'Kwh Consumption'!C4*' Kwh area wise $ '!B3</f>
        <v>122.40000000000123</v>
      </c>
      <c r="E3" s="1">
        <f>'Kwh Consumption'!D4*' Kwh area wise $ '!B3</f>
        <v>485.99999999998641</v>
      </c>
      <c r="F3" s="1">
        <f>'Kwh Consumption'!E4*' Kwh area wise $ '!B3</f>
        <v>50.400000000005321</v>
      </c>
      <c r="G3" s="1">
        <f>('Kwh Consumption'!F4+'Kwh Consumption'!G4+'Kwh Consumption'!H4)*' Kwh area wise $ '!B3</f>
        <v>293.39999999999918</v>
      </c>
      <c r="H3" s="16">
        <f>('Kwh Consumption'!I4+'Kwh Consumption'!J4)*' Kwh area wise $ '!B3</f>
        <v>28.799999999999386</v>
      </c>
      <c r="I3" s="1">
        <f>('Kwh Consumption'!K4+'Kwh Consumption'!L4)*' Kwh area wise $ '!B3</f>
        <v>271.79999999997665</v>
      </c>
      <c r="J3" s="1">
        <f>('Kwh Consumption'!M4+'Kwh Consumption'!N4+'Kwh Consumption'!O4+'Kwh Consumption'!P4+'Kwh Consumption'!Q4+'Kwh Consumption'!R4)*' Kwh area wise $ '!B3</f>
        <v>1004.4000000000074</v>
      </c>
      <c r="K3" s="1">
        <f>('Kwh Consumption'!S4+'Kwh Consumption'!T4)*' Kwh area wise $ '!B3</f>
        <v>918.22859999991954</v>
      </c>
      <c r="L3" s="1">
        <f>'Kwh Consumption'!U4*' Kwh area wise $ '!B3</f>
        <v>46.799999999998363</v>
      </c>
      <c r="M3" s="1">
        <f>'Kwh Consumption'!V4*' Kwh area wise $ '!B3</f>
        <v>1664.7714000001229</v>
      </c>
    </row>
    <row r="4" spans="1:13" x14ac:dyDescent="0.25">
      <c r="A4" s="14">
        <f>'Kwh Reading'!A5</f>
        <v>44563</v>
      </c>
      <c r="B4" s="11">
        <f>TOTAL!F3</f>
        <v>0.18</v>
      </c>
      <c r="C4" s="11">
        <f>'Kwh Consumption'!B5*' Kwh area wise $ '!B4</f>
        <v>4462.1999999999525</v>
      </c>
      <c r="D4" s="1">
        <f>'Kwh Consumption'!C5*' Kwh area wise $ '!B4</f>
        <v>115.19999999999754</v>
      </c>
      <c r="E4" s="1">
        <f>'Kwh Consumption'!D5*' Kwh area wise $ '!B4</f>
        <v>521.99999999998249</v>
      </c>
      <c r="F4" s="1">
        <f>'Kwh Consumption'!E5*' Kwh area wise $ '!B4</f>
        <v>48.599999999996726</v>
      </c>
      <c r="G4" s="1">
        <f>('Kwh Consumption'!F5+'Kwh Consumption'!G5+'Kwh Consumption'!H5)*' Kwh area wise $ '!B4</f>
        <v>293.39999999999918</v>
      </c>
      <c r="H4" s="16">
        <f>('Kwh Consumption'!I5+'Kwh Consumption'!J5)*' Kwh area wise $ '!B4</f>
        <v>28.799999999999386</v>
      </c>
      <c r="I4" s="1">
        <f>('Kwh Consumption'!K5+'Kwh Consumption'!L5)*' Kwh area wise $ '!B4</f>
        <v>291.60000000001298</v>
      </c>
      <c r="J4" s="1">
        <f>('Kwh Consumption'!M5+'Kwh Consumption'!N5+'Kwh Consumption'!O5+'Kwh Consumption'!P5+'Kwh Consumption'!Q5+'Kwh Consumption'!R5)*' Kwh area wise $ '!B4</f>
        <v>1033.2000000000016</v>
      </c>
      <c r="K4" s="1">
        <f>('Kwh Consumption'!S5+'Kwh Consumption'!T5)*' Kwh area wise $ '!B4</f>
        <v>1004.4288000000267</v>
      </c>
      <c r="L4" s="1">
        <f>'Kwh Consumption'!U5*' Kwh area wise $ '!B4</f>
        <v>48.600000000001842</v>
      </c>
      <c r="M4" s="1">
        <f>'Kwh Consumption'!V5*' Kwh area wise $ '!B4</f>
        <v>1076.3711999999339</v>
      </c>
    </row>
    <row r="5" spans="1:13" x14ac:dyDescent="0.25">
      <c r="A5" s="14">
        <f>'Kwh Reading'!A6</f>
        <v>44564</v>
      </c>
      <c r="B5" s="11">
        <f>TOTAL!F4</f>
        <v>0.18</v>
      </c>
      <c r="C5" s="11">
        <f>'Kwh Consumption'!B6*' Kwh area wise $ '!B5</f>
        <v>4401.00000000009</v>
      </c>
      <c r="D5" s="1">
        <f>'Kwh Consumption'!C6*' Kwh area wise $ '!B5</f>
        <v>122.40000000000123</v>
      </c>
      <c r="E5" s="1">
        <f>'Kwh Consumption'!D6*' Kwh area wise $ '!B5</f>
        <v>504.00000000002439</v>
      </c>
      <c r="F5" s="1">
        <f>'Kwh Consumption'!E6*' Kwh area wise $ '!B5</f>
        <v>50.400000000005321</v>
      </c>
      <c r="G5" s="1">
        <f>('Kwh Consumption'!F6+'Kwh Consumption'!G6+'Kwh Consumption'!H6)*' Kwh area wise $ '!B5</f>
        <v>306.00000000000819</v>
      </c>
      <c r="H5" s="16">
        <f>('Kwh Consumption'!I6+'Kwh Consumption'!J6)*' Kwh area wise $ '!B5</f>
        <v>32.400000000001228</v>
      </c>
      <c r="I5" s="1">
        <f>('Kwh Consumption'!K6+'Kwh Consumption'!L6)*' Kwh area wise $ '!B5</f>
        <v>271.80000000001655</v>
      </c>
      <c r="J5" s="1">
        <f>('Kwh Consumption'!M6+'Kwh Consumption'!N6+'Kwh Consumption'!O6+'Kwh Consumption'!P6+'Kwh Consumption'!Q6+'Kwh Consumption'!R6)*' Kwh area wise $ '!B5</f>
        <v>923.39999999999918</v>
      </c>
      <c r="K5" s="1">
        <f>('Kwh Consumption'!S6+'Kwh Consumption'!T6)*' Kwh area wise $ '!B5</f>
        <v>918.3636000000871</v>
      </c>
      <c r="L5" s="1">
        <f>'Kwh Consumption'!U6*' Kwh area wise $ '!B5</f>
        <v>45</v>
      </c>
      <c r="M5" s="1">
        <f>'Kwh Consumption'!V6*' Kwh area wise $ '!B5</f>
        <v>1227.2363999999468</v>
      </c>
    </row>
    <row r="6" spans="1:13" x14ac:dyDescent="0.25">
      <c r="A6" s="14">
        <f>'Kwh Reading'!A7</f>
        <v>44565</v>
      </c>
      <c r="B6" s="11">
        <f>TOTAL!F5</f>
        <v>0.18</v>
      </c>
      <c r="C6" s="11">
        <f>'Kwh Consumption'!B7*' Kwh area wise $ '!B6</f>
        <v>4158.0000000000246</v>
      </c>
      <c r="D6" s="1">
        <f>'Kwh Consumption'!C7*' Kwh area wise $ '!B6</f>
        <v>113.39999999999918</v>
      </c>
      <c r="E6" s="1">
        <f>'Kwh Consumption'!D7*' Kwh area wise $ '!B6</f>
        <v>504.00000000002439</v>
      </c>
      <c r="F6" s="1">
        <f>'Kwh Consumption'!E7*' Kwh area wise $ '!B6</f>
        <v>50.399999999995089</v>
      </c>
      <c r="G6" s="1">
        <f>('Kwh Consumption'!F7+'Kwh Consumption'!G7+'Kwh Consumption'!H7)*' Kwh area wise $ '!B6</f>
        <v>293.39999999998895</v>
      </c>
      <c r="H6" s="16">
        <f>('Kwh Consumption'!I7+'Kwh Consumption'!J7)*' Kwh area wise $ '!B6</f>
        <v>27.000000000001023</v>
      </c>
      <c r="I6" s="1">
        <f>('Kwh Consumption'!K7+'Kwh Consumption'!L7)*' Kwh area wise $ '!B6</f>
        <v>242.99999999997817</v>
      </c>
      <c r="J6" s="1">
        <f>('Kwh Consumption'!M7+'Kwh Consumption'!N7+'Kwh Consumption'!O7+'Kwh Consumption'!P7+'Kwh Consumption'!Q7+'Kwh Consumption'!R7)*' Kwh area wise $ '!B6</f>
        <v>898.20000000000164</v>
      </c>
      <c r="K6" s="1">
        <f>('Kwh Consumption'!S7+'Kwh Consumption'!T7)*' Kwh area wise $ '!B6</f>
        <v>818.3627999998256</v>
      </c>
      <c r="L6" s="1">
        <f>'Kwh Consumption'!U7*' Kwh area wise $ '!B6</f>
        <v>46.799999999998363</v>
      </c>
      <c r="M6" s="1">
        <f>'Kwh Consumption'!V7*' Kwh area wise $ '!B6</f>
        <v>1163.4372000002122</v>
      </c>
    </row>
    <row r="7" spans="1:13" x14ac:dyDescent="0.25">
      <c r="A7" s="14">
        <f>'Kwh Reading'!A8</f>
        <v>44566</v>
      </c>
      <c r="B7" s="11">
        <f>TOTAL!F6</f>
        <v>0.18</v>
      </c>
      <c r="C7" s="11">
        <f>'Kwh Consumption'!B8*' Kwh area wise $ '!B7</f>
        <v>4301.9999999999754</v>
      </c>
      <c r="D7" s="1">
        <f>'Kwh Consumption'!C8*' Kwh area wise $ '!B7</f>
        <v>111.60000000000082</v>
      </c>
      <c r="E7" s="1">
        <f>'Kwh Consumption'!D8*' Kwh area wise $ '!B7</f>
        <v>467.99999999994839</v>
      </c>
      <c r="F7" s="1">
        <f>'Kwh Consumption'!E8*' Kwh area wise $ '!B7</f>
        <v>50.400000000005321</v>
      </c>
      <c r="G7" s="1">
        <f>('Kwh Consumption'!F8+'Kwh Consumption'!G8+'Kwh Consumption'!H8)*' Kwh area wise $ '!B7</f>
        <v>282.600000000009</v>
      </c>
      <c r="H7" s="16">
        <f>('Kwh Consumption'!I8+'Kwh Consumption'!J8)*' Kwh area wise $ '!B7</f>
        <v>30.599999999997749</v>
      </c>
      <c r="I7" s="1">
        <f>('Kwh Consumption'!K8+'Kwh Consumption'!L8)*' Kwh area wise $ '!B7</f>
        <v>259.20000000001778</v>
      </c>
      <c r="J7" s="1">
        <f>('Kwh Consumption'!M8+'Kwh Consumption'!N8+'Kwh Consumption'!O8+'Kwh Consumption'!P8+'Kwh Consumption'!Q8+'Kwh Consumption'!R8)*' Kwh area wise $ '!B7</f>
        <v>847.80000000000655</v>
      </c>
      <c r="K7" s="1">
        <f>('Kwh Consumption'!S8+'Kwh Consumption'!T8)*' Kwh area wise $ '!B7</f>
        <v>819.4158000000939</v>
      </c>
      <c r="L7" s="1">
        <f>'Kwh Consumption'!U8*' Kwh area wise $ '!B7</f>
        <v>48.600000000001842</v>
      </c>
      <c r="M7" s="1">
        <f>'Kwh Consumption'!V8*' Kwh area wise $ '!B7</f>
        <v>1383.784199999895</v>
      </c>
    </row>
    <row r="8" spans="1:13" x14ac:dyDescent="0.25">
      <c r="A8" s="14">
        <f>'Kwh Reading'!A9</f>
        <v>44567</v>
      </c>
      <c r="B8" s="11">
        <f>TOTAL!F7</f>
        <v>0.18</v>
      </c>
      <c r="C8" s="11">
        <f>'Kwh Consumption'!B9*' Kwh area wise $ '!B8</f>
        <v>4332.6000000001513</v>
      </c>
      <c r="D8" s="1">
        <f>'Kwh Consumption'!C9*' Kwh area wise $ '!B8</f>
        <v>115.19999999999754</v>
      </c>
      <c r="E8" s="1">
        <f>'Kwh Consumption'!D9*' Kwh area wise $ '!B8</f>
        <v>504.00000000002439</v>
      </c>
      <c r="F8" s="1">
        <f>'Kwh Consumption'!E9*' Kwh area wise $ '!B8</f>
        <v>50.399999999995089</v>
      </c>
      <c r="G8" s="1">
        <f>('Kwh Consumption'!F9+'Kwh Consumption'!G9+'Kwh Consumption'!H9)*' Kwh area wise $ '!B8</f>
        <v>286.19999999998527</v>
      </c>
      <c r="H8" s="16">
        <f>('Kwh Consumption'!I9+'Kwh Consumption'!J9)*' Kwh area wise $ '!B8</f>
        <v>28.799999999999386</v>
      </c>
      <c r="I8" s="1">
        <f>('Kwh Consumption'!K9+'Kwh Consumption'!L9)*' Kwh area wise $ '!B8</f>
        <v>269.99999999996805</v>
      </c>
      <c r="J8" s="1">
        <f>('Kwh Consumption'!M9+'Kwh Consumption'!N9+'Kwh Consumption'!O9+'Kwh Consumption'!P9+'Kwh Consumption'!Q9+'Kwh Consumption'!R9)*' Kwh area wise $ '!B8</f>
        <v>928.80000000001473</v>
      </c>
      <c r="K8" s="1">
        <f>('Kwh Consumption'!S9+'Kwh Consumption'!T9)*' Kwh area wise $ '!B8</f>
        <v>870.28920000007372</v>
      </c>
      <c r="L8" s="1">
        <f>'Kwh Consumption'!U9*' Kwh area wise $ '!B8</f>
        <v>52.199999999998568</v>
      </c>
      <c r="M8" s="1">
        <f>'Kwh Consumption'!V9*' Kwh area wise $ '!B8</f>
        <v>1226.7108000000951</v>
      </c>
    </row>
    <row r="9" spans="1:13" x14ac:dyDescent="0.25">
      <c r="A9" s="14">
        <f>'Kwh Reading'!A10</f>
        <v>44568</v>
      </c>
      <c r="B9" s="11">
        <f>TOTAL!F8</f>
        <v>0.18</v>
      </c>
      <c r="C9" s="11">
        <f>'Kwh Consumption'!B10*' Kwh area wise $ '!B9</f>
        <v>0</v>
      </c>
      <c r="D9" s="1">
        <f>'Kwh Consumption'!C10*' Kwh area wise $ '!B9</f>
        <v>107.99999999999386</v>
      </c>
      <c r="E9" s="1">
        <f>'Kwh Consumption'!D10*' Kwh area wise $ '!B9</f>
        <v>504.00000000002439</v>
      </c>
      <c r="F9" s="1">
        <f>'Kwh Consumption'!E10*' Kwh area wise $ '!B9</f>
        <v>50.399999999995089</v>
      </c>
      <c r="G9" s="1">
        <f>('Kwh Consumption'!F10+'Kwh Consumption'!G10+'Kwh Consumption'!H10)*' Kwh area wise $ '!B9</f>
        <v>270.00000000001023</v>
      </c>
      <c r="H9" s="16">
        <f>('Kwh Consumption'!I10+'Kwh Consumption'!J10)*' Kwh area wise $ '!B9</f>
        <v>28.799999999999386</v>
      </c>
      <c r="I9" s="1">
        <f>('Kwh Consumption'!K10+'Kwh Consumption'!L10)*' Kwh area wise $ '!B9</f>
        <v>257.40000000002556</v>
      </c>
      <c r="J9" s="1">
        <f>('Kwh Consumption'!M10+'Kwh Consumption'!N10+'Kwh Consumption'!O10+'Kwh Consumption'!P10+'Kwh Consumption'!Q10+'Kwh Consumption'!R10)*' Kwh area wise $ '!B9</f>
        <v>962.99999999998363</v>
      </c>
      <c r="K9" s="1">
        <f>('Kwh Consumption'!S10+'Kwh Consumption'!T10)*' Kwh area wise $ '!B9</f>
        <v>862.8389999999664</v>
      </c>
      <c r="L9" s="1">
        <f>'Kwh Consumption'!U10*' Kwh area wise $ '!B9</f>
        <v>46.800000000003479</v>
      </c>
      <c r="M9" s="1">
        <f>'Kwh Consumption'!V10*' Kwh area wise $ '!B9</f>
        <v>-3091.2390000000019</v>
      </c>
    </row>
    <row r="10" spans="1:13" x14ac:dyDescent="0.25">
      <c r="A10" s="14">
        <f>'Kwh Reading'!A11</f>
        <v>44569</v>
      </c>
      <c r="B10" s="11">
        <f>TOTAL!F9</f>
        <v>0.18</v>
      </c>
      <c r="C10" s="11">
        <f>'Kwh Consumption'!B11*' Kwh area wise $ '!B10</f>
        <v>0</v>
      </c>
      <c r="D10" s="1">
        <f>'Kwh Consumption'!C11*' Kwh area wise $ '!B10</f>
        <v>-92237.39999999998</v>
      </c>
      <c r="E10" s="1">
        <f>'Kwh Consumption'!D11*' Kwh area wise $ '!B10</f>
        <v>-515430</v>
      </c>
      <c r="F10" s="1">
        <f>'Kwh Consumption'!E11*' Kwh area wise $ '!B10</f>
        <v>-50000.4</v>
      </c>
      <c r="G10" s="1">
        <f>('Kwh Consumption'!F11+'Kwh Consumption'!G11+'Kwh Consumption'!H11)*' Kwh area wise $ '!B10</f>
        <v>-192002.4</v>
      </c>
      <c r="H10" s="16">
        <f>('Kwh Consumption'!I11+'Kwh Consumption'!J11)*' Kwh area wise $ '!B10</f>
        <v>-59400</v>
      </c>
      <c r="I10" s="1">
        <f>('Kwh Consumption'!K11+'Kwh Consumption'!L11)*' Kwh area wise $ '!B10</f>
        <v>-270874.8</v>
      </c>
      <c r="J10" s="1">
        <f>('Kwh Consumption'!M11+'Kwh Consumption'!N11+'Kwh Consumption'!O11+'Kwh Consumption'!P11+'Kwh Consumption'!Q11+'Kwh Consumption'!R11)*' Kwh area wise $ '!B10</f>
        <v>-783221.4</v>
      </c>
      <c r="K10" s="1">
        <f>('Kwh Consumption'!S11+'Kwh Consumption'!T11)*' Kwh area wise $ '!B10</f>
        <v>-2993715.2736</v>
      </c>
      <c r="L10" s="1">
        <f>'Kwh Consumption'!U11*' Kwh area wise $ '!B10</f>
        <v>-34479</v>
      </c>
      <c r="M10" s="1">
        <f>'Kwh Consumption'!V11*' Kwh area wise $ '!B10</f>
        <v>4991360.6735999994</v>
      </c>
    </row>
    <row r="11" spans="1:13" x14ac:dyDescent="0.25">
      <c r="A11" s="14">
        <f>'Kwh Reading'!A12</f>
        <v>44570</v>
      </c>
      <c r="B11" s="11">
        <f>TOTAL!F10</f>
        <v>0.18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44571</v>
      </c>
      <c r="B12" s="11">
        <f>TOTAL!F11</f>
        <v>0.18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44572</v>
      </c>
      <c r="B13" s="11">
        <f>TOTAL!F12</f>
        <v>0.18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44573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44574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44575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44576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44577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44578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44579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44580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44581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44582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44583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44584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44585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44586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44587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44588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44589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44590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44591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44592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26542.80000000021</v>
      </c>
      <c r="D34" s="72">
        <f t="shared" si="0"/>
        <v>-91429.199999999983</v>
      </c>
      <c r="E34" s="72">
        <f t="shared" si="0"/>
        <v>-511938</v>
      </c>
      <c r="F34" s="72">
        <f t="shared" si="0"/>
        <v>-49649.4</v>
      </c>
      <c r="G34" s="72">
        <f t="shared" si="0"/>
        <v>-189977.4</v>
      </c>
      <c r="H34" s="72">
        <f t="shared" si="0"/>
        <v>-59194.8</v>
      </c>
      <c r="I34" s="72">
        <f t="shared" si="0"/>
        <v>-269010</v>
      </c>
      <c r="J34" s="72">
        <f t="shared" si="0"/>
        <v>-776622.6</v>
      </c>
      <c r="K34" s="72">
        <f t="shared" si="0"/>
        <v>-2987503.3457999998</v>
      </c>
      <c r="L34" s="72">
        <f t="shared" si="0"/>
        <v>-34144.199999999997</v>
      </c>
      <c r="M34" s="72">
        <f>SUM(M3:M33)</f>
        <v>4996011.7457999997</v>
      </c>
      <c r="N34" s="81">
        <f>D34+E34+F34+G34+H34+I34+J34+K34+L34+M34</f>
        <v>26542.799999999814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M41" sqref="M4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44562</v>
      </c>
      <c r="B3" s="32">
        <v>200473</v>
      </c>
      <c r="C3" s="32"/>
      <c r="D3" s="32">
        <v>239905</v>
      </c>
      <c r="E3" s="32">
        <v>259379</v>
      </c>
      <c r="F3" s="32">
        <v>67063</v>
      </c>
      <c r="G3" s="32">
        <v>115504</v>
      </c>
      <c r="H3" s="32">
        <v>59589</v>
      </c>
      <c r="I3" s="32">
        <v>69596</v>
      </c>
      <c r="J3" s="32">
        <v>2194</v>
      </c>
      <c r="K3" s="54">
        <v>1024</v>
      </c>
      <c r="L3" s="104">
        <v>18356</v>
      </c>
      <c r="M3" s="104">
        <v>26469</v>
      </c>
      <c r="N3" s="104">
        <v>8180</v>
      </c>
      <c r="O3" s="104">
        <v>1900</v>
      </c>
      <c r="P3" s="104">
        <v>28987</v>
      </c>
      <c r="Q3" s="104">
        <v>1204</v>
      </c>
      <c r="R3" s="104">
        <v>7315</v>
      </c>
    </row>
    <row r="4" spans="1:21" x14ac:dyDescent="0.25">
      <c r="A4" s="52">
        <v>44563</v>
      </c>
      <c r="B4" s="32">
        <v>200641</v>
      </c>
      <c r="C4" s="32"/>
      <c r="D4" s="32">
        <v>240074</v>
      </c>
      <c r="E4" s="32">
        <v>259467</v>
      </c>
      <c r="F4" s="32">
        <v>67063</v>
      </c>
      <c r="G4" s="32">
        <v>115541</v>
      </c>
      <c r="H4" s="32">
        <v>59608</v>
      </c>
      <c r="I4" s="32">
        <v>69709</v>
      </c>
      <c r="J4" s="54">
        <v>21952</v>
      </c>
      <c r="K4" s="54">
        <v>1024</v>
      </c>
      <c r="L4" s="104">
        <v>18362</v>
      </c>
      <c r="M4" s="104">
        <v>26430</v>
      </c>
      <c r="N4" s="104">
        <v>8186</v>
      </c>
      <c r="O4" s="104">
        <v>1901</v>
      </c>
      <c r="P4" s="104">
        <v>29042</v>
      </c>
      <c r="Q4" s="104">
        <v>1207</v>
      </c>
      <c r="R4" s="104">
        <v>7328</v>
      </c>
    </row>
    <row r="5" spans="1:21" x14ac:dyDescent="0.25">
      <c r="A5" s="52">
        <v>44564</v>
      </c>
      <c r="B5" s="32">
        <v>200882</v>
      </c>
      <c r="C5" s="32"/>
      <c r="D5" s="32">
        <v>240302</v>
      </c>
      <c r="E5" s="32">
        <v>259564</v>
      </c>
      <c r="F5" s="32">
        <v>67064</v>
      </c>
      <c r="G5" s="32">
        <v>115577</v>
      </c>
      <c r="H5" s="32">
        <v>59632</v>
      </c>
      <c r="I5" s="32">
        <v>69758</v>
      </c>
      <c r="J5" s="53">
        <v>21959</v>
      </c>
      <c r="K5" s="32">
        <v>1024</v>
      </c>
      <c r="L5" s="104">
        <v>18366</v>
      </c>
      <c r="M5" s="104">
        <v>26490</v>
      </c>
      <c r="N5" s="104">
        <v>8191</v>
      </c>
      <c r="O5" s="104">
        <v>1903</v>
      </c>
      <c r="P5" s="104">
        <v>29056</v>
      </c>
      <c r="Q5" s="104">
        <v>1209</v>
      </c>
      <c r="R5" s="104">
        <v>7336</v>
      </c>
    </row>
    <row r="6" spans="1:21" x14ac:dyDescent="0.25">
      <c r="A6" s="52">
        <v>44565</v>
      </c>
      <c r="B6" s="32">
        <v>201062</v>
      </c>
      <c r="C6" s="32"/>
      <c r="D6" s="32">
        <v>240523</v>
      </c>
      <c r="E6" s="32">
        <v>259661</v>
      </c>
      <c r="F6" s="32">
        <v>67065</v>
      </c>
      <c r="G6" s="32">
        <v>115617</v>
      </c>
      <c r="H6" s="32">
        <v>59645</v>
      </c>
      <c r="I6" s="32">
        <v>69782</v>
      </c>
      <c r="J6" s="54">
        <v>21966</v>
      </c>
      <c r="K6" s="54">
        <v>1024</v>
      </c>
      <c r="L6" s="104">
        <v>18371</v>
      </c>
      <c r="M6" s="104">
        <v>26499</v>
      </c>
      <c r="N6" s="104">
        <v>8193</v>
      </c>
      <c r="O6" s="104">
        <v>1906</v>
      </c>
      <c r="P6" s="104">
        <v>29056</v>
      </c>
      <c r="Q6" s="104">
        <v>1209</v>
      </c>
      <c r="R6" s="104">
        <v>7347</v>
      </c>
    </row>
    <row r="7" spans="1:21" x14ac:dyDescent="0.25">
      <c r="A7" s="52">
        <v>44566</v>
      </c>
      <c r="B7" s="54">
        <v>201276</v>
      </c>
      <c r="C7" s="32"/>
      <c r="D7" s="104">
        <v>240714</v>
      </c>
      <c r="E7" s="104">
        <v>259753</v>
      </c>
      <c r="F7" s="104">
        <v>67065</v>
      </c>
      <c r="G7" s="104">
        <v>115656</v>
      </c>
      <c r="H7" s="104">
        <v>59655</v>
      </c>
      <c r="I7" s="104">
        <v>69812</v>
      </c>
      <c r="J7" s="104">
        <v>21973</v>
      </c>
      <c r="K7" s="104">
        <v>1024</v>
      </c>
      <c r="L7" s="104">
        <v>18376</v>
      </c>
      <c r="M7" s="104">
        <v>26507</v>
      </c>
      <c r="N7" s="104">
        <v>8195</v>
      </c>
      <c r="O7" s="104">
        <v>1908</v>
      </c>
      <c r="P7" s="104">
        <v>29067</v>
      </c>
      <c r="Q7" s="104">
        <v>1209</v>
      </c>
      <c r="R7" s="104">
        <v>7357</v>
      </c>
    </row>
    <row r="8" spans="1:21" x14ac:dyDescent="0.25">
      <c r="A8" s="52">
        <v>44567</v>
      </c>
      <c r="B8" s="32">
        <v>201441</v>
      </c>
      <c r="C8" s="54"/>
      <c r="D8" s="104">
        <v>240928</v>
      </c>
      <c r="E8" s="104">
        <v>259846</v>
      </c>
      <c r="F8" s="104">
        <v>67066</v>
      </c>
      <c r="G8" s="104">
        <v>115689</v>
      </c>
      <c r="H8" s="104">
        <v>59665</v>
      </c>
      <c r="I8" s="104">
        <v>69882</v>
      </c>
      <c r="J8" s="104">
        <v>21979</v>
      </c>
      <c r="K8" s="104">
        <v>1024</v>
      </c>
      <c r="L8" s="104">
        <v>18381</v>
      </c>
      <c r="M8" s="104">
        <v>26516</v>
      </c>
      <c r="N8" s="104">
        <v>8199</v>
      </c>
      <c r="O8" s="104">
        <v>1909</v>
      </c>
      <c r="P8" s="104">
        <v>29108</v>
      </c>
      <c r="Q8" s="104">
        <v>1211</v>
      </c>
      <c r="R8" s="104">
        <v>7370</v>
      </c>
    </row>
    <row r="9" spans="1:21" x14ac:dyDescent="0.25">
      <c r="A9" s="52">
        <v>44568</v>
      </c>
      <c r="B9" s="54">
        <v>201674</v>
      </c>
      <c r="C9" s="32"/>
      <c r="D9" s="104">
        <v>241129</v>
      </c>
      <c r="E9" s="104">
        <v>259941</v>
      </c>
      <c r="F9" s="104">
        <v>67066</v>
      </c>
      <c r="G9" s="104">
        <v>115726</v>
      </c>
      <c r="H9" s="104">
        <v>59677</v>
      </c>
      <c r="I9" s="104">
        <v>69931</v>
      </c>
      <c r="J9" s="104">
        <v>21986</v>
      </c>
      <c r="K9" s="104">
        <v>1024</v>
      </c>
      <c r="L9" s="104">
        <v>18384</v>
      </c>
      <c r="M9" s="104">
        <v>26525</v>
      </c>
      <c r="N9" s="104">
        <v>8205</v>
      </c>
      <c r="O9" s="104">
        <v>1911</v>
      </c>
      <c r="P9" s="104">
        <v>29127</v>
      </c>
      <c r="Q9" s="104">
        <v>1213</v>
      </c>
      <c r="R9" s="104">
        <v>7381</v>
      </c>
    </row>
    <row r="10" spans="1:21" x14ac:dyDescent="0.25">
      <c r="A10" s="52">
        <v>44569</v>
      </c>
      <c r="B10" s="32">
        <v>201846</v>
      </c>
      <c r="C10" s="54"/>
      <c r="D10" s="104">
        <v>241323</v>
      </c>
      <c r="E10" s="104">
        <v>260025</v>
      </c>
      <c r="F10" s="104">
        <v>67067</v>
      </c>
      <c r="G10" s="104">
        <v>115757</v>
      </c>
      <c r="H10" s="104">
        <v>59695</v>
      </c>
      <c r="I10" s="104">
        <v>69975</v>
      </c>
      <c r="J10" s="104">
        <v>21993</v>
      </c>
      <c r="K10" s="104">
        <v>1024</v>
      </c>
      <c r="L10" s="104">
        <v>18389</v>
      </c>
      <c r="M10" s="104">
        <v>26534</v>
      </c>
      <c r="N10" s="104">
        <v>8211</v>
      </c>
      <c r="O10" s="104">
        <v>1913</v>
      </c>
      <c r="P10" s="104">
        <v>29145</v>
      </c>
      <c r="Q10" s="104">
        <v>1216</v>
      </c>
      <c r="R10" s="104">
        <v>7391</v>
      </c>
    </row>
    <row r="11" spans="1:21" x14ac:dyDescent="0.25">
      <c r="A11" s="52">
        <v>44570</v>
      </c>
      <c r="B11" s="54"/>
      <c r="C11" s="32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</row>
    <row r="12" spans="1:21" x14ac:dyDescent="0.25">
      <c r="A12" s="52">
        <v>44571</v>
      </c>
      <c r="B12" s="32"/>
      <c r="C12" s="5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</row>
    <row r="13" spans="1:21" x14ac:dyDescent="0.25">
      <c r="A13" s="52">
        <v>44572</v>
      </c>
      <c r="B13" s="54"/>
      <c r="C13" s="32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1:21" x14ac:dyDescent="0.25">
      <c r="A14" s="52">
        <v>44573</v>
      </c>
      <c r="B14" s="32"/>
      <c r="C14" s="32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21" x14ac:dyDescent="0.25">
      <c r="A15" s="52">
        <v>44574</v>
      </c>
      <c r="B15" s="32"/>
      <c r="C15" s="32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T15" s="102"/>
      <c r="U15" s="102"/>
    </row>
    <row r="16" spans="1:21" x14ac:dyDescent="0.25">
      <c r="A16" s="52">
        <v>44575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44576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44577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44578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44579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44580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44581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44582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44583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44584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44585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44586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44587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44588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44589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44590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44591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44592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44593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S42" sqref="S4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0" t="s">
        <v>31</v>
      </c>
      <c r="B2" s="151" t="s">
        <v>108</v>
      </c>
      <c r="C2" s="151" t="s">
        <v>109</v>
      </c>
      <c r="D2" s="151"/>
      <c r="E2" s="152" t="s">
        <v>97</v>
      </c>
      <c r="F2" s="149"/>
      <c r="G2" s="146" t="s">
        <v>112</v>
      </c>
      <c r="H2" s="149"/>
      <c r="I2" s="146" t="s">
        <v>110</v>
      </c>
      <c r="J2" s="149"/>
      <c r="K2" s="146" t="s">
        <v>111</v>
      </c>
      <c r="L2" s="149"/>
      <c r="M2" s="146" t="s">
        <v>107</v>
      </c>
      <c r="N2" s="149"/>
      <c r="O2" s="146" t="s">
        <v>106</v>
      </c>
      <c r="P2" s="149"/>
      <c r="Q2" s="146" t="s">
        <v>113</v>
      </c>
      <c r="R2" s="149"/>
      <c r="S2" s="146" t="s">
        <v>114</v>
      </c>
      <c r="T2" s="149"/>
      <c r="U2" s="146" t="s">
        <v>115</v>
      </c>
      <c r="V2" s="149"/>
      <c r="W2" s="146" t="s">
        <v>99</v>
      </c>
      <c r="X2" s="147"/>
      <c r="Y2" s="148" t="s">
        <v>52</v>
      </c>
      <c r="Z2" s="148"/>
    </row>
    <row r="3" spans="1:26" ht="30" x14ac:dyDescent="0.35">
      <c r="A3" s="150"/>
      <c r="B3" s="151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44562</v>
      </c>
      <c r="B4" s="63">
        <f>TOTAL!I2</f>
        <v>416</v>
      </c>
      <c r="C4" s="64">
        <f>('Water Reading'!B4-'Water Reading'!B3)+('Water Reading'!C4-'Water Reading'!C3)</f>
        <v>168</v>
      </c>
      <c r="D4" s="65">
        <f>C4/B4</f>
        <v>0.40384615384615385</v>
      </c>
      <c r="E4" s="84">
        <f>'Water Reading'!H4-'Water Reading'!H3</f>
        <v>19</v>
      </c>
      <c r="F4" s="85">
        <f>E4/C4</f>
        <v>0.1130952380952381</v>
      </c>
      <c r="G4" s="89">
        <f>('Water Reading'!D4-'Water Reading'!D3)-('Water Reading'!R4-'Water Reading'!R3)-('Water Reading'!Q4-'Water Reading'!Q3)</f>
        <v>153</v>
      </c>
      <c r="H4" s="85">
        <f>G4/C4</f>
        <v>0.9107142857142857</v>
      </c>
      <c r="I4" s="86">
        <f>'Water Reading'!P4-'Water Reading'!P3</f>
        <v>55</v>
      </c>
      <c r="J4" s="66">
        <f>I4/C4</f>
        <v>0.32738095238095238</v>
      </c>
      <c r="K4" s="87">
        <f>('Water Reading'!I4-'Water Reading'!I3)-('Water Reading'!P4-'Water Reading'!P3)</f>
        <v>58</v>
      </c>
      <c r="L4" s="66">
        <f>K4/C4</f>
        <v>0.34523809523809523</v>
      </c>
      <c r="M4" s="86">
        <f>'Water Reading'!R4-'Water Reading'!R3</f>
        <v>13</v>
      </c>
      <c r="N4" s="88">
        <f>M4/C4</f>
        <v>7.7380952380952384E-2</v>
      </c>
      <c r="O4" s="86">
        <f>'Water Reading'!Q4-'Water Reading'!Q3</f>
        <v>3</v>
      </c>
      <c r="P4" s="93">
        <f>O4/C4</f>
        <v>1.7857142857142856E-2</v>
      </c>
      <c r="Q4" s="87">
        <f>'Water Reading'!N4-'Water Reading'!N3</f>
        <v>6</v>
      </c>
      <c r="R4" s="94">
        <f>Q4/C4</f>
        <v>3.5714285714285712E-2</v>
      </c>
      <c r="S4" s="86">
        <v>87</v>
      </c>
      <c r="T4" s="94">
        <f>S4/C4</f>
        <v>0.5178571428571429</v>
      </c>
      <c r="U4" s="86">
        <f>'Water Reading'!O4-'Water Reading'!O3</f>
        <v>1</v>
      </c>
      <c r="V4" s="94">
        <f>U4/C4</f>
        <v>5.9523809523809521E-3</v>
      </c>
      <c r="W4" s="86">
        <f>'Water Reading'!R4-'Water Reading'!R3</f>
        <v>13</v>
      </c>
      <c r="X4" s="94">
        <f>W4/C4</f>
        <v>7.7380952380952384E-2</v>
      </c>
      <c r="Y4" s="64">
        <f t="shared" ref="Y4:Y34" si="0">E4+I4+K4+M4+O4+G4+Q4+S4+U4+W4</f>
        <v>408</v>
      </c>
      <c r="Z4" s="65">
        <f t="shared" ref="Z4:Z35" si="1">Y4/B4</f>
        <v>0.98076923076923073</v>
      </c>
    </row>
    <row r="5" spans="1:26" x14ac:dyDescent="0.25">
      <c r="A5" s="8">
        <f>'Water Reading'!A4</f>
        <v>44563</v>
      </c>
      <c r="B5" s="63">
        <f>TOTAL!I3</f>
        <v>411</v>
      </c>
      <c r="C5" s="64">
        <f>('Water Reading'!B5-'Water Reading'!B4)+('Water Reading'!C5-'Water Reading'!C4)</f>
        <v>241</v>
      </c>
      <c r="D5" s="65">
        <f t="shared" ref="D5:D34" si="2">C5/B5</f>
        <v>0.58637469586374691</v>
      </c>
      <c r="E5" s="84">
        <f>'Water Reading'!H5-'Water Reading'!H4</f>
        <v>24</v>
      </c>
      <c r="F5" s="85">
        <f t="shared" ref="F5:F34" si="3">E5/C5</f>
        <v>9.9585062240663894E-2</v>
      </c>
      <c r="G5" s="89">
        <f>('Water Reading'!D5-'Water Reading'!D4)-('Water Reading'!R5-'Water Reading'!R4)-('Water Reading'!Q5-'Water Reading'!Q4)</f>
        <v>218</v>
      </c>
      <c r="H5" s="85">
        <f t="shared" ref="H5:H34" si="4">G5/C5</f>
        <v>0.9045643153526971</v>
      </c>
      <c r="I5" s="86">
        <f>'Water Reading'!P5-'Water Reading'!P4</f>
        <v>14</v>
      </c>
      <c r="J5" s="66">
        <f t="shared" ref="J5:J34" si="5">I5/C5</f>
        <v>5.8091286307053944E-2</v>
      </c>
      <c r="K5" s="87">
        <f>('Water Reading'!I5-'Water Reading'!I4)-('Water Reading'!P5-'Water Reading'!P4)</f>
        <v>35</v>
      </c>
      <c r="L5" s="66">
        <f t="shared" ref="L5:L34" si="6">K5/C5</f>
        <v>0.14522821576763487</v>
      </c>
      <c r="M5" s="86">
        <f>'Water Reading'!R5-'Water Reading'!R4</f>
        <v>8</v>
      </c>
      <c r="N5" s="88">
        <f t="shared" ref="N5:N34" si="7">M5/C5</f>
        <v>3.3195020746887967E-2</v>
      </c>
      <c r="O5" s="86">
        <f>'Water Reading'!Q5-'Water Reading'!Q4</f>
        <v>2</v>
      </c>
      <c r="P5" s="93">
        <f t="shared" ref="P5:P34" si="8">O5/C5</f>
        <v>8.2987551867219917E-3</v>
      </c>
      <c r="Q5" s="87">
        <f>'Water Reading'!N5-'Water Reading'!N4</f>
        <v>5</v>
      </c>
      <c r="R5" s="94">
        <f t="shared" ref="R5:R34" si="9">Q5/C5</f>
        <v>2.0746887966804978E-2</v>
      </c>
      <c r="S5" s="86">
        <f>'Water Reading'!E5-'Water Reading'!E4</f>
        <v>97</v>
      </c>
      <c r="T5" s="94">
        <f t="shared" ref="T5:T34" si="10">S5/C5</f>
        <v>0.40248962655601661</v>
      </c>
      <c r="U5" s="86">
        <f>'Water Reading'!O5-'Water Reading'!O4</f>
        <v>2</v>
      </c>
      <c r="V5" s="94">
        <f t="shared" ref="V5:V34" si="11">U5/C5</f>
        <v>8.2987551867219917E-3</v>
      </c>
      <c r="W5" s="86">
        <f>'Water Reading'!R5-'Water Reading'!R4</f>
        <v>8</v>
      </c>
      <c r="X5" s="94">
        <f t="shared" ref="X5:X34" si="12">W5/C5</f>
        <v>3.3195020746887967E-2</v>
      </c>
      <c r="Y5" s="64">
        <f t="shared" si="0"/>
        <v>413</v>
      </c>
      <c r="Z5" s="65">
        <f t="shared" si="1"/>
        <v>1.0048661800486618</v>
      </c>
    </row>
    <row r="6" spans="1:26" x14ac:dyDescent="0.25">
      <c r="A6" s="8">
        <f>'Water Reading'!A5</f>
        <v>44564</v>
      </c>
      <c r="B6" s="63">
        <f>TOTAL!I4</f>
        <v>360</v>
      </c>
      <c r="C6" s="64">
        <f>('Water Reading'!B6-'Water Reading'!B5)+('Water Reading'!C6-'Water Reading'!C5)</f>
        <v>180</v>
      </c>
      <c r="D6" s="65">
        <f t="shared" si="2"/>
        <v>0.5</v>
      </c>
      <c r="E6" s="84">
        <f>'Water Reading'!H6-'Water Reading'!H5</f>
        <v>13</v>
      </c>
      <c r="F6" s="85">
        <f t="shared" si="3"/>
        <v>7.2222222222222215E-2</v>
      </c>
      <c r="G6" s="89">
        <f>('Water Reading'!D6-'Water Reading'!D5)-('Water Reading'!R6-'Water Reading'!R5)-('Water Reading'!Q6-'Water Reading'!Q5)</f>
        <v>210</v>
      </c>
      <c r="H6" s="85">
        <f t="shared" si="4"/>
        <v>1.1666666666666667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24</v>
      </c>
      <c r="L6" s="66">
        <f t="shared" si="6"/>
        <v>0.13333333333333333</v>
      </c>
      <c r="M6" s="86">
        <f>'Water Reading'!R6-'Water Reading'!R5</f>
        <v>11</v>
      </c>
      <c r="N6" s="88">
        <f t="shared" si="7"/>
        <v>6.1111111111111109E-2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1.1111111111111112E-2</v>
      </c>
      <c r="S6" s="86">
        <f>'Water Reading'!E6-'Water Reading'!E5</f>
        <v>97</v>
      </c>
      <c r="T6" s="94">
        <f t="shared" si="10"/>
        <v>0.53888888888888886</v>
      </c>
      <c r="U6" s="86">
        <f>'Water Reading'!O6-'Water Reading'!O5</f>
        <v>3</v>
      </c>
      <c r="V6" s="94">
        <f t="shared" si="11"/>
        <v>1.6666666666666666E-2</v>
      </c>
      <c r="W6" s="86">
        <f>'Water Reading'!R6-'Water Reading'!R5</f>
        <v>11</v>
      </c>
      <c r="X6" s="94">
        <f t="shared" si="12"/>
        <v>6.1111111111111109E-2</v>
      </c>
      <c r="Y6" s="64">
        <f t="shared" si="0"/>
        <v>371</v>
      </c>
      <c r="Z6" s="65">
        <f t="shared" si="1"/>
        <v>1.0305555555555554</v>
      </c>
    </row>
    <row r="7" spans="1:26" x14ac:dyDescent="0.25">
      <c r="A7" s="8">
        <f>'Water Reading'!A6</f>
        <v>44565</v>
      </c>
      <c r="B7" s="63">
        <f>TOTAL!I5</f>
        <v>312</v>
      </c>
      <c r="C7" s="64">
        <f>('Water Reading'!B7-'Water Reading'!B6)+('Water Reading'!C7-'Water Reading'!C6)</f>
        <v>214</v>
      </c>
      <c r="D7" s="65">
        <f t="shared" si="2"/>
        <v>0.6858974358974359</v>
      </c>
      <c r="E7" s="84">
        <f>'Water Reading'!H7-'Water Reading'!H6</f>
        <v>10</v>
      </c>
      <c r="F7" s="85">
        <f t="shared" si="3"/>
        <v>4.6728971962616821E-2</v>
      </c>
      <c r="G7" s="89">
        <f>('Water Reading'!D7-'Water Reading'!D6)-('Water Reading'!R7-'Water Reading'!R6)-('Water Reading'!Q7-'Water Reading'!Q6)</f>
        <v>181</v>
      </c>
      <c r="H7" s="85">
        <f t="shared" si="4"/>
        <v>0.84579439252336452</v>
      </c>
      <c r="I7" s="86">
        <f>'Water Reading'!P7-'Water Reading'!P6</f>
        <v>11</v>
      </c>
      <c r="J7" s="66">
        <f t="shared" si="5"/>
        <v>5.1401869158878503E-2</v>
      </c>
      <c r="K7" s="87">
        <f>('Water Reading'!I7-'Water Reading'!I6)-('Water Reading'!P7-'Water Reading'!P6)</f>
        <v>19</v>
      </c>
      <c r="L7" s="66">
        <f t="shared" si="6"/>
        <v>8.8785046728971959E-2</v>
      </c>
      <c r="M7" s="86">
        <f>'Water Reading'!R7-'Water Reading'!R6</f>
        <v>10</v>
      </c>
      <c r="N7" s="88">
        <f t="shared" si="7"/>
        <v>4.6728971962616821E-2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9.3457943925233638E-3</v>
      </c>
      <c r="S7" s="86">
        <f>'Water Reading'!E7-'Water Reading'!E6</f>
        <v>92</v>
      </c>
      <c r="T7" s="94">
        <f t="shared" si="10"/>
        <v>0.42990654205607476</v>
      </c>
      <c r="U7" s="86">
        <f>'Water Reading'!O7-'Water Reading'!O6</f>
        <v>2</v>
      </c>
      <c r="V7" s="94">
        <f t="shared" si="11"/>
        <v>9.3457943925233638E-3</v>
      </c>
      <c r="W7" s="86">
        <f>'Water Reading'!R7-'Water Reading'!R6</f>
        <v>10</v>
      </c>
      <c r="X7" s="94">
        <f t="shared" si="12"/>
        <v>4.6728971962616821E-2</v>
      </c>
      <c r="Y7" s="64">
        <f t="shared" si="0"/>
        <v>337</v>
      </c>
      <c r="Z7" s="65">
        <f t="shared" si="1"/>
        <v>1.0801282051282051</v>
      </c>
    </row>
    <row r="8" spans="1:26" x14ac:dyDescent="0.25">
      <c r="A8" s="8">
        <f>'Water Reading'!A7</f>
        <v>44566</v>
      </c>
      <c r="B8" s="63">
        <f>TOTAL!I6</f>
        <v>389</v>
      </c>
      <c r="C8" s="64">
        <f>('Water Reading'!B8-'Water Reading'!B7)+('Water Reading'!C8-'Water Reading'!C7)</f>
        <v>165</v>
      </c>
      <c r="D8" s="65">
        <f t="shared" si="2"/>
        <v>0.4241645244215938</v>
      </c>
      <c r="E8" s="84">
        <f>'Water Reading'!H8-'Water Reading'!H7</f>
        <v>10</v>
      </c>
      <c r="F8" s="85">
        <f t="shared" si="3"/>
        <v>6.0606060606060608E-2</v>
      </c>
      <c r="G8" s="89">
        <f>('Water Reading'!D8-'Water Reading'!D7)-('Water Reading'!R8-'Water Reading'!R7)-('Water Reading'!Q8-'Water Reading'!Q7)</f>
        <v>199</v>
      </c>
      <c r="H8" s="85">
        <f t="shared" si="4"/>
        <v>1.2060606060606061</v>
      </c>
      <c r="I8" s="86">
        <f>'Water Reading'!P8-'Water Reading'!P7</f>
        <v>41</v>
      </c>
      <c r="J8" s="66">
        <f t="shared" si="5"/>
        <v>0.24848484848484848</v>
      </c>
      <c r="K8" s="87">
        <f>('Water Reading'!I8-'Water Reading'!I7)-('Water Reading'!P8-'Water Reading'!P7)</f>
        <v>29</v>
      </c>
      <c r="L8" s="66">
        <f t="shared" si="6"/>
        <v>0.17575757575757575</v>
      </c>
      <c r="M8" s="86">
        <f>'Water Reading'!R8-'Water Reading'!R7</f>
        <v>13</v>
      </c>
      <c r="N8" s="88">
        <f t="shared" si="7"/>
        <v>7.8787878787878782E-2</v>
      </c>
      <c r="O8" s="86">
        <f>'Water Reading'!Q8-'Water Reading'!Q7</f>
        <v>2</v>
      </c>
      <c r="P8" s="93">
        <f t="shared" si="8"/>
        <v>1.2121212121212121E-2</v>
      </c>
      <c r="Q8" s="87">
        <f>'Water Reading'!N8-'Water Reading'!N7</f>
        <v>4</v>
      </c>
      <c r="R8" s="94">
        <f t="shared" si="9"/>
        <v>2.4242424242424242E-2</v>
      </c>
      <c r="S8" s="86">
        <f>'Water Reading'!E8-'Water Reading'!E7</f>
        <v>93</v>
      </c>
      <c r="T8" s="94">
        <f t="shared" si="10"/>
        <v>0.5636363636363636</v>
      </c>
      <c r="U8" s="86">
        <f>'Water Reading'!O8-'Water Reading'!O7</f>
        <v>1</v>
      </c>
      <c r="V8" s="94">
        <f t="shared" si="11"/>
        <v>6.0606060606060606E-3</v>
      </c>
      <c r="W8" s="86">
        <f>'Water Reading'!R8-'Water Reading'!R7</f>
        <v>13</v>
      </c>
      <c r="X8" s="94">
        <f t="shared" si="12"/>
        <v>7.8787878787878782E-2</v>
      </c>
      <c r="Y8" s="64">
        <f t="shared" si="0"/>
        <v>405</v>
      </c>
      <c r="Z8" s="65">
        <f t="shared" si="1"/>
        <v>1.0411311053984575</v>
      </c>
    </row>
    <row r="9" spans="1:26" x14ac:dyDescent="0.25">
      <c r="A9" s="8">
        <f>'Water Reading'!A8</f>
        <v>44567</v>
      </c>
      <c r="B9" s="63">
        <f>TOTAL!I7</f>
        <v>391</v>
      </c>
      <c r="C9" s="64">
        <f>('Water Reading'!B9-'Water Reading'!B8)+('Water Reading'!C9-'Water Reading'!C8)</f>
        <v>233</v>
      </c>
      <c r="D9" s="65">
        <f t="shared" si="2"/>
        <v>0.59590792838874684</v>
      </c>
      <c r="E9" s="84">
        <f>'Water Reading'!H9-'Water Reading'!H8</f>
        <v>12</v>
      </c>
      <c r="F9" s="85">
        <f t="shared" si="3"/>
        <v>5.1502145922746781E-2</v>
      </c>
      <c r="G9" s="89">
        <f>('Water Reading'!D9-'Water Reading'!D8)-('Water Reading'!R9-'Water Reading'!R8)-('Water Reading'!Q9-'Water Reading'!Q8)</f>
        <v>188</v>
      </c>
      <c r="H9" s="85">
        <f t="shared" si="4"/>
        <v>0.80686695278969955</v>
      </c>
      <c r="I9" s="86">
        <f>'Water Reading'!P9-'Water Reading'!P8</f>
        <v>19</v>
      </c>
      <c r="J9" s="66">
        <f t="shared" si="5"/>
        <v>8.15450643776824E-2</v>
      </c>
      <c r="K9" s="87">
        <f>('Water Reading'!I9-'Water Reading'!I8)-('Water Reading'!P9-'Water Reading'!P8)</f>
        <v>30</v>
      </c>
      <c r="L9" s="66">
        <f t="shared" si="6"/>
        <v>0.12875536480686695</v>
      </c>
      <c r="M9" s="86">
        <f>'Water Reading'!R9-'Water Reading'!R8</f>
        <v>11</v>
      </c>
      <c r="N9" s="88">
        <f t="shared" si="7"/>
        <v>4.7210300429184553E-2</v>
      </c>
      <c r="O9" s="86">
        <f>'Water Reading'!Q9-'Water Reading'!Q8</f>
        <v>2</v>
      </c>
      <c r="P9" s="93">
        <f t="shared" si="8"/>
        <v>8.5836909871244635E-3</v>
      </c>
      <c r="Q9" s="87">
        <f>'Water Reading'!N9-'Water Reading'!N8</f>
        <v>6</v>
      </c>
      <c r="R9" s="94">
        <f t="shared" si="9"/>
        <v>2.575107296137339E-2</v>
      </c>
      <c r="S9" s="86">
        <f>'Water Reading'!E9-'Water Reading'!E8</f>
        <v>95</v>
      </c>
      <c r="T9" s="94">
        <f t="shared" si="10"/>
        <v>0.40772532188841204</v>
      </c>
      <c r="U9" s="86">
        <f>'Water Reading'!O9-'Water Reading'!O8</f>
        <v>2</v>
      </c>
      <c r="V9" s="94">
        <f t="shared" si="11"/>
        <v>8.5836909871244635E-3</v>
      </c>
      <c r="W9" s="86">
        <f>'Water Reading'!R9-'Water Reading'!R8</f>
        <v>11</v>
      </c>
      <c r="X9" s="94">
        <f t="shared" si="12"/>
        <v>4.7210300429184553E-2</v>
      </c>
      <c r="Y9" s="64">
        <f t="shared" si="0"/>
        <v>376</v>
      </c>
      <c r="Z9" s="65">
        <f t="shared" si="1"/>
        <v>0.96163682864450128</v>
      </c>
    </row>
    <row r="10" spans="1:26" x14ac:dyDescent="0.25">
      <c r="A10" s="8">
        <f>'Water Reading'!A9</f>
        <v>44568</v>
      </c>
      <c r="B10" s="63">
        <f>TOTAL!I8</f>
        <v>0</v>
      </c>
      <c r="C10" s="64">
        <f>('Water Reading'!B10-'Water Reading'!B9)+('Water Reading'!C10-'Water Reading'!C9)</f>
        <v>172</v>
      </c>
      <c r="D10" s="65" t="e">
        <f t="shared" si="2"/>
        <v>#DIV/0!</v>
      </c>
      <c r="E10" s="84">
        <f>'Water Reading'!H10-'Water Reading'!H9</f>
        <v>18</v>
      </c>
      <c r="F10" s="85">
        <f t="shared" si="3"/>
        <v>0.10465116279069768</v>
      </c>
      <c r="G10" s="89">
        <f>('Water Reading'!D10-'Water Reading'!D9)-('Water Reading'!R10-'Water Reading'!R9)-('Water Reading'!Q10-'Water Reading'!Q9)</f>
        <v>181</v>
      </c>
      <c r="H10" s="85">
        <f t="shared" si="4"/>
        <v>1.0523255813953489</v>
      </c>
      <c r="I10" s="86">
        <f>'Water Reading'!P10-'Water Reading'!P9</f>
        <v>18</v>
      </c>
      <c r="J10" s="66">
        <f t="shared" si="5"/>
        <v>0.10465116279069768</v>
      </c>
      <c r="K10" s="87">
        <f>('Water Reading'!I10-'Water Reading'!I9)-('Water Reading'!P10-'Water Reading'!P9)</f>
        <v>26</v>
      </c>
      <c r="L10" s="66">
        <f t="shared" si="6"/>
        <v>0.15116279069767441</v>
      </c>
      <c r="M10" s="86">
        <f>'Water Reading'!R10-'Water Reading'!R9</f>
        <v>10</v>
      </c>
      <c r="N10" s="88">
        <f t="shared" si="7"/>
        <v>5.8139534883720929E-2</v>
      </c>
      <c r="O10" s="86">
        <f>'Water Reading'!Q10-'Water Reading'!Q9</f>
        <v>3</v>
      </c>
      <c r="P10" s="93">
        <f t="shared" si="8"/>
        <v>1.7441860465116279E-2</v>
      </c>
      <c r="Q10" s="87">
        <f>'Water Reading'!N10-'Water Reading'!N9</f>
        <v>6</v>
      </c>
      <c r="R10" s="94">
        <f t="shared" si="9"/>
        <v>3.4883720930232558E-2</v>
      </c>
      <c r="S10" s="86">
        <f>'Water Reading'!E10-'Water Reading'!E9</f>
        <v>84</v>
      </c>
      <c r="T10" s="94">
        <f t="shared" si="10"/>
        <v>0.48837209302325579</v>
      </c>
      <c r="U10" s="86">
        <f>'Water Reading'!O10-'Water Reading'!O9</f>
        <v>2</v>
      </c>
      <c r="V10" s="94">
        <f t="shared" si="11"/>
        <v>1.1627906976744186E-2</v>
      </c>
      <c r="W10" s="86">
        <f>'Water Reading'!R10-'Water Reading'!R9</f>
        <v>10</v>
      </c>
      <c r="X10" s="94">
        <f t="shared" si="12"/>
        <v>5.8139534883720929E-2</v>
      </c>
      <c r="Y10" s="64">
        <f t="shared" si="0"/>
        <v>358</v>
      </c>
      <c r="Z10" s="65" t="e">
        <f t="shared" si="1"/>
        <v>#DIV/0!</v>
      </c>
    </row>
    <row r="11" spans="1:26" x14ac:dyDescent="0.25">
      <c r="A11" s="8">
        <f>'Water Reading'!A10</f>
        <v>44569</v>
      </c>
      <c r="B11" s="63">
        <f>TOTAL!I9</f>
        <v>0</v>
      </c>
      <c r="C11" s="64">
        <f>('Water Reading'!B11-'Water Reading'!B10)+('Water Reading'!C11-'Water Reading'!C10)</f>
        <v>-201846</v>
      </c>
      <c r="D11" s="65" t="e">
        <f t="shared" si="2"/>
        <v>#DIV/0!</v>
      </c>
      <c r="E11" s="84">
        <f>'Water Reading'!H11-'Water Reading'!H10</f>
        <v>-59695</v>
      </c>
      <c r="F11" s="85">
        <f t="shared" si="3"/>
        <v>0.29574527114731031</v>
      </c>
      <c r="G11" s="89">
        <f>('Water Reading'!D11-'Water Reading'!D10)-('Water Reading'!R11-'Water Reading'!R10)-('Water Reading'!Q11-'Water Reading'!Q10)</f>
        <v>-232716</v>
      </c>
      <c r="H11" s="85">
        <f t="shared" si="4"/>
        <v>1.1529383787640082</v>
      </c>
      <c r="I11" s="86">
        <f>'Water Reading'!P11-'Water Reading'!P10</f>
        <v>-29145</v>
      </c>
      <c r="J11" s="66">
        <f t="shared" si="5"/>
        <v>0.14439225944531969</v>
      </c>
      <c r="K11" s="87">
        <f>('Water Reading'!I11-'Water Reading'!I10)-('Water Reading'!P11-'Water Reading'!P10)</f>
        <v>-40830</v>
      </c>
      <c r="L11" s="66">
        <f t="shared" si="6"/>
        <v>0.20228292856930533</v>
      </c>
      <c r="M11" s="86">
        <f>'Water Reading'!R11-'Water Reading'!R10</f>
        <v>-7391</v>
      </c>
      <c r="N11" s="88">
        <f t="shared" si="7"/>
        <v>3.6617024860537244E-2</v>
      </c>
      <c r="O11" s="86">
        <f>'Water Reading'!Q11-'Water Reading'!Q10</f>
        <v>-1216</v>
      </c>
      <c r="P11" s="93">
        <f t="shared" si="8"/>
        <v>6.0243948356667951E-3</v>
      </c>
      <c r="Q11" s="87">
        <f>'Water Reading'!N11-'Water Reading'!N10</f>
        <v>-8211</v>
      </c>
      <c r="R11" s="94">
        <f t="shared" si="9"/>
        <v>4.0679527956957284E-2</v>
      </c>
      <c r="S11" s="86">
        <f>'Water Reading'!E11-'Water Reading'!E10</f>
        <v>-260025</v>
      </c>
      <c r="T11" s="94">
        <f t="shared" si="10"/>
        <v>1.2882345946910021</v>
      </c>
      <c r="U11" s="86">
        <f>'Water Reading'!O11-'Water Reading'!O10</f>
        <v>-1913</v>
      </c>
      <c r="V11" s="94">
        <f t="shared" si="11"/>
        <v>9.4775224676238324E-3</v>
      </c>
      <c r="W11" s="86">
        <f>'Water Reading'!R11-'Water Reading'!R10</f>
        <v>-7391</v>
      </c>
      <c r="X11" s="94">
        <f t="shared" si="12"/>
        <v>3.6617024860537244E-2</v>
      </c>
      <c r="Y11" s="64">
        <f t="shared" si="0"/>
        <v>-648533</v>
      </c>
      <c r="Z11" s="65" t="e">
        <f t="shared" si="1"/>
        <v>#DIV/0!</v>
      </c>
    </row>
    <row r="12" spans="1:26" x14ac:dyDescent="0.25">
      <c r="A12" s="8">
        <f>'Water Reading'!A11</f>
        <v>44570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4">
        <f>'Water Reading'!H12-'Water Reading'!H11</f>
        <v>0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0</v>
      </c>
      <c r="H12" s="85" t="e">
        <f t="shared" si="4"/>
        <v>#DIV/0!</v>
      </c>
      <c r="I12" s="86">
        <f>'Water Reading'!P12-'Water Reading'!P11</f>
        <v>0</v>
      </c>
      <c r="J12" s="66" t="e">
        <f t="shared" si="5"/>
        <v>#DIV/0!</v>
      </c>
      <c r="K12" s="87">
        <f>('Water Reading'!I12-'Water Reading'!I11)-('Water Reading'!P12-'Water Reading'!P11)</f>
        <v>0</v>
      </c>
      <c r="L12" s="66" t="e">
        <f t="shared" si="6"/>
        <v>#DIV/0!</v>
      </c>
      <c r="M12" s="86">
        <f>'Water Reading'!R12-'Water Reading'!R11</f>
        <v>0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0</v>
      </c>
      <c r="R12" s="94" t="e">
        <f t="shared" si="9"/>
        <v>#DIV/0!</v>
      </c>
      <c r="S12" s="86">
        <f>'Water Reading'!E12-'Water Reading'!E11</f>
        <v>0</v>
      </c>
      <c r="T12" s="94" t="e">
        <f t="shared" si="10"/>
        <v>#DIV/0!</v>
      </c>
      <c r="U12" s="86">
        <f>'Water Reading'!O12-'Water Reading'!O11</f>
        <v>0</v>
      </c>
      <c r="V12" s="94" t="e">
        <f t="shared" si="11"/>
        <v>#DIV/0!</v>
      </c>
      <c r="W12" s="86">
        <f>'Water Reading'!R12-'Water Reading'!R11</f>
        <v>0</v>
      </c>
      <c r="X12" s="94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44571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4">
        <f>'Water Reading'!H13-'Water Reading'!H12</f>
        <v>0</v>
      </c>
      <c r="F13" s="85" t="e">
        <f t="shared" si="3"/>
        <v>#DIV/0!</v>
      </c>
      <c r="G13" s="89">
        <f>('Water Reading'!D13-'Water Reading'!D12)-('Water Reading'!R13-'Water Reading'!R12)-('Water Reading'!Q13-'Water Reading'!Q12)</f>
        <v>0</v>
      </c>
      <c r="H13" s="85" t="e">
        <f t="shared" si="4"/>
        <v>#DIV/0!</v>
      </c>
      <c r="I13" s="86">
        <f>'Water Reading'!P13-'Water Reading'!P12</f>
        <v>0</v>
      </c>
      <c r="J13" s="66" t="e">
        <f t="shared" si="5"/>
        <v>#DIV/0!</v>
      </c>
      <c r="K13" s="87">
        <f>('Water Reading'!I13-'Water Reading'!I12)-('Water Reading'!P13-'Water Reading'!P12)</f>
        <v>0</v>
      </c>
      <c r="L13" s="66" t="e">
        <f t="shared" si="6"/>
        <v>#DIV/0!</v>
      </c>
      <c r="M13" s="86">
        <f>'Water Reading'!R13-'Water Reading'!R12</f>
        <v>0</v>
      </c>
      <c r="N13" s="88" t="e">
        <f t="shared" si="7"/>
        <v>#DIV/0!</v>
      </c>
      <c r="O13" s="86">
        <f>'Water Reading'!Q13-'Water Reading'!Q12</f>
        <v>0</v>
      </c>
      <c r="P13" s="93" t="e">
        <f t="shared" si="8"/>
        <v>#DIV/0!</v>
      </c>
      <c r="Q13" s="87">
        <f>'Water Reading'!N13-'Water Reading'!N12</f>
        <v>0</v>
      </c>
      <c r="R13" s="94" t="e">
        <f t="shared" si="9"/>
        <v>#DIV/0!</v>
      </c>
      <c r="S13" s="86">
        <f>'Water Reading'!E13-'Water Reading'!E12</f>
        <v>0</v>
      </c>
      <c r="T13" s="94" t="e">
        <f t="shared" si="10"/>
        <v>#DIV/0!</v>
      </c>
      <c r="U13" s="86">
        <f>'Water Reading'!O13-'Water Reading'!O12</f>
        <v>0</v>
      </c>
      <c r="V13" s="94" t="e">
        <f t="shared" si="11"/>
        <v>#DIV/0!</v>
      </c>
      <c r="W13" s="86">
        <f>'Water Reading'!R13-'Water Reading'!R12</f>
        <v>0</v>
      </c>
      <c r="X13" s="94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44572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4">
        <f>'Water Reading'!H14-'Water Reading'!H13</f>
        <v>0</v>
      </c>
      <c r="F14" s="85" t="e">
        <f t="shared" si="3"/>
        <v>#DIV/0!</v>
      </c>
      <c r="G14" s="89">
        <f>('Water Reading'!D14-'Water Reading'!D13)-('Water Reading'!R14-'Water Reading'!R13)-('Water Reading'!Q14-'Water Reading'!Q13)</f>
        <v>0</v>
      </c>
      <c r="H14" s="85" t="e">
        <f t="shared" si="4"/>
        <v>#DIV/0!</v>
      </c>
      <c r="I14" s="86">
        <f>'Water Reading'!P14-'Water Reading'!P13</f>
        <v>0</v>
      </c>
      <c r="J14" s="66" t="e">
        <f t="shared" si="5"/>
        <v>#DIV/0!</v>
      </c>
      <c r="K14" s="87">
        <f>('Water Reading'!I14-'Water Reading'!I13)-('Water Reading'!P14-'Water Reading'!P13)</f>
        <v>0</v>
      </c>
      <c r="L14" s="66" t="e">
        <f t="shared" si="6"/>
        <v>#DIV/0!</v>
      </c>
      <c r="M14" s="86">
        <f>'Water Reading'!R14-'Water Reading'!R13</f>
        <v>0</v>
      </c>
      <c r="N14" s="88" t="e">
        <f t="shared" si="7"/>
        <v>#DIV/0!</v>
      </c>
      <c r="O14" s="86">
        <f>'Water Reading'!Q14-'Water Reading'!Q13</f>
        <v>0</v>
      </c>
      <c r="P14" s="93" t="e">
        <f t="shared" si="8"/>
        <v>#DIV/0!</v>
      </c>
      <c r="Q14" s="87">
        <f>'Water Reading'!N14-'Water Reading'!N13</f>
        <v>0</v>
      </c>
      <c r="R14" s="94" t="e">
        <f t="shared" si="9"/>
        <v>#DIV/0!</v>
      </c>
      <c r="S14" s="86">
        <f>'Water Reading'!E14-'Water Reading'!E13</f>
        <v>0</v>
      </c>
      <c r="T14" s="94" t="e">
        <f t="shared" si="10"/>
        <v>#DIV/0!</v>
      </c>
      <c r="U14" s="86">
        <f>'Water Reading'!O14-'Water Reading'!O13</f>
        <v>0</v>
      </c>
      <c r="V14" s="94" t="e">
        <f t="shared" si="11"/>
        <v>#DIV/0!</v>
      </c>
      <c r="W14" s="86">
        <f>'Water Reading'!R14-'Water Reading'!R13</f>
        <v>0</v>
      </c>
      <c r="X14" s="94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44573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4">
        <f>'Water Reading'!H15-'Water Reading'!H14</f>
        <v>0</v>
      </c>
      <c r="F15" s="85" t="e">
        <f t="shared" si="3"/>
        <v>#DIV/0!</v>
      </c>
      <c r="G15" s="89">
        <f>('Water Reading'!D15-'Water Reading'!D14)-('Water Reading'!R15-'Water Reading'!R14)-('Water Reading'!Q15-'Water Reading'!Q14)</f>
        <v>0</v>
      </c>
      <c r="H15" s="85" t="e">
        <f t="shared" si="4"/>
        <v>#DIV/0!</v>
      </c>
      <c r="I15" s="86">
        <f>'Water Reading'!P15-'Water Reading'!P14</f>
        <v>0</v>
      </c>
      <c r="J15" s="66" t="e">
        <f t="shared" si="5"/>
        <v>#DIV/0!</v>
      </c>
      <c r="K15" s="87">
        <f>('Water Reading'!I15-'Water Reading'!I14)-('Water Reading'!P15-'Water Reading'!P14)</f>
        <v>0</v>
      </c>
      <c r="L15" s="66" t="e">
        <f t="shared" si="6"/>
        <v>#DIV/0!</v>
      </c>
      <c r="M15" s="86">
        <f>'Water Reading'!R15-'Water Reading'!R14</f>
        <v>0</v>
      </c>
      <c r="N15" s="88" t="e">
        <f t="shared" si="7"/>
        <v>#DIV/0!</v>
      </c>
      <c r="O15" s="86">
        <f>'Water Reading'!Q15-'Water Reading'!Q14</f>
        <v>0</v>
      </c>
      <c r="P15" s="93" t="e">
        <f t="shared" si="8"/>
        <v>#DIV/0!</v>
      </c>
      <c r="Q15" s="87">
        <f>'Water Reading'!N15-'Water Reading'!N14</f>
        <v>0</v>
      </c>
      <c r="R15" s="94" t="e">
        <f t="shared" si="9"/>
        <v>#DIV/0!</v>
      </c>
      <c r="S15" s="86">
        <f>'Water Reading'!E15-'Water Reading'!E14</f>
        <v>0</v>
      </c>
      <c r="T15" s="94" t="e">
        <f t="shared" si="10"/>
        <v>#DIV/0!</v>
      </c>
      <c r="U15" s="86">
        <f>'Water Reading'!O15-'Water Reading'!O14</f>
        <v>0</v>
      </c>
      <c r="V15" s="94" t="e">
        <f t="shared" si="11"/>
        <v>#DIV/0!</v>
      </c>
      <c r="W15" s="86">
        <f>'Water Reading'!R15-'Water Reading'!R14</f>
        <v>0</v>
      </c>
      <c r="X15" s="94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44574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4">
        <f>'Water Reading'!H16-'Water Reading'!H15</f>
        <v>0</v>
      </c>
      <c r="F16" s="85" t="e">
        <f t="shared" si="3"/>
        <v>#DIV/0!</v>
      </c>
      <c r="G16" s="89">
        <f>('Water Reading'!D16-'Water Reading'!D15)-('Water Reading'!R16-'Water Reading'!R15)-('Water Reading'!Q16-'Water Reading'!Q15)</f>
        <v>0</v>
      </c>
      <c r="H16" s="85" t="e">
        <f t="shared" si="4"/>
        <v>#DIV/0!</v>
      </c>
      <c r="I16" s="86">
        <f>'Water Reading'!P16-'Water Reading'!P15</f>
        <v>0</v>
      </c>
      <c r="J16" s="66" t="e">
        <f t="shared" si="5"/>
        <v>#DIV/0!</v>
      </c>
      <c r="K16" s="87">
        <f>('Water Reading'!I16-'Water Reading'!I15)-('Water Reading'!P16-'Water Reading'!P15)</f>
        <v>0</v>
      </c>
      <c r="L16" s="66" t="e">
        <f t="shared" si="6"/>
        <v>#DIV/0!</v>
      </c>
      <c r="M16" s="86">
        <f>'Water Reading'!R16-'Water Reading'!R15</f>
        <v>0</v>
      </c>
      <c r="N16" s="88" t="e">
        <f t="shared" si="7"/>
        <v>#DIV/0!</v>
      </c>
      <c r="O16" s="86">
        <f>'Water Reading'!Q16-'Water Reading'!Q15</f>
        <v>0</v>
      </c>
      <c r="P16" s="93" t="e">
        <f t="shared" si="8"/>
        <v>#DIV/0!</v>
      </c>
      <c r="Q16" s="87">
        <f>'Water Reading'!N16-'Water Reading'!N15</f>
        <v>0</v>
      </c>
      <c r="R16" s="94" t="e">
        <f t="shared" si="9"/>
        <v>#DIV/0!</v>
      </c>
      <c r="S16" s="86">
        <f>'Water Reading'!E16-'Water Reading'!E15</f>
        <v>0</v>
      </c>
      <c r="T16" s="94" t="e">
        <f t="shared" si="10"/>
        <v>#DIV/0!</v>
      </c>
      <c r="U16" s="86">
        <f>'Water Reading'!O16-'Water Reading'!O15</f>
        <v>0</v>
      </c>
      <c r="V16" s="94" t="e">
        <f t="shared" si="11"/>
        <v>#DIV/0!</v>
      </c>
      <c r="W16" s="86">
        <f>'Water Reading'!R16-'Water Reading'!R15</f>
        <v>0</v>
      </c>
      <c r="X16" s="94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44575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Reading'!E17-'Water Reading'!E16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44576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Reading'!E18-'Water Reading'!E17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44577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Reading'!E19-'Water Reading'!E18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44578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Reading'!E20-'Water Reading'!E19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44579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Reading'!E21-'Water Reading'!E20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44580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Reading'!E22-'Water Reading'!E21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44581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Reading'!E23-'Water Reading'!E22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44582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Reading'!E24-'Water Reading'!E23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44583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Reading'!E25-'Water Reading'!E24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44584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Reading'!E26-'Water Reading'!E25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44585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Reading'!E27-'Water Reading'!E26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44586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Reading'!E28-'Water Reading'!E27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44587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Reading'!E29-'Water Reading'!E28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44588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Reading'!E30-'Water Reading'!E29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44589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Reading'!E31-'Water Reading'!E30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44590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Reading'!E32-'Water Reading'!E31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44591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Reading'!E33-'Water Reading'!E32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44592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Reading'!E34-'Water Reading'!E33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2279</v>
      </c>
      <c r="C35" s="72">
        <f>SUM(C4:C34)</f>
        <v>-200473</v>
      </c>
      <c r="D35" s="91">
        <f>C35/B35</f>
        <v>-87.96533567354102</v>
      </c>
      <c r="E35" s="7">
        <f>SUM(E4:E34)</f>
        <v>-59589</v>
      </c>
      <c r="F35" s="90">
        <f>E35/C35</f>
        <v>0.29724202261651195</v>
      </c>
      <c r="G35" s="72">
        <f>SUM(G4:G34)</f>
        <v>-231386</v>
      </c>
      <c r="H35" s="90">
        <f>G35/C35</f>
        <v>1.1542003162520638</v>
      </c>
      <c r="I35" s="7">
        <f>SUM(I4:I34)</f>
        <v>-28987</v>
      </c>
      <c r="J35" s="90">
        <f>I35/C35</f>
        <v>0.14459303746639199</v>
      </c>
      <c r="K35" s="7">
        <f>SUM(K4:K34)</f>
        <v>-40609</v>
      </c>
      <c r="L35" s="90">
        <f>K35/C35</f>
        <v>0.20256593157183261</v>
      </c>
      <c r="M35" s="7">
        <f>SUM(M4:M34)</f>
        <v>-7315</v>
      </c>
      <c r="N35" s="90">
        <f>M35/C35</f>
        <v>3.6488704214532632E-2</v>
      </c>
      <c r="O35" s="7">
        <f>SUM(O4:O34)</f>
        <v>-1204</v>
      </c>
      <c r="P35" s="90">
        <f>O35/C35</f>
        <v>6.005796291769964E-3</v>
      </c>
      <c r="Q35" s="7">
        <f>SUM(Q4:Q34)</f>
        <v>-8180</v>
      </c>
      <c r="R35" s="90">
        <f>Q35/C35</f>
        <v>4.0803499723154737E-2</v>
      </c>
      <c r="S35" s="72">
        <f>SUM(S4:S34)</f>
        <v>-259380</v>
      </c>
      <c r="T35" s="90">
        <f>S35/C35</f>
        <v>1.2938400682386157</v>
      </c>
      <c r="U35" s="7">
        <f>SUM(U4:U34)</f>
        <v>-1900</v>
      </c>
      <c r="V35" s="90">
        <f>U35/C35</f>
        <v>9.477585510268215E-3</v>
      </c>
      <c r="W35" s="7">
        <f>SUM(W4:W34)</f>
        <v>-7315</v>
      </c>
      <c r="X35" s="90">
        <f>W35/C35</f>
        <v>3.6488704214532632E-2</v>
      </c>
      <c r="Y35" s="72">
        <f>SUM(Y4:Y34)</f>
        <v>-645865</v>
      </c>
      <c r="Z35" s="90">
        <f t="shared" si="1"/>
        <v>-283.39842035980695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2022-01-09T03:26:44Z</dcterms:modified>
  <cp:category/>
  <cp:contentStatus/>
</cp:coreProperties>
</file>