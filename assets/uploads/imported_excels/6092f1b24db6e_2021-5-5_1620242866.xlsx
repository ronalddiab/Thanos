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M4" i="7" l="1"/>
  <c r="CS27" i="7" l="1"/>
  <c r="CS28" i="7"/>
  <c r="BL17" i="7" l="1"/>
  <c r="BL18" i="7"/>
  <c r="BL19" i="7"/>
  <c r="AX13" i="7" l="1"/>
  <c r="AX14" i="7"/>
  <c r="CS9" i="7" l="1"/>
  <c r="BF8" i="7" l="1"/>
  <c r="BF9" i="7"/>
  <c r="T5" i="7" l="1"/>
  <c r="CH5" i="7" l="1"/>
  <c r="CH6" i="7"/>
  <c r="BR5" i="7"/>
  <c r="BR6" i="7"/>
  <c r="BR7" i="7"/>
  <c r="AJ5" i="7"/>
  <c r="AJ6" i="7"/>
  <c r="AJ7" i="7"/>
  <c r="X5" i="7" l="1"/>
  <c r="X4" i="7"/>
  <c r="V4" i="7"/>
  <c r="D10" i="7" l="1"/>
  <c r="F10" i="7"/>
  <c r="H10" i="7"/>
  <c r="J10" i="7"/>
  <c r="L10" i="7"/>
  <c r="N10" i="7"/>
  <c r="P10" i="7"/>
  <c r="R10" i="7"/>
  <c r="T10" i="7"/>
  <c r="V10" i="7"/>
  <c r="X10" i="7"/>
  <c r="Z10" i="7"/>
  <c r="AB10" i="7"/>
  <c r="AD10" i="7"/>
  <c r="AF10" i="7"/>
  <c r="AH10" i="7"/>
  <c r="AJ10" i="7"/>
  <c r="AL10" i="7"/>
  <c r="AN10" i="7"/>
  <c r="AP10" i="7"/>
  <c r="AR10" i="7"/>
  <c r="AT10" i="7"/>
  <c r="AV10" i="7"/>
  <c r="AX10" i="7"/>
  <c r="AZ10" i="7"/>
  <c r="BB10" i="7"/>
  <c r="BD10" i="7"/>
  <c r="BF10" i="7"/>
  <c r="BH10" i="7"/>
  <c r="BJ10" i="7"/>
  <c r="BL10" i="7"/>
  <c r="BN10" i="7"/>
  <c r="BP10" i="7"/>
  <c r="BR10" i="7"/>
  <c r="BT10" i="7"/>
  <c r="BV10" i="7"/>
  <c r="BX10" i="7"/>
  <c r="BZ10" i="7"/>
  <c r="CB10" i="7"/>
  <c r="CD10" i="7"/>
  <c r="CF10" i="7"/>
  <c r="CH10" i="7"/>
  <c r="CJ10" i="7"/>
  <c r="CL10" i="7"/>
  <c r="CQ10" i="7"/>
  <c r="CS10" i="7"/>
  <c r="CU10" i="7"/>
  <c r="CW10" i="7"/>
  <c r="CM10" i="7" l="1"/>
  <c r="T37" i="10"/>
  <c r="P31" i="7" l="1"/>
  <c r="P32" i="7"/>
  <c r="P33" i="7"/>
  <c r="T35" i="10" l="1"/>
  <c r="T36" i="10"/>
  <c r="BZ30" i="7" l="1"/>
  <c r="T29" i="7"/>
  <c r="T30" i="7"/>
  <c r="T28" i="7"/>
  <c r="P30" i="7"/>
  <c r="AT29" i="7" l="1"/>
  <c r="CB27" i="7" l="1"/>
  <c r="BB27" i="7"/>
  <c r="AL26" i="7"/>
  <c r="AL27" i="7"/>
  <c r="AL28" i="7"/>
  <c r="CB25" i="7" l="1"/>
  <c r="CB26" i="7"/>
  <c r="AZ25" i="7"/>
  <c r="AX21" i="7"/>
  <c r="AL25" i="7"/>
  <c r="F24" i="7" l="1"/>
  <c r="CQ24" i="7"/>
  <c r="CB24" i="7"/>
  <c r="AD23" i="7"/>
  <c r="AD24" i="7"/>
  <c r="F19" i="7"/>
  <c r="F20" i="7"/>
  <c r="F21" i="7"/>
  <c r="F22" i="7"/>
  <c r="F23" i="7"/>
  <c r="H23" i="7" l="1"/>
  <c r="AR18" i="7" l="1"/>
  <c r="AN16" i="7" l="1"/>
  <c r="AN17" i="7"/>
  <c r="AP17" i="7"/>
  <c r="AP18" i="7"/>
  <c r="AN15" i="7" l="1"/>
  <c r="BD14" i="7" l="1"/>
  <c r="AT5" i="7" l="1"/>
  <c r="AT6" i="7"/>
  <c r="AT7" i="7"/>
  <c r="AT8" i="7"/>
  <c r="AT9" i="7"/>
  <c r="AT11" i="7"/>
  <c r="AL5" i="7"/>
  <c r="AL6" i="7"/>
  <c r="AL7" i="7"/>
  <c r="AL8" i="7"/>
  <c r="AL9" i="7"/>
  <c r="AL11" i="7"/>
  <c r="B30" i="6" l="1"/>
  <c r="B31" i="6"/>
  <c r="B32" i="6" s="1"/>
  <c r="BB8" i="7" l="1"/>
  <c r="BB7" i="7"/>
  <c r="AP8" i="7"/>
  <c r="Z8" i="7"/>
  <c r="V6" i="7" l="1"/>
  <c r="V7" i="7"/>
  <c r="V8" i="7"/>
  <c r="V9" i="7"/>
  <c r="V11" i="7"/>
  <c r="B32" i="3" l="1"/>
  <c r="B30" i="3"/>
  <c r="B31" i="3" s="1"/>
  <c r="CJ6" i="7" l="1"/>
  <c r="CL4" i="7" l="1"/>
  <c r="BF30" i="7" l="1"/>
  <c r="BF31" i="7"/>
  <c r="AH19" i="7" l="1"/>
  <c r="AH20" i="7"/>
  <c r="CL27" i="7" l="1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P6" i="7" l="1"/>
  <c r="T34" i="10" l="1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8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30" i="7"/>
  <c r="AT31" i="7"/>
  <c r="AT32" i="7"/>
  <c r="AT33" i="7"/>
  <c r="AR17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L15" i="7"/>
  <c r="CQ13" i="7" l="1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X8" i="7"/>
  <c r="CF7" i="7" l="1"/>
  <c r="CW5" i="7" l="1"/>
  <c r="CW6" i="7"/>
  <c r="CW7" i="7"/>
  <c r="CW8" i="7"/>
  <c r="CW9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11" i="7"/>
  <c r="CM11" i="7" s="1"/>
  <c r="CS12" i="7"/>
  <c r="CM12" i="7" s="1"/>
  <c r="CS13" i="7"/>
  <c r="CM13" i="7" s="1"/>
  <c r="CS14" i="7"/>
  <c r="CS15" i="7"/>
  <c r="CM15" i="7" s="1"/>
  <c r="CS16" i="7"/>
  <c r="CS17" i="7"/>
  <c r="CS18" i="7"/>
  <c r="CS19" i="7"/>
  <c r="CS20" i="7"/>
  <c r="CS21" i="7"/>
  <c r="CS22" i="7"/>
  <c r="CS23" i="7"/>
  <c r="CS24" i="7"/>
  <c r="CM24" i="7" s="1"/>
  <c r="CS25" i="7"/>
  <c r="CS26" i="7"/>
  <c r="CM26" i="7" s="1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5" i="7"/>
  <c r="CQ27" i="7"/>
  <c r="CQ28" i="7"/>
  <c r="CQ29" i="7"/>
  <c r="CQ30" i="7"/>
  <c r="CQ31" i="7"/>
  <c r="CQ32" i="7"/>
  <c r="CQ33" i="7"/>
  <c r="CQ34" i="7"/>
  <c r="CQ4" i="7"/>
  <c r="CM5" i="7" l="1"/>
  <c r="CM6" i="7"/>
  <c r="CM32" i="7"/>
  <c r="CM31" i="7"/>
  <c r="CM30" i="7"/>
  <c r="CM29" i="7"/>
  <c r="CM28" i="7"/>
  <c r="CM27" i="7"/>
  <c r="CM25" i="7"/>
  <c r="CM23" i="7"/>
  <c r="CM22" i="7"/>
  <c r="CM21" i="7"/>
  <c r="CM20" i="7"/>
  <c r="CM19" i="7"/>
  <c r="CM18" i="7"/>
  <c r="CM17" i="7"/>
  <c r="CM16" i="7"/>
  <c r="CM14" i="7"/>
  <c r="CM9" i="7"/>
  <c r="CM8" i="7"/>
  <c r="CM34" i="7"/>
  <c r="AW32" i="6" s="1"/>
  <c r="CM33" i="7"/>
  <c r="CM7" i="7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1" i="7" l="1"/>
  <c r="AP12" i="7"/>
  <c r="AP13" i="7"/>
  <c r="AN11" i="7"/>
  <c r="AN12" i="7"/>
  <c r="AN13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AP5" i="7" l="1"/>
  <c r="AP6" i="7"/>
  <c r="AP7" i="7"/>
  <c r="AP9" i="7"/>
  <c r="AN5" i="7"/>
  <c r="AN6" i="7"/>
  <c r="AN7" i="7"/>
  <c r="AN8" i="7"/>
  <c r="AN9" i="7"/>
  <c r="AP4" i="7"/>
  <c r="AN4" i="7"/>
  <c r="AL4" i="7"/>
  <c r="BF7" i="7" l="1"/>
  <c r="P7" i="7"/>
  <c r="P8" i="7"/>
  <c r="P9" i="7"/>
  <c r="D8" i="7" l="1"/>
  <c r="CL6" i="7" l="1"/>
  <c r="CL7" i="7"/>
  <c r="CL8" i="7"/>
  <c r="CL9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7" i="7"/>
  <c r="CH8" i="7"/>
  <c r="CH9" i="7"/>
  <c r="CH11" i="7"/>
  <c r="CH12" i="7"/>
  <c r="CH13" i="7"/>
  <c r="CH14" i="7"/>
  <c r="CH15" i="7"/>
  <c r="CH16" i="7"/>
  <c r="CH34" i="7"/>
  <c r="CF5" i="7"/>
  <c r="CF6" i="7"/>
  <c r="CF8" i="7"/>
  <c r="CF9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8" i="7"/>
  <c r="CB29" i="7"/>
  <c r="CB30" i="7"/>
  <c r="CB31" i="7"/>
  <c r="CB32" i="7"/>
  <c r="CB33" i="7"/>
  <c r="BZ5" i="7"/>
  <c r="BZ6" i="7"/>
  <c r="BZ7" i="7"/>
  <c r="BZ8" i="7"/>
  <c r="BZ9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1" i="7"/>
  <c r="BZ32" i="7"/>
  <c r="BZ33" i="7"/>
  <c r="BZ34" i="7"/>
  <c r="BX5" i="7"/>
  <c r="BX6" i="7"/>
  <c r="BX7" i="7"/>
  <c r="BX8" i="7"/>
  <c r="BX9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8" i="7"/>
  <c r="BR9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1" i="7"/>
  <c r="BL12" i="7"/>
  <c r="BL13" i="7"/>
  <c r="BL14" i="7"/>
  <c r="BL15" i="7"/>
  <c r="BL16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1" i="7"/>
  <c r="BJ12" i="7"/>
  <c r="BJ13" i="7"/>
  <c r="BJ14" i="7"/>
  <c r="BJ15" i="7"/>
  <c r="BJ16" i="7"/>
  <c r="BJ4" i="7"/>
  <c r="BH5" i="7"/>
  <c r="BH6" i="7"/>
  <c r="BH7" i="7"/>
  <c r="BH8" i="7"/>
  <c r="BH9" i="7"/>
  <c r="BH11" i="7"/>
  <c r="BH12" i="7"/>
  <c r="BH13" i="7"/>
  <c r="BH14" i="7"/>
  <c r="BH15" i="7"/>
  <c r="BH16" i="7"/>
  <c r="BF6" i="7"/>
  <c r="BF11" i="7"/>
  <c r="BF12" i="7"/>
  <c r="BF13" i="7"/>
  <c r="BF15" i="7"/>
  <c r="BF16" i="7"/>
  <c r="BD5" i="7"/>
  <c r="BD6" i="7"/>
  <c r="BD7" i="7"/>
  <c r="BD8" i="7"/>
  <c r="BD9" i="7"/>
  <c r="BD15" i="7"/>
  <c r="BD16" i="7"/>
  <c r="BB9" i="7"/>
  <c r="BB11" i="7"/>
  <c r="BB12" i="7"/>
  <c r="BB13" i="7"/>
  <c r="BB14" i="7"/>
  <c r="BB15" i="7"/>
  <c r="BB16" i="7"/>
  <c r="AZ8" i="7"/>
  <c r="AZ9" i="7"/>
  <c r="AZ11" i="7"/>
  <c r="AZ12" i="7"/>
  <c r="AZ13" i="7"/>
  <c r="AZ14" i="7"/>
  <c r="AX11" i="7"/>
  <c r="AX12" i="7"/>
  <c r="AX15" i="7"/>
  <c r="AX16" i="7"/>
  <c r="AV5" i="7"/>
  <c r="AV6" i="7"/>
  <c r="AV7" i="7"/>
  <c r="AV8" i="7"/>
  <c r="AV9" i="7"/>
  <c r="AV11" i="7"/>
  <c r="AV12" i="7"/>
  <c r="AV13" i="7"/>
  <c r="AV14" i="7"/>
  <c r="AV15" i="7"/>
  <c r="AT12" i="7"/>
  <c r="AT13" i="7"/>
  <c r="AT14" i="7"/>
  <c r="AT15" i="7"/>
  <c r="AT34" i="7"/>
  <c r="AR5" i="7"/>
  <c r="AR6" i="7"/>
  <c r="AR7" i="7"/>
  <c r="AR8" i="7"/>
  <c r="AR9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2" i="7"/>
  <c r="AD13" i="7"/>
  <c r="AD14" i="7"/>
  <c r="AD15" i="7"/>
  <c r="AD16" i="7"/>
  <c r="AD17" i="7"/>
  <c r="AD19" i="7"/>
  <c r="AD20" i="7"/>
  <c r="AD21" i="7"/>
  <c r="AD22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9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6" i="7"/>
  <c r="X7" i="7"/>
  <c r="X9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6" i="7"/>
  <c r="T7" i="7"/>
  <c r="T8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31" i="7"/>
  <c r="T32" i="7"/>
  <c r="T33" i="7"/>
  <c r="T34" i="7"/>
  <c r="R5" i="7"/>
  <c r="R6" i="7"/>
  <c r="R7" i="7"/>
  <c r="R8" i="7"/>
  <c r="R9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4" i="7"/>
  <c r="N5" i="7"/>
  <c r="N6" i="7"/>
  <c r="N7" i="7"/>
  <c r="N8" i="7"/>
  <c r="N9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1" i="7"/>
  <c r="H12" i="7"/>
  <c r="H13" i="7"/>
  <c r="H21" i="7"/>
  <c r="H22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1" i="7"/>
  <c r="F12" i="7"/>
  <c r="F13" i="7"/>
  <c r="F14" i="7"/>
  <c r="F15" i="7"/>
  <c r="F16" i="7"/>
  <c r="F17" i="7"/>
  <c r="F18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AM8" i="6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<sst xmlns="http://schemas.openxmlformats.org/spreadsheetml/2006/main" count="315" uniqueCount="148">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</sst>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3" borderId="4" xfId="0" applyFon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3" borderId="14" xfId="0" applyFont="1" applyFill="1" applyBorder="1" applyAlignment="1">
      <alignment horizontal="center" wrapText="1"/>
    </xf>
    <xf numFmtId="0" fontId="2" fillId="13" borderId="10" xfId="0" applyFont="1" applyFill="1" applyBorder="1" applyAlignment="1">
      <alignment horizontal="center" wrapText="1"/>
    </xf>
    <xf numFmtId="0" fontId="2" fillId="13" borderId="14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2021</v>
      </c>
      <c r="E2" s="12">
        <f>Submetering!E2+Submetering!F2+Submetering!G2+Submetering!H2+Submetering!J2-Submetering!AV2</f>
        <v>9999.9999999998545</v>
      </c>
      <c r="F2" s="11">
        <v>0.58765030286592534</v>
      </c>
      <c r="G2" s="12">
        <f>(Submetering!AX2+Submetering!AY2+Submetering!AZ2+Submetering!BA2+Submetering!BB2)</f>
        <v>14.651999999999997</v>
      </c>
      <c r="H2" s="11">
        <v>0.99</v>
      </c>
      <c r="I2" s="12">
        <f>'FS Desroches Daily'!CM4</f>
        <v>68</v>
      </c>
      <c r="J2" s="11">
        <v>10.487297712684205</v>
      </c>
      <c r="K2" s="13">
        <f>'FS Desroches Daily'!CN4</f>
        <v>9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5</v>
      </c>
      <c r="D3" s="1">
        <v>2021</v>
      </c>
      <c r="E3" s="12">
        <f>Submetering!E3+Submetering!F3+Submetering!G3+Submetering!H3+Submetering!J3-Submetering!AV3</f>
        <v>9880.000000000251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62</v>
      </c>
      <c r="J3" s="11">
        <f>J2</f>
        <v>10.487297712684205</v>
      </c>
      <c r="K3" s="13">
        <f>'FS Desroches Daily'!CN5</f>
        <v>11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5</v>
      </c>
      <c r="D4" s="1">
        <v>2021</v>
      </c>
      <c r="E4" s="12">
        <f>Submetering!E4+Submetering!F4+Submetering!G4+Submetering!H4+Submetering!J4-Submetering!AV4</f>
        <v>10409.999999999833</v>
      </c>
      <c r="F4" s="11">
        <f t="shared" ref="F4:F32" si="1">F3</f>
        <v>0.58765030286592534</v>
      </c>
      <c r="G4" s="12">
        <f>(Submetering!AX4+Submetering!AY4+Submetering!AZ4+Submetering!BA4+Submetering!BB4)</f>
        <v>18.314999999999998</v>
      </c>
      <c r="H4" s="11">
        <f t="shared" ref="H4:H32" si="2">H3</f>
        <v>0.99</v>
      </c>
      <c r="I4" s="12">
        <f>'FS Desroches Daily'!CM6</f>
        <v>77</v>
      </c>
      <c r="J4" s="11">
        <f t="shared" ref="J4:J32" si="3">J3</f>
        <v>10.487297712684205</v>
      </c>
      <c r="K4" s="13">
        <f>'FS Desroches Daily'!CN6</f>
        <v>12</v>
      </c>
    </row>
    <row r="5" spans="1:13" s="16" customFormat="1" x14ac:dyDescent="0.25">
      <c r="A5" s="1" t="s">
        <v>11</v>
      </c>
      <c r="B5" s="15">
        <f t="shared" si="0"/>
        <v>4</v>
      </c>
      <c r="C5" s="11">
        <v>5</v>
      </c>
      <c r="D5" s="1">
        <v>2021</v>
      </c>
      <c r="E5" s="12">
        <f>Submetering!E5+Submetering!F5+Submetering!G5+Submetering!H5+Submetering!J5-Submetering!AV5</f>
        <v>8100.0000000000946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>
        <f>'FS Desroches Daily'!CM7</f>
        <v>56</v>
      </c>
      <c r="J5" s="11">
        <f t="shared" si="3"/>
        <v>10.487297712684205</v>
      </c>
      <c r="K5" s="13">
        <f>'FS Desroches Daily'!CN7</f>
        <v>11</v>
      </c>
    </row>
    <row r="6" spans="1:13" s="16" customFormat="1" x14ac:dyDescent="0.25">
      <c r="A6" s="1" t="s">
        <v>11</v>
      </c>
      <c r="B6" s="15">
        <f t="shared" si="0"/>
        <v>5</v>
      </c>
      <c r="C6" s="11">
        <v>5</v>
      </c>
      <c r="D6" s="1">
        <v>2021</v>
      </c>
      <c r="E6" s="12" t="e">
        <f>Submetering!E6+Submetering!F6+Submetering!G6+Submetering!H6+Submetering!J6-Submetering!AV6</f>
        <v>#VALUE!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 t="e">
        <f>'FS Desroches Daily'!CM8</f>
        <v>#VALUE!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5</v>
      </c>
      <c r="D7" s="1">
        <v>2021</v>
      </c>
      <c r="E7" s="12">
        <f>Submetering!E7+Submetering!F7+Submetering!G7+Submetering!H7+Submetering!J7-Submetering!AV7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5</v>
      </c>
      <c r="D8" s="1">
        <v>2021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5</v>
      </c>
      <c r="D9" s="1">
        <v>2021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5</v>
      </c>
      <c r="D10" s="1">
        <v>2021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5</v>
      </c>
      <c r="D11" s="1">
        <v>2021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5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5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5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5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5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5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5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5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5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5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5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5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5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5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5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5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5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5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5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5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5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5" sqref="D35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5</v>
      </c>
      <c r="D2" s="27">
        <v>2021</v>
      </c>
      <c r="E2" s="31">
        <f>'FS Desroches Daily'!D4</f>
        <v>2099.9999999999909</v>
      </c>
      <c r="F2" s="32">
        <f>'FS Desroches Daily'!F4</f>
        <v>3400.0000000000696</v>
      </c>
      <c r="G2" s="31">
        <f>'FS Desroches Daily'!H4</f>
        <v>3000.0000000001137</v>
      </c>
      <c r="H2" s="32">
        <f>'FS Desroches Daily'!J4</f>
        <v>1499.9999999998347</v>
      </c>
      <c r="I2" s="31">
        <f>'FS Desroches Daily'!L4</f>
        <v>2400.0000000001796</v>
      </c>
      <c r="J2" s="32">
        <f>'FS Desroches Daily'!N4</f>
        <v>799.99999999991189</v>
      </c>
      <c r="K2" s="13">
        <f>'FS Desroches Daily'!P4</f>
        <v>12</v>
      </c>
      <c r="L2" s="31">
        <f>'FS Desroches Daily'!R4</f>
        <v>5</v>
      </c>
      <c r="M2" s="31">
        <f>'FS Desroches Daily'!T4</f>
        <v>966.39999999990687</v>
      </c>
      <c r="N2" s="31">
        <f>'FS Desroches Daily'!V4</f>
        <v>386.29999999998836</v>
      </c>
      <c r="O2" s="31">
        <f>'FS Desroches Daily'!X4</f>
        <v>430.00000000000682</v>
      </c>
      <c r="P2" s="31">
        <f>'FS Desroches Daily'!Z4</f>
        <v>3200.0000000000919</v>
      </c>
      <c r="Q2" s="31">
        <f>'FS Desroches Daily'!AB4</f>
        <v>279.99999999997272</v>
      </c>
      <c r="R2" s="31">
        <f>'FS Desroches Daily'!AD4</f>
        <v>120.00000000000455</v>
      </c>
      <c r="S2" s="31">
        <f>'FS Desroches Daily'!AF4</f>
        <v>259.99999999999091</v>
      </c>
      <c r="T2" s="31">
        <f>'FS Desroches Daily'!AH4</f>
        <v>35</v>
      </c>
      <c r="U2" s="35">
        <f>'FS Desroches Daily'!AJ4</f>
        <v>909.99999999996817</v>
      </c>
      <c r="V2" s="35">
        <f>'FS Desroches Daily'!AL4</f>
        <v>189.99999999999773</v>
      </c>
      <c r="W2" s="35">
        <f>'FS Desroches Daily'!AN4</f>
        <v>79.999999999984084</v>
      </c>
      <c r="X2" s="35">
        <f>'FS Desroches Daily'!AP4</f>
        <v>169.99999999998749</v>
      </c>
      <c r="Y2" s="35">
        <f>'FS Desroches Daily'!AR4</f>
        <v>259.99999999999091</v>
      </c>
      <c r="Z2" s="35">
        <f>'FS Desroches Daily'!AT4</f>
        <v>69.999999999993179</v>
      </c>
      <c r="AA2" s="35">
        <f>'FS Desroches Daily'!AT4</f>
        <v>69.999999999993179</v>
      </c>
      <c r="AB2" s="35">
        <f>'FS Desroches Daily'!AV4</f>
        <v>89.999999999974989</v>
      </c>
      <c r="AC2" s="35">
        <f>'FS Desroches Daily'!AZ4</f>
        <v>30.000000000029559</v>
      </c>
      <c r="AD2" s="35">
        <f>'FS Desroches Daily'!BB4</f>
        <v>20.000000000038654</v>
      </c>
      <c r="AE2" s="35">
        <f>'FS Desroches Daily'!BD4</f>
        <v>30.000000000001137</v>
      </c>
      <c r="AF2" s="31">
        <f>'FS Desroches Daily'!BF4</f>
        <v>38</v>
      </c>
      <c r="AG2" s="32">
        <f>'FS Desroches Daily'!BH4</f>
        <v>50.000000000011369</v>
      </c>
      <c r="AH2" s="32">
        <f>'FS Desroches Daily'!BJ4</f>
        <v>50.000000000011369</v>
      </c>
      <c r="AI2" s="32">
        <f>'FS Desroches Daily'!BL4</f>
        <v>40.000000000020464</v>
      </c>
      <c r="AJ2" s="32">
        <f>'FS Desroches Daily'!BN4</f>
        <v>39.999999999992042</v>
      </c>
      <c r="AK2" s="32">
        <f>'FS Desroches Daily'!BP4</f>
        <v>39.99999999996362</v>
      </c>
      <c r="AL2" s="32">
        <f>'FS Desroches Daily'!BR4</f>
        <v>35</v>
      </c>
      <c r="AM2" s="32">
        <f>'FS Desroches Daily'!BT4</f>
        <v>39.999999999992042</v>
      </c>
      <c r="AN2" s="32">
        <f>'FS Desroches Daily'!BV4</f>
        <v>50</v>
      </c>
      <c r="AO2" s="32">
        <f>'FS Desroches Daily'!BX4</f>
        <v>30.000000000001137</v>
      </c>
      <c r="AP2" s="32">
        <f>'FS Desroches Daily'!BZ4</f>
        <v>46</v>
      </c>
      <c r="AQ2" s="31">
        <f>'FS Desroches Daily'!CB4</f>
        <v>43.599999999998545</v>
      </c>
      <c r="AR2" s="31">
        <f>'FS Desroches Daily'!CD4</f>
        <v>24</v>
      </c>
      <c r="AS2" s="31">
        <f>'FS Desroches Daily'!CF4</f>
        <v>0</v>
      </c>
      <c r="AT2" s="31">
        <f>'FS Desroches Daily'!CH4</f>
        <v>32.299999999995634</v>
      </c>
      <c r="AU2" s="31">
        <f>'FS Desroches Daily'!CJ4</f>
        <v>305</v>
      </c>
      <c r="AV2" s="31">
        <f>'FS Desroches Daily'!CL4</f>
        <v>800.00000000006821</v>
      </c>
      <c r="AW2" s="31">
        <f>'FS Desroches Daily'!CM4</f>
        <v>68</v>
      </c>
      <c r="AX2" s="31">
        <v>0</v>
      </c>
      <c r="AY2" s="31" t="str">
        <f>IF(LPG!H9-LPG!H8&lt;0,"0",(LPG!H9-LPG!H8)*1.8315)</f>
        <v>0</v>
      </c>
      <c r="AZ2" s="31">
        <f>IF(LPG!J9-LPG!J8&lt;0,"0",(LPG!J9-LPG!J8)*1.8315)</f>
        <v>1.8314999999999999</v>
      </c>
      <c r="BA2" s="31">
        <f>IF(LPG!M9-LPG!M8&lt;0,"0",(LPG!M9-LPG!M8)*1.8315)</f>
        <v>3.6629999999999998</v>
      </c>
      <c r="BB2" s="31">
        <f>IF(LPG!Q9-LPG!Q8&lt;0,"0",(LPG!Q9-LPG!Q8)*1.8315)</f>
        <v>9.1574999999999989</v>
      </c>
      <c r="BC2" s="13">
        <f>'FS Desroches Daily'!CN4</f>
        <v>9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5</v>
      </c>
      <c r="D3" s="27">
        <v>2021</v>
      </c>
      <c r="E3" s="31">
        <f>'FS Desroches Daily'!D5</f>
        <v>2299.9999999999686</v>
      </c>
      <c r="F3" s="32">
        <f>'FS Desroches Daily'!F5</f>
        <v>3000.0000000001137</v>
      </c>
      <c r="G3" s="31">
        <f>'FS Desroches Daily'!H5</f>
        <v>2800.0000000001355</v>
      </c>
      <c r="H3" s="32">
        <f>'FS Desroches Daily'!J5</f>
        <v>1500.0000000000568</v>
      </c>
      <c r="I3" s="31">
        <f>'FS Desroches Daily'!L5</f>
        <v>2299.9999999999686</v>
      </c>
      <c r="J3" s="32">
        <f>'FS Desroches Daily'!N5</f>
        <v>999.99999999988984</v>
      </c>
      <c r="K3" s="13">
        <f>'FS Desroches Daily'!P5</f>
        <v>10</v>
      </c>
      <c r="L3" s="31">
        <f>'FS Desroches Daily'!R5</f>
        <v>5</v>
      </c>
      <c r="M3" s="31">
        <f>'FS Desroches Daily'!T5</f>
        <v>835.40000000002328</v>
      </c>
      <c r="N3" s="31">
        <f>'FS Desroches Daily'!V5</f>
        <v>393</v>
      </c>
      <c r="O3" s="31">
        <f>'FS Desroches Daily'!X6</f>
        <v>350.00000000002274</v>
      </c>
      <c r="P3" s="31">
        <f>'FS Desroches Daily'!Z5</f>
        <v>2600.0000000001578</v>
      </c>
      <c r="Q3" s="31">
        <f>'FS Desroches Daily'!AB5</f>
        <v>410.00000000002501</v>
      </c>
      <c r="R3" s="31">
        <f>'FS Desroches Daily'!AD5</f>
        <v>169.99999999995907</v>
      </c>
      <c r="S3" s="31">
        <f>'FS Desroches Daily'!AF5</f>
        <v>269.99999999998181</v>
      </c>
      <c r="T3" s="31">
        <f>'FS Desroches Daily'!AH5</f>
        <v>35</v>
      </c>
      <c r="U3" s="35">
        <f>'FS Desroches Daily'!AJ5</f>
        <v>929.99999999994998</v>
      </c>
      <c r="V3" s="35">
        <f>'FS Desroches Daily'!AL5</f>
        <v>229.99999999998977</v>
      </c>
      <c r="W3" s="35">
        <f>'FS Desroches Daily'!AN5</f>
        <v>120.00000000000455</v>
      </c>
      <c r="X3" s="35">
        <f>'FS Desroches Daily'!AP5</f>
        <v>159.99999999999659</v>
      </c>
      <c r="Y3" s="35">
        <f>'FS Desroches Daily'!AR5</f>
        <v>229.99999999998977</v>
      </c>
      <c r="Z3" s="35">
        <f>'FS Desroches Daily'!AT5</f>
        <v>60.000000000002274</v>
      </c>
      <c r="AA3" s="35">
        <f>'FS Desroches Daily'!AT5</f>
        <v>60.000000000002274</v>
      </c>
      <c r="AB3" s="35">
        <f>'FS Desroches Daily'!AV5</f>
        <v>69.999999999993179</v>
      </c>
      <c r="AC3" s="35">
        <f>'FS Desroches Daily'!AZ5</f>
        <v>29.999999999972715</v>
      </c>
      <c r="AD3" s="35">
        <f>'FS Desroches Daily'!BB5</f>
        <v>19.99999999998181</v>
      </c>
      <c r="AE3" s="35">
        <f>'FS Desroches Daily'!BD5</f>
        <v>30.000000000001137</v>
      </c>
      <c r="AF3" s="31">
        <f>'FS Desroches Daily'!BF5</f>
        <v>40</v>
      </c>
      <c r="AG3" s="32">
        <f>'FS Desroches Daily'!BH5</f>
        <v>50.000000000011369</v>
      </c>
      <c r="AH3" s="32">
        <f>'FS Desroches Daily'!BJ5</f>
        <v>39.99999999996362</v>
      </c>
      <c r="AI3" s="32">
        <f>'FS Desroches Daily'!BL5</f>
        <v>39.999999999992042</v>
      </c>
      <c r="AJ3" s="32">
        <f>'FS Desroches Daily'!BN5</f>
        <v>30.000000000001137</v>
      </c>
      <c r="AK3" s="32">
        <f>'FS Desroches Daily'!BP5</f>
        <v>30.000000000029559</v>
      </c>
      <c r="AL3" s="32">
        <f>'FS Desroches Daily'!BR5</f>
        <v>30</v>
      </c>
      <c r="AM3" s="32">
        <f>'FS Desroches Daily'!BT5</f>
        <v>30.000000000001137</v>
      </c>
      <c r="AN3" s="32">
        <f>'FS Desroches Daily'!BV5</f>
        <v>48</v>
      </c>
      <c r="AO3" s="32">
        <f>'FS Desroches Daily'!BX5</f>
        <v>39.999999999992042</v>
      </c>
      <c r="AP3" s="32">
        <f>'FS Desroches Daily'!BZ5</f>
        <v>42</v>
      </c>
      <c r="AQ3" s="31">
        <f>'FS Desroches Daily'!CB5</f>
        <v>21.5</v>
      </c>
      <c r="AR3" s="31">
        <f>'FS Desroches Daily'!CD5</f>
        <v>4.1000000000003638</v>
      </c>
      <c r="AS3" s="31">
        <f>'FS Desroches Daily'!CF5</f>
        <v>12.400000000000546</v>
      </c>
      <c r="AT3" s="31">
        <f>'FS Desroches Daily'!CH5</f>
        <v>36.80000000000291</v>
      </c>
      <c r="AU3" s="31">
        <f>'FS Desroches Daily'!CJ5</f>
        <v>323</v>
      </c>
      <c r="AV3" s="31">
        <f>'FS Desroches Daily'!CL5</f>
        <v>719.9999999999136</v>
      </c>
      <c r="AW3" s="31">
        <f>'FS Desroches Daily'!CM5</f>
        <v>62</v>
      </c>
      <c r="AX3" s="31">
        <v>0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3.6629999999999998</v>
      </c>
      <c r="BB3" s="31">
        <f>IF(LPG!Q10-LPG!Q9&lt;0,"0",(LPG!Q10-LPG!Q9)*1.8315)</f>
        <v>9.1574999999999989</v>
      </c>
      <c r="BC3" s="13">
        <f>'FS Desroches Daily'!CN5</f>
        <v>11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5</v>
      </c>
      <c r="D4" s="27">
        <v>2021</v>
      </c>
      <c r="E4" s="31">
        <f>'FS Desroches Daily'!D6</f>
        <v>2299.9999999999686</v>
      </c>
      <c r="F4" s="32">
        <f>'FS Desroches Daily'!F6</f>
        <v>3299.9999999998586</v>
      </c>
      <c r="G4" s="31">
        <f>'FS Desroches Daily'!H6</f>
        <v>2899.9999999999027</v>
      </c>
      <c r="H4" s="32">
        <f>'FS Desroches Daily'!J6</f>
        <v>1500.0000000000568</v>
      </c>
      <c r="I4" s="31">
        <f>'FS Desroches Daily'!L6</f>
        <v>2099.9999999999909</v>
      </c>
      <c r="J4" s="32">
        <f>'FS Desroches Daily'!N6</f>
        <v>1100.000000000101</v>
      </c>
      <c r="K4" s="13">
        <f>'FS Desroches Daily'!P6</f>
        <v>3</v>
      </c>
      <c r="L4" s="31">
        <f>'FS Desroches Daily'!R6</f>
        <v>7</v>
      </c>
      <c r="M4" s="31">
        <f>'FS Desroches Daily'!T6</f>
        <v>930.80000000004657</v>
      </c>
      <c r="N4" s="31">
        <f>'FS Desroches Daily'!V6</f>
        <v>419.29999999998836</v>
      </c>
      <c r="O4" s="31">
        <f>'FS Desroches Daily'!X7</f>
        <v>229.99999999996135</v>
      </c>
      <c r="P4" s="31">
        <f>'FS Desroches Daily'!Z6</f>
        <v>3099.9999999998809</v>
      </c>
      <c r="Q4" s="31">
        <f>'FS Desroches Daily'!AB6</f>
        <v>420.00000000001592</v>
      </c>
      <c r="R4" s="31">
        <f>'FS Desroches Daily'!AD6</f>
        <v>270.00000000003865</v>
      </c>
      <c r="S4" s="31">
        <f>'FS Desroches Daily'!AF6</f>
        <v>370.00000000000455</v>
      </c>
      <c r="T4" s="31">
        <f>'FS Desroches Daily'!AH6</f>
        <v>51</v>
      </c>
      <c r="U4" s="35">
        <f>'FS Desroches Daily'!AJ6</f>
        <v>960.00000000003638</v>
      </c>
      <c r="V4" s="35">
        <f>'FS Desroches Daily'!AL6</f>
        <v>300.00000000001137</v>
      </c>
      <c r="W4" s="35">
        <f>'FS Desroches Daily'!AN6</f>
        <v>170.00000000001592</v>
      </c>
      <c r="X4" s="35">
        <f>'FS Desroches Daily'!AP6</f>
        <v>210.00000000000796</v>
      </c>
      <c r="Y4" s="35">
        <f>'FS Desroches Daily'!AR6</f>
        <v>300.00000000001137</v>
      </c>
      <c r="Z4" s="35">
        <f>'FS Desroches Daily'!AT6</f>
        <v>100.00000000002274</v>
      </c>
      <c r="AA4" s="35">
        <f>'FS Desroches Daily'!AT6</f>
        <v>100.00000000002274</v>
      </c>
      <c r="AB4" s="35">
        <f>'FS Desroches Daily'!AV6</f>
        <v>80.000000000040927</v>
      </c>
      <c r="AC4" s="35">
        <f>'FS Desroches Daily'!AZ6</f>
        <v>50.000000000011369</v>
      </c>
      <c r="AD4" s="35">
        <f>'FS Desroches Daily'!BB6</f>
        <v>29.999999999972715</v>
      </c>
      <c r="AE4" s="35">
        <f>'FS Desroches Daily'!BD6</f>
        <v>39.999999999992042</v>
      </c>
      <c r="AF4" s="31">
        <f>'FS Desroches Daily'!BF6</f>
        <v>36</v>
      </c>
      <c r="AG4" s="32">
        <f>'FS Desroches Daily'!BH6</f>
        <v>59.999999999973852</v>
      </c>
      <c r="AH4" s="32">
        <f>'FS Desroches Daily'!BJ6</f>
        <v>50.000000000011369</v>
      </c>
      <c r="AI4" s="32">
        <f>'FS Desroches Daily'!BL6</f>
        <v>39.999999999992042</v>
      </c>
      <c r="AJ4" s="32">
        <f>'FS Desroches Daily'!BN6</f>
        <v>39.999999999992042</v>
      </c>
      <c r="AK4" s="32">
        <f>'FS Desroches Daily'!BP6</f>
        <v>39.99999999996362</v>
      </c>
      <c r="AL4" s="32">
        <f>'FS Desroches Daily'!BR6</f>
        <v>35</v>
      </c>
      <c r="AM4" s="32">
        <f>'FS Desroches Daily'!BT6</f>
        <v>40.000000000020464</v>
      </c>
      <c r="AN4" s="32">
        <f>'FS Desroches Daily'!BV6</f>
        <v>58</v>
      </c>
      <c r="AO4" s="32">
        <f>'FS Desroches Daily'!BX6</f>
        <v>30.000000000001137</v>
      </c>
      <c r="AP4" s="32">
        <f>'FS Desroches Daily'!BZ6</f>
        <v>48</v>
      </c>
      <c r="AQ4" s="31">
        <f>'FS Desroches Daily'!CB6</f>
        <v>23.799999999999272</v>
      </c>
      <c r="AR4" s="31">
        <f>'FS Desroches Daily'!CD6</f>
        <v>12.299999999999272</v>
      </c>
      <c r="AS4" s="31">
        <f>'FS Desroches Daily'!CF6</f>
        <v>10.699999999999818</v>
      </c>
      <c r="AT4" s="31">
        <f>'FS Desroches Daily'!CH6</f>
        <v>27.900000000001455</v>
      </c>
      <c r="AU4" s="31">
        <f>'FS Desroches Daily'!CJ6</f>
        <v>20</v>
      </c>
      <c r="AV4" s="31">
        <f>'FS Desroches Daily'!CL6</f>
        <v>690.00000000005457</v>
      </c>
      <c r="AW4" s="31">
        <f>'FS Desroches Daily'!CM6</f>
        <v>77</v>
      </c>
      <c r="AX4" s="31">
        <f>IF(LPG!F11-LPG!F10&lt;0,"0",(LPG!F11-LPG!F10)*1.8315)</f>
        <v>7.3259999999999996</v>
      </c>
      <c r="AY4" s="31">
        <f>IF(LPG!H11-LPG!H10&lt;0,"0",(LPG!H11-LPG!H10)*1.8315)</f>
        <v>1.8314999999999999</v>
      </c>
      <c r="AZ4" s="31" t="str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9.1574999999999989</v>
      </c>
      <c r="BC4" s="13">
        <f>'FS Desroches Daily'!CN6</f>
        <v>12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5</v>
      </c>
      <c r="D5" s="27">
        <v>2021</v>
      </c>
      <c r="E5" s="31">
        <f>'FS Desroches Daily'!D7</f>
        <v>1700.0000000000348</v>
      </c>
      <c r="F5" s="32">
        <f>'FS Desroches Daily'!F7</f>
        <v>2699.9999999999245</v>
      </c>
      <c r="G5" s="31">
        <f>'FS Desroches Daily'!H7</f>
        <v>2400.0000000001796</v>
      </c>
      <c r="H5" s="32">
        <f>'FS Desroches Daily'!J7</f>
        <v>1300.0000000000789</v>
      </c>
      <c r="I5" s="31">
        <f>'FS Desroches Daily'!L7</f>
        <v>2000.0000000002237</v>
      </c>
      <c r="J5" s="32">
        <f>'FS Desroches Daily'!N7</f>
        <v>699.99999999992292</v>
      </c>
      <c r="K5" s="13">
        <f>'FS Desroches Daily'!P7</f>
        <v>13</v>
      </c>
      <c r="L5" s="31">
        <f>'FS Desroches Daily'!R7</f>
        <v>2</v>
      </c>
      <c r="M5" s="31">
        <f>'FS Desroches Daily'!T7</f>
        <v>626.79999999993015</v>
      </c>
      <c r="N5" s="31">
        <f>'FS Desroches Daily'!V7</f>
        <v>220.90000000002328</v>
      </c>
      <c r="O5" s="31" t="str">
        <f>'FS Desroches Daily'!X8</f>
        <v/>
      </c>
      <c r="P5" s="31">
        <f>'FS Desroches Daily'!Z7</f>
        <v>2399.9999999997358</v>
      </c>
      <c r="Q5" s="31">
        <f>'FS Desroches Daily'!AB7</f>
        <v>189.99999999999773</v>
      </c>
      <c r="R5" s="31">
        <f>'FS Desroches Daily'!AD7</f>
        <v>139.99999999998636</v>
      </c>
      <c r="S5" s="31">
        <f>'FS Desroches Daily'!AF7</f>
        <v>210.00000000003638</v>
      </c>
      <c r="T5" s="31">
        <f>'FS Desroches Daily'!AH7</f>
        <v>18</v>
      </c>
      <c r="U5" s="35">
        <f>'FS Desroches Daily'!AJ7</f>
        <v>759.99999999999091</v>
      </c>
      <c r="V5" s="35">
        <f>'FS Desroches Daily'!AL7</f>
        <v>90.000000000003411</v>
      </c>
      <c r="W5" s="35">
        <f>'FS Desroches Daily'!AN7</f>
        <v>30.000000000001137</v>
      </c>
      <c r="X5" s="35">
        <f>'FS Desroches Daily'!AP7</f>
        <v>60.000000000002274</v>
      </c>
      <c r="Y5" s="35">
        <f>'FS Desroches Daily'!AR7</f>
        <v>99.999999999994316</v>
      </c>
      <c r="Z5" s="35">
        <f>'FS Desroches Daily'!AT7</f>
        <v>39.99999999996362</v>
      </c>
      <c r="AA5" s="35">
        <f>'FS Desroches Daily'!AT7</f>
        <v>39.99999999996362</v>
      </c>
      <c r="AB5" s="35">
        <f>'FS Desroches Daily'!AV7</f>
        <v>49.999999999954525</v>
      </c>
      <c r="AC5" s="35">
        <f>'FS Desroches Daily'!AZ7</f>
        <v>19.99999999998181</v>
      </c>
      <c r="AD5" s="35">
        <f>'FS Desroches Daily'!BB7</f>
        <v>10.000000000047748</v>
      </c>
      <c r="AE5" s="35">
        <f>'FS Desroches Daily'!BD7</f>
        <v>9.9999999999909051</v>
      </c>
      <c r="AF5" s="31">
        <f>'FS Desroches Daily'!BF7</f>
        <v>41</v>
      </c>
      <c r="AG5" s="32">
        <f>'FS Desroches Daily'!BH7</f>
        <v>30.000000000001137</v>
      </c>
      <c r="AH5" s="32">
        <f>'FS Desroches Daily'!BJ7</f>
        <v>30.000000000029559</v>
      </c>
      <c r="AI5" s="32">
        <f>'FS Desroches Daily'!BL7</f>
        <v>39.999999999992042</v>
      </c>
      <c r="AJ5" s="32">
        <f>'FS Desroches Daily'!BN7</f>
        <v>30.000000000001137</v>
      </c>
      <c r="AK5" s="32">
        <f>'FS Desroches Daily'!BP7</f>
        <v>20.000000000038654</v>
      </c>
      <c r="AL5" s="32">
        <f>'FS Desroches Daily'!BR7</f>
        <v>25</v>
      </c>
      <c r="AM5" s="32">
        <f>'FS Desroches Daily'!BT7</f>
        <v>9.9999999999909051</v>
      </c>
      <c r="AN5" s="32">
        <f>'FS Desroches Daily'!BV7</f>
        <v>29</v>
      </c>
      <c r="AO5" s="32">
        <f>'FS Desroches Daily'!BX7</f>
        <v>20.000000000010232</v>
      </c>
      <c r="AP5" s="32">
        <f>'FS Desroches Daily'!BZ7</f>
        <v>36</v>
      </c>
      <c r="AQ5" s="31">
        <f>'FS Desroches Daily'!CB7</f>
        <v>24</v>
      </c>
      <c r="AR5" s="31">
        <f>'FS Desroches Daily'!CD7</f>
        <v>10.200000000000728</v>
      </c>
      <c r="AS5" s="31">
        <f>'FS Desroches Daily'!CF7</f>
        <v>1.1999999999998181</v>
      </c>
      <c r="AT5" s="31">
        <f>'FS Desroches Daily'!CH7</f>
        <v>33.19999999999709</v>
      </c>
      <c r="AU5" s="31">
        <f>'FS Desroches Daily'!CJ7</f>
        <v>621</v>
      </c>
      <c r="AV5" s="31">
        <f>'FS Desroches Daily'!CL7</f>
        <v>700.00000000004547</v>
      </c>
      <c r="AW5" s="31">
        <f>'FS Desroches Daily'!CM7</f>
        <v>56</v>
      </c>
      <c r="AX5" s="31" t="str">
        <f>IF(LPG!F12-LPG!F11&lt;0,"0",(LPG!F12-LPG!F11)*1.8315)</f>
        <v>0</v>
      </c>
      <c r="AY5" s="31" t="str">
        <f>IF(LPG!H12-LPG!H11&lt;0,"0",(LPG!H12-LPG!H11)*1.8315)</f>
        <v>0</v>
      </c>
      <c r="AZ5" s="31">
        <f>IF(LPG!J12-LPG!J13&lt;0,"0",(LPG!J12-LPG!J13)*1.8315)</f>
        <v>0</v>
      </c>
      <c r="BA5" s="31" t="str">
        <f>IF(LPG!M12-LPG!M11&lt;0,"0",(LPG!M12-LPG!M11)*1.8315)</f>
        <v>0</v>
      </c>
      <c r="BB5" s="31" t="str">
        <f>IF(LPG!Q12-LPG!Q11&lt;0,"0",(LPG!Q12-LPG!Q11)*1.8315)</f>
        <v>0</v>
      </c>
      <c r="BC5" s="13">
        <f>'FS Desroches Daily'!CN7</f>
        <v>11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5</v>
      </c>
      <c r="D6" s="27">
        <v>2021</v>
      </c>
      <c r="E6" s="31" t="str">
        <f>'FS Desroches Daily'!D8</f>
        <v>0</v>
      </c>
      <c r="F6" s="32" t="str">
        <f>'FS Desroches Daily'!F8</f>
        <v>0</v>
      </c>
      <c r="G6" s="31" t="str">
        <f>'FS Desroches Daily'!H8</f>
        <v>0</v>
      </c>
      <c r="H6" s="32" t="str">
        <f>'FS Desroches Daily'!J8</f>
        <v>0</v>
      </c>
      <c r="I6" s="31" t="str">
        <f>'FS Desroches Daily'!L8</f>
        <v>0</v>
      </c>
      <c r="J6" s="32" t="str">
        <f>'FS Desroches Daily'!N8</f>
        <v/>
      </c>
      <c r="K6" s="13" t="str">
        <f>'FS Desroches Daily'!P8</f>
        <v/>
      </c>
      <c r="L6" s="31" t="str">
        <f>'FS Desroches Daily'!R8</f>
        <v/>
      </c>
      <c r="M6" s="31" t="str">
        <f>'FS Desroches Daily'!T8</f>
        <v/>
      </c>
      <c r="N6" s="31" t="str">
        <f>'FS Desroches Daily'!V8</f>
        <v/>
      </c>
      <c r="O6" s="31" t="str">
        <f>'FS Desroches Daily'!X8</f>
        <v/>
      </c>
      <c r="P6" s="31" t="str">
        <f>'FS Desroches Daily'!Z8</f>
        <v/>
      </c>
      <c r="Q6" s="31" t="str">
        <f>'FS Desroches Daily'!AB8</f>
        <v/>
      </c>
      <c r="R6" s="31" t="str">
        <f>'FS Desroches Daily'!AD8</f>
        <v/>
      </c>
      <c r="S6" s="31" t="str">
        <f>'FS Desroches Daily'!AF8</f>
        <v/>
      </c>
      <c r="T6" s="31" t="str">
        <f>'FS Desroches Daily'!AH8</f>
        <v/>
      </c>
      <c r="U6" s="35" t="str">
        <f>'FS Desroches Daily'!AJ8</f>
        <v/>
      </c>
      <c r="V6" s="35" t="str">
        <f>'FS Desroches Daily'!AL8</f>
        <v/>
      </c>
      <c r="W6" s="35" t="str">
        <f>'FS Desroches Daily'!AN8</f>
        <v/>
      </c>
      <c r="X6" s="35" t="str">
        <f>'FS Desroches Daily'!AP8</f>
        <v/>
      </c>
      <c r="Y6" s="35" t="str">
        <f>'FS Desroches Daily'!AR8</f>
        <v/>
      </c>
      <c r="Z6" s="35" t="str">
        <f>'FS Desroches Daily'!AT8</f>
        <v/>
      </c>
      <c r="AA6" s="35" t="str">
        <f>'FS Desroches Daily'!AT8</f>
        <v/>
      </c>
      <c r="AB6" s="35" t="str">
        <f>'FS Desroches Daily'!AV8</f>
        <v/>
      </c>
      <c r="AC6" s="35" t="str">
        <f>'FS Desroches Daily'!AZ8</f>
        <v/>
      </c>
      <c r="AD6" s="35" t="str">
        <f>'FS Desroches Daily'!BB8</f>
        <v/>
      </c>
      <c r="AE6" s="35" t="str">
        <f>'FS Desroches Daily'!BD8</f>
        <v/>
      </c>
      <c r="AF6" s="31" t="str">
        <f>'FS Desroches Daily'!BF8</f>
        <v/>
      </c>
      <c r="AG6" s="32" t="str">
        <f>'FS Desroches Daily'!BH8</f>
        <v/>
      </c>
      <c r="AH6" s="32" t="str">
        <f>'FS Desroches Daily'!BJ8</f>
        <v/>
      </c>
      <c r="AI6" s="32" t="str">
        <f>'FS Desroches Daily'!BL8</f>
        <v/>
      </c>
      <c r="AJ6" s="32" t="str">
        <f>'FS Desroches Daily'!BN8</f>
        <v/>
      </c>
      <c r="AK6" s="32" t="str">
        <f>'FS Desroches Daily'!BP8</f>
        <v/>
      </c>
      <c r="AL6" s="32" t="str">
        <f>'FS Desroches Daily'!BR8</f>
        <v/>
      </c>
      <c r="AM6" s="32" t="str">
        <f>'FS Desroches Daily'!BT8</f>
        <v/>
      </c>
      <c r="AN6" s="32" t="str">
        <f>'FS Desroches Daily'!BV8</f>
        <v/>
      </c>
      <c r="AO6" s="32" t="str">
        <f>'FS Desroches Daily'!BX8</f>
        <v/>
      </c>
      <c r="AP6" s="32" t="str">
        <f>'FS Desroches Daily'!BZ8</f>
        <v/>
      </c>
      <c r="AQ6" s="31" t="str">
        <f>'FS Desroches Daily'!CB8</f>
        <v/>
      </c>
      <c r="AR6" s="31" t="str">
        <f>'FS Desroches Daily'!CD8</f>
        <v/>
      </c>
      <c r="AS6" s="31" t="str">
        <f>'FS Desroches Daily'!CF8</f>
        <v/>
      </c>
      <c r="AT6" s="31" t="str">
        <f>'FS Desroches Daily'!CH8</f>
        <v/>
      </c>
      <c r="AU6" s="31" t="str">
        <f>'FS Desroches Daily'!CJ8</f>
        <v/>
      </c>
      <c r="AV6" s="31" t="str">
        <f>'FS Desroches Daily'!CL8</f>
        <v/>
      </c>
      <c r="AW6" s="31" t="e">
        <f>'FS Desroches Daily'!CM8</f>
        <v>#VALUE!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5</v>
      </c>
      <c r="D7" s="27">
        <v>2021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5</v>
      </c>
      <c r="D8" s="27">
        <v>2021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5</v>
      </c>
      <c r="D9" s="27">
        <v>2021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5</v>
      </c>
      <c r="D10" s="27">
        <v>2021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5</v>
      </c>
      <c r="D11" s="27">
        <v>2021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5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5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5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5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5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5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5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5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5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5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5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5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5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5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5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5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5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5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5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5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5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8399.9999999999636</v>
      </c>
      <c r="F33" s="17">
        <f t="shared" ref="F33:BC33" si="1">SUM(F2:F32)</f>
        <v>12399.999999999967</v>
      </c>
      <c r="G33" s="17">
        <f t="shared" si="1"/>
        <v>11100.000000000333</v>
      </c>
      <c r="H33" s="17">
        <f t="shared" si="1"/>
        <v>5800.0000000000282</v>
      </c>
      <c r="I33" s="17">
        <f t="shared" si="1"/>
        <v>8800.0000000003638</v>
      </c>
      <c r="J33" s="17">
        <f t="shared" si="1"/>
        <v>3599.9999999998254</v>
      </c>
      <c r="K33" s="17">
        <f t="shared" si="1"/>
        <v>38</v>
      </c>
      <c r="L33" s="17">
        <f t="shared" si="1"/>
        <v>19</v>
      </c>
      <c r="M33" s="17">
        <f t="shared" si="1"/>
        <v>3359.3999999999069</v>
      </c>
      <c r="N33" s="17">
        <f t="shared" si="1"/>
        <v>1419.5</v>
      </c>
      <c r="O33" s="17">
        <f t="shared" si="1"/>
        <v>1009.9999999999909</v>
      </c>
      <c r="P33" s="17">
        <f t="shared" si="1"/>
        <v>11299.999999999867</v>
      </c>
      <c r="Q33" s="17">
        <f t="shared" si="1"/>
        <v>1300.0000000000114</v>
      </c>
      <c r="R33" s="17">
        <f t="shared" si="1"/>
        <v>699.99999999998863</v>
      </c>
      <c r="S33" s="17">
        <f t="shared" si="1"/>
        <v>1110.0000000000136</v>
      </c>
      <c r="T33" s="17">
        <f t="shared" si="1"/>
        <v>139</v>
      </c>
      <c r="U33" s="35">
        <f t="shared" si="1"/>
        <v>3559.9999999999454</v>
      </c>
      <c r="V33" s="35">
        <f t="shared" si="1"/>
        <v>810.00000000000227</v>
      </c>
      <c r="W33" s="35">
        <f t="shared" si="1"/>
        <v>400.00000000000568</v>
      </c>
      <c r="X33" s="35">
        <f t="shared" si="1"/>
        <v>599.99999999999432</v>
      </c>
      <c r="Y33" s="35">
        <f t="shared" si="1"/>
        <v>889.99999999998636</v>
      </c>
      <c r="Z33" s="35">
        <f t="shared" si="1"/>
        <v>269.99999999998181</v>
      </c>
      <c r="AA33" s="35">
        <f t="shared" si="1"/>
        <v>269.99999999998181</v>
      </c>
      <c r="AB33" s="35">
        <f t="shared" si="1"/>
        <v>289.99999999996362</v>
      </c>
      <c r="AC33" s="35">
        <f t="shared" si="1"/>
        <v>129.99999999999545</v>
      </c>
      <c r="AD33" s="35">
        <f t="shared" si="1"/>
        <v>80.000000000040927</v>
      </c>
      <c r="AE33" s="35">
        <f t="shared" si="1"/>
        <v>109.99999999998522</v>
      </c>
      <c r="AF33" s="17">
        <f t="shared" si="1"/>
        <v>155</v>
      </c>
      <c r="AG33" s="32">
        <f t="shared" si="1"/>
        <v>189.99999999999773</v>
      </c>
      <c r="AH33" s="32">
        <f t="shared" si="1"/>
        <v>170.00000000001592</v>
      </c>
      <c r="AI33" s="32">
        <f t="shared" si="1"/>
        <v>159.99999999999659</v>
      </c>
      <c r="AJ33" s="32">
        <f t="shared" si="1"/>
        <v>139.99999999998636</v>
      </c>
      <c r="AK33" s="32">
        <f t="shared" si="1"/>
        <v>129.99999999999545</v>
      </c>
      <c r="AL33" s="32">
        <f t="shared" si="1"/>
        <v>125</v>
      </c>
      <c r="AM33" s="32">
        <f t="shared" si="1"/>
        <v>120.00000000000455</v>
      </c>
      <c r="AN33" s="32">
        <f t="shared" si="1"/>
        <v>185</v>
      </c>
      <c r="AO33" s="32">
        <f t="shared" si="1"/>
        <v>120.00000000000455</v>
      </c>
      <c r="AP33" s="32">
        <f t="shared" si="1"/>
        <v>172</v>
      </c>
      <c r="AQ33" s="17">
        <f t="shared" si="1"/>
        <v>112.89999999999782</v>
      </c>
      <c r="AR33" s="17">
        <f t="shared" si="1"/>
        <v>50.600000000000364</v>
      </c>
      <c r="AS33" s="17">
        <f t="shared" si="1"/>
        <v>24.300000000000182</v>
      </c>
      <c r="AT33" s="17">
        <f t="shared" si="1"/>
        <v>130.19999999999709</v>
      </c>
      <c r="AU33" s="17">
        <f t="shared" si="1"/>
        <v>1269</v>
      </c>
      <c r="AV33" s="17">
        <f t="shared" si="1"/>
        <v>2910.0000000000819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43</v>
      </c>
    </row>
    <row r="35" spans="5:55" x14ac:dyDescent="0.25">
      <c r="E35" s="38">
        <f>E33/E37</f>
        <v>0.25895554596460735</v>
      </c>
      <c r="G35" s="29">
        <f>G33-M36</f>
        <v>6321.100000000426</v>
      </c>
      <c r="AE35" s="35">
        <f>SUM(U33:AE33)</f>
        <v>7409.9999999998827</v>
      </c>
      <c r="AG35" s="32">
        <f>SUM(AG33:AP33)</f>
        <v>1512.0000000000011</v>
      </c>
    </row>
    <row r="36" spans="5:55" x14ac:dyDescent="0.25">
      <c r="G36" s="29">
        <f>G35-633*14</f>
        <v>-2540.899999999574</v>
      </c>
      <c r="M36" s="29">
        <f>M33+N33</f>
        <v>4778.8999999999069</v>
      </c>
    </row>
    <row r="37" spans="5:55" x14ac:dyDescent="0.25">
      <c r="E37" s="17">
        <f>E33+F33+G33+H33+J33-633*14</f>
        <v>32438.000000000116</v>
      </c>
      <c r="G37" s="37">
        <f>M36/E37</f>
        <v>0.14732412602502898</v>
      </c>
      <c r="M37" s="35">
        <f>AE35</f>
        <v>7409.9999999998827</v>
      </c>
    </row>
    <row r="38" spans="5:55" x14ac:dyDescent="0.25">
      <c r="L38" s="27">
        <f>M38/E37</f>
        <v>4.6611998273629558E-2</v>
      </c>
      <c r="M38" s="29">
        <f>AG35</f>
        <v>1512.0000000000011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8"/>
  <sheetViews>
    <sheetView tabSelected="1" zoomScale="77" zoomScaleNormal="77" workbookViewId="0">
      <pane xSplit="1" ySplit="1" topLeftCell="CF2" activePane="bottomRight" state="frozen"/>
      <selection pane="topRight" activeCell="B1" sqref="B1"/>
      <selection pane="bottomLeft" activeCell="A2" sqref="A2"/>
      <selection pane="bottomRight" activeCell="BG9" sqref="BG9"/>
    </sheetView>
  </sheetViews>
  <sheetFormatPr defaultRowHeight="18.75" x14ac:dyDescent="0.3"/>
  <cols>
    <col min="1" max="1" width="20" style="55" customWidth="1"/>
    <col min="2" max="2" width="2" style="55" customWidth="1"/>
    <col min="3" max="3" width="11.85546875" style="59" customWidth="1"/>
    <col min="4" max="4" width="18.42578125" style="67" customWidth="1"/>
    <col min="5" max="5" width="13.7109375" style="55" customWidth="1"/>
    <col min="6" max="6" width="13.85546875" style="68" customWidth="1"/>
    <col min="7" max="7" width="14.7109375" style="59" customWidth="1"/>
    <col min="8" max="8" width="14.5703125" style="59" customWidth="1"/>
    <col min="9" max="9" width="13.42578125" style="55" customWidth="1"/>
    <col min="10" max="10" width="13.42578125" style="59" customWidth="1"/>
    <col min="11" max="11" width="13.42578125" style="55" customWidth="1"/>
    <col min="12" max="12" width="13.42578125" style="59" customWidth="1"/>
    <col min="13" max="13" width="13.42578125" style="55" customWidth="1"/>
    <col min="14" max="16" width="13.42578125" style="69" customWidth="1"/>
    <col min="17" max="17" width="13.42578125" style="55" customWidth="1"/>
    <col min="18" max="18" width="13.42578125" style="69" customWidth="1"/>
    <col min="19" max="19" width="13.42578125" style="55" customWidth="1"/>
    <col min="20" max="20" width="13.42578125" style="69" customWidth="1"/>
    <col min="21" max="21" width="13.42578125" style="55" customWidth="1"/>
    <col min="22" max="22" width="13.85546875" style="69" customWidth="1"/>
    <col min="23" max="23" width="13.42578125" style="55" customWidth="1"/>
    <col min="24" max="24" width="13.42578125" style="69" customWidth="1"/>
    <col min="25" max="25" width="13.42578125" style="55" customWidth="1"/>
    <col min="26" max="26" width="13.42578125" style="69" customWidth="1"/>
    <col min="27" max="27" width="14.42578125" style="55" customWidth="1"/>
    <col min="28" max="28" width="10.5703125" style="69" customWidth="1"/>
    <col min="29" max="29" width="13.42578125" style="55" customWidth="1"/>
    <col min="30" max="30" width="11" style="69" customWidth="1"/>
    <col min="31" max="31" width="13.42578125" style="55" customWidth="1"/>
    <col min="32" max="32" width="13.42578125" style="69" customWidth="1"/>
    <col min="33" max="33" width="11" style="55" bestFit="1" customWidth="1"/>
    <col min="34" max="34" width="20" style="69" customWidth="1"/>
    <col min="35" max="35" width="13.140625" style="55" customWidth="1"/>
    <col min="36" max="36" width="13" style="69" customWidth="1"/>
    <col min="37" max="37" width="13.42578125" style="55" customWidth="1"/>
    <col min="38" max="38" width="16" style="69" customWidth="1"/>
    <col min="39" max="39" width="13.42578125" style="59" customWidth="1"/>
    <col min="40" max="40" width="13.42578125" style="69" customWidth="1"/>
    <col min="41" max="41" width="13.42578125" style="59" customWidth="1"/>
    <col min="42" max="42" width="13.42578125" style="69" customWidth="1"/>
    <col min="43" max="43" width="13.42578125" style="59" customWidth="1"/>
    <col min="44" max="44" width="13.42578125" style="69" customWidth="1"/>
    <col min="45" max="45" width="13.42578125" style="59" customWidth="1"/>
    <col min="46" max="46" width="13.42578125" style="69" customWidth="1"/>
    <col min="47" max="47" width="13.42578125" style="59" customWidth="1"/>
    <col min="48" max="48" width="13.42578125" style="69" customWidth="1"/>
    <col min="49" max="49" width="13.42578125" style="59" customWidth="1"/>
    <col min="50" max="50" width="13.42578125" style="69" customWidth="1"/>
    <col min="51" max="51" width="13.42578125" style="59" customWidth="1"/>
    <col min="52" max="52" width="13.42578125" style="69" customWidth="1"/>
    <col min="53" max="53" width="13.42578125" style="59" customWidth="1"/>
    <col min="54" max="54" width="13.42578125" style="69" customWidth="1"/>
    <col min="55" max="55" width="13.42578125" style="59" customWidth="1"/>
    <col min="56" max="56" width="13.42578125" style="69" customWidth="1"/>
    <col min="57" max="57" width="13.42578125" style="59" customWidth="1"/>
    <col min="58" max="58" width="13.42578125" style="69" customWidth="1"/>
    <col min="59" max="59" width="13.42578125" style="59" customWidth="1"/>
    <col min="60" max="60" width="13.42578125" style="69" customWidth="1"/>
    <col min="61" max="61" width="13.42578125" style="59" customWidth="1"/>
    <col min="62" max="62" width="13.42578125" style="69" customWidth="1"/>
    <col min="63" max="63" width="13.42578125" style="59" customWidth="1"/>
    <col min="64" max="64" width="13.42578125" style="69" customWidth="1"/>
    <col min="65" max="65" width="13.42578125" style="59" customWidth="1"/>
    <col min="66" max="66" width="13.42578125" style="69" customWidth="1"/>
    <col min="67" max="67" width="13.42578125" style="59" customWidth="1"/>
    <col min="68" max="68" width="13.42578125" style="69" customWidth="1"/>
    <col min="69" max="69" width="13.42578125" style="59" customWidth="1"/>
    <col min="70" max="70" width="13.42578125" style="69" customWidth="1"/>
    <col min="71" max="71" width="13.42578125" style="59" customWidth="1"/>
    <col min="72" max="72" width="13.42578125" style="69" customWidth="1"/>
    <col min="73" max="73" width="13.42578125" style="59" customWidth="1"/>
    <col min="74" max="74" width="13.42578125" style="69" customWidth="1"/>
    <col min="75" max="75" width="13.42578125" style="59" customWidth="1"/>
    <col min="76" max="76" width="13.42578125" style="69" customWidth="1"/>
    <col min="77" max="77" width="13.42578125" style="59" customWidth="1"/>
    <col min="78" max="78" width="13.42578125" style="69" customWidth="1"/>
    <col min="79" max="79" width="13.42578125" style="59" customWidth="1"/>
    <col min="80" max="80" width="13.42578125" style="69" customWidth="1"/>
    <col min="81" max="81" width="13.42578125" style="59" customWidth="1"/>
    <col min="82" max="82" width="13.42578125" style="69" customWidth="1"/>
    <col min="83" max="83" width="13.42578125" style="59" customWidth="1"/>
    <col min="84" max="84" width="13.42578125" style="69" customWidth="1"/>
    <col min="85" max="85" width="13.42578125" style="59" customWidth="1"/>
    <col min="86" max="86" width="13.42578125" style="69" customWidth="1"/>
    <col min="87" max="87" width="13.42578125" style="59" customWidth="1"/>
    <col min="88" max="88" width="13.42578125" style="69" customWidth="1"/>
    <col min="89" max="89" width="13.7109375" style="59" customWidth="1"/>
    <col min="90" max="90" width="13" style="59" customWidth="1"/>
    <col min="91" max="91" width="15.85546875" style="59" customWidth="1"/>
    <col min="92" max="93" width="13" style="70" customWidth="1"/>
    <col min="94" max="94" width="14" style="55" customWidth="1"/>
    <col min="95" max="95" width="13.42578125" style="55" customWidth="1"/>
    <col min="96" max="96" width="14.140625" style="55" customWidth="1"/>
    <col min="97" max="97" width="15.140625" style="55" customWidth="1"/>
    <col min="98" max="98" width="13.140625" style="55" customWidth="1"/>
    <col min="99" max="99" width="13.42578125" style="55" customWidth="1"/>
    <col min="100" max="100" width="11.28515625" style="55" customWidth="1"/>
    <col min="101" max="101" width="13.7109375" style="55" customWidth="1"/>
    <col min="102" max="294" width="9.140625" style="55"/>
    <col min="295" max="295" width="14" style="55" customWidth="1"/>
    <col min="296" max="296" width="2" style="55" customWidth="1"/>
    <col min="297" max="297" width="11.85546875" style="55" customWidth="1"/>
    <col min="298" max="299" width="13.5703125" style="55" customWidth="1"/>
    <col min="300" max="300" width="13.85546875" style="55" customWidth="1"/>
    <col min="301" max="302" width="14.5703125" style="55" customWidth="1"/>
    <col min="303" max="321" width="13.42578125" style="55" customWidth="1"/>
    <col min="322" max="322" width="10.5703125" style="55" customWidth="1"/>
    <col min="323" max="323" width="13.42578125" style="55" customWidth="1"/>
    <col min="324" max="324" width="11" style="55" customWidth="1"/>
    <col min="325" max="328" width="13.42578125" style="55" customWidth="1"/>
    <col min="329" max="329" width="19.5703125" style="55" customWidth="1"/>
    <col min="330" max="330" width="16.42578125" style="55" customWidth="1"/>
    <col min="331" max="331" width="13.42578125" style="55" customWidth="1"/>
    <col min="332" max="332" width="16" style="55" customWidth="1"/>
    <col min="333" max="336" width="13.42578125" style="55" customWidth="1"/>
    <col min="337" max="337" width="2.140625" style="55" customWidth="1"/>
    <col min="338" max="338" width="10.42578125" style="55" customWidth="1"/>
    <col min="339" max="339" width="14.140625" style="55" customWidth="1"/>
    <col min="340" max="340" width="9.140625" style="55"/>
    <col min="341" max="341" width="13.85546875" style="55" customWidth="1"/>
    <col min="342" max="342" width="9.140625" style="55"/>
    <col min="343" max="343" width="12.5703125" style="55" customWidth="1"/>
    <col min="344" max="344" width="10.42578125" style="55" customWidth="1"/>
    <col min="345" max="346" width="13.5703125" style="55" customWidth="1"/>
    <col min="347" max="347" width="13" style="55" customWidth="1"/>
    <col min="348" max="348" width="13.5703125" style="55" customWidth="1"/>
    <col min="349" max="351" width="13" style="55" customWidth="1"/>
    <col min="352" max="550" width="9.140625" style="55"/>
    <col min="551" max="551" width="14" style="55" customWidth="1"/>
    <col min="552" max="552" width="2" style="55" customWidth="1"/>
    <col min="553" max="553" width="11.85546875" style="55" customWidth="1"/>
    <col min="554" max="555" width="13.5703125" style="55" customWidth="1"/>
    <col min="556" max="556" width="13.85546875" style="55" customWidth="1"/>
    <col min="557" max="558" width="14.5703125" style="55" customWidth="1"/>
    <col min="559" max="577" width="13.42578125" style="55" customWidth="1"/>
    <col min="578" max="578" width="10.5703125" style="55" customWidth="1"/>
    <col min="579" max="579" width="13.42578125" style="55" customWidth="1"/>
    <col min="580" max="580" width="11" style="55" customWidth="1"/>
    <col min="581" max="584" width="13.42578125" style="55" customWidth="1"/>
    <col min="585" max="585" width="19.5703125" style="55" customWidth="1"/>
    <col min="586" max="586" width="16.42578125" style="55" customWidth="1"/>
    <col min="587" max="587" width="13.42578125" style="55" customWidth="1"/>
    <col min="588" max="588" width="16" style="55" customWidth="1"/>
    <col min="589" max="592" width="13.42578125" style="55" customWidth="1"/>
    <col min="593" max="593" width="2.140625" style="55" customWidth="1"/>
    <col min="594" max="594" width="10.42578125" style="55" customWidth="1"/>
    <col min="595" max="595" width="14.140625" style="55" customWidth="1"/>
    <col min="596" max="596" width="9.140625" style="55"/>
    <col min="597" max="597" width="13.85546875" style="55" customWidth="1"/>
    <col min="598" max="598" width="9.140625" style="55"/>
    <col min="599" max="599" width="12.5703125" style="55" customWidth="1"/>
    <col min="600" max="600" width="10.42578125" style="55" customWidth="1"/>
    <col min="601" max="602" width="13.5703125" style="55" customWidth="1"/>
    <col min="603" max="603" width="13" style="55" customWidth="1"/>
    <col min="604" max="604" width="13.5703125" style="55" customWidth="1"/>
    <col min="605" max="607" width="13" style="55" customWidth="1"/>
    <col min="608" max="806" width="9.140625" style="55"/>
    <col min="807" max="807" width="14" style="55" customWidth="1"/>
    <col min="808" max="808" width="2" style="55" customWidth="1"/>
    <col min="809" max="809" width="11.85546875" style="55" customWidth="1"/>
    <col min="810" max="811" width="13.5703125" style="55" customWidth="1"/>
    <col min="812" max="812" width="13.85546875" style="55" customWidth="1"/>
    <col min="813" max="814" width="14.5703125" style="55" customWidth="1"/>
    <col min="815" max="833" width="13.42578125" style="55" customWidth="1"/>
    <col min="834" max="834" width="10.5703125" style="55" customWidth="1"/>
    <col min="835" max="835" width="13.42578125" style="55" customWidth="1"/>
    <col min="836" max="836" width="11" style="55" customWidth="1"/>
    <col min="837" max="840" width="13.42578125" style="55" customWidth="1"/>
    <col min="841" max="841" width="19.5703125" style="55" customWidth="1"/>
    <col min="842" max="842" width="16.42578125" style="55" customWidth="1"/>
    <col min="843" max="843" width="13.42578125" style="55" customWidth="1"/>
    <col min="844" max="844" width="16" style="55" customWidth="1"/>
    <col min="845" max="848" width="13.42578125" style="55" customWidth="1"/>
    <col min="849" max="849" width="2.140625" style="55" customWidth="1"/>
    <col min="850" max="850" width="10.42578125" style="55" customWidth="1"/>
    <col min="851" max="851" width="14.140625" style="55" customWidth="1"/>
    <col min="852" max="852" width="9.140625" style="55"/>
    <col min="853" max="853" width="13.85546875" style="55" customWidth="1"/>
    <col min="854" max="854" width="9.140625" style="55"/>
    <col min="855" max="855" width="12.5703125" style="55" customWidth="1"/>
    <col min="856" max="856" width="10.42578125" style="55" customWidth="1"/>
    <col min="857" max="858" width="13.5703125" style="55" customWidth="1"/>
    <col min="859" max="859" width="13" style="55" customWidth="1"/>
    <col min="860" max="860" width="13.5703125" style="55" customWidth="1"/>
    <col min="861" max="863" width="13" style="55" customWidth="1"/>
    <col min="864" max="1062" width="9.140625" style="55"/>
    <col min="1063" max="1063" width="14" style="55" customWidth="1"/>
    <col min="1064" max="1064" width="2" style="55" customWidth="1"/>
    <col min="1065" max="1065" width="11.85546875" style="55" customWidth="1"/>
    <col min="1066" max="1067" width="13.5703125" style="55" customWidth="1"/>
    <col min="1068" max="1068" width="13.85546875" style="55" customWidth="1"/>
    <col min="1069" max="1070" width="14.5703125" style="55" customWidth="1"/>
    <col min="1071" max="1089" width="13.42578125" style="55" customWidth="1"/>
    <col min="1090" max="1090" width="10.5703125" style="55" customWidth="1"/>
    <col min="1091" max="1091" width="13.42578125" style="55" customWidth="1"/>
    <col min="1092" max="1092" width="11" style="55" customWidth="1"/>
    <col min="1093" max="1096" width="13.42578125" style="55" customWidth="1"/>
    <col min="1097" max="1097" width="19.5703125" style="55" customWidth="1"/>
    <col min="1098" max="1098" width="16.42578125" style="55" customWidth="1"/>
    <col min="1099" max="1099" width="13.42578125" style="55" customWidth="1"/>
    <col min="1100" max="1100" width="16" style="55" customWidth="1"/>
    <col min="1101" max="1104" width="13.42578125" style="55" customWidth="1"/>
    <col min="1105" max="1105" width="2.140625" style="55" customWidth="1"/>
    <col min="1106" max="1106" width="10.42578125" style="55" customWidth="1"/>
    <col min="1107" max="1107" width="14.140625" style="55" customWidth="1"/>
    <col min="1108" max="1108" width="9.140625" style="55"/>
    <col min="1109" max="1109" width="13.85546875" style="55" customWidth="1"/>
    <col min="1110" max="1110" width="9.140625" style="55"/>
    <col min="1111" max="1111" width="12.5703125" style="55" customWidth="1"/>
    <col min="1112" max="1112" width="10.42578125" style="55" customWidth="1"/>
    <col min="1113" max="1114" width="13.5703125" style="55" customWidth="1"/>
    <col min="1115" max="1115" width="13" style="55" customWidth="1"/>
    <col min="1116" max="1116" width="13.5703125" style="55" customWidth="1"/>
    <col min="1117" max="1119" width="13" style="55" customWidth="1"/>
    <col min="1120" max="1318" width="9.140625" style="55"/>
    <col min="1319" max="1319" width="14" style="55" customWidth="1"/>
    <col min="1320" max="1320" width="2" style="55" customWidth="1"/>
    <col min="1321" max="1321" width="11.85546875" style="55" customWidth="1"/>
    <col min="1322" max="1323" width="13.5703125" style="55" customWidth="1"/>
    <col min="1324" max="1324" width="13.85546875" style="55" customWidth="1"/>
    <col min="1325" max="1326" width="14.5703125" style="55" customWidth="1"/>
    <col min="1327" max="1345" width="13.42578125" style="55" customWidth="1"/>
    <col min="1346" max="1346" width="10.5703125" style="55" customWidth="1"/>
    <col min="1347" max="1347" width="13.42578125" style="55" customWidth="1"/>
    <col min="1348" max="1348" width="11" style="55" customWidth="1"/>
    <col min="1349" max="1352" width="13.42578125" style="55" customWidth="1"/>
    <col min="1353" max="1353" width="19.5703125" style="55" customWidth="1"/>
    <col min="1354" max="1354" width="16.42578125" style="55" customWidth="1"/>
    <col min="1355" max="1355" width="13.42578125" style="55" customWidth="1"/>
    <col min="1356" max="1356" width="16" style="55" customWidth="1"/>
    <col min="1357" max="1360" width="13.42578125" style="55" customWidth="1"/>
    <col min="1361" max="1361" width="2.140625" style="55" customWidth="1"/>
    <col min="1362" max="1362" width="10.42578125" style="55" customWidth="1"/>
    <col min="1363" max="1363" width="14.140625" style="55" customWidth="1"/>
    <col min="1364" max="1364" width="9.140625" style="55"/>
    <col min="1365" max="1365" width="13.85546875" style="55" customWidth="1"/>
    <col min="1366" max="1366" width="9.140625" style="55"/>
    <col min="1367" max="1367" width="12.5703125" style="55" customWidth="1"/>
    <col min="1368" max="1368" width="10.42578125" style="55" customWidth="1"/>
    <col min="1369" max="1370" width="13.5703125" style="55" customWidth="1"/>
    <col min="1371" max="1371" width="13" style="55" customWidth="1"/>
    <col min="1372" max="1372" width="13.5703125" style="55" customWidth="1"/>
    <col min="1373" max="1375" width="13" style="55" customWidth="1"/>
    <col min="1376" max="1574" width="9.140625" style="55"/>
    <col min="1575" max="1575" width="14" style="55" customWidth="1"/>
    <col min="1576" max="1576" width="2" style="55" customWidth="1"/>
    <col min="1577" max="1577" width="11.85546875" style="55" customWidth="1"/>
    <col min="1578" max="1579" width="13.5703125" style="55" customWidth="1"/>
    <col min="1580" max="1580" width="13.85546875" style="55" customWidth="1"/>
    <col min="1581" max="1582" width="14.5703125" style="55" customWidth="1"/>
    <col min="1583" max="1601" width="13.42578125" style="55" customWidth="1"/>
    <col min="1602" max="1602" width="10.5703125" style="55" customWidth="1"/>
    <col min="1603" max="1603" width="13.42578125" style="55" customWidth="1"/>
    <col min="1604" max="1604" width="11" style="55" customWidth="1"/>
    <col min="1605" max="1608" width="13.42578125" style="55" customWidth="1"/>
    <col min="1609" max="1609" width="19.5703125" style="55" customWidth="1"/>
    <col min="1610" max="1610" width="16.42578125" style="55" customWidth="1"/>
    <col min="1611" max="1611" width="13.42578125" style="55" customWidth="1"/>
    <col min="1612" max="1612" width="16" style="55" customWidth="1"/>
    <col min="1613" max="1616" width="13.42578125" style="55" customWidth="1"/>
    <col min="1617" max="1617" width="2.140625" style="55" customWidth="1"/>
    <col min="1618" max="1618" width="10.42578125" style="55" customWidth="1"/>
    <col min="1619" max="1619" width="14.140625" style="55" customWidth="1"/>
    <col min="1620" max="1620" width="9.140625" style="55"/>
    <col min="1621" max="1621" width="13.85546875" style="55" customWidth="1"/>
    <col min="1622" max="1622" width="9.140625" style="55"/>
    <col min="1623" max="1623" width="12.5703125" style="55" customWidth="1"/>
    <col min="1624" max="1624" width="10.42578125" style="55" customWidth="1"/>
    <col min="1625" max="1626" width="13.5703125" style="55" customWidth="1"/>
    <col min="1627" max="1627" width="13" style="55" customWidth="1"/>
    <col min="1628" max="1628" width="13.5703125" style="55" customWidth="1"/>
    <col min="1629" max="1631" width="13" style="55" customWidth="1"/>
    <col min="1632" max="1830" width="9.140625" style="55"/>
    <col min="1831" max="1831" width="14" style="55" customWidth="1"/>
    <col min="1832" max="1832" width="2" style="55" customWidth="1"/>
    <col min="1833" max="1833" width="11.85546875" style="55" customWidth="1"/>
    <col min="1834" max="1835" width="13.5703125" style="55" customWidth="1"/>
    <col min="1836" max="1836" width="13.85546875" style="55" customWidth="1"/>
    <col min="1837" max="1838" width="14.5703125" style="55" customWidth="1"/>
    <col min="1839" max="1857" width="13.42578125" style="55" customWidth="1"/>
    <col min="1858" max="1858" width="10.5703125" style="55" customWidth="1"/>
    <col min="1859" max="1859" width="13.42578125" style="55" customWidth="1"/>
    <col min="1860" max="1860" width="11" style="55" customWidth="1"/>
    <col min="1861" max="1864" width="13.42578125" style="55" customWidth="1"/>
    <col min="1865" max="1865" width="19.5703125" style="55" customWidth="1"/>
    <col min="1866" max="1866" width="16.42578125" style="55" customWidth="1"/>
    <col min="1867" max="1867" width="13.42578125" style="55" customWidth="1"/>
    <col min="1868" max="1868" width="16" style="55" customWidth="1"/>
    <col min="1869" max="1872" width="13.42578125" style="55" customWidth="1"/>
    <col min="1873" max="1873" width="2.140625" style="55" customWidth="1"/>
    <col min="1874" max="1874" width="10.42578125" style="55" customWidth="1"/>
    <col min="1875" max="1875" width="14.140625" style="55" customWidth="1"/>
    <col min="1876" max="1876" width="9.140625" style="55"/>
    <col min="1877" max="1877" width="13.85546875" style="55" customWidth="1"/>
    <col min="1878" max="1878" width="9.140625" style="55"/>
    <col min="1879" max="1879" width="12.5703125" style="55" customWidth="1"/>
    <col min="1880" max="1880" width="10.42578125" style="55" customWidth="1"/>
    <col min="1881" max="1882" width="13.5703125" style="55" customWidth="1"/>
    <col min="1883" max="1883" width="13" style="55" customWidth="1"/>
    <col min="1884" max="1884" width="13.5703125" style="55" customWidth="1"/>
    <col min="1885" max="1887" width="13" style="55" customWidth="1"/>
    <col min="1888" max="2086" width="9.140625" style="55"/>
    <col min="2087" max="2087" width="14" style="55" customWidth="1"/>
    <col min="2088" max="2088" width="2" style="55" customWidth="1"/>
    <col min="2089" max="2089" width="11.85546875" style="55" customWidth="1"/>
    <col min="2090" max="2091" width="13.5703125" style="55" customWidth="1"/>
    <col min="2092" max="2092" width="13.85546875" style="55" customWidth="1"/>
    <col min="2093" max="2094" width="14.5703125" style="55" customWidth="1"/>
    <col min="2095" max="2113" width="13.42578125" style="55" customWidth="1"/>
    <col min="2114" max="2114" width="10.5703125" style="55" customWidth="1"/>
    <col min="2115" max="2115" width="13.42578125" style="55" customWidth="1"/>
    <col min="2116" max="2116" width="11" style="55" customWidth="1"/>
    <col min="2117" max="2120" width="13.42578125" style="55" customWidth="1"/>
    <col min="2121" max="2121" width="19.5703125" style="55" customWidth="1"/>
    <col min="2122" max="2122" width="16.42578125" style="55" customWidth="1"/>
    <col min="2123" max="2123" width="13.42578125" style="55" customWidth="1"/>
    <col min="2124" max="2124" width="16" style="55" customWidth="1"/>
    <col min="2125" max="2128" width="13.42578125" style="55" customWidth="1"/>
    <col min="2129" max="2129" width="2.140625" style="55" customWidth="1"/>
    <col min="2130" max="2130" width="10.42578125" style="55" customWidth="1"/>
    <col min="2131" max="2131" width="14.140625" style="55" customWidth="1"/>
    <col min="2132" max="2132" width="9.140625" style="55"/>
    <col min="2133" max="2133" width="13.85546875" style="55" customWidth="1"/>
    <col min="2134" max="2134" width="9.140625" style="55"/>
    <col min="2135" max="2135" width="12.5703125" style="55" customWidth="1"/>
    <col min="2136" max="2136" width="10.42578125" style="55" customWidth="1"/>
    <col min="2137" max="2138" width="13.5703125" style="55" customWidth="1"/>
    <col min="2139" max="2139" width="13" style="55" customWidth="1"/>
    <col min="2140" max="2140" width="13.5703125" style="55" customWidth="1"/>
    <col min="2141" max="2143" width="13" style="55" customWidth="1"/>
    <col min="2144" max="2342" width="9.140625" style="55"/>
    <col min="2343" max="2343" width="14" style="55" customWidth="1"/>
    <col min="2344" max="2344" width="2" style="55" customWidth="1"/>
    <col min="2345" max="2345" width="11.85546875" style="55" customWidth="1"/>
    <col min="2346" max="2347" width="13.5703125" style="55" customWidth="1"/>
    <col min="2348" max="2348" width="13.85546875" style="55" customWidth="1"/>
    <col min="2349" max="2350" width="14.5703125" style="55" customWidth="1"/>
    <col min="2351" max="2369" width="13.42578125" style="55" customWidth="1"/>
    <col min="2370" max="2370" width="10.5703125" style="55" customWidth="1"/>
    <col min="2371" max="2371" width="13.42578125" style="55" customWidth="1"/>
    <col min="2372" max="2372" width="11" style="55" customWidth="1"/>
    <col min="2373" max="2376" width="13.42578125" style="55" customWidth="1"/>
    <col min="2377" max="2377" width="19.5703125" style="55" customWidth="1"/>
    <col min="2378" max="2378" width="16.42578125" style="55" customWidth="1"/>
    <col min="2379" max="2379" width="13.42578125" style="55" customWidth="1"/>
    <col min="2380" max="2380" width="16" style="55" customWidth="1"/>
    <col min="2381" max="2384" width="13.42578125" style="55" customWidth="1"/>
    <col min="2385" max="2385" width="2.140625" style="55" customWidth="1"/>
    <col min="2386" max="2386" width="10.42578125" style="55" customWidth="1"/>
    <col min="2387" max="2387" width="14.140625" style="55" customWidth="1"/>
    <col min="2388" max="2388" width="9.140625" style="55"/>
    <col min="2389" max="2389" width="13.85546875" style="55" customWidth="1"/>
    <col min="2390" max="2390" width="9.140625" style="55"/>
    <col min="2391" max="2391" width="12.5703125" style="55" customWidth="1"/>
    <col min="2392" max="2392" width="10.42578125" style="55" customWidth="1"/>
    <col min="2393" max="2394" width="13.5703125" style="55" customWidth="1"/>
    <col min="2395" max="2395" width="13" style="55" customWidth="1"/>
    <col min="2396" max="2396" width="13.5703125" style="55" customWidth="1"/>
    <col min="2397" max="2399" width="13" style="55" customWidth="1"/>
    <col min="2400" max="2598" width="9.140625" style="55"/>
    <col min="2599" max="2599" width="14" style="55" customWidth="1"/>
    <col min="2600" max="2600" width="2" style="55" customWidth="1"/>
    <col min="2601" max="2601" width="11.85546875" style="55" customWidth="1"/>
    <col min="2602" max="2603" width="13.5703125" style="55" customWidth="1"/>
    <col min="2604" max="2604" width="13.85546875" style="55" customWidth="1"/>
    <col min="2605" max="2606" width="14.5703125" style="55" customWidth="1"/>
    <col min="2607" max="2625" width="13.42578125" style="55" customWidth="1"/>
    <col min="2626" max="2626" width="10.5703125" style="55" customWidth="1"/>
    <col min="2627" max="2627" width="13.42578125" style="55" customWidth="1"/>
    <col min="2628" max="2628" width="11" style="55" customWidth="1"/>
    <col min="2629" max="2632" width="13.42578125" style="55" customWidth="1"/>
    <col min="2633" max="2633" width="19.5703125" style="55" customWidth="1"/>
    <col min="2634" max="2634" width="16.42578125" style="55" customWidth="1"/>
    <col min="2635" max="2635" width="13.42578125" style="55" customWidth="1"/>
    <col min="2636" max="2636" width="16" style="55" customWidth="1"/>
    <col min="2637" max="2640" width="13.42578125" style="55" customWidth="1"/>
    <col min="2641" max="2641" width="2.140625" style="55" customWidth="1"/>
    <col min="2642" max="2642" width="10.42578125" style="55" customWidth="1"/>
    <col min="2643" max="2643" width="14.140625" style="55" customWidth="1"/>
    <col min="2644" max="2644" width="9.140625" style="55"/>
    <col min="2645" max="2645" width="13.85546875" style="55" customWidth="1"/>
    <col min="2646" max="2646" width="9.140625" style="55"/>
    <col min="2647" max="2647" width="12.5703125" style="55" customWidth="1"/>
    <col min="2648" max="2648" width="10.42578125" style="55" customWidth="1"/>
    <col min="2649" max="2650" width="13.5703125" style="55" customWidth="1"/>
    <col min="2651" max="2651" width="13" style="55" customWidth="1"/>
    <col min="2652" max="2652" width="13.5703125" style="55" customWidth="1"/>
    <col min="2653" max="2655" width="13" style="55" customWidth="1"/>
    <col min="2656" max="2854" width="9.140625" style="55"/>
    <col min="2855" max="2855" width="14" style="55" customWidth="1"/>
    <col min="2856" max="2856" width="2" style="55" customWidth="1"/>
    <col min="2857" max="2857" width="11.85546875" style="55" customWidth="1"/>
    <col min="2858" max="2859" width="13.5703125" style="55" customWidth="1"/>
    <col min="2860" max="2860" width="13.85546875" style="55" customWidth="1"/>
    <col min="2861" max="2862" width="14.5703125" style="55" customWidth="1"/>
    <col min="2863" max="2881" width="13.42578125" style="55" customWidth="1"/>
    <col min="2882" max="2882" width="10.5703125" style="55" customWidth="1"/>
    <col min="2883" max="2883" width="13.42578125" style="55" customWidth="1"/>
    <col min="2884" max="2884" width="11" style="55" customWidth="1"/>
    <col min="2885" max="2888" width="13.42578125" style="55" customWidth="1"/>
    <col min="2889" max="2889" width="19.5703125" style="55" customWidth="1"/>
    <col min="2890" max="2890" width="16.42578125" style="55" customWidth="1"/>
    <col min="2891" max="2891" width="13.42578125" style="55" customWidth="1"/>
    <col min="2892" max="2892" width="16" style="55" customWidth="1"/>
    <col min="2893" max="2896" width="13.42578125" style="55" customWidth="1"/>
    <col min="2897" max="2897" width="2.140625" style="55" customWidth="1"/>
    <col min="2898" max="2898" width="10.42578125" style="55" customWidth="1"/>
    <col min="2899" max="2899" width="14.140625" style="55" customWidth="1"/>
    <col min="2900" max="2900" width="9.140625" style="55"/>
    <col min="2901" max="2901" width="13.85546875" style="55" customWidth="1"/>
    <col min="2902" max="2902" width="9.140625" style="55"/>
    <col min="2903" max="2903" width="12.5703125" style="55" customWidth="1"/>
    <col min="2904" max="2904" width="10.42578125" style="55" customWidth="1"/>
    <col min="2905" max="2906" width="13.5703125" style="55" customWidth="1"/>
    <col min="2907" max="2907" width="13" style="55" customWidth="1"/>
    <col min="2908" max="2908" width="13.5703125" style="55" customWidth="1"/>
    <col min="2909" max="2911" width="13" style="55" customWidth="1"/>
    <col min="2912" max="3110" width="9.140625" style="55"/>
    <col min="3111" max="3111" width="14" style="55" customWidth="1"/>
    <col min="3112" max="3112" width="2" style="55" customWidth="1"/>
    <col min="3113" max="3113" width="11.85546875" style="55" customWidth="1"/>
    <col min="3114" max="3115" width="13.5703125" style="55" customWidth="1"/>
    <col min="3116" max="3116" width="13.85546875" style="55" customWidth="1"/>
    <col min="3117" max="3118" width="14.5703125" style="55" customWidth="1"/>
    <col min="3119" max="3137" width="13.42578125" style="55" customWidth="1"/>
    <col min="3138" max="3138" width="10.5703125" style="55" customWidth="1"/>
    <col min="3139" max="3139" width="13.42578125" style="55" customWidth="1"/>
    <col min="3140" max="3140" width="11" style="55" customWidth="1"/>
    <col min="3141" max="3144" width="13.42578125" style="55" customWidth="1"/>
    <col min="3145" max="3145" width="19.5703125" style="55" customWidth="1"/>
    <col min="3146" max="3146" width="16.42578125" style="55" customWidth="1"/>
    <col min="3147" max="3147" width="13.42578125" style="55" customWidth="1"/>
    <col min="3148" max="3148" width="16" style="55" customWidth="1"/>
    <col min="3149" max="3152" width="13.42578125" style="55" customWidth="1"/>
    <col min="3153" max="3153" width="2.140625" style="55" customWidth="1"/>
    <col min="3154" max="3154" width="10.42578125" style="55" customWidth="1"/>
    <col min="3155" max="3155" width="14.140625" style="55" customWidth="1"/>
    <col min="3156" max="3156" width="9.140625" style="55"/>
    <col min="3157" max="3157" width="13.85546875" style="55" customWidth="1"/>
    <col min="3158" max="3158" width="9.140625" style="55"/>
    <col min="3159" max="3159" width="12.5703125" style="55" customWidth="1"/>
    <col min="3160" max="3160" width="10.42578125" style="55" customWidth="1"/>
    <col min="3161" max="3162" width="13.5703125" style="55" customWidth="1"/>
    <col min="3163" max="3163" width="13" style="55" customWidth="1"/>
    <col min="3164" max="3164" width="13.5703125" style="55" customWidth="1"/>
    <col min="3165" max="3167" width="13" style="55" customWidth="1"/>
    <col min="3168" max="3366" width="9.140625" style="55"/>
    <col min="3367" max="3367" width="14" style="55" customWidth="1"/>
    <col min="3368" max="3368" width="2" style="55" customWidth="1"/>
    <col min="3369" max="3369" width="11.85546875" style="55" customWidth="1"/>
    <col min="3370" max="3371" width="13.5703125" style="55" customWidth="1"/>
    <col min="3372" max="3372" width="13.85546875" style="55" customWidth="1"/>
    <col min="3373" max="3374" width="14.5703125" style="55" customWidth="1"/>
    <col min="3375" max="3393" width="13.42578125" style="55" customWidth="1"/>
    <col min="3394" max="3394" width="10.5703125" style="55" customWidth="1"/>
    <col min="3395" max="3395" width="13.42578125" style="55" customWidth="1"/>
    <col min="3396" max="3396" width="11" style="55" customWidth="1"/>
    <col min="3397" max="3400" width="13.42578125" style="55" customWidth="1"/>
    <col min="3401" max="3401" width="19.5703125" style="55" customWidth="1"/>
    <col min="3402" max="3402" width="16.42578125" style="55" customWidth="1"/>
    <col min="3403" max="3403" width="13.42578125" style="55" customWidth="1"/>
    <col min="3404" max="3404" width="16" style="55" customWidth="1"/>
    <col min="3405" max="3408" width="13.42578125" style="55" customWidth="1"/>
    <col min="3409" max="3409" width="2.140625" style="55" customWidth="1"/>
    <col min="3410" max="3410" width="10.42578125" style="55" customWidth="1"/>
    <col min="3411" max="3411" width="14.140625" style="55" customWidth="1"/>
    <col min="3412" max="3412" width="9.140625" style="55"/>
    <col min="3413" max="3413" width="13.85546875" style="55" customWidth="1"/>
    <col min="3414" max="3414" width="9.140625" style="55"/>
    <col min="3415" max="3415" width="12.5703125" style="55" customWidth="1"/>
    <col min="3416" max="3416" width="10.42578125" style="55" customWidth="1"/>
    <col min="3417" max="3418" width="13.5703125" style="55" customWidth="1"/>
    <col min="3419" max="3419" width="13" style="55" customWidth="1"/>
    <col min="3420" max="3420" width="13.5703125" style="55" customWidth="1"/>
    <col min="3421" max="3423" width="13" style="55" customWidth="1"/>
    <col min="3424" max="3622" width="9.140625" style="55"/>
    <col min="3623" max="3623" width="14" style="55" customWidth="1"/>
    <col min="3624" max="3624" width="2" style="55" customWidth="1"/>
    <col min="3625" max="3625" width="11.85546875" style="55" customWidth="1"/>
    <col min="3626" max="3627" width="13.5703125" style="55" customWidth="1"/>
    <col min="3628" max="3628" width="13.85546875" style="55" customWidth="1"/>
    <col min="3629" max="3630" width="14.5703125" style="55" customWidth="1"/>
    <col min="3631" max="3649" width="13.42578125" style="55" customWidth="1"/>
    <col min="3650" max="3650" width="10.5703125" style="55" customWidth="1"/>
    <col min="3651" max="3651" width="13.42578125" style="55" customWidth="1"/>
    <col min="3652" max="3652" width="11" style="55" customWidth="1"/>
    <col min="3653" max="3656" width="13.42578125" style="55" customWidth="1"/>
    <col min="3657" max="3657" width="19.5703125" style="55" customWidth="1"/>
    <col min="3658" max="3658" width="16.42578125" style="55" customWidth="1"/>
    <col min="3659" max="3659" width="13.42578125" style="55" customWidth="1"/>
    <col min="3660" max="3660" width="16" style="55" customWidth="1"/>
    <col min="3661" max="3664" width="13.42578125" style="55" customWidth="1"/>
    <col min="3665" max="3665" width="2.140625" style="55" customWidth="1"/>
    <col min="3666" max="3666" width="10.42578125" style="55" customWidth="1"/>
    <col min="3667" max="3667" width="14.140625" style="55" customWidth="1"/>
    <col min="3668" max="3668" width="9.140625" style="55"/>
    <col min="3669" max="3669" width="13.85546875" style="55" customWidth="1"/>
    <col min="3670" max="3670" width="9.140625" style="55"/>
    <col min="3671" max="3671" width="12.5703125" style="55" customWidth="1"/>
    <col min="3672" max="3672" width="10.42578125" style="55" customWidth="1"/>
    <col min="3673" max="3674" width="13.5703125" style="55" customWidth="1"/>
    <col min="3675" max="3675" width="13" style="55" customWidth="1"/>
    <col min="3676" max="3676" width="13.5703125" style="55" customWidth="1"/>
    <col min="3677" max="3679" width="13" style="55" customWidth="1"/>
    <col min="3680" max="3878" width="9.140625" style="55"/>
    <col min="3879" max="3879" width="14" style="55" customWidth="1"/>
    <col min="3880" max="3880" width="2" style="55" customWidth="1"/>
    <col min="3881" max="3881" width="11.85546875" style="55" customWidth="1"/>
    <col min="3882" max="3883" width="13.5703125" style="55" customWidth="1"/>
    <col min="3884" max="3884" width="13.85546875" style="55" customWidth="1"/>
    <col min="3885" max="3886" width="14.5703125" style="55" customWidth="1"/>
    <col min="3887" max="3905" width="13.42578125" style="55" customWidth="1"/>
    <col min="3906" max="3906" width="10.5703125" style="55" customWidth="1"/>
    <col min="3907" max="3907" width="13.42578125" style="55" customWidth="1"/>
    <col min="3908" max="3908" width="11" style="55" customWidth="1"/>
    <col min="3909" max="3912" width="13.42578125" style="55" customWidth="1"/>
    <col min="3913" max="3913" width="19.5703125" style="55" customWidth="1"/>
    <col min="3914" max="3914" width="16.42578125" style="55" customWidth="1"/>
    <col min="3915" max="3915" width="13.42578125" style="55" customWidth="1"/>
    <col min="3916" max="3916" width="16" style="55" customWidth="1"/>
    <col min="3917" max="3920" width="13.42578125" style="55" customWidth="1"/>
    <col min="3921" max="3921" width="2.140625" style="55" customWidth="1"/>
    <col min="3922" max="3922" width="10.42578125" style="55" customWidth="1"/>
    <col min="3923" max="3923" width="14.140625" style="55" customWidth="1"/>
    <col min="3924" max="3924" width="9.140625" style="55"/>
    <col min="3925" max="3925" width="13.85546875" style="55" customWidth="1"/>
    <col min="3926" max="3926" width="9.140625" style="55"/>
    <col min="3927" max="3927" width="12.5703125" style="55" customWidth="1"/>
    <col min="3928" max="3928" width="10.42578125" style="55" customWidth="1"/>
    <col min="3929" max="3930" width="13.5703125" style="55" customWidth="1"/>
    <col min="3931" max="3931" width="13" style="55" customWidth="1"/>
    <col min="3932" max="3932" width="13.5703125" style="55" customWidth="1"/>
    <col min="3933" max="3935" width="13" style="55" customWidth="1"/>
    <col min="3936" max="4134" width="9.140625" style="55"/>
    <col min="4135" max="4135" width="14" style="55" customWidth="1"/>
    <col min="4136" max="4136" width="2" style="55" customWidth="1"/>
    <col min="4137" max="4137" width="11.85546875" style="55" customWidth="1"/>
    <col min="4138" max="4139" width="13.5703125" style="55" customWidth="1"/>
    <col min="4140" max="4140" width="13.85546875" style="55" customWidth="1"/>
    <col min="4141" max="4142" width="14.5703125" style="55" customWidth="1"/>
    <col min="4143" max="4161" width="13.42578125" style="55" customWidth="1"/>
    <col min="4162" max="4162" width="10.5703125" style="55" customWidth="1"/>
    <col min="4163" max="4163" width="13.42578125" style="55" customWidth="1"/>
    <col min="4164" max="4164" width="11" style="55" customWidth="1"/>
    <col min="4165" max="4168" width="13.42578125" style="55" customWidth="1"/>
    <col min="4169" max="4169" width="19.5703125" style="55" customWidth="1"/>
    <col min="4170" max="4170" width="16.42578125" style="55" customWidth="1"/>
    <col min="4171" max="4171" width="13.42578125" style="55" customWidth="1"/>
    <col min="4172" max="4172" width="16" style="55" customWidth="1"/>
    <col min="4173" max="4176" width="13.42578125" style="55" customWidth="1"/>
    <col min="4177" max="4177" width="2.140625" style="55" customWidth="1"/>
    <col min="4178" max="4178" width="10.42578125" style="55" customWidth="1"/>
    <col min="4179" max="4179" width="14.140625" style="55" customWidth="1"/>
    <col min="4180" max="4180" width="9.140625" style="55"/>
    <col min="4181" max="4181" width="13.85546875" style="55" customWidth="1"/>
    <col min="4182" max="4182" width="9.140625" style="55"/>
    <col min="4183" max="4183" width="12.5703125" style="55" customWidth="1"/>
    <col min="4184" max="4184" width="10.42578125" style="55" customWidth="1"/>
    <col min="4185" max="4186" width="13.5703125" style="55" customWidth="1"/>
    <col min="4187" max="4187" width="13" style="55" customWidth="1"/>
    <col min="4188" max="4188" width="13.5703125" style="55" customWidth="1"/>
    <col min="4189" max="4191" width="13" style="55" customWidth="1"/>
    <col min="4192" max="4390" width="9.140625" style="55"/>
    <col min="4391" max="4391" width="14" style="55" customWidth="1"/>
    <col min="4392" max="4392" width="2" style="55" customWidth="1"/>
    <col min="4393" max="4393" width="11.85546875" style="55" customWidth="1"/>
    <col min="4394" max="4395" width="13.5703125" style="55" customWidth="1"/>
    <col min="4396" max="4396" width="13.85546875" style="55" customWidth="1"/>
    <col min="4397" max="4398" width="14.5703125" style="55" customWidth="1"/>
    <col min="4399" max="4417" width="13.42578125" style="55" customWidth="1"/>
    <col min="4418" max="4418" width="10.5703125" style="55" customWidth="1"/>
    <col min="4419" max="4419" width="13.42578125" style="55" customWidth="1"/>
    <col min="4420" max="4420" width="11" style="55" customWidth="1"/>
    <col min="4421" max="4424" width="13.42578125" style="55" customWidth="1"/>
    <col min="4425" max="4425" width="19.5703125" style="55" customWidth="1"/>
    <col min="4426" max="4426" width="16.42578125" style="55" customWidth="1"/>
    <col min="4427" max="4427" width="13.42578125" style="55" customWidth="1"/>
    <col min="4428" max="4428" width="16" style="55" customWidth="1"/>
    <col min="4429" max="4432" width="13.42578125" style="55" customWidth="1"/>
    <col min="4433" max="4433" width="2.140625" style="55" customWidth="1"/>
    <col min="4434" max="4434" width="10.42578125" style="55" customWidth="1"/>
    <col min="4435" max="4435" width="14.140625" style="55" customWidth="1"/>
    <col min="4436" max="4436" width="9.140625" style="55"/>
    <col min="4437" max="4437" width="13.85546875" style="55" customWidth="1"/>
    <col min="4438" max="4438" width="9.140625" style="55"/>
    <col min="4439" max="4439" width="12.5703125" style="55" customWidth="1"/>
    <col min="4440" max="4440" width="10.42578125" style="55" customWidth="1"/>
    <col min="4441" max="4442" width="13.5703125" style="55" customWidth="1"/>
    <col min="4443" max="4443" width="13" style="55" customWidth="1"/>
    <col min="4444" max="4444" width="13.5703125" style="55" customWidth="1"/>
    <col min="4445" max="4447" width="13" style="55" customWidth="1"/>
    <col min="4448" max="4646" width="9.140625" style="55"/>
    <col min="4647" max="4647" width="14" style="55" customWidth="1"/>
    <col min="4648" max="4648" width="2" style="55" customWidth="1"/>
    <col min="4649" max="4649" width="11.85546875" style="55" customWidth="1"/>
    <col min="4650" max="4651" width="13.5703125" style="55" customWidth="1"/>
    <col min="4652" max="4652" width="13.85546875" style="55" customWidth="1"/>
    <col min="4653" max="4654" width="14.5703125" style="55" customWidth="1"/>
    <col min="4655" max="4673" width="13.42578125" style="55" customWidth="1"/>
    <col min="4674" max="4674" width="10.5703125" style="55" customWidth="1"/>
    <col min="4675" max="4675" width="13.42578125" style="55" customWidth="1"/>
    <col min="4676" max="4676" width="11" style="55" customWidth="1"/>
    <col min="4677" max="4680" width="13.42578125" style="55" customWidth="1"/>
    <col min="4681" max="4681" width="19.5703125" style="55" customWidth="1"/>
    <col min="4682" max="4682" width="16.42578125" style="55" customWidth="1"/>
    <col min="4683" max="4683" width="13.42578125" style="55" customWidth="1"/>
    <col min="4684" max="4684" width="16" style="55" customWidth="1"/>
    <col min="4685" max="4688" width="13.42578125" style="55" customWidth="1"/>
    <col min="4689" max="4689" width="2.140625" style="55" customWidth="1"/>
    <col min="4690" max="4690" width="10.42578125" style="55" customWidth="1"/>
    <col min="4691" max="4691" width="14.140625" style="55" customWidth="1"/>
    <col min="4692" max="4692" width="9.140625" style="55"/>
    <col min="4693" max="4693" width="13.85546875" style="55" customWidth="1"/>
    <col min="4694" max="4694" width="9.140625" style="55"/>
    <col min="4695" max="4695" width="12.5703125" style="55" customWidth="1"/>
    <col min="4696" max="4696" width="10.42578125" style="55" customWidth="1"/>
    <col min="4697" max="4698" width="13.5703125" style="55" customWidth="1"/>
    <col min="4699" max="4699" width="13" style="55" customWidth="1"/>
    <col min="4700" max="4700" width="13.5703125" style="55" customWidth="1"/>
    <col min="4701" max="4703" width="13" style="55" customWidth="1"/>
    <col min="4704" max="4902" width="9.140625" style="55"/>
    <col min="4903" max="4903" width="14" style="55" customWidth="1"/>
    <col min="4904" max="4904" width="2" style="55" customWidth="1"/>
    <col min="4905" max="4905" width="11.85546875" style="55" customWidth="1"/>
    <col min="4906" max="4907" width="13.5703125" style="55" customWidth="1"/>
    <col min="4908" max="4908" width="13.85546875" style="55" customWidth="1"/>
    <col min="4909" max="4910" width="14.5703125" style="55" customWidth="1"/>
    <col min="4911" max="4929" width="13.42578125" style="55" customWidth="1"/>
    <col min="4930" max="4930" width="10.5703125" style="55" customWidth="1"/>
    <col min="4931" max="4931" width="13.42578125" style="55" customWidth="1"/>
    <col min="4932" max="4932" width="11" style="55" customWidth="1"/>
    <col min="4933" max="4936" width="13.42578125" style="55" customWidth="1"/>
    <col min="4937" max="4937" width="19.5703125" style="55" customWidth="1"/>
    <col min="4938" max="4938" width="16.42578125" style="55" customWidth="1"/>
    <col min="4939" max="4939" width="13.42578125" style="55" customWidth="1"/>
    <col min="4940" max="4940" width="16" style="55" customWidth="1"/>
    <col min="4941" max="4944" width="13.42578125" style="55" customWidth="1"/>
    <col min="4945" max="4945" width="2.140625" style="55" customWidth="1"/>
    <col min="4946" max="4946" width="10.42578125" style="55" customWidth="1"/>
    <col min="4947" max="4947" width="14.140625" style="55" customWidth="1"/>
    <col min="4948" max="4948" width="9.140625" style="55"/>
    <col min="4949" max="4949" width="13.85546875" style="55" customWidth="1"/>
    <col min="4950" max="4950" width="9.140625" style="55"/>
    <col min="4951" max="4951" width="12.5703125" style="55" customWidth="1"/>
    <col min="4952" max="4952" width="10.42578125" style="55" customWidth="1"/>
    <col min="4953" max="4954" width="13.5703125" style="55" customWidth="1"/>
    <col min="4955" max="4955" width="13" style="55" customWidth="1"/>
    <col min="4956" max="4956" width="13.5703125" style="55" customWidth="1"/>
    <col min="4957" max="4959" width="13" style="55" customWidth="1"/>
    <col min="4960" max="5158" width="9.140625" style="55"/>
    <col min="5159" max="5159" width="14" style="55" customWidth="1"/>
    <col min="5160" max="5160" width="2" style="55" customWidth="1"/>
    <col min="5161" max="5161" width="11.85546875" style="55" customWidth="1"/>
    <col min="5162" max="5163" width="13.5703125" style="55" customWidth="1"/>
    <col min="5164" max="5164" width="13.85546875" style="55" customWidth="1"/>
    <col min="5165" max="5166" width="14.5703125" style="55" customWidth="1"/>
    <col min="5167" max="5185" width="13.42578125" style="55" customWidth="1"/>
    <col min="5186" max="5186" width="10.5703125" style="55" customWidth="1"/>
    <col min="5187" max="5187" width="13.42578125" style="55" customWidth="1"/>
    <col min="5188" max="5188" width="11" style="55" customWidth="1"/>
    <col min="5189" max="5192" width="13.42578125" style="55" customWidth="1"/>
    <col min="5193" max="5193" width="19.5703125" style="55" customWidth="1"/>
    <col min="5194" max="5194" width="16.42578125" style="55" customWidth="1"/>
    <col min="5195" max="5195" width="13.42578125" style="55" customWidth="1"/>
    <col min="5196" max="5196" width="16" style="55" customWidth="1"/>
    <col min="5197" max="5200" width="13.42578125" style="55" customWidth="1"/>
    <col min="5201" max="5201" width="2.140625" style="55" customWidth="1"/>
    <col min="5202" max="5202" width="10.42578125" style="55" customWidth="1"/>
    <col min="5203" max="5203" width="14.140625" style="55" customWidth="1"/>
    <col min="5204" max="5204" width="9.140625" style="55"/>
    <col min="5205" max="5205" width="13.85546875" style="55" customWidth="1"/>
    <col min="5206" max="5206" width="9.140625" style="55"/>
    <col min="5207" max="5207" width="12.5703125" style="55" customWidth="1"/>
    <col min="5208" max="5208" width="10.42578125" style="55" customWidth="1"/>
    <col min="5209" max="5210" width="13.5703125" style="55" customWidth="1"/>
    <col min="5211" max="5211" width="13" style="55" customWidth="1"/>
    <col min="5212" max="5212" width="13.5703125" style="55" customWidth="1"/>
    <col min="5213" max="5215" width="13" style="55" customWidth="1"/>
    <col min="5216" max="5414" width="9.140625" style="55"/>
    <col min="5415" max="5415" width="14" style="55" customWidth="1"/>
    <col min="5416" max="5416" width="2" style="55" customWidth="1"/>
    <col min="5417" max="5417" width="11.85546875" style="55" customWidth="1"/>
    <col min="5418" max="5419" width="13.5703125" style="55" customWidth="1"/>
    <col min="5420" max="5420" width="13.85546875" style="55" customWidth="1"/>
    <col min="5421" max="5422" width="14.5703125" style="55" customWidth="1"/>
    <col min="5423" max="5441" width="13.42578125" style="55" customWidth="1"/>
    <col min="5442" max="5442" width="10.5703125" style="55" customWidth="1"/>
    <col min="5443" max="5443" width="13.42578125" style="55" customWidth="1"/>
    <col min="5444" max="5444" width="11" style="55" customWidth="1"/>
    <col min="5445" max="5448" width="13.42578125" style="55" customWidth="1"/>
    <col min="5449" max="5449" width="19.5703125" style="55" customWidth="1"/>
    <col min="5450" max="5450" width="16.42578125" style="55" customWidth="1"/>
    <col min="5451" max="5451" width="13.42578125" style="55" customWidth="1"/>
    <col min="5452" max="5452" width="16" style="55" customWidth="1"/>
    <col min="5453" max="5456" width="13.42578125" style="55" customWidth="1"/>
    <col min="5457" max="5457" width="2.140625" style="55" customWidth="1"/>
    <col min="5458" max="5458" width="10.42578125" style="55" customWidth="1"/>
    <col min="5459" max="5459" width="14.140625" style="55" customWidth="1"/>
    <col min="5460" max="5460" width="9.140625" style="55"/>
    <col min="5461" max="5461" width="13.85546875" style="55" customWidth="1"/>
    <col min="5462" max="5462" width="9.140625" style="55"/>
    <col min="5463" max="5463" width="12.5703125" style="55" customWidth="1"/>
    <col min="5464" max="5464" width="10.42578125" style="55" customWidth="1"/>
    <col min="5465" max="5466" width="13.5703125" style="55" customWidth="1"/>
    <col min="5467" max="5467" width="13" style="55" customWidth="1"/>
    <col min="5468" max="5468" width="13.5703125" style="55" customWidth="1"/>
    <col min="5469" max="5471" width="13" style="55" customWidth="1"/>
    <col min="5472" max="5670" width="9.140625" style="55"/>
    <col min="5671" max="5671" width="14" style="55" customWidth="1"/>
    <col min="5672" max="5672" width="2" style="55" customWidth="1"/>
    <col min="5673" max="5673" width="11.85546875" style="55" customWidth="1"/>
    <col min="5674" max="5675" width="13.5703125" style="55" customWidth="1"/>
    <col min="5676" max="5676" width="13.85546875" style="55" customWidth="1"/>
    <col min="5677" max="5678" width="14.5703125" style="55" customWidth="1"/>
    <col min="5679" max="5697" width="13.42578125" style="55" customWidth="1"/>
    <col min="5698" max="5698" width="10.5703125" style="55" customWidth="1"/>
    <col min="5699" max="5699" width="13.42578125" style="55" customWidth="1"/>
    <col min="5700" max="5700" width="11" style="55" customWidth="1"/>
    <col min="5701" max="5704" width="13.42578125" style="55" customWidth="1"/>
    <col min="5705" max="5705" width="19.5703125" style="55" customWidth="1"/>
    <col min="5706" max="5706" width="16.42578125" style="55" customWidth="1"/>
    <col min="5707" max="5707" width="13.42578125" style="55" customWidth="1"/>
    <col min="5708" max="5708" width="16" style="55" customWidth="1"/>
    <col min="5709" max="5712" width="13.42578125" style="55" customWidth="1"/>
    <col min="5713" max="5713" width="2.140625" style="55" customWidth="1"/>
    <col min="5714" max="5714" width="10.42578125" style="55" customWidth="1"/>
    <col min="5715" max="5715" width="14.140625" style="55" customWidth="1"/>
    <col min="5716" max="5716" width="9.140625" style="55"/>
    <col min="5717" max="5717" width="13.85546875" style="55" customWidth="1"/>
    <col min="5718" max="5718" width="9.140625" style="55"/>
    <col min="5719" max="5719" width="12.5703125" style="55" customWidth="1"/>
    <col min="5720" max="5720" width="10.42578125" style="55" customWidth="1"/>
    <col min="5721" max="5722" width="13.5703125" style="55" customWidth="1"/>
    <col min="5723" max="5723" width="13" style="55" customWidth="1"/>
    <col min="5724" max="5724" width="13.5703125" style="55" customWidth="1"/>
    <col min="5725" max="5727" width="13" style="55" customWidth="1"/>
    <col min="5728" max="5926" width="9.140625" style="55"/>
    <col min="5927" max="5927" width="14" style="55" customWidth="1"/>
    <col min="5928" max="5928" width="2" style="55" customWidth="1"/>
    <col min="5929" max="5929" width="11.85546875" style="55" customWidth="1"/>
    <col min="5930" max="5931" width="13.5703125" style="55" customWidth="1"/>
    <col min="5932" max="5932" width="13.85546875" style="55" customWidth="1"/>
    <col min="5933" max="5934" width="14.5703125" style="55" customWidth="1"/>
    <col min="5935" max="5953" width="13.42578125" style="55" customWidth="1"/>
    <col min="5954" max="5954" width="10.5703125" style="55" customWidth="1"/>
    <col min="5955" max="5955" width="13.42578125" style="55" customWidth="1"/>
    <col min="5956" max="5956" width="11" style="55" customWidth="1"/>
    <col min="5957" max="5960" width="13.42578125" style="55" customWidth="1"/>
    <col min="5961" max="5961" width="19.5703125" style="55" customWidth="1"/>
    <col min="5962" max="5962" width="16.42578125" style="55" customWidth="1"/>
    <col min="5963" max="5963" width="13.42578125" style="55" customWidth="1"/>
    <col min="5964" max="5964" width="16" style="55" customWidth="1"/>
    <col min="5965" max="5968" width="13.42578125" style="55" customWidth="1"/>
    <col min="5969" max="5969" width="2.140625" style="55" customWidth="1"/>
    <col min="5970" max="5970" width="10.42578125" style="55" customWidth="1"/>
    <col min="5971" max="5971" width="14.140625" style="55" customWidth="1"/>
    <col min="5972" max="5972" width="9.140625" style="55"/>
    <col min="5973" max="5973" width="13.85546875" style="55" customWidth="1"/>
    <col min="5974" max="5974" width="9.140625" style="55"/>
    <col min="5975" max="5975" width="12.5703125" style="55" customWidth="1"/>
    <col min="5976" max="5976" width="10.42578125" style="55" customWidth="1"/>
    <col min="5977" max="5978" width="13.5703125" style="55" customWidth="1"/>
    <col min="5979" max="5979" width="13" style="55" customWidth="1"/>
    <col min="5980" max="5980" width="13.5703125" style="55" customWidth="1"/>
    <col min="5981" max="5983" width="13" style="55" customWidth="1"/>
    <col min="5984" max="6182" width="9.140625" style="55"/>
    <col min="6183" max="6183" width="14" style="55" customWidth="1"/>
    <col min="6184" max="6184" width="2" style="55" customWidth="1"/>
    <col min="6185" max="6185" width="11.85546875" style="55" customWidth="1"/>
    <col min="6186" max="6187" width="13.5703125" style="55" customWidth="1"/>
    <col min="6188" max="6188" width="13.85546875" style="55" customWidth="1"/>
    <col min="6189" max="6190" width="14.5703125" style="55" customWidth="1"/>
    <col min="6191" max="6209" width="13.42578125" style="55" customWidth="1"/>
    <col min="6210" max="6210" width="10.5703125" style="55" customWidth="1"/>
    <col min="6211" max="6211" width="13.42578125" style="55" customWidth="1"/>
    <col min="6212" max="6212" width="11" style="55" customWidth="1"/>
    <col min="6213" max="6216" width="13.42578125" style="55" customWidth="1"/>
    <col min="6217" max="6217" width="19.5703125" style="55" customWidth="1"/>
    <col min="6218" max="6218" width="16.42578125" style="55" customWidth="1"/>
    <col min="6219" max="6219" width="13.42578125" style="55" customWidth="1"/>
    <col min="6220" max="6220" width="16" style="55" customWidth="1"/>
    <col min="6221" max="6224" width="13.42578125" style="55" customWidth="1"/>
    <col min="6225" max="6225" width="2.140625" style="55" customWidth="1"/>
    <col min="6226" max="6226" width="10.42578125" style="55" customWidth="1"/>
    <col min="6227" max="6227" width="14.140625" style="55" customWidth="1"/>
    <col min="6228" max="6228" width="9.140625" style="55"/>
    <col min="6229" max="6229" width="13.85546875" style="55" customWidth="1"/>
    <col min="6230" max="6230" width="9.140625" style="55"/>
    <col min="6231" max="6231" width="12.5703125" style="55" customWidth="1"/>
    <col min="6232" max="6232" width="10.42578125" style="55" customWidth="1"/>
    <col min="6233" max="6234" width="13.5703125" style="55" customWidth="1"/>
    <col min="6235" max="6235" width="13" style="55" customWidth="1"/>
    <col min="6236" max="6236" width="13.5703125" style="55" customWidth="1"/>
    <col min="6237" max="6239" width="13" style="55" customWidth="1"/>
    <col min="6240" max="6438" width="9.140625" style="55"/>
    <col min="6439" max="6439" width="14" style="55" customWidth="1"/>
    <col min="6440" max="6440" width="2" style="55" customWidth="1"/>
    <col min="6441" max="6441" width="11.85546875" style="55" customWidth="1"/>
    <col min="6442" max="6443" width="13.5703125" style="55" customWidth="1"/>
    <col min="6444" max="6444" width="13.85546875" style="55" customWidth="1"/>
    <col min="6445" max="6446" width="14.5703125" style="55" customWidth="1"/>
    <col min="6447" max="6465" width="13.42578125" style="55" customWidth="1"/>
    <col min="6466" max="6466" width="10.5703125" style="55" customWidth="1"/>
    <col min="6467" max="6467" width="13.42578125" style="55" customWidth="1"/>
    <col min="6468" max="6468" width="11" style="55" customWidth="1"/>
    <col min="6469" max="6472" width="13.42578125" style="55" customWidth="1"/>
    <col min="6473" max="6473" width="19.5703125" style="55" customWidth="1"/>
    <col min="6474" max="6474" width="16.42578125" style="55" customWidth="1"/>
    <col min="6475" max="6475" width="13.42578125" style="55" customWidth="1"/>
    <col min="6476" max="6476" width="16" style="55" customWidth="1"/>
    <col min="6477" max="6480" width="13.42578125" style="55" customWidth="1"/>
    <col min="6481" max="6481" width="2.140625" style="55" customWidth="1"/>
    <col min="6482" max="6482" width="10.42578125" style="55" customWidth="1"/>
    <col min="6483" max="6483" width="14.140625" style="55" customWidth="1"/>
    <col min="6484" max="6484" width="9.140625" style="55"/>
    <col min="6485" max="6485" width="13.85546875" style="55" customWidth="1"/>
    <col min="6486" max="6486" width="9.140625" style="55"/>
    <col min="6487" max="6487" width="12.5703125" style="55" customWidth="1"/>
    <col min="6488" max="6488" width="10.42578125" style="55" customWidth="1"/>
    <col min="6489" max="6490" width="13.5703125" style="55" customWidth="1"/>
    <col min="6491" max="6491" width="13" style="55" customWidth="1"/>
    <col min="6492" max="6492" width="13.5703125" style="55" customWidth="1"/>
    <col min="6493" max="6495" width="13" style="55" customWidth="1"/>
    <col min="6496" max="6694" width="9.140625" style="55"/>
    <col min="6695" max="6695" width="14" style="55" customWidth="1"/>
    <col min="6696" max="6696" width="2" style="55" customWidth="1"/>
    <col min="6697" max="6697" width="11.85546875" style="55" customWidth="1"/>
    <col min="6698" max="6699" width="13.5703125" style="55" customWidth="1"/>
    <col min="6700" max="6700" width="13.85546875" style="55" customWidth="1"/>
    <col min="6701" max="6702" width="14.5703125" style="55" customWidth="1"/>
    <col min="6703" max="6721" width="13.42578125" style="55" customWidth="1"/>
    <col min="6722" max="6722" width="10.5703125" style="55" customWidth="1"/>
    <col min="6723" max="6723" width="13.42578125" style="55" customWidth="1"/>
    <col min="6724" max="6724" width="11" style="55" customWidth="1"/>
    <col min="6725" max="6728" width="13.42578125" style="55" customWidth="1"/>
    <col min="6729" max="6729" width="19.5703125" style="55" customWidth="1"/>
    <col min="6730" max="6730" width="16.42578125" style="55" customWidth="1"/>
    <col min="6731" max="6731" width="13.42578125" style="55" customWidth="1"/>
    <col min="6732" max="6732" width="16" style="55" customWidth="1"/>
    <col min="6733" max="6736" width="13.42578125" style="55" customWidth="1"/>
    <col min="6737" max="6737" width="2.140625" style="55" customWidth="1"/>
    <col min="6738" max="6738" width="10.42578125" style="55" customWidth="1"/>
    <col min="6739" max="6739" width="14.140625" style="55" customWidth="1"/>
    <col min="6740" max="6740" width="9.140625" style="55"/>
    <col min="6741" max="6741" width="13.85546875" style="55" customWidth="1"/>
    <col min="6742" max="6742" width="9.140625" style="55"/>
    <col min="6743" max="6743" width="12.5703125" style="55" customWidth="1"/>
    <col min="6744" max="6744" width="10.42578125" style="55" customWidth="1"/>
    <col min="6745" max="6746" width="13.5703125" style="55" customWidth="1"/>
    <col min="6747" max="6747" width="13" style="55" customWidth="1"/>
    <col min="6748" max="6748" width="13.5703125" style="55" customWidth="1"/>
    <col min="6749" max="6751" width="13" style="55" customWidth="1"/>
    <col min="6752" max="6950" width="9.140625" style="55"/>
    <col min="6951" max="6951" width="14" style="55" customWidth="1"/>
    <col min="6952" max="6952" width="2" style="55" customWidth="1"/>
    <col min="6953" max="6953" width="11.85546875" style="55" customWidth="1"/>
    <col min="6954" max="6955" width="13.5703125" style="55" customWidth="1"/>
    <col min="6956" max="6956" width="13.85546875" style="55" customWidth="1"/>
    <col min="6957" max="6958" width="14.5703125" style="55" customWidth="1"/>
    <col min="6959" max="6977" width="13.42578125" style="55" customWidth="1"/>
    <col min="6978" max="6978" width="10.5703125" style="55" customWidth="1"/>
    <col min="6979" max="6979" width="13.42578125" style="55" customWidth="1"/>
    <col min="6980" max="6980" width="11" style="55" customWidth="1"/>
    <col min="6981" max="6984" width="13.42578125" style="55" customWidth="1"/>
    <col min="6985" max="6985" width="19.5703125" style="55" customWidth="1"/>
    <col min="6986" max="6986" width="16.42578125" style="55" customWidth="1"/>
    <col min="6987" max="6987" width="13.42578125" style="55" customWidth="1"/>
    <col min="6988" max="6988" width="16" style="55" customWidth="1"/>
    <col min="6989" max="6992" width="13.42578125" style="55" customWidth="1"/>
    <col min="6993" max="6993" width="2.140625" style="55" customWidth="1"/>
    <col min="6994" max="6994" width="10.42578125" style="55" customWidth="1"/>
    <col min="6995" max="6995" width="14.140625" style="55" customWidth="1"/>
    <col min="6996" max="6996" width="9.140625" style="55"/>
    <col min="6997" max="6997" width="13.85546875" style="55" customWidth="1"/>
    <col min="6998" max="6998" width="9.140625" style="55"/>
    <col min="6999" max="6999" width="12.5703125" style="55" customWidth="1"/>
    <col min="7000" max="7000" width="10.42578125" style="55" customWidth="1"/>
    <col min="7001" max="7002" width="13.5703125" style="55" customWidth="1"/>
    <col min="7003" max="7003" width="13" style="55" customWidth="1"/>
    <col min="7004" max="7004" width="13.5703125" style="55" customWidth="1"/>
    <col min="7005" max="7007" width="13" style="55" customWidth="1"/>
    <col min="7008" max="7206" width="9.140625" style="55"/>
    <col min="7207" max="7207" width="14" style="55" customWidth="1"/>
    <col min="7208" max="7208" width="2" style="55" customWidth="1"/>
    <col min="7209" max="7209" width="11.85546875" style="55" customWidth="1"/>
    <col min="7210" max="7211" width="13.5703125" style="55" customWidth="1"/>
    <col min="7212" max="7212" width="13.85546875" style="55" customWidth="1"/>
    <col min="7213" max="7214" width="14.5703125" style="55" customWidth="1"/>
    <col min="7215" max="7233" width="13.42578125" style="55" customWidth="1"/>
    <col min="7234" max="7234" width="10.5703125" style="55" customWidth="1"/>
    <col min="7235" max="7235" width="13.42578125" style="55" customWidth="1"/>
    <col min="7236" max="7236" width="11" style="55" customWidth="1"/>
    <col min="7237" max="7240" width="13.42578125" style="55" customWidth="1"/>
    <col min="7241" max="7241" width="19.5703125" style="55" customWidth="1"/>
    <col min="7242" max="7242" width="16.42578125" style="55" customWidth="1"/>
    <col min="7243" max="7243" width="13.42578125" style="55" customWidth="1"/>
    <col min="7244" max="7244" width="16" style="55" customWidth="1"/>
    <col min="7245" max="7248" width="13.42578125" style="55" customWidth="1"/>
    <col min="7249" max="7249" width="2.140625" style="55" customWidth="1"/>
    <col min="7250" max="7250" width="10.42578125" style="55" customWidth="1"/>
    <col min="7251" max="7251" width="14.140625" style="55" customWidth="1"/>
    <col min="7252" max="7252" width="9.140625" style="55"/>
    <col min="7253" max="7253" width="13.85546875" style="55" customWidth="1"/>
    <col min="7254" max="7254" width="9.140625" style="55"/>
    <col min="7255" max="7255" width="12.5703125" style="55" customWidth="1"/>
    <col min="7256" max="7256" width="10.42578125" style="55" customWidth="1"/>
    <col min="7257" max="7258" width="13.5703125" style="55" customWidth="1"/>
    <col min="7259" max="7259" width="13" style="55" customWidth="1"/>
    <col min="7260" max="7260" width="13.5703125" style="55" customWidth="1"/>
    <col min="7261" max="7263" width="13" style="55" customWidth="1"/>
    <col min="7264" max="7462" width="9.140625" style="55"/>
    <col min="7463" max="7463" width="14" style="55" customWidth="1"/>
    <col min="7464" max="7464" width="2" style="55" customWidth="1"/>
    <col min="7465" max="7465" width="11.85546875" style="55" customWidth="1"/>
    <col min="7466" max="7467" width="13.5703125" style="55" customWidth="1"/>
    <col min="7468" max="7468" width="13.85546875" style="55" customWidth="1"/>
    <col min="7469" max="7470" width="14.5703125" style="55" customWidth="1"/>
    <col min="7471" max="7489" width="13.42578125" style="55" customWidth="1"/>
    <col min="7490" max="7490" width="10.5703125" style="55" customWidth="1"/>
    <col min="7491" max="7491" width="13.42578125" style="55" customWidth="1"/>
    <col min="7492" max="7492" width="11" style="55" customWidth="1"/>
    <col min="7493" max="7496" width="13.42578125" style="55" customWidth="1"/>
    <col min="7497" max="7497" width="19.5703125" style="55" customWidth="1"/>
    <col min="7498" max="7498" width="16.42578125" style="55" customWidth="1"/>
    <col min="7499" max="7499" width="13.42578125" style="55" customWidth="1"/>
    <col min="7500" max="7500" width="16" style="55" customWidth="1"/>
    <col min="7501" max="7504" width="13.42578125" style="55" customWidth="1"/>
    <col min="7505" max="7505" width="2.140625" style="55" customWidth="1"/>
    <col min="7506" max="7506" width="10.42578125" style="55" customWidth="1"/>
    <col min="7507" max="7507" width="14.140625" style="55" customWidth="1"/>
    <col min="7508" max="7508" width="9.140625" style="55"/>
    <col min="7509" max="7509" width="13.85546875" style="55" customWidth="1"/>
    <col min="7510" max="7510" width="9.140625" style="55"/>
    <col min="7511" max="7511" width="12.5703125" style="55" customWidth="1"/>
    <col min="7512" max="7512" width="10.42578125" style="55" customWidth="1"/>
    <col min="7513" max="7514" width="13.5703125" style="55" customWidth="1"/>
    <col min="7515" max="7515" width="13" style="55" customWidth="1"/>
    <col min="7516" max="7516" width="13.5703125" style="55" customWidth="1"/>
    <col min="7517" max="7519" width="13" style="55" customWidth="1"/>
    <col min="7520" max="7718" width="9.140625" style="55"/>
    <col min="7719" max="7719" width="14" style="55" customWidth="1"/>
    <col min="7720" max="7720" width="2" style="55" customWidth="1"/>
    <col min="7721" max="7721" width="11.85546875" style="55" customWidth="1"/>
    <col min="7722" max="7723" width="13.5703125" style="55" customWidth="1"/>
    <col min="7724" max="7724" width="13.85546875" style="55" customWidth="1"/>
    <col min="7725" max="7726" width="14.5703125" style="55" customWidth="1"/>
    <col min="7727" max="7745" width="13.42578125" style="55" customWidth="1"/>
    <col min="7746" max="7746" width="10.5703125" style="55" customWidth="1"/>
    <col min="7747" max="7747" width="13.42578125" style="55" customWidth="1"/>
    <col min="7748" max="7748" width="11" style="55" customWidth="1"/>
    <col min="7749" max="7752" width="13.42578125" style="55" customWidth="1"/>
    <col min="7753" max="7753" width="19.5703125" style="55" customWidth="1"/>
    <col min="7754" max="7754" width="16.42578125" style="55" customWidth="1"/>
    <col min="7755" max="7755" width="13.42578125" style="55" customWidth="1"/>
    <col min="7756" max="7756" width="16" style="55" customWidth="1"/>
    <col min="7757" max="7760" width="13.42578125" style="55" customWidth="1"/>
    <col min="7761" max="7761" width="2.140625" style="55" customWidth="1"/>
    <col min="7762" max="7762" width="10.42578125" style="55" customWidth="1"/>
    <col min="7763" max="7763" width="14.140625" style="55" customWidth="1"/>
    <col min="7764" max="7764" width="9.140625" style="55"/>
    <col min="7765" max="7765" width="13.85546875" style="55" customWidth="1"/>
    <col min="7766" max="7766" width="9.140625" style="55"/>
    <col min="7767" max="7767" width="12.5703125" style="55" customWidth="1"/>
    <col min="7768" max="7768" width="10.42578125" style="55" customWidth="1"/>
    <col min="7769" max="7770" width="13.5703125" style="55" customWidth="1"/>
    <col min="7771" max="7771" width="13" style="55" customWidth="1"/>
    <col min="7772" max="7772" width="13.5703125" style="55" customWidth="1"/>
    <col min="7773" max="7775" width="13" style="55" customWidth="1"/>
    <col min="7776" max="7974" width="9.140625" style="55"/>
    <col min="7975" max="7975" width="14" style="55" customWidth="1"/>
    <col min="7976" max="7976" width="2" style="55" customWidth="1"/>
    <col min="7977" max="7977" width="11.85546875" style="55" customWidth="1"/>
    <col min="7978" max="7979" width="13.5703125" style="55" customWidth="1"/>
    <col min="7980" max="7980" width="13.85546875" style="55" customWidth="1"/>
    <col min="7981" max="7982" width="14.5703125" style="55" customWidth="1"/>
    <col min="7983" max="8001" width="13.42578125" style="55" customWidth="1"/>
    <col min="8002" max="8002" width="10.5703125" style="55" customWidth="1"/>
    <col min="8003" max="8003" width="13.42578125" style="55" customWidth="1"/>
    <col min="8004" max="8004" width="11" style="55" customWidth="1"/>
    <col min="8005" max="8008" width="13.42578125" style="55" customWidth="1"/>
    <col min="8009" max="8009" width="19.5703125" style="55" customWidth="1"/>
    <col min="8010" max="8010" width="16.42578125" style="55" customWidth="1"/>
    <col min="8011" max="8011" width="13.42578125" style="55" customWidth="1"/>
    <col min="8012" max="8012" width="16" style="55" customWidth="1"/>
    <col min="8013" max="8016" width="13.42578125" style="55" customWidth="1"/>
    <col min="8017" max="8017" width="2.140625" style="55" customWidth="1"/>
    <col min="8018" max="8018" width="10.42578125" style="55" customWidth="1"/>
    <col min="8019" max="8019" width="14.140625" style="55" customWidth="1"/>
    <col min="8020" max="8020" width="9.140625" style="55"/>
    <col min="8021" max="8021" width="13.85546875" style="55" customWidth="1"/>
    <col min="8022" max="8022" width="9.140625" style="55"/>
    <col min="8023" max="8023" width="12.5703125" style="55" customWidth="1"/>
    <col min="8024" max="8024" width="10.42578125" style="55" customWidth="1"/>
    <col min="8025" max="8026" width="13.5703125" style="55" customWidth="1"/>
    <col min="8027" max="8027" width="13" style="55" customWidth="1"/>
    <col min="8028" max="8028" width="13.5703125" style="55" customWidth="1"/>
    <col min="8029" max="8031" width="13" style="55" customWidth="1"/>
    <col min="8032" max="8230" width="9.140625" style="55"/>
    <col min="8231" max="8231" width="14" style="55" customWidth="1"/>
    <col min="8232" max="8232" width="2" style="55" customWidth="1"/>
    <col min="8233" max="8233" width="11.85546875" style="55" customWidth="1"/>
    <col min="8234" max="8235" width="13.5703125" style="55" customWidth="1"/>
    <col min="8236" max="8236" width="13.85546875" style="55" customWidth="1"/>
    <col min="8237" max="8238" width="14.5703125" style="55" customWidth="1"/>
    <col min="8239" max="8257" width="13.42578125" style="55" customWidth="1"/>
    <col min="8258" max="8258" width="10.5703125" style="55" customWidth="1"/>
    <col min="8259" max="8259" width="13.42578125" style="55" customWidth="1"/>
    <col min="8260" max="8260" width="11" style="55" customWidth="1"/>
    <col min="8261" max="8264" width="13.42578125" style="55" customWidth="1"/>
    <col min="8265" max="8265" width="19.5703125" style="55" customWidth="1"/>
    <col min="8266" max="8266" width="16.42578125" style="55" customWidth="1"/>
    <col min="8267" max="8267" width="13.42578125" style="55" customWidth="1"/>
    <col min="8268" max="8268" width="16" style="55" customWidth="1"/>
    <col min="8269" max="8272" width="13.42578125" style="55" customWidth="1"/>
    <col min="8273" max="8273" width="2.140625" style="55" customWidth="1"/>
    <col min="8274" max="8274" width="10.42578125" style="55" customWidth="1"/>
    <col min="8275" max="8275" width="14.140625" style="55" customWidth="1"/>
    <col min="8276" max="8276" width="9.140625" style="55"/>
    <col min="8277" max="8277" width="13.85546875" style="55" customWidth="1"/>
    <col min="8278" max="8278" width="9.140625" style="55"/>
    <col min="8279" max="8279" width="12.5703125" style="55" customWidth="1"/>
    <col min="8280" max="8280" width="10.42578125" style="55" customWidth="1"/>
    <col min="8281" max="8282" width="13.5703125" style="55" customWidth="1"/>
    <col min="8283" max="8283" width="13" style="55" customWidth="1"/>
    <col min="8284" max="8284" width="13.5703125" style="55" customWidth="1"/>
    <col min="8285" max="8287" width="13" style="55" customWidth="1"/>
    <col min="8288" max="8486" width="9.140625" style="55"/>
    <col min="8487" max="8487" width="14" style="55" customWidth="1"/>
    <col min="8488" max="8488" width="2" style="55" customWidth="1"/>
    <col min="8489" max="8489" width="11.85546875" style="55" customWidth="1"/>
    <col min="8490" max="8491" width="13.5703125" style="55" customWidth="1"/>
    <col min="8492" max="8492" width="13.85546875" style="55" customWidth="1"/>
    <col min="8493" max="8494" width="14.5703125" style="55" customWidth="1"/>
    <col min="8495" max="8513" width="13.42578125" style="55" customWidth="1"/>
    <col min="8514" max="8514" width="10.5703125" style="55" customWidth="1"/>
    <col min="8515" max="8515" width="13.42578125" style="55" customWidth="1"/>
    <col min="8516" max="8516" width="11" style="55" customWidth="1"/>
    <col min="8517" max="8520" width="13.42578125" style="55" customWidth="1"/>
    <col min="8521" max="8521" width="19.5703125" style="55" customWidth="1"/>
    <col min="8522" max="8522" width="16.42578125" style="55" customWidth="1"/>
    <col min="8523" max="8523" width="13.42578125" style="55" customWidth="1"/>
    <col min="8524" max="8524" width="16" style="55" customWidth="1"/>
    <col min="8525" max="8528" width="13.42578125" style="55" customWidth="1"/>
    <col min="8529" max="8529" width="2.140625" style="55" customWidth="1"/>
    <col min="8530" max="8530" width="10.42578125" style="55" customWidth="1"/>
    <col min="8531" max="8531" width="14.140625" style="55" customWidth="1"/>
    <col min="8532" max="8532" width="9.140625" style="55"/>
    <col min="8533" max="8533" width="13.85546875" style="55" customWidth="1"/>
    <col min="8534" max="8534" width="9.140625" style="55"/>
    <col min="8535" max="8535" width="12.5703125" style="55" customWidth="1"/>
    <col min="8536" max="8536" width="10.42578125" style="55" customWidth="1"/>
    <col min="8537" max="8538" width="13.5703125" style="55" customWidth="1"/>
    <col min="8539" max="8539" width="13" style="55" customWidth="1"/>
    <col min="8540" max="8540" width="13.5703125" style="55" customWidth="1"/>
    <col min="8541" max="8543" width="13" style="55" customWidth="1"/>
    <col min="8544" max="8742" width="9.140625" style="55"/>
    <col min="8743" max="8743" width="14" style="55" customWidth="1"/>
    <col min="8744" max="8744" width="2" style="55" customWidth="1"/>
    <col min="8745" max="8745" width="11.85546875" style="55" customWidth="1"/>
    <col min="8746" max="8747" width="13.5703125" style="55" customWidth="1"/>
    <col min="8748" max="8748" width="13.85546875" style="55" customWidth="1"/>
    <col min="8749" max="8750" width="14.5703125" style="55" customWidth="1"/>
    <col min="8751" max="8769" width="13.42578125" style="55" customWidth="1"/>
    <col min="8770" max="8770" width="10.5703125" style="55" customWidth="1"/>
    <col min="8771" max="8771" width="13.42578125" style="55" customWidth="1"/>
    <col min="8772" max="8772" width="11" style="55" customWidth="1"/>
    <col min="8773" max="8776" width="13.42578125" style="55" customWidth="1"/>
    <col min="8777" max="8777" width="19.5703125" style="55" customWidth="1"/>
    <col min="8778" max="8778" width="16.42578125" style="55" customWidth="1"/>
    <col min="8779" max="8779" width="13.42578125" style="55" customWidth="1"/>
    <col min="8780" max="8780" width="16" style="55" customWidth="1"/>
    <col min="8781" max="8784" width="13.42578125" style="55" customWidth="1"/>
    <col min="8785" max="8785" width="2.140625" style="55" customWidth="1"/>
    <col min="8786" max="8786" width="10.42578125" style="55" customWidth="1"/>
    <col min="8787" max="8787" width="14.140625" style="55" customWidth="1"/>
    <col min="8788" max="8788" width="9.140625" style="55"/>
    <col min="8789" max="8789" width="13.85546875" style="55" customWidth="1"/>
    <col min="8790" max="8790" width="9.140625" style="55"/>
    <col min="8791" max="8791" width="12.5703125" style="55" customWidth="1"/>
    <col min="8792" max="8792" width="10.42578125" style="55" customWidth="1"/>
    <col min="8793" max="8794" width="13.5703125" style="55" customWidth="1"/>
    <col min="8795" max="8795" width="13" style="55" customWidth="1"/>
    <col min="8796" max="8796" width="13.5703125" style="55" customWidth="1"/>
    <col min="8797" max="8799" width="13" style="55" customWidth="1"/>
    <col min="8800" max="8998" width="9.140625" style="55"/>
    <col min="8999" max="8999" width="14" style="55" customWidth="1"/>
    <col min="9000" max="9000" width="2" style="55" customWidth="1"/>
    <col min="9001" max="9001" width="11.85546875" style="55" customWidth="1"/>
    <col min="9002" max="9003" width="13.5703125" style="55" customWidth="1"/>
    <col min="9004" max="9004" width="13.85546875" style="55" customWidth="1"/>
    <col min="9005" max="9006" width="14.5703125" style="55" customWidth="1"/>
    <col min="9007" max="9025" width="13.42578125" style="55" customWidth="1"/>
    <col min="9026" max="9026" width="10.5703125" style="55" customWidth="1"/>
    <col min="9027" max="9027" width="13.42578125" style="55" customWidth="1"/>
    <col min="9028" max="9028" width="11" style="55" customWidth="1"/>
    <col min="9029" max="9032" width="13.42578125" style="55" customWidth="1"/>
    <col min="9033" max="9033" width="19.5703125" style="55" customWidth="1"/>
    <col min="9034" max="9034" width="16.42578125" style="55" customWidth="1"/>
    <col min="9035" max="9035" width="13.42578125" style="55" customWidth="1"/>
    <col min="9036" max="9036" width="16" style="55" customWidth="1"/>
    <col min="9037" max="9040" width="13.42578125" style="55" customWidth="1"/>
    <col min="9041" max="9041" width="2.140625" style="55" customWidth="1"/>
    <col min="9042" max="9042" width="10.42578125" style="55" customWidth="1"/>
    <col min="9043" max="9043" width="14.140625" style="55" customWidth="1"/>
    <col min="9044" max="9044" width="9.140625" style="55"/>
    <col min="9045" max="9045" width="13.85546875" style="55" customWidth="1"/>
    <col min="9046" max="9046" width="9.140625" style="55"/>
    <col min="9047" max="9047" width="12.5703125" style="55" customWidth="1"/>
    <col min="9048" max="9048" width="10.42578125" style="55" customWidth="1"/>
    <col min="9049" max="9050" width="13.5703125" style="55" customWidth="1"/>
    <col min="9051" max="9051" width="13" style="55" customWidth="1"/>
    <col min="9052" max="9052" width="13.5703125" style="55" customWidth="1"/>
    <col min="9053" max="9055" width="13" style="55" customWidth="1"/>
    <col min="9056" max="9254" width="9.140625" style="55"/>
    <col min="9255" max="9255" width="14" style="55" customWidth="1"/>
    <col min="9256" max="9256" width="2" style="55" customWidth="1"/>
    <col min="9257" max="9257" width="11.85546875" style="55" customWidth="1"/>
    <col min="9258" max="9259" width="13.5703125" style="55" customWidth="1"/>
    <col min="9260" max="9260" width="13.85546875" style="55" customWidth="1"/>
    <col min="9261" max="9262" width="14.5703125" style="55" customWidth="1"/>
    <col min="9263" max="9281" width="13.42578125" style="55" customWidth="1"/>
    <col min="9282" max="9282" width="10.5703125" style="55" customWidth="1"/>
    <col min="9283" max="9283" width="13.42578125" style="55" customWidth="1"/>
    <col min="9284" max="9284" width="11" style="55" customWidth="1"/>
    <col min="9285" max="9288" width="13.42578125" style="55" customWidth="1"/>
    <col min="9289" max="9289" width="19.5703125" style="55" customWidth="1"/>
    <col min="9290" max="9290" width="16.42578125" style="55" customWidth="1"/>
    <col min="9291" max="9291" width="13.42578125" style="55" customWidth="1"/>
    <col min="9292" max="9292" width="16" style="55" customWidth="1"/>
    <col min="9293" max="9296" width="13.42578125" style="55" customWidth="1"/>
    <col min="9297" max="9297" width="2.140625" style="55" customWidth="1"/>
    <col min="9298" max="9298" width="10.42578125" style="55" customWidth="1"/>
    <col min="9299" max="9299" width="14.140625" style="55" customWidth="1"/>
    <col min="9300" max="9300" width="9.140625" style="55"/>
    <col min="9301" max="9301" width="13.85546875" style="55" customWidth="1"/>
    <col min="9302" max="9302" width="9.140625" style="55"/>
    <col min="9303" max="9303" width="12.5703125" style="55" customWidth="1"/>
    <col min="9304" max="9304" width="10.42578125" style="55" customWidth="1"/>
    <col min="9305" max="9306" width="13.5703125" style="55" customWidth="1"/>
    <col min="9307" max="9307" width="13" style="55" customWidth="1"/>
    <col min="9308" max="9308" width="13.5703125" style="55" customWidth="1"/>
    <col min="9309" max="9311" width="13" style="55" customWidth="1"/>
    <col min="9312" max="9510" width="9.140625" style="55"/>
    <col min="9511" max="9511" width="14" style="55" customWidth="1"/>
    <col min="9512" max="9512" width="2" style="55" customWidth="1"/>
    <col min="9513" max="9513" width="11.85546875" style="55" customWidth="1"/>
    <col min="9514" max="9515" width="13.5703125" style="55" customWidth="1"/>
    <col min="9516" max="9516" width="13.85546875" style="55" customWidth="1"/>
    <col min="9517" max="9518" width="14.5703125" style="55" customWidth="1"/>
    <col min="9519" max="9537" width="13.42578125" style="55" customWidth="1"/>
    <col min="9538" max="9538" width="10.5703125" style="55" customWidth="1"/>
    <col min="9539" max="9539" width="13.42578125" style="55" customWidth="1"/>
    <col min="9540" max="9540" width="11" style="55" customWidth="1"/>
    <col min="9541" max="9544" width="13.42578125" style="55" customWidth="1"/>
    <col min="9545" max="9545" width="19.5703125" style="55" customWidth="1"/>
    <col min="9546" max="9546" width="16.42578125" style="55" customWidth="1"/>
    <col min="9547" max="9547" width="13.42578125" style="55" customWidth="1"/>
    <col min="9548" max="9548" width="16" style="55" customWidth="1"/>
    <col min="9549" max="9552" width="13.42578125" style="55" customWidth="1"/>
    <col min="9553" max="9553" width="2.140625" style="55" customWidth="1"/>
    <col min="9554" max="9554" width="10.42578125" style="55" customWidth="1"/>
    <col min="9555" max="9555" width="14.140625" style="55" customWidth="1"/>
    <col min="9556" max="9556" width="9.140625" style="55"/>
    <col min="9557" max="9557" width="13.85546875" style="55" customWidth="1"/>
    <col min="9558" max="9558" width="9.140625" style="55"/>
    <col min="9559" max="9559" width="12.5703125" style="55" customWidth="1"/>
    <col min="9560" max="9560" width="10.42578125" style="55" customWidth="1"/>
    <col min="9561" max="9562" width="13.5703125" style="55" customWidth="1"/>
    <col min="9563" max="9563" width="13" style="55" customWidth="1"/>
    <col min="9564" max="9564" width="13.5703125" style="55" customWidth="1"/>
    <col min="9565" max="9567" width="13" style="55" customWidth="1"/>
    <col min="9568" max="9766" width="9.140625" style="55"/>
    <col min="9767" max="9767" width="14" style="55" customWidth="1"/>
    <col min="9768" max="9768" width="2" style="55" customWidth="1"/>
    <col min="9769" max="9769" width="11.85546875" style="55" customWidth="1"/>
    <col min="9770" max="9771" width="13.5703125" style="55" customWidth="1"/>
    <col min="9772" max="9772" width="13.85546875" style="55" customWidth="1"/>
    <col min="9773" max="9774" width="14.5703125" style="55" customWidth="1"/>
    <col min="9775" max="9793" width="13.42578125" style="55" customWidth="1"/>
    <col min="9794" max="9794" width="10.5703125" style="55" customWidth="1"/>
    <col min="9795" max="9795" width="13.42578125" style="55" customWidth="1"/>
    <col min="9796" max="9796" width="11" style="55" customWidth="1"/>
    <col min="9797" max="9800" width="13.42578125" style="55" customWidth="1"/>
    <col min="9801" max="9801" width="19.5703125" style="55" customWidth="1"/>
    <col min="9802" max="9802" width="16.42578125" style="55" customWidth="1"/>
    <col min="9803" max="9803" width="13.42578125" style="55" customWidth="1"/>
    <col min="9804" max="9804" width="16" style="55" customWidth="1"/>
    <col min="9805" max="9808" width="13.42578125" style="55" customWidth="1"/>
    <col min="9809" max="9809" width="2.140625" style="55" customWidth="1"/>
    <col min="9810" max="9810" width="10.42578125" style="55" customWidth="1"/>
    <col min="9811" max="9811" width="14.140625" style="55" customWidth="1"/>
    <col min="9812" max="9812" width="9.140625" style="55"/>
    <col min="9813" max="9813" width="13.85546875" style="55" customWidth="1"/>
    <col min="9814" max="9814" width="9.140625" style="55"/>
    <col min="9815" max="9815" width="12.5703125" style="55" customWidth="1"/>
    <col min="9816" max="9816" width="10.42578125" style="55" customWidth="1"/>
    <col min="9817" max="9818" width="13.5703125" style="55" customWidth="1"/>
    <col min="9819" max="9819" width="13" style="55" customWidth="1"/>
    <col min="9820" max="9820" width="13.5703125" style="55" customWidth="1"/>
    <col min="9821" max="9823" width="13" style="55" customWidth="1"/>
    <col min="9824" max="10022" width="9.140625" style="55"/>
    <col min="10023" max="10023" width="14" style="55" customWidth="1"/>
    <col min="10024" max="10024" width="2" style="55" customWidth="1"/>
    <col min="10025" max="10025" width="11.85546875" style="55" customWidth="1"/>
    <col min="10026" max="10027" width="13.5703125" style="55" customWidth="1"/>
    <col min="10028" max="10028" width="13.85546875" style="55" customWidth="1"/>
    <col min="10029" max="10030" width="14.5703125" style="55" customWidth="1"/>
    <col min="10031" max="10049" width="13.42578125" style="55" customWidth="1"/>
    <col min="10050" max="10050" width="10.5703125" style="55" customWidth="1"/>
    <col min="10051" max="10051" width="13.42578125" style="55" customWidth="1"/>
    <col min="10052" max="10052" width="11" style="55" customWidth="1"/>
    <col min="10053" max="10056" width="13.42578125" style="55" customWidth="1"/>
    <col min="10057" max="10057" width="19.5703125" style="55" customWidth="1"/>
    <col min="10058" max="10058" width="16.42578125" style="55" customWidth="1"/>
    <col min="10059" max="10059" width="13.42578125" style="55" customWidth="1"/>
    <col min="10060" max="10060" width="16" style="55" customWidth="1"/>
    <col min="10061" max="10064" width="13.42578125" style="55" customWidth="1"/>
    <col min="10065" max="10065" width="2.140625" style="55" customWidth="1"/>
    <col min="10066" max="10066" width="10.42578125" style="55" customWidth="1"/>
    <col min="10067" max="10067" width="14.140625" style="55" customWidth="1"/>
    <col min="10068" max="10068" width="9.140625" style="55"/>
    <col min="10069" max="10069" width="13.85546875" style="55" customWidth="1"/>
    <col min="10070" max="10070" width="9.140625" style="55"/>
    <col min="10071" max="10071" width="12.5703125" style="55" customWidth="1"/>
    <col min="10072" max="10072" width="10.42578125" style="55" customWidth="1"/>
    <col min="10073" max="10074" width="13.5703125" style="55" customWidth="1"/>
    <col min="10075" max="10075" width="13" style="55" customWidth="1"/>
    <col min="10076" max="10076" width="13.5703125" style="55" customWidth="1"/>
    <col min="10077" max="10079" width="13" style="55" customWidth="1"/>
    <col min="10080" max="10278" width="9.140625" style="55"/>
    <col min="10279" max="10279" width="14" style="55" customWidth="1"/>
    <col min="10280" max="10280" width="2" style="55" customWidth="1"/>
    <col min="10281" max="10281" width="11.85546875" style="55" customWidth="1"/>
    <col min="10282" max="10283" width="13.5703125" style="55" customWidth="1"/>
    <col min="10284" max="10284" width="13.85546875" style="55" customWidth="1"/>
    <col min="10285" max="10286" width="14.5703125" style="55" customWidth="1"/>
    <col min="10287" max="10305" width="13.42578125" style="55" customWidth="1"/>
    <col min="10306" max="10306" width="10.5703125" style="55" customWidth="1"/>
    <col min="10307" max="10307" width="13.42578125" style="55" customWidth="1"/>
    <col min="10308" max="10308" width="11" style="55" customWidth="1"/>
    <col min="10309" max="10312" width="13.42578125" style="55" customWidth="1"/>
    <col min="10313" max="10313" width="19.5703125" style="55" customWidth="1"/>
    <col min="10314" max="10314" width="16.42578125" style="55" customWidth="1"/>
    <col min="10315" max="10315" width="13.42578125" style="55" customWidth="1"/>
    <col min="10316" max="10316" width="16" style="55" customWidth="1"/>
    <col min="10317" max="10320" width="13.42578125" style="55" customWidth="1"/>
    <col min="10321" max="10321" width="2.140625" style="55" customWidth="1"/>
    <col min="10322" max="10322" width="10.42578125" style="55" customWidth="1"/>
    <col min="10323" max="10323" width="14.140625" style="55" customWidth="1"/>
    <col min="10324" max="10324" width="9.140625" style="55"/>
    <col min="10325" max="10325" width="13.85546875" style="55" customWidth="1"/>
    <col min="10326" max="10326" width="9.140625" style="55"/>
    <col min="10327" max="10327" width="12.5703125" style="55" customWidth="1"/>
    <col min="10328" max="10328" width="10.42578125" style="55" customWidth="1"/>
    <col min="10329" max="10330" width="13.5703125" style="55" customWidth="1"/>
    <col min="10331" max="10331" width="13" style="55" customWidth="1"/>
    <col min="10332" max="10332" width="13.5703125" style="55" customWidth="1"/>
    <col min="10333" max="10335" width="13" style="55" customWidth="1"/>
    <col min="10336" max="10534" width="9.140625" style="55"/>
    <col min="10535" max="10535" width="14" style="55" customWidth="1"/>
    <col min="10536" max="10536" width="2" style="55" customWidth="1"/>
    <col min="10537" max="10537" width="11.85546875" style="55" customWidth="1"/>
    <col min="10538" max="10539" width="13.5703125" style="55" customWidth="1"/>
    <col min="10540" max="10540" width="13.85546875" style="55" customWidth="1"/>
    <col min="10541" max="10542" width="14.5703125" style="55" customWidth="1"/>
    <col min="10543" max="10561" width="13.42578125" style="55" customWidth="1"/>
    <col min="10562" max="10562" width="10.5703125" style="55" customWidth="1"/>
    <col min="10563" max="10563" width="13.42578125" style="55" customWidth="1"/>
    <col min="10564" max="10564" width="11" style="55" customWidth="1"/>
    <col min="10565" max="10568" width="13.42578125" style="55" customWidth="1"/>
    <col min="10569" max="10569" width="19.5703125" style="55" customWidth="1"/>
    <col min="10570" max="10570" width="16.42578125" style="55" customWidth="1"/>
    <col min="10571" max="10571" width="13.42578125" style="55" customWidth="1"/>
    <col min="10572" max="10572" width="16" style="55" customWidth="1"/>
    <col min="10573" max="10576" width="13.42578125" style="55" customWidth="1"/>
    <col min="10577" max="10577" width="2.140625" style="55" customWidth="1"/>
    <col min="10578" max="10578" width="10.42578125" style="55" customWidth="1"/>
    <col min="10579" max="10579" width="14.140625" style="55" customWidth="1"/>
    <col min="10580" max="10580" width="9.140625" style="55"/>
    <col min="10581" max="10581" width="13.85546875" style="55" customWidth="1"/>
    <col min="10582" max="10582" width="9.140625" style="55"/>
    <col min="10583" max="10583" width="12.5703125" style="55" customWidth="1"/>
    <col min="10584" max="10584" width="10.42578125" style="55" customWidth="1"/>
    <col min="10585" max="10586" width="13.5703125" style="55" customWidth="1"/>
    <col min="10587" max="10587" width="13" style="55" customWidth="1"/>
    <col min="10588" max="10588" width="13.5703125" style="55" customWidth="1"/>
    <col min="10589" max="10591" width="13" style="55" customWidth="1"/>
    <col min="10592" max="10790" width="9.140625" style="55"/>
    <col min="10791" max="10791" width="14" style="55" customWidth="1"/>
    <col min="10792" max="10792" width="2" style="55" customWidth="1"/>
    <col min="10793" max="10793" width="11.85546875" style="55" customWidth="1"/>
    <col min="10794" max="10795" width="13.5703125" style="55" customWidth="1"/>
    <col min="10796" max="10796" width="13.85546875" style="55" customWidth="1"/>
    <col min="10797" max="10798" width="14.5703125" style="55" customWidth="1"/>
    <col min="10799" max="10817" width="13.42578125" style="55" customWidth="1"/>
    <col min="10818" max="10818" width="10.5703125" style="55" customWidth="1"/>
    <col min="10819" max="10819" width="13.42578125" style="55" customWidth="1"/>
    <col min="10820" max="10820" width="11" style="55" customWidth="1"/>
    <col min="10821" max="10824" width="13.42578125" style="55" customWidth="1"/>
    <col min="10825" max="10825" width="19.5703125" style="55" customWidth="1"/>
    <col min="10826" max="10826" width="16.42578125" style="55" customWidth="1"/>
    <col min="10827" max="10827" width="13.42578125" style="55" customWidth="1"/>
    <col min="10828" max="10828" width="16" style="55" customWidth="1"/>
    <col min="10829" max="10832" width="13.42578125" style="55" customWidth="1"/>
    <col min="10833" max="10833" width="2.140625" style="55" customWidth="1"/>
    <col min="10834" max="10834" width="10.42578125" style="55" customWidth="1"/>
    <col min="10835" max="10835" width="14.140625" style="55" customWidth="1"/>
    <col min="10836" max="10836" width="9.140625" style="55"/>
    <col min="10837" max="10837" width="13.85546875" style="55" customWidth="1"/>
    <col min="10838" max="10838" width="9.140625" style="55"/>
    <col min="10839" max="10839" width="12.5703125" style="55" customWidth="1"/>
    <col min="10840" max="10840" width="10.42578125" style="55" customWidth="1"/>
    <col min="10841" max="10842" width="13.5703125" style="55" customWidth="1"/>
    <col min="10843" max="10843" width="13" style="55" customWidth="1"/>
    <col min="10844" max="10844" width="13.5703125" style="55" customWidth="1"/>
    <col min="10845" max="10847" width="13" style="55" customWidth="1"/>
    <col min="10848" max="11046" width="9.140625" style="55"/>
    <col min="11047" max="11047" width="14" style="55" customWidth="1"/>
    <col min="11048" max="11048" width="2" style="55" customWidth="1"/>
    <col min="11049" max="11049" width="11.85546875" style="55" customWidth="1"/>
    <col min="11050" max="11051" width="13.5703125" style="55" customWidth="1"/>
    <col min="11052" max="11052" width="13.85546875" style="55" customWidth="1"/>
    <col min="11053" max="11054" width="14.5703125" style="55" customWidth="1"/>
    <col min="11055" max="11073" width="13.42578125" style="55" customWidth="1"/>
    <col min="11074" max="11074" width="10.5703125" style="55" customWidth="1"/>
    <col min="11075" max="11075" width="13.42578125" style="55" customWidth="1"/>
    <col min="11076" max="11076" width="11" style="55" customWidth="1"/>
    <col min="11077" max="11080" width="13.42578125" style="55" customWidth="1"/>
    <col min="11081" max="11081" width="19.5703125" style="55" customWidth="1"/>
    <col min="11082" max="11082" width="16.42578125" style="55" customWidth="1"/>
    <col min="11083" max="11083" width="13.42578125" style="55" customWidth="1"/>
    <col min="11084" max="11084" width="16" style="55" customWidth="1"/>
    <col min="11085" max="11088" width="13.42578125" style="55" customWidth="1"/>
    <col min="11089" max="11089" width="2.140625" style="55" customWidth="1"/>
    <col min="11090" max="11090" width="10.42578125" style="55" customWidth="1"/>
    <col min="11091" max="11091" width="14.140625" style="55" customWidth="1"/>
    <col min="11092" max="11092" width="9.140625" style="55"/>
    <col min="11093" max="11093" width="13.85546875" style="55" customWidth="1"/>
    <col min="11094" max="11094" width="9.140625" style="55"/>
    <col min="11095" max="11095" width="12.5703125" style="55" customWidth="1"/>
    <col min="11096" max="11096" width="10.42578125" style="55" customWidth="1"/>
    <col min="11097" max="11098" width="13.5703125" style="55" customWidth="1"/>
    <col min="11099" max="11099" width="13" style="55" customWidth="1"/>
    <col min="11100" max="11100" width="13.5703125" style="55" customWidth="1"/>
    <col min="11101" max="11103" width="13" style="55" customWidth="1"/>
    <col min="11104" max="11302" width="9.140625" style="55"/>
    <col min="11303" max="11303" width="14" style="55" customWidth="1"/>
    <col min="11304" max="11304" width="2" style="55" customWidth="1"/>
    <col min="11305" max="11305" width="11.85546875" style="55" customWidth="1"/>
    <col min="11306" max="11307" width="13.5703125" style="55" customWidth="1"/>
    <col min="11308" max="11308" width="13.85546875" style="55" customWidth="1"/>
    <col min="11309" max="11310" width="14.5703125" style="55" customWidth="1"/>
    <col min="11311" max="11329" width="13.42578125" style="55" customWidth="1"/>
    <col min="11330" max="11330" width="10.5703125" style="55" customWidth="1"/>
    <col min="11331" max="11331" width="13.42578125" style="55" customWidth="1"/>
    <col min="11332" max="11332" width="11" style="55" customWidth="1"/>
    <col min="11333" max="11336" width="13.42578125" style="55" customWidth="1"/>
    <col min="11337" max="11337" width="19.5703125" style="55" customWidth="1"/>
    <col min="11338" max="11338" width="16.42578125" style="55" customWidth="1"/>
    <col min="11339" max="11339" width="13.42578125" style="55" customWidth="1"/>
    <col min="11340" max="11340" width="16" style="55" customWidth="1"/>
    <col min="11341" max="11344" width="13.42578125" style="55" customWidth="1"/>
    <col min="11345" max="11345" width="2.140625" style="55" customWidth="1"/>
    <col min="11346" max="11346" width="10.42578125" style="55" customWidth="1"/>
    <col min="11347" max="11347" width="14.140625" style="55" customWidth="1"/>
    <col min="11348" max="11348" width="9.140625" style="55"/>
    <col min="11349" max="11349" width="13.85546875" style="55" customWidth="1"/>
    <col min="11350" max="11350" width="9.140625" style="55"/>
    <col min="11351" max="11351" width="12.5703125" style="55" customWidth="1"/>
    <col min="11352" max="11352" width="10.42578125" style="55" customWidth="1"/>
    <col min="11353" max="11354" width="13.5703125" style="55" customWidth="1"/>
    <col min="11355" max="11355" width="13" style="55" customWidth="1"/>
    <col min="11356" max="11356" width="13.5703125" style="55" customWidth="1"/>
    <col min="11357" max="11359" width="13" style="55" customWidth="1"/>
    <col min="11360" max="11558" width="9.140625" style="55"/>
    <col min="11559" max="11559" width="14" style="55" customWidth="1"/>
    <col min="11560" max="11560" width="2" style="55" customWidth="1"/>
    <col min="11561" max="11561" width="11.85546875" style="55" customWidth="1"/>
    <col min="11562" max="11563" width="13.5703125" style="55" customWidth="1"/>
    <col min="11564" max="11564" width="13.85546875" style="55" customWidth="1"/>
    <col min="11565" max="11566" width="14.5703125" style="55" customWidth="1"/>
    <col min="11567" max="11585" width="13.42578125" style="55" customWidth="1"/>
    <col min="11586" max="11586" width="10.5703125" style="55" customWidth="1"/>
    <col min="11587" max="11587" width="13.42578125" style="55" customWidth="1"/>
    <col min="11588" max="11588" width="11" style="55" customWidth="1"/>
    <col min="11589" max="11592" width="13.42578125" style="55" customWidth="1"/>
    <col min="11593" max="11593" width="19.5703125" style="55" customWidth="1"/>
    <col min="11594" max="11594" width="16.42578125" style="55" customWidth="1"/>
    <col min="11595" max="11595" width="13.42578125" style="55" customWidth="1"/>
    <col min="11596" max="11596" width="16" style="55" customWidth="1"/>
    <col min="11597" max="11600" width="13.42578125" style="55" customWidth="1"/>
    <col min="11601" max="11601" width="2.140625" style="55" customWidth="1"/>
    <col min="11602" max="11602" width="10.42578125" style="55" customWidth="1"/>
    <col min="11603" max="11603" width="14.140625" style="55" customWidth="1"/>
    <col min="11604" max="11604" width="9.140625" style="55"/>
    <col min="11605" max="11605" width="13.85546875" style="55" customWidth="1"/>
    <col min="11606" max="11606" width="9.140625" style="55"/>
    <col min="11607" max="11607" width="12.5703125" style="55" customWidth="1"/>
    <col min="11608" max="11608" width="10.42578125" style="55" customWidth="1"/>
    <col min="11609" max="11610" width="13.5703125" style="55" customWidth="1"/>
    <col min="11611" max="11611" width="13" style="55" customWidth="1"/>
    <col min="11612" max="11612" width="13.5703125" style="55" customWidth="1"/>
    <col min="11613" max="11615" width="13" style="55" customWidth="1"/>
    <col min="11616" max="11814" width="9.140625" style="55"/>
    <col min="11815" max="11815" width="14" style="55" customWidth="1"/>
    <col min="11816" max="11816" width="2" style="55" customWidth="1"/>
    <col min="11817" max="11817" width="11.85546875" style="55" customWidth="1"/>
    <col min="11818" max="11819" width="13.5703125" style="55" customWidth="1"/>
    <col min="11820" max="11820" width="13.85546875" style="55" customWidth="1"/>
    <col min="11821" max="11822" width="14.5703125" style="55" customWidth="1"/>
    <col min="11823" max="11841" width="13.42578125" style="55" customWidth="1"/>
    <col min="11842" max="11842" width="10.5703125" style="55" customWidth="1"/>
    <col min="11843" max="11843" width="13.42578125" style="55" customWidth="1"/>
    <col min="11844" max="11844" width="11" style="55" customWidth="1"/>
    <col min="11845" max="11848" width="13.42578125" style="55" customWidth="1"/>
    <col min="11849" max="11849" width="19.5703125" style="55" customWidth="1"/>
    <col min="11850" max="11850" width="16.42578125" style="55" customWidth="1"/>
    <col min="11851" max="11851" width="13.42578125" style="55" customWidth="1"/>
    <col min="11852" max="11852" width="16" style="55" customWidth="1"/>
    <col min="11853" max="11856" width="13.42578125" style="55" customWidth="1"/>
    <col min="11857" max="11857" width="2.140625" style="55" customWidth="1"/>
    <col min="11858" max="11858" width="10.42578125" style="55" customWidth="1"/>
    <col min="11859" max="11859" width="14.140625" style="55" customWidth="1"/>
    <col min="11860" max="11860" width="9.140625" style="55"/>
    <col min="11861" max="11861" width="13.85546875" style="55" customWidth="1"/>
    <col min="11862" max="11862" width="9.140625" style="55"/>
    <col min="11863" max="11863" width="12.5703125" style="55" customWidth="1"/>
    <col min="11864" max="11864" width="10.42578125" style="55" customWidth="1"/>
    <col min="11865" max="11866" width="13.5703125" style="55" customWidth="1"/>
    <col min="11867" max="11867" width="13" style="55" customWidth="1"/>
    <col min="11868" max="11868" width="13.5703125" style="55" customWidth="1"/>
    <col min="11869" max="11871" width="13" style="55" customWidth="1"/>
    <col min="11872" max="12070" width="9.140625" style="55"/>
    <col min="12071" max="12071" width="14" style="55" customWidth="1"/>
    <col min="12072" max="12072" width="2" style="55" customWidth="1"/>
    <col min="12073" max="12073" width="11.85546875" style="55" customWidth="1"/>
    <col min="12074" max="12075" width="13.5703125" style="55" customWidth="1"/>
    <col min="12076" max="12076" width="13.85546875" style="55" customWidth="1"/>
    <col min="12077" max="12078" width="14.5703125" style="55" customWidth="1"/>
    <col min="12079" max="12097" width="13.42578125" style="55" customWidth="1"/>
    <col min="12098" max="12098" width="10.5703125" style="55" customWidth="1"/>
    <col min="12099" max="12099" width="13.42578125" style="55" customWidth="1"/>
    <col min="12100" max="12100" width="11" style="55" customWidth="1"/>
    <col min="12101" max="12104" width="13.42578125" style="55" customWidth="1"/>
    <col min="12105" max="12105" width="19.5703125" style="55" customWidth="1"/>
    <col min="12106" max="12106" width="16.42578125" style="55" customWidth="1"/>
    <col min="12107" max="12107" width="13.42578125" style="55" customWidth="1"/>
    <col min="12108" max="12108" width="16" style="55" customWidth="1"/>
    <col min="12109" max="12112" width="13.42578125" style="55" customWidth="1"/>
    <col min="12113" max="12113" width="2.140625" style="55" customWidth="1"/>
    <col min="12114" max="12114" width="10.42578125" style="55" customWidth="1"/>
    <col min="12115" max="12115" width="14.140625" style="55" customWidth="1"/>
    <col min="12116" max="12116" width="9.140625" style="55"/>
    <col min="12117" max="12117" width="13.85546875" style="55" customWidth="1"/>
    <col min="12118" max="12118" width="9.140625" style="55"/>
    <col min="12119" max="12119" width="12.5703125" style="55" customWidth="1"/>
    <col min="12120" max="12120" width="10.42578125" style="55" customWidth="1"/>
    <col min="12121" max="12122" width="13.5703125" style="55" customWidth="1"/>
    <col min="12123" max="12123" width="13" style="55" customWidth="1"/>
    <col min="12124" max="12124" width="13.5703125" style="55" customWidth="1"/>
    <col min="12125" max="12127" width="13" style="55" customWidth="1"/>
    <col min="12128" max="12326" width="9.140625" style="55"/>
    <col min="12327" max="12327" width="14" style="55" customWidth="1"/>
    <col min="12328" max="12328" width="2" style="55" customWidth="1"/>
    <col min="12329" max="12329" width="11.85546875" style="55" customWidth="1"/>
    <col min="12330" max="12331" width="13.5703125" style="55" customWidth="1"/>
    <col min="12332" max="12332" width="13.85546875" style="55" customWidth="1"/>
    <col min="12333" max="12334" width="14.5703125" style="55" customWidth="1"/>
    <col min="12335" max="12353" width="13.42578125" style="55" customWidth="1"/>
    <col min="12354" max="12354" width="10.5703125" style="55" customWidth="1"/>
    <col min="12355" max="12355" width="13.42578125" style="55" customWidth="1"/>
    <col min="12356" max="12356" width="11" style="55" customWidth="1"/>
    <col min="12357" max="12360" width="13.42578125" style="55" customWidth="1"/>
    <col min="12361" max="12361" width="19.5703125" style="55" customWidth="1"/>
    <col min="12362" max="12362" width="16.42578125" style="55" customWidth="1"/>
    <col min="12363" max="12363" width="13.42578125" style="55" customWidth="1"/>
    <col min="12364" max="12364" width="16" style="55" customWidth="1"/>
    <col min="12365" max="12368" width="13.42578125" style="55" customWidth="1"/>
    <col min="12369" max="12369" width="2.140625" style="55" customWidth="1"/>
    <col min="12370" max="12370" width="10.42578125" style="55" customWidth="1"/>
    <col min="12371" max="12371" width="14.140625" style="55" customWidth="1"/>
    <col min="12372" max="12372" width="9.140625" style="55"/>
    <col min="12373" max="12373" width="13.85546875" style="55" customWidth="1"/>
    <col min="12374" max="12374" width="9.140625" style="55"/>
    <col min="12375" max="12375" width="12.5703125" style="55" customWidth="1"/>
    <col min="12376" max="12376" width="10.42578125" style="55" customWidth="1"/>
    <col min="12377" max="12378" width="13.5703125" style="55" customWidth="1"/>
    <col min="12379" max="12379" width="13" style="55" customWidth="1"/>
    <col min="12380" max="12380" width="13.5703125" style="55" customWidth="1"/>
    <col min="12381" max="12383" width="13" style="55" customWidth="1"/>
    <col min="12384" max="12582" width="9.140625" style="55"/>
    <col min="12583" max="12583" width="14" style="55" customWidth="1"/>
    <col min="12584" max="12584" width="2" style="55" customWidth="1"/>
    <col min="12585" max="12585" width="11.85546875" style="55" customWidth="1"/>
    <col min="12586" max="12587" width="13.5703125" style="55" customWidth="1"/>
    <col min="12588" max="12588" width="13.85546875" style="55" customWidth="1"/>
    <col min="12589" max="12590" width="14.5703125" style="55" customWidth="1"/>
    <col min="12591" max="12609" width="13.42578125" style="55" customWidth="1"/>
    <col min="12610" max="12610" width="10.5703125" style="55" customWidth="1"/>
    <col min="12611" max="12611" width="13.42578125" style="55" customWidth="1"/>
    <col min="12612" max="12612" width="11" style="55" customWidth="1"/>
    <col min="12613" max="12616" width="13.42578125" style="55" customWidth="1"/>
    <col min="12617" max="12617" width="19.5703125" style="55" customWidth="1"/>
    <col min="12618" max="12618" width="16.42578125" style="55" customWidth="1"/>
    <col min="12619" max="12619" width="13.42578125" style="55" customWidth="1"/>
    <col min="12620" max="12620" width="16" style="55" customWidth="1"/>
    <col min="12621" max="12624" width="13.42578125" style="55" customWidth="1"/>
    <col min="12625" max="12625" width="2.140625" style="55" customWidth="1"/>
    <col min="12626" max="12626" width="10.42578125" style="55" customWidth="1"/>
    <col min="12627" max="12627" width="14.140625" style="55" customWidth="1"/>
    <col min="12628" max="12628" width="9.140625" style="55"/>
    <col min="12629" max="12629" width="13.85546875" style="55" customWidth="1"/>
    <col min="12630" max="12630" width="9.140625" style="55"/>
    <col min="12631" max="12631" width="12.5703125" style="55" customWidth="1"/>
    <col min="12632" max="12632" width="10.42578125" style="55" customWidth="1"/>
    <col min="12633" max="12634" width="13.5703125" style="55" customWidth="1"/>
    <col min="12635" max="12635" width="13" style="55" customWidth="1"/>
    <col min="12636" max="12636" width="13.5703125" style="55" customWidth="1"/>
    <col min="12637" max="12639" width="13" style="55" customWidth="1"/>
    <col min="12640" max="12838" width="9.140625" style="55"/>
    <col min="12839" max="12839" width="14" style="55" customWidth="1"/>
    <col min="12840" max="12840" width="2" style="55" customWidth="1"/>
    <col min="12841" max="12841" width="11.85546875" style="55" customWidth="1"/>
    <col min="12842" max="12843" width="13.5703125" style="55" customWidth="1"/>
    <col min="12844" max="12844" width="13.85546875" style="55" customWidth="1"/>
    <col min="12845" max="12846" width="14.5703125" style="55" customWidth="1"/>
    <col min="12847" max="12865" width="13.42578125" style="55" customWidth="1"/>
    <col min="12866" max="12866" width="10.5703125" style="55" customWidth="1"/>
    <col min="12867" max="12867" width="13.42578125" style="55" customWidth="1"/>
    <col min="12868" max="12868" width="11" style="55" customWidth="1"/>
    <col min="12869" max="12872" width="13.42578125" style="55" customWidth="1"/>
    <col min="12873" max="12873" width="19.5703125" style="55" customWidth="1"/>
    <col min="12874" max="12874" width="16.42578125" style="55" customWidth="1"/>
    <col min="12875" max="12875" width="13.42578125" style="55" customWidth="1"/>
    <col min="12876" max="12876" width="16" style="55" customWidth="1"/>
    <col min="12877" max="12880" width="13.42578125" style="55" customWidth="1"/>
    <col min="12881" max="12881" width="2.140625" style="55" customWidth="1"/>
    <col min="12882" max="12882" width="10.42578125" style="55" customWidth="1"/>
    <col min="12883" max="12883" width="14.140625" style="55" customWidth="1"/>
    <col min="12884" max="12884" width="9.140625" style="55"/>
    <col min="12885" max="12885" width="13.85546875" style="55" customWidth="1"/>
    <col min="12886" max="12886" width="9.140625" style="55"/>
    <col min="12887" max="12887" width="12.5703125" style="55" customWidth="1"/>
    <col min="12888" max="12888" width="10.42578125" style="55" customWidth="1"/>
    <col min="12889" max="12890" width="13.5703125" style="55" customWidth="1"/>
    <col min="12891" max="12891" width="13" style="55" customWidth="1"/>
    <col min="12892" max="12892" width="13.5703125" style="55" customWidth="1"/>
    <col min="12893" max="12895" width="13" style="55" customWidth="1"/>
    <col min="12896" max="13094" width="9.140625" style="55"/>
    <col min="13095" max="13095" width="14" style="55" customWidth="1"/>
    <col min="13096" max="13096" width="2" style="55" customWidth="1"/>
    <col min="13097" max="13097" width="11.85546875" style="55" customWidth="1"/>
    <col min="13098" max="13099" width="13.5703125" style="55" customWidth="1"/>
    <col min="13100" max="13100" width="13.85546875" style="55" customWidth="1"/>
    <col min="13101" max="13102" width="14.5703125" style="55" customWidth="1"/>
    <col min="13103" max="13121" width="13.42578125" style="55" customWidth="1"/>
    <col min="13122" max="13122" width="10.5703125" style="55" customWidth="1"/>
    <col min="13123" max="13123" width="13.42578125" style="55" customWidth="1"/>
    <col min="13124" max="13124" width="11" style="55" customWidth="1"/>
    <col min="13125" max="13128" width="13.42578125" style="55" customWidth="1"/>
    <col min="13129" max="13129" width="19.5703125" style="55" customWidth="1"/>
    <col min="13130" max="13130" width="16.42578125" style="55" customWidth="1"/>
    <col min="13131" max="13131" width="13.42578125" style="55" customWidth="1"/>
    <col min="13132" max="13132" width="16" style="55" customWidth="1"/>
    <col min="13133" max="13136" width="13.42578125" style="55" customWidth="1"/>
    <col min="13137" max="13137" width="2.140625" style="55" customWidth="1"/>
    <col min="13138" max="13138" width="10.42578125" style="55" customWidth="1"/>
    <col min="13139" max="13139" width="14.140625" style="55" customWidth="1"/>
    <col min="13140" max="13140" width="9.140625" style="55"/>
    <col min="13141" max="13141" width="13.85546875" style="55" customWidth="1"/>
    <col min="13142" max="13142" width="9.140625" style="55"/>
    <col min="13143" max="13143" width="12.5703125" style="55" customWidth="1"/>
    <col min="13144" max="13144" width="10.42578125" style="55" customWidth="1"/>
    <col min="13145" max="13146" width="13.5703125" style="55" customWidth="1"/>
    <col min="13147" max="13147" width="13" style="55" customWidth="1"/>
    <col min="13148" max="13148" width="13.5703125" style="55" customWidth="1"/>
    <col min="13149" max="13151" width="13" style="55" customWidth="1"/>
    <col min="13152" max="13350" width="9.140625" style="55"/>
    <col min="13351" max="13351" width="14" style="55" customWidth="1"/>
    <col min="13352" max="13352" width="2" style="55" customWidth="1"/>
    <col min="13353" max="13353" width="11.85546875" style="55" customWidth="1"/>
    <col min="13354" max="13355" width="13.5703125" style="55" customWidth="1"/>
    <col min="13356" max="13356" width="13.85546875" style="55" customWidth="1"/>
    <col min="13357" max="13358" width="14.5703125" style="55" customWidth="1"/>
    <col min="13359" max="13377" width="13.42578125" style="55" customWidth="1"/>
    <col min="13378" max="13378" width="10.5703125" style="55" customWidth="1"/>
    <col min="13379" max="13379" width="13.42578125" style="55" customWidth="1"/>
    <col min="13380" max="13380" width="11" style="55" customWidth="1"/>
    <col min="13381" max="13384" width="13.42578125" style="55" customWidth="1"/>
    <col min="13385" max="13385" width="19.5703125" style="55" customWidth="1"/>
    <col min="13386" max="13386" width="16.42578125" style="55" customWidth="1"/>
    <col min="13387" max="13387" width="13.42578125" style="55" customWidth="1"/>
    <col min="13388" max="13388" width="16" style="55" customWidth="1"/>
    <col min="13389" max="13392" width="13.42578125" style="55" customWidth="1"/>
    <col min="13393" max="13393" width="2.140625" style="55" customWidth="1"/>
    <col min="13394" max="13394" width="10.42578125" style="55" customWidth="1"/>
    <col min="13395" max="13395" width="14.140625" style="55" customWidth="1"/>
    <col min="13396" max="13396" width="9.140625" style="55"/>
    <col min="13397" max="13397" width="13.85546875" style="55" customWidth="1"/>
    <col min="13398" max="13398" width="9.140625" style="55"/>
    <col min="13399" max="13399" width="12.5703125" style="55" customWidth="1"/>
    <col min="13400" max="13400" width="10.42578125" style="55" customWidth="1"/>
    <col min="13401" max="13402" width="13.5703125" style="55" customWidth="1"/>
    <col min="13403" max="13403" width="13" style="55" customWidth="1"/>
    <col min="13404" max="13404" width="13.5703125" style="55" customWidth="1"/>
    <col min="13405" max="13407" width="13" style="55" customWidth="1"/>
    <col min="13408" max="13606" width="9.140625" style="55"/>
    <col min="13607" max="13607" width="14" style="55" customWidth="1"/>
    <col min="13608" max="13608" width="2" style="55" customWidth="1"/>
    <col min="13609" max="13609" width="11.85546875" style="55" customWidth="1"/>
    <col min="13610" max="13611" width="13.5703125" style="55" customWidth="1"/>
    <col min="13612" max="13612" width="13.85546875" style="55" customWidth="1"/>
    <col min="13613" max="13614" width="14.5703125" style="55" customWidth="1"/>
    <col min="13615" max="13633" width="13.42578125" style="55" customWidth="1"/>
    <col min="13634" max="13634" width="10.5703125" style="55" customWidth="1"/>
    <col min="13635" max="13635" width="13.42578125" style="55" customWidth="1"/>
    <col min="13636" max="13636" width="11" style="55" customWidth="1"/>
    <col min="13637" max="13640" width="13.42578125" style="55" customWidth="1"/>
    <col min="13641" max="13641" width="19.5703125" style="55" customWidth="1"/>
    <col min="13642" max="13642" width="16.42578125" style="55" customWidth="1"/>
    <col min="13643" max="13643" width="13.42578125" style="55" customWidth="1"/>
    <col min="13644" max="13644" width="16" style="55" customWidth="1"/>
    <col min="13645" max="13648" width="13.42578125" style="55" customWidth="1"/>
    <col min="13649" max="13649" width="2.140625" style="55" customWidth="1"/>
    <col min="13650" max="13650" width="10.42578125" style="55" customWidth="1"/>
    <col min="13651" max="13651" width="14.140625" style="55" customWidth="1"/>
    <col min="13652" max="13652" width="9.140625" style="55"/>
    <col min="13653" max="13653" width="13.85546875" style="55" customWidth="1"/>
    <col min="13654" max="13654" width="9.140625" style="55"/>
    <col min="13655" max="13655" width="12.5703125" style="55" customWidth="1"/>
    <col min="13656" max="13656" width="10.42578125" style="55" customWidth="1"/>
    <col min="13657" max="13658" width="13.5703125" style="55" customWidth="1"/>
    <col min="13659" max="13659" width="13" style="55" customWidth="1"/>
    <col min="13660" max="13660" width="13.5703125" style="55" customWidth="1"/>
    <col min="13661" max="13663" width="13" style="55" customWidth="1"/>
    <col min="13664" max="13862" width="9.140625" style="55"/>
    <col min="13863" max="13863" width="14" style="55" customWidth="1"/>
    <col min="13864" max="13864" width="2" style="55" customWidth="1"/>
    <col min="13865" max="13865" width="11.85546875" style="55" customWidth="1"/>
    <col min="13866" max="13867" width="13.5703125" style="55" customWidth="1"/>
    <col min="13868" max="13868" width="13.85546875" style="55" customWidth="1"/>
    <col min="13869" max="13870" width="14.5703125" style="55" customWidth="1"/>
    <col min="13871" max="13889" width="13.42578125" style="55" customWidth="1"/>
    <col min="13890" max="13890" width="10.5703125" style="55" customWidth="1"/>
    <col min="13891" max="13891" width="13.42578125" style="55" customWidth="1"/>
    <col min="13892" max="13892" width="11" style="55" customWidth="1"/>
    <col min="13893" max="13896" width="13.42578125" style="55" customWidth="1"/>
    <col min="13897" max="13897" width="19.5703125" style="55" customWidth="1"/>
    <col min="13898" max="13898" width="16.42578125" style="55" customWidth="1"/>
    <col min="13899" max="13899" width="13.42578125" style="55" customWidth="1"/>
    <col min="13900" max="13900" width="16" style="55" customWidth="1"/>
    <col min="13901" max="13904" width="13.42578125" style="55" customWidth="1"/>
    <col min="13905" max="13905" width="2.140625" style="55" customWidth="1"/>
    <col min="13906" max="13906" width="10.42578125" style="55" customWidth="1"/>
    <col min="13907" max="13907" width="14.140625" style="55" customWidth="1"/>
    <col min="13908" max="13908" width="9.140625" style="55"/>
    <col min="13909" max="13909" width="13.85546875" style="55" customWidth="1"/>
    <col min="13910" max="13910" width="9.140625" style="55"/>
    <col min="13911" max="13911" width="12.5703125" style="55" customWidth="1"/>
    <col min="13912" max="13912" width="10.42578125" style="55" customWidth="1"/>
    <col min="13913" max="13914" width="13.5703125" style="55" customWidth="1"/>
    <col min="13915" max="13915" width="13" style="55" customWidth="1"/>
    <col min="13916" max="13916" width="13.5703125" style="55" customWidth="1"/>
    <col min="13917" max="13919" width="13" style="55" customWidth="1"/>
    <col min="13920" max="14118" width="9.140625" style="55"/>
    <col min="14119" max="14119" width="14" style="55" customWidth="1"/>
    <col min="14120" max="14120" width="2" style="55" customWidth="1"/>
    <col min="14121" max="14121" width="11.85546875" style="55" customWidth="1"/>
    <col min="14122" max="14123" width="13.5703125" style="55" customWidth="1"/>
    <col min="14124" max="14124" width="13.85546875" style="55" customWidth="1"/>
    <col min="14125" max="14126" width="14.5703125" style="55" customWidth="1"/>
    <col min="14127" max="14145" width="13.42578125" style="55" customWidth="1"/>
    <col min="14146" max="14146" width="10.5703125" style="55" customWidth="1"/>
    <col min="14147" max="14147" width="13.42578125" style="55" customWidth="1"/>
    <col min="14148" max="14148" width="11" style="55" customWidth="1"/>
    <col min="14149" max="14152" width="13.42578125" style="55" customWidth="1"/>
    <col min="14153" max="14153" width="19.5703125" style="55" customWidth="1"/>
    <col min="14154" max="14154" width="16.42578125" style="55" customWidth="1"/>
    <col min="14155" max="14155" width="13.42578125" style="55" customWidth="1"/>
    <col min="14156" max="14156" width="16" style="55" customWidth="1"/>
    <col min="14157" max="14160" width="13.42578125" style="55" customWidth="1"/>
    <col min="14161" max="14161" width="2.140625" style="55" customWidth="1"/>
    <col min="14162" max="14162" width="10.42578125" style="55" customWidth="1"/>
    <col min="14163" max="14163" width="14.140625" style="55" customWidth="1"/>
    <col min="14164" max="14164" width="9.140625" style="55"/>
    <col min="14165" max="14165" width="13.85546875" style="55" customWidth="1"/>
    <col min="14166" max="14166" width="9.140625" style="55"/>
    <col min="14167" max="14167" width="12.5703125" style="55" customWidth="1"/>
    <col min="14168" max="14168" width="10.42578125" style="55" customWidth="1"/>
    <col min="14169" max="14170" width="13.5703125" style="55" customWidth="1"/>
    <col min="14171" max="14171" width="13" style="55" customWidth="1"/>
    <col min="14172" max="14172" width="13.5703125" style="55" customWidth="1"/>
    <col min="14173" max="14175" width="13" style="55" customWidth="1"/>
    <col min="14176" max="14374" width="9.140625" style="55"/>
    <col min="14375" max="14375" width="14" style="55" customWidth="1"/>
    <col min="14376" max="14376" width="2" style="55" customWidth="1"/>
    <col min="14377" max="14377" width="11.85546875" style="55" customWidth="1"/>
    <col min="14378" max="14379" width="13.5703125" style="55" customWidth="1"/>
    <col min="14380" max="14380" width="13.85546875" style="55" customWidth="1"/>
    <col min="14381" max="14382" width="14.5703125" style="55" customWidth="1"/>
    <col min="14383" max="14401" width="13.42578125" style="55" customWidth="1"/>
    <col min="14402" max="14402" width="10.5703125" style="55" customWidth="1"/>
    <col min="14403" max="14403" width="13.42578125" style="55" customWidth="1"/>
    <col min="14404" max="14404" width="11" style="55" customWidth="1"/>
    <col min="14405" max="14408" width="13.42578125" style="55" customWidth="1"/>
    <col min="14409" max="14409" width="19.5703125" style="55" customWidth="1"/>
    <col min="14410" max="14410" width="16.42578125" style="55" customWidth="1"/>
    <col min="14411" max="14411" width="13.42578125" style="55" customWidth="1"/>
    <col min="14412" max="14412" width="16" style="55" customWidth="1"/>
    <col min="14413" max="14416" width="13.42578125" style="55" customWidth="1"/>
    <col min="14417" max="14417" width="2.140625" style="55" customWidth="1"/>
    <col min="14418" max="14418" width="10.42578125" style="55" customWidth="1"/>
    <col min="14419" max="14419" width="14.140625" style="55" customWidth="1"/>
    <col min="14420" max="14420" width="9.140625" style="55"/>
    <col min="14421" max="14421" width="13.85546875" style="55" customWidth="1"/>
    <col min="14422" max="14422" width="9.140625" style="55"/>
    <col min="14423" max="14423" width="12.5703125" style="55" customWidth="1"/>
    <col min="14424" max="14424" width="10.42578125" style="55" customWidth="1"/>
    <col min="14425" max="14426" width="13.5703125" style="55" customWidth="1"/>
    <col min="14427" max="14427" width="13" style="55" customWidth="1"/>
    <col min="14428" max="14428" width="13.5703125" style="55" customWidth="1"/>
    <col min="14429" max="14431" width="13" style="55" customWidth="1"/>
    <col min="14432" max="14630" width="9.140625" style="55"/>
    <col min="14631" max="14631" width="14" style="55" customWidth="1"/>
    <col min="14632" max="14632" width="2" style="55" customWidth="1"/>
    <col min="14633" max="14633" width="11.85546875" style="55" customWidth="1"/>
    <col min="14634" max="14635" width="13.5703125" style="55" customWidth="1"/>
    <col min="14636" max="14636" width="13.85546875" style="55" customWidth="1"/>
    <col min="14637" max="14638" width="14.5703125" style="55" customWidth="1"/>
    <col min="14639" max="14657" width="13.42578125" style="55" customWidth="1"/>
    <col min="14658" max="14658" width="10.5703125" style="55" customWidth="1"/>
    <col min="14659" max="14659" width="13.42578125" style="55" customWidth="1"/>
    <col min="14660" max="14660" width="11" style="55" customWidth="1"/>
    <col min="14661" max="14664" width="13.42578125" style="55" customWidth="1"/>
    <col min="14665" max="14665" width="19.5703125" style="55" customWidth="1"/>
    <col min="14666" max="14666" width="16.42578125" style="55" customWidth="1"/>
    <col min="14667" max="14667" width="13.42578125" style="55" customWidth="1"/>
    <col min="14668" max="14668" width="16" style="55" customWidth="1"/>
    <col min="14669" max="14672" width="13.42578125" style="55" customWidth="1"/>
    <col min="14673" max="14673" width="2.140625" style="55" customWidth="1"/>
    <col min="14674" max="14674" width="10.42578125" style="55" customWidth="1"/>
    <col min="14675" max="14675" width="14.140625" style="55" customWidth="1"/>
    <col min="14676" max="14676" width="9.140625" style="55"/>
    <col min="14677" max="14677" width="13.85546875" style="55" customWidth="1"/>
    <col min="14678" max="14678" width="9.140625" style="55"/>
    <col min="14679" max="14679" width="12.5703125" style="55" customWidth="1"/>
    <col min="14680" max="14680" width="10.42578125" style="55" customWidth="1"/>
    <col min="14681" max="14682" width="13.5703125" style="55" customWidth="1"/>
    <col min="14683" max="14683" width="13" style="55" customWidth="1"/>
    <col min="14684" max="14684" width="13.5703125" style="55" customWidth="1"/>
    <col min="14685" max="14687" width="13" style="55" customWidth="1"/>
    <col min="14688" max="14886" width="9.140625" style="55"/>
    <col min="14887" max="14887" width="14" style="55" customWidth="1"/>
    <col min="14888" max="14888" width="2" style="55" customWidth="1"/>
    <col min="14889" max="14889" width="11.85546875" style="55" customWidth="1"/>
    <col min="14890" max="14891" width="13.5703125" style="55" customWidth="1"/>
    <col min="14892" max="14892" width="13.85546875" style="55" customWidth="1"/>
    <col min="14893" max="14894" width="14.5703125" style="55" customWidth="1"/>
    <col min="14895" max="14913" width="13.42578125" style="55" customWidth="1"/>
    <col min="14914" max="14914" width="10.5703125" style="55" customWidth="1"/>
    <col min="14915" max="14915" width="13.42578125" style="55" customWidth="1"/>
    <col min="14916" max="14916" width="11" style="55" customWidth="1"/>
    <col min="14917" max="14920" width="13.42578125" style="55" customWidth="1"/>
    <col min="14921" max="14921" width="19.5703125" style="55" customWidth="1"/>
    <col min="14922" max="14922" width="16.42578125" style="55" customWidth="1"/>
    <col min="14923" max="14923" width="13.42578125" style="55" customWidth="1"/>
    <col min="14924" max="14924" width="16" style="55" customWidth="1"/>
    <col min="14925" max="14928" width="13.42578125" style="55" customWidth="1"/>
    <col min="14929" max="14929" width="2.140625" style="55" customWidth="1"/>
    <col min="14930" max="14930" width="10.42578125" style="55" customWidth="1"/>
    <col min="14931" max="14931" width="14.140625" style="55" customWidth="1"/>
    <col min="14932" max="14932" width="9.140625" style="55"/>
    <col min="14933" max="14933" width="13.85546875" style="55" customWidth="1"/>
    <col min="14934" max="14934" width="9.140625" style="55"/>
    <col min="14935" max="14935" width="12.5703125" style="55" customWidth="1"/>
    <col min="14936" max="14936" width="10.42578125" style="55" customWidth="1"/>
    <col min="14937" max="14938" width="13.5703125" style="55" customWidth="1"/>
    <col min="14939" max="14939" width="13" style="55" customWidth="1"/>
    <col min="14940" max="14940" width="13.5703125" style="55" customWidth="1"/>
    <col min="14941" max="14943" width="13" style="55" customWidth="1"/>
    <col min="14944" max="15142" width="9.140625" style="55"/>
    <col min="15143" max="15143" width="14" style="55" customWidth="1"/>
    <col min="15144" max="15144" width="2" style="55" customWidth="1"/>
    <col min="15145" max="15145" width="11.85546875" style="55" customWidth="1"/>
    <col min="15146" max="15147" width="13.5703125" style="55" customWidth="1"/>
    <col min="15148" max="15148" width="13.85546875" style="55" customWidth="1"/>
    <col min="15149" max="15150" width="14.5703125" style="55" customWidth="1"/>
    <col min="15151" max="15169" width="13.42578125" style="55" customWidth="1"/>
    <col min="15170" max="15170" width="10.5703125" style="55" customWidth="1"/>
    <col min="15171" max="15171" width="13.42578125" style="55" customWidth="1"/>
    <col min="15172" max="15172" width="11" style="55" customWidth="1"/>
    <col min="15173" max="15176" width="13.42578125" style="55" customWidth="1"/>
    <col min="15177" max="15177" width="19.5703125" style="55" customWidth="1"/>
    <col min="15178" max="15178" width="16.42578125" style="55" customWidth="1"/>
    <col min="15179" max="15179" width="13.42578125" style="55" customWidth="1"/>
    <col min="15180" max="15180" width="16" style="55" customWidth="1"/>
    <col min="15181" max="15184" width="13.42578125" style="55" customWidth="1"/>
    <col min="15185" max="15185" width="2.140625" style="55" customWidth="1"/>
    <col min="15186" max="15186" width="10.42578125" style="55" customWidth="1"/>
    <col min="15187" max="15187" width="14.140625" style="55" customWidth="1"/>
    <col min="15188" max="15188" width="9.140625" style="55"/>
    <col min="15189" max="15189" width="13.85546875" style="55" customWidth="1"/>
    <col min="15190" max="15190" width="9.140625" style="55"/>
    <col min="15191" max="15191" width="12.5703125" style="55" customWidth="1"/>
    <col min="15192" max="15192" width="10.42578125" style="55" customWidth="1"/>
    <col min="15193" max="15194" width="13.5703125" style="55" customWidth="1"/>
    <col min="15195" max="15195" width="13" style="55" customWidth="1"/>
    <col min="15196" max="15196" width="13.5703125" style="55" customWidth="1"/>
    <col min="15197" max="15199" width="13" style="55" customWidth="1"/>
    <col min="15200" max="15398" width="9.140625" style="55"/>
    <col min="15399" max="15399" width="14" style="55" customWidth="1"/>
    <col min="15400" max="15400" width="2" style="55" customWidth="1"/>
    <col min="15401" max="15401" width="11.85546875" style="55" customWidth="1"/>
    <col min="15402" max="15403" width="13.5703125" style="55" customWidth="1"/>
    <col min="15404" max="15404" width="13.85546875" style="55" customWidth="1"/>
    <col min="15405" max="15406" width="14.5703125" style="55" customWidth="1"/>
    <col min="15407" max="15425" width="13.42578125" style="55" customWidth="1"/>
    <col min="15426" max="15426" width="10.5703125" style="55" customWidth="1"/>
    <col min="15427" max="15427" width="13.42578125" style="55" customWidth="1"/>
    <col min="15428" max="15428" width="11" style="55" customWidth="1"/>
    <col min="15429" max="15432" width="13.42578125" style="55" customWidth="1"/>
    <col min="15433" max="15433" width="19.5703125" style="55" customWidth="1"/>
    <col min="15434" max="15434" width="16.42578125" style="55" customWidth="1"/>
    <col min="15435" max="15435" width="13.42578125" style="55" customWidth="1"/>
    <col min="15436" max="15436" width="16" style="55" customWidth="1"/>
    <col min="15437" max="15440" width="13.42578125" style="55" customWidth="1"/>
    <col min="15441" max="15441" width="2.140625" style="55" customWidth="1"/>
    <col min="15442" max="15442" width="10.42578125" style="55" customWidth="1"/>
    <col min="15443" max="15443" width="14.140625" style="55" customWidth="1"/>
    <col min="15444" max="15444" width="9.140625" style="55"/>
    <col min="15445" max="15445" width="13.85546875" style="55" customWidth="1"/>
    <col min="15446" max="15446" width="9.140625" style="55"/>
    <col min="15447" max="15447" width="12.5703125" style="55" customWidth="1"/>
    <col min="15448" max="15448" width="10.42578125" style="55" customWidth="1"/>
    <col min="15449" max="15450" width="13.5703125" style="55" customWidth="1"/>
    <col min="15451" max="15451" width="13" style="55" customWidth="1"/>
    <col min="15452" max="15452" width="13.5703125" style="55" customWidth="1"/>
    <col min="15453" max="15455" width="13" style="55" customWidth="1"/>
    <col min="15456" max="15654" width="9.140625" style="55"/>
    <col min="15655" max="15655" width="14" style="55" customWidth="1"/>
    <col min="15656" max="15656" width="2" style="55" customWidth="1"/>
    <col min="15657" max="15657" width="11.85546875" style="55" customWidth="1"/>
    <col min="15658" max="15659" width="13.5703125" style="55" customWidth="1"/>
    <col min="15660" max="15660" width="13.85546875" style="55" customWidth="1"/>
    <col min="15661" max="15662" width="14.5703125" style="55" customWidth="1"/>
    <col min="15663" max="15681" width="13.42578125" style="55" customWidth="1"/>
    <col min="15682" max="15682" width="10.5703125" style="55" customWidth="1"/>
    <col min="15683" max="15683" width="13.42578125" style="55" customWidth="1"/>
    <col min="15684" max="15684" width="11" style="55" customWidth="1"/>
    <col min="15685" max="15688" width="13.42578125" style="55" customWidth="1"/>
    <col min="15689" max="15689" width="19.5703125" style="55" customWidth="1"/>
    <col min="15690" max="15690" width="16.42578125" style="55" customWidth="1"/>
    <col min="15691" max="15691" width="13.42578125" style="55" customWidth="1"/>
    <col min="15692" max="15692" width="16" style="55" customWidth="1"/>
    <col min="15693" max="15696" width="13.42578125" style="55" customWidth="1"/>
    <col min="15697" max="15697" width="2.140625" style="55" customWidth="1"/>
    <col min="15698" max="15698" width="10.42578125" style="55" customWidth="1"/>
    <col min="15699" max="15699" width="14.140625" style="55" customWidth="1"/>
    <col min="15700" max="15700" width="9.140625" style="55"/>
    <col min="15701" max="15701" width="13.85546875" style="55" customWidth="1"/>
    <col min="15702" max="15702" width="9.140625" style="55"/>
    <col min="15703" max="15703" width="12.5703125" style="55" customWidth="1"/>
    <col min="15704" max="15704" width="10.42578125" style="55" customWidth="1"/>
    <col min="15705" max="15706" width="13.5703125" style="55" customWidth="1"/>
    <col min="15707" max="15707" width="13" style="55" customWidth="1"/>
    <col min="15708" max="15708" width="13.5703125" style="55" customWidth="1"/>
    <col min="15709" max="15711" width="13" style="55" customWidth="1"/>
    <col min="15712" max="15910" width="9.140625" style="55"/>
    <col min="15911" max="15911" width="14" style="55" customWidth="1"/>
    <col min="15912" max="15912" width="2" style="55" customWidth="1"/>
    <col min="15913" max="15913" width="11.85546875" style="55" customWidth="1"/>
    <col min="15914" max="15915" width="13.5703125" style="55" customWidth="1"/>
    <col min="15916" max="15916" width="13.85546875" style="55" customWidth="1"/>
    <col min="15917" max="15918" width="14.5703125" style="55" customWidth="1"/>
    <col min="15919" max="15937" width="13.42578125" style="55" customWidth="1"/>
    <col min="15938" max="15938" width="10.5703125" style="55" customWidth="1"/>
    <col min="15939" max="15939" width="13.42578125" style="55" customWidth="1"/>
    <col min="15940" max="15940" width="11" style="55" customWidth="1"/>
    <col min="15941" max="15944" width="13.42578125" style="55" customWidth="1"/>
    <col min="15945" max="15945" width="19.5703125" style="55" customWidth="1"/>
    <col min="15946" max="15946" width="16.42578125" style="55" customWidth="1"/>
    <col min="15947" max="15947" width="13.42578125" style="55" customWidth="1"/>
    <col min="15948" max="15948" width="16" style="55" customWidth="1"/>
    <col min="15949" max="15952" width="13.42578125" style="55" customWidth="1"/>
    <col min="15953" max="15953" width="2.140625" style="55" customWidth="1"/>
    <col min="15954" max="15954" width="10.42578125" style="55" customWidth="1"/>
    <col min="15955" max="15955" width="14.140625" style="55" customWidth="1"/>
    <col min="15956" max="15956" width="9.140625" style="55"/>
    <col min="15957" max="15957" width="13.85546875" style="55" customWidth="1"/>
    <col min="15958" max="15958" width="9.140625" style="55"/>
    <col min="15959" max="15959" width="12.5703125" style="55" customWidth="1"/>
    <col min="15960" max="15960" width="10.42578125" style="55" customWidth="1"/>
    <col min="15961" max="15962" width="13.5703125" style="55" customWidth="1"/>
    <col min="15963" max="15963" width="13" style="55" customWidth="1"/>
    <col min="15964" max="15964" width="13.5703125" style="55" customWidth="1"/>
    <col min="15965" max="15967" width="13" style="55" customWidth="1"/>
    <col min="15968" max="16166" width="9.140625" style="55"/>
    <col min="16167" max="16167" width="14" style="55" customWidth="1"/>
    <col min="16168" max="16168" width="2" style="55" customWidth="1"/>
    <col min="16169" max="16169" width="11.85546875" style="55" customWidth="1"/>
    <col min="16170" max="16171" width="13.5703125" style="55" customWidth="1"/>
    <col min="16172" max="16172" width="13.85546875" style="55" customWidth="1"/>
    <col min="16173" max="16174" width="14.5703125" style="55" customWidth="1"/>
    <col min="16175" max="16193" width="13.42578125" style="55" customWidth="1"/>
    <col min="16194" max="16194" width="10.5703125" style="55" customWidth="1"/>
    <col min="16195" max="16195" width="13.42578125" style="55" customWidth="1"/>
    <col min="16196" max="16196" width="11" style="55" customWidth="1"/>
    <col min="16197" max="16200" width="13.42578125" style="55" customWidth="1"/>
    <col min="16201" max="16201" width="19.5703125" style="55" customWidth="1"/>
    <col min="16202" max="16202" width="16.42578125" style="55" customWidth="1"/>
    <col min="16203" max="16203" width="13.42578125" style="55" customWidth="1"/>
    <col min="16204" max="16204" width="16" style="55" customWidth="1"/>
    <col min="16205" max="16208" width="13.42578125" style="55" customWidth="1"/>
    <col min="16209" max="16209" width="2.140625" style="55" customWidth="1"/>
    <col min="16210" max="16210" width="10.42578125" style="55" customWidth="1"/>
    <col min="16211" max="16211" width="14.140625" style="55" customWidth="1"/>
    <col min="16212" max="16212" width="9.140625" style="55"/>
    <col min="16213" max="16213" width="13.85546875" style="55" customWidth="1"/>
    <col min="16214" max="16214" width="9.140625" style="55"/>
    <col min="16215" max="16215" width="12.5703125" style="55" customWidth="1"/>
    <col min="16216" max="16216" width="10.42578125" style="55" customWidth="1"/>
    <col min="16217" max="16218" width="13.5703125" style="55" customWidth="1"/>
    <col min="16219" max="16219" width="13" style="55" customWidth="1"/>
    <col min="16220" max="16220" width="13.5703125" style="55" customWidth="1"/>
    <col min="16221" max="16223" width="13" style="55" customWidth="1"/>
    <col min="16224" max="16384" width="9.140625" style="55"/>
  </cols>
  <sheetData>
    <row r="1" spans="1:101" s="46" customFormat="1" ht="61.5" customHeight="1" thickBot="1" x14ac:dyDescent="0.45">
      <c r="A1" s="43" t="s">
        <v>37</v>
      </c>
      <c r="B1" s="44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81" t="s">
        <v>119</v>
      </c>
      <c r="X1" s="82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5" t="s">
        <v>46</v>
      </c>
      <c r="CN1" s="54" t="s">
        <v>40</v>
      </c>
      <c r="CO1" s="54" t="s">
        <v>41</v>
      </c>
      <c r="CP1" s="79" t="s">
        <v>138</v>
      </c>
      <c r="CQ1" s="80"/>
      <c r="CR1" s="78" t="s">
        <v>139</v>
      </c>
      <c r="CS1" s="78"/>
      <c r="CT1" s="79" t="s">
        <v>142</v>
      </c>
      <c r="CU1" s="80"/>
      <c r="CV1" s="78" t="s">
        <v>143</v>
      </c>
      <c r="CW1" s="78"/>
    </row>
    <row r="2" spans="1:101" ht="44.25" customHeight="1" thickBot="1" x14ac:dyDescent="0.45">
      <c r="A2" s="47" t="s">
        <v>0</v>
      </c>
      <c r="B2" s="44"/>
      <c r="C2" s="48" t="s">
        <v>43</v>
      </c>
      <c r="D2" s="49" t="s">
        <v>38</v>
      </c>
      <c r="E2" s="48" t="s">
        <v>43</v>
      </c>
      <c r="F2" s="50" t="s">
        <v>38</v>
      </c>
      <c r="G2" s="48" t="s">
        <v>43</v>
      </c>
      <c r="H2" s="51" t="s">
        <v>38</v>
      </c>
      <c r="I2" s="51" t="s">
        <v>45</v>
      </c>
      <c r="J2" s="51" t="s">
        <v>38</v>
      </c>
      <c r="K2" s="48" t="s">
        <v>43</v>
      </c>
      <c r="L2" s="51" t="s">
        <v>38</v>
      </c>
      <c r="M2" s="51" t="s">
        <v>44</v>
      </c>
      <c r="N2" s="51" t="s">
        <v>38</v>
      </c>
      <c r="O2" s="51" t="s">
        <v>39</v>
      </c>
      <c r="P2" s="51" t="s">
        <v>38</v>
      </c>
      <c r="Q2" s="51" t="s">
        <v>39</v>
      </c>
      <c r="R2" s="51" t="s">
        <v>38</v>
      </c>
      <c r="S2" s="51" t="s">
        <v>39</v>
      </c>
      <c r="T2" s="51" t="s">
        <v>38</v>
      </c>
      <c r="U2" s="51" t="s">
        <v>39</v>
      </c>
      <c r="V2" s="51" t="s">
        <v>38</v>
      </c>
      <c r="W2" s="51" t="s">
        <v>44</v>
      </c>
      <c r="X2" s="51" t="s">
        <v>38</v>
      </c>
      <c r="Y2" s="51" t="s">
        <v>45</v>
      </c>
      <c r="Z2" s="51" t="s">
        <v>38</v>
      </c>
      <c r="AA2" s="51" t="s">
        <v>44</v>
      </c>
      <c r="AB2" s="51" t="s">
        <v>38</v>
      </c>
      <c r="AC2" s="51" t="s">
        <v>44</v>
      </c>
      <c r="AD2" s="51" t="s">
        <v>38</v>
      </c>
      <c r="AE2" s="51" t="s">
        <v>44</v>
      </c>
      <c r="AF2" s="51" t="s">
        <v>38</v>
      </c>
      <c r="AG2" s="51" t="s">
        <v>39</v>
      </c>
      <c r="AH2" s="51" t="s">
        <v>38</v>
      </c>
      <c r="AI2" s="51" t="s">
        <v>44</v>
      </c>
      <c r="AJ2" s="51" t="s">
        <v>38</v>
      </c>
      <c r="AK2" s="51" t="s">
        <v>39</v>
      </c>
      <c r="AL2" s="51" t="s">
        <v>38</v>
      </c>
      <c r="AM2" s="51" t="s">
        <v>39</v>
      </c>
      <c r="AN2" s="51" t="s">
        <v>38</v>
      </c>
      <c r="AO2" s="51" t="s">
        <v>39</v>
      </c>
      <c r="AP2" s="51" t="s">
        <v>38</v>
      </c>
      <c r="AQ2" s="51" t="s">
        <v>44</v>
      </c>
      <c r="AR2" s="51" t="s">
        <v>38</v>
      </c>
      <c r="AS2" s="51" t="s">
        <v>44</v>
      </c>
      <c r="AT2" s="51" t="s">
        <v>38</v>
      </c>
      <c r="AU2" s="51" t="s">
        <v>44</v>
      </c>
      <c r="AV2" s="51" t="s">
        <v>38</v>
      </c>
      <c r="AW2" s="51" t="s">
        <v>44</v>
      </c>
      <c r="AX2" s="51" t="s">
        <v>38</v>
      </c>
      <c r="AY2" s="51" t="s">
        <v>44</v>
      </c>
      <c r="AZ2" s="51" t="s">
        <v>38</v>
      </c>
      <c r="BA2" s="51" t="s">
        <v>42</v>
      </c>
      <c r="BB2" s="51" t="s">
        <v>38</v>
      </c>
      <c r="BC2" s="51" t="s">
        <v>42</v>
      </c>
      <c r="BD2" s="51" t="s">
        <v>38</v>
      </c>
      <c r="BE2" s="51" t="s">
        <v>39</v>
      </c>
      <c r="BF2" s="51" t="s">
        <v>38</v>
      </c>
      <c r="BG2" s="51" t="s">
        <v>42</v>
      </c>
      <c r="BH2" s="51" t="s">
        <v>38</v>
      </c>
      <c r="BI2" s="51" t="s">
        <v>42</v>
      </c>
      <c r="BJ2" s="51" t="s">
        <v>38</v>
      </c>
      <c r="BK2" s="51" t="s">
        <v>42</v>
      </c>
      <c r="BL2" s="51" t="s">
        <v>38</v>
      </c>
      <c r="BM2" s="51" t="s">
        <v>42</v>
      </c>
      <c r="BN2" s="51" t="s">
        <v>38</v>
      </c>
      <c r="BO2" s="51" t="s">
        <v>42</v>
      </c>
      <c r="BP2" s="51" t="s">
        <v>38</v>
      </c>
      <c r="BQ2" s="51" t="s">
        <v>39</v>
      </c>
      <c r="BR2" s="51" t="s">
        <v>38</v>
      </c>
      <c r="BS2" s="51" t="s">
        <v>42</v>
      </c>
      <c r="BT2" s="51" t="s">
        <v>38</v>
      </c>
      <c r="BU2" s="51" t="s">
        <v>39</v>
      </c>
      <c r="BV2" s="51" t="s">
        <v>38</v>
      </c>
      <c r="BW2" s="51" t="s">
        <v>42</v>
      </c>
      <c r="BX2" s="51" t="s">
        <v>38</v>
      </c>
      <c r="BY2" s="51" t="s">
        <v>39</v>
      </c>
      <c r="BZ2" s="51" t="s">
        <v>38</v>
      </c>
      <c r="CA2" s="51" t="s">
        <v>39</v>
      </c>
      <c r="CB2" s="51" t="s">
        <v>38</v>
      </c>
      <c r="CC2" s="51" t="s">
        <v>39</v>
      </c>
      <c r="CD2" s="51" t="s">
        <v>38</v>
      </c>
      <c r="CE2" s="51" t="s">
        <v>39</v>
      </c>
      <c r="CF2" s="51" t="s">
        <v>38</v>
      </c>
      <c r="CG2" s="51" t="s">
        <v>39</v>
      </c>
      <c r="CH2" s="51" t="s">
        <v>38</v>
      </c>
      <c r="CI2" s="51" t="s">
        <v>39</v>
      </c>
      <c r="CJ2" s="51" t="s">
        <v>38</v>
      </c>
      <c r="CK2" s="51" t="s">
        <v>44</v>
      </c>
      <c r="CL2" s="52" t="s">
        <v>38</v>
      </c>
      <c r="CM2" s="53" t="s">
        <v>47</v>
      </c>
      <c r="CN2" s="54" t="s">
        <v>40</v>
      </c>
      <c r="CO2" s="54" t="s">
        <v>41</v>
      </c>
      <c r="CP2" s="51" t="s">
        <v>140</v>
      </c>
      <c r="CQ2" s="51" t="s">
        <v>141</v>
      </c>
      <c r="CR2" s="72" t="s">
        <v>140</v>
      </c>
      <c r="CS2" s="72" t="s">
        <v>141</v>
      </c>
      <c r="CT2" s="51" t="s">
        <v>144</v>
      </c>
      <c r="CU2" s="51" t="s">
        <v>38</v>
      </c>
      <c r="CV2" s="72" t="s">
        <v>144</v>
      </c>
      <c r="CW2" s="72" t="s">
        <v>38</v>
      </c>
    </row>
    <row r="3" spans="1:101" ht="25.5" customHeight="1" thickBot="1" x14ac:dyDescent="0.45">
      <c r="A3" s="61">
        <v>44316</v>
      </c>
      <c r="B3" s="66"/>
      <c r="C3" s="56">
        <v>2.1806000000000001</v>
      </c>
      <c r="D3" s="62"/>
      <c r="E3" s="56">
        <v>3.0956999999999999</v>
      </c>
      <c r="F3" s="62"/>
      <c r="G3" s="56">
        <v>3.1709999999999998</v>
      </c>
      <c r="H3" s="62"/>
      <c r="I3" s="56">
        <v>1.5618000000000001</v>
      </c>
      <c r="J3" s="62"/>
      <c r="K3" s="56">
        <v>2.5261999999999998</v>
      </c>
      <c r="L3" s="62"/>
      <c r="M3" s="56">
        <v>1.4044000000000001</v>
      </c>
      <c r="N3" s="62"/>
      <c r="O3" s="56">
        <v>13883</v>
      </c>
      <c r="P3" s="65"/>
      <c r="Q3" s="56">
        <v>814</v>
      </c>
      <c r="R3" s="65"/>
      <c r="S3" s="56">
        <v>949304.8</v>
      </c>
      <c r="T3" s="65"/>
      <c r="U3" s="56">
        <v>398791.7</v>
      </c>
      <c r="V3" s="65"/>
      <c r="W3" s="56">
        <v>380.33</v>
      </c>
      <c r="X3" s="63"/>
      <c r="Y3" s="56">
        <v>2.7023999999999999</v>
      </c>
      <c r="Z3" s="63"/>
      <c r="AA3" s="56">
        <v>378.87</v>
      </c>
      <c r="AB3" s="63"/>
      <c r="AC3" s="56">
        <v>357.04</v>
      </c>
      <c r="AD3" s="63"/>
      <c r="AE3" s="56">
        <v>549.75</v>
      </c>
      <c r="AF3" s="63"/>
      <c r="AG3" s="56">
        <v>2453</v>
      </c>
      <c r="AH3" s="65"/>
      <c r="AI3" s="56">
        <v>575.58000000000004</v>
      </c>
      <c r="AJ3" s="63"/>
      <c r="AK3" s="56">
        <v>193.34</v>
      </c>
      <c r="AL3" s="63"/>
      <c r="AM3" s="56">
        <v>186.46</v>
      </c>
      <c r="AN3" s="63"/>
      <c r="AO3" s="56">
        <v>181.33</v>
      </c>
      <c r="AP3" s="63"/>
      <c r="AQ3" s="56">
        <v>238.74</v>
      </c>
      <c r="AR3" s="63"/>
      <c r="AS3" s="56">
        <v>365.25</v>
      </c>
      <c r="AT3" s="63"/>
      <c r="AU3" s="56">
        <v>281.42</v>
      </c>
      <c r="AV3" s="63"/>
      <c r="AW3" s="56">
        <v>315.18</v>
      </c>
      <c r="AX3" s="63"/>
      <c r="AY3" s="56">
        <v>359.2</v>
      </c>
      <c r="AZ3" s="63"/>
      <c r="BA3" s="56">
        <v>379.83</v>
      </c>
      <c r="BB3" s="63"/>
      <c r="BC3" s="56">
        <v>240.02</v>
      </c>
      <c r="BD3" s="63"/>
      <c r="BE3" s="57">
        <v>38385</v>
      </c>
      <c r="BF3" s="65"/>
      <c r="BG3" s="58">
        <v>232.01</v>
      </c>
      <c r="BH3" s="63"/>
      <c r="BI3" s="58">
        <v>291.24</v>
      </c>
      <c r="BJ3" s="63"/>
      <c r="BK3" s="58">
        <v>234.98</v>
      </c>
      <c r="BL3" s="63"/>
      <c r="BM3" s="58">
        <v>221.71</v>
      </c>
      <c r="BN3" s="63"/>
      <c r="BO3" s="58">
        <v>285.98</v>
      </c>
      <c r="BP3" s="63"/>
      <c r="BQ3" s="58">
        <v>43837</v>
      </c>
      <c r="BR3" s="63"/>
      <c r="BS3" s="58">
        <v>199.5</v>
      </c>
      <c r="BT3" s="63"/>
      <c r="BU3" s="58">
        <v>38280</v>
      </c>
      <c r="BV3" s="63"/>
      <c r="BW3" s="58">
        <v>230.41</v>
      </c>
      <c r="BX3" s="63"/>
      <c r="BY3" s="58">
        <v>57599</v>
      </c>
      <c r="BZ3" s="65"/>
      <c r="CA3" s="58">
        <v>29975.7</v>
      </c>
      <c r="CB3" s="65"/>
      <c r="CC3" s="58">
        <v>11664</v>
      </c>
      <c r="CD3" s="65"/>
      <c r="CE3" s="58">
        <v>6057.9</v>
      </c>
      <c r="CF3" s="65"/>
      <c r="CG3" s="58">
        <v>57704.800000000003</v>
      </c>
      <c r="CH3" s="65"/>
      <c r="CI3" s="58">
        <v>932039</v>
      </c>
      <c r="CJ3" s="65"/>
      <c r="CK3" s="58">
        <v>723.16</v>
      </c>
      <c r="CL3" s="62"/>
      <c r="CM3" s="63"/>
      <c r="CN3" s="60">
        <v>0</v>
      </c>
      <c r="CO3" s="60">
        <v>0</v>
      </c>
      <c r="CP3" s="66">
        <v>6805</v>
      </c>
      <c r="CQ3" s="65"/>
      <c r="CR3" s="66">
        <v>13051</v>
      </c>
      <c r="CS3" s="65"/>
      <c r="CT3" s="73">
        <v>5706</v>
      </c>
      <c r="CU3" s="65"/>
      <c r="CV3" s="66">
        <v>13992</v>
      </c>
      <c r="CW3" s="65"/>
    </row>
    <row r="4" spans="1:101" ht="25.5" customHeight="1" thickBot="1" x14ac:dyDescent="0.45">
      <c r="A4" s="61">
        <v>44317</v>
      </c>
      <c r="B4" s="66"/>
      <c r="C4" s="56">
        <v>2.1827000000000001</v>
      </c>
      <c r="D4" s="62">
        <f t="shared" ref="D4:D34" si="0">IF((C4-C3&lt;0), "0",(C4-C3)*1000000)</f>
        <v>2099.9999999999909</v>
      </c>
      <c r="E4" s="56">
        <v>3.0991</v>
      </c>
      <c r="F4" s="62">
        <f t="shared" ref="F4:F34" si="1">IF((E4-E3&lt;0), "0",(E4-E3)*1000000)</f>
        <v>3400.0000000000696</v>
      </c>
      <c r="G4" s="56">
        <v>3.1739999999999999</v>
      </c>
      <c r="H4" s="62">
        <f t="shared" ref="H4:H34" si="2">IF((G4-G3&lt;0), "0",(G4-G3)*1000000)</f>
        <v>3000.0000000001137</v>
      </c>
      <c r="I4" s="56">
        <v>1.5632999999999999</v>
      </c>
      <c r="J4" s="62">
        <f t="shared" ref="J4:J34" si="3">IF((I4-I3&lt;0), "0",(I4-I3)*1000000)</f>
        <v>1499.9999999998347</v>
      </c>
      <c r="K4" s="56">
        <v>2.5286</v>
      </c>
      <c r="L4" s="62">
        <f>IF((K4-K3&lt;0), "0",(K4-K3)*1000000)</f>
        <v>2400.0000000001796</v>
      </c>
      <c r="M4" s="56">
        <v>1.4052</v>
      </c>
      <c r="N4" s="62">
        <f t="shared" ref="N4:N34" si="4">IF((M4-M3&lt;0), "",(M4-M3)*1000000)</f>
        <v>799.99999999991189</v>
      </c>
      <c r="O4" s="56">
        <v>13895</v>
      </c>
      <c r="P4" s="65">
        <f t="shared" ref="P4:P10" si="5">IF((O4-O3&lt;0), "",O4-O3)</f>
        <v>12</v>
      </c>
      <c r="Q4" s="56">
        <v>819</v>
      </c>
      <c r="R4" s="65">
        <f t="shared" ref="R4:R34" si="6">IF((Q4-Q3&lt;0), "",Q4-Q3)</f>
        <v>5</v>
      </c>
      <c r="S4" s="56">
        <v>950271.2</v>
      </c>
      <c r="T4" s="65">
        <f t="shared" ref="T4:T34" si="7">IF((S4-S3&lt;0), "",S4-S3)</f>
        <v>966.39999999990687</v>
      </c>
      <c r="U4" s="56">
        <v>399178</v>
      </c>
      <c r="V4" s="65">
        <f>IF((U4-U3&lt;0), "",U4-$U$3)</f>
        <v>386.29999999998836</v>
      </c>
      <c r="W4" s="56">
        <v>380.76</v>
      </c>
      <c r="X4" s="63">
        <f>IF((W4-W3&lt;0), "",(W4-W3)*1000)</f>
        <v>430.00000000000682</v>
      </c>
      <c r="Y4" s="56">
        <v>2.7056</v>
      </c>
      <c r="Z4" s="63">
        <f t="shared" ref="Z4:Z34" si="8">IF((Y4-Y3&lt;0), "",(Y4-Y3)*1000000)</f>
        <v>3200.0000000000919</v>
      </c>
      <c r="AA4" s="56">
        <v>379.15</v>
      </c>
      <c r="AB4" s="63">
        <f t="shared" ref="AB4:AB34" si="9">IF((AA4-AA3&lt;0), "",(AA4-AA3)*1000)</f>
        <v>279.99999999997272</v>
      </c>
      <c r="AC4" s="56">
        <v>357.16</v>
      </c>
      <c r="AD4" s="63">
        <f t="shared" ref="AD4:AD34" si="10">IF((AC4-AC3&lt;0), "",(AC4-AC3)*1000)</f>
        <v>120.00000000000455</v>
      </c>
      <c r="AE4" s="56">
        <v>550.01</v>
      </c>
      <c r="AF4" s="63">
        <f t="shared" ref="AF4:AF34" si="11">IF((AE4-AE3&lt;0), "",(AE4-AE3)*1000)</f>
        <v>259.99999999999091</v>
      </c>
      <c r="AG4" s="56">
        <v>2488</v>
      </c>
      <c r="AH4" s="65">
        <f t="shared" ref="AH4:AH34" si="12">IF((AG4-AG3&lt;0), "",AG4-AG3)</f>
        <v>35</v>
      </c>
      <c r="AI4" s="56">
        <v>576.49</v>
      </c>
      <c r="AJ4" s="63">
        <f t="shared" ref="AJ4:AP34" si="13">IF((AI4-AI3&lt;0), "",(AI4-AI3)*1000)</f>
        <v>909.99999999996817</v>
      </c>
      <c r="AK4" s="56">
        <v>193.53</v>
      </c>
      <c r="AL4" s="63">
        <f t="shared" si="13"/>
        <v>189.99999999999773</v>
      </c>
      <c r="AM4" s="56">
        <v>186.54</v>
      </c>
      <c r="AN4" s="63">
        <f t="shared" si="13"/>
        <v>79.999999999984084</v>
      </c>
      <c r="AO4" s="56">
        <v>181.5</v>
      </c>
      <c r="AP4" s="63">
        <f t="shared" si="13"/>
        <v>169.99999999998749</v>
      </c>
      <c r="AQ4" s="56">
        <v>239</v>
      </c>
      <c r="AR4" s="63">
        <f t="shared" ref="AR4:AR34" si="14">IF((AQ4-AQ3&lt;0), "",(AQ4-AQ3)*1000)</f>
        <v>259.99999999999091</v>
      </c>
      <c r="AS4" s="56">
        <v>365.32</v>
      </c>
      <c r="AT4" s="63">
        <f t="shared" ref="AT4:AT34" si="15">IF((AS4-AS3&lt;0), "",(AS4-AS3)*1000)</f>
        <v>69.999999999993179</v>
      </c>
      <c r="AU4" s="56">
        <v>281.51</v>
      </c>
      <c r="AV4" s="63">
        <f t="shared" ref="AV4:AV34" si="16">IF((AU4-AU3&lt;0), "",(AU4-AU3)*1000)</f>
        <v>89.999999999974989</v>
      </c>
      <c r="AW4" s="56">
        <v>315.20999999999998</v>
      </c>
      <c r="AX4" s="63">
        <f t="shared" ref="AX4:AX34" si="17">IF((AW4-AW3&lt;0), "",(AW4-AW3)*1000)</f>
        <v>29.999999999972715</v>
      </c>
      <c r="AY4" s="56">
        <v>359.23</v>
      </c>
      <c r="AZ4" s="63">
        <f t="shared" ref="AZ4:AZ34" si="18">IF((AY4-AY3&lt;0), "",(AY4-AY3)*1000)</f>
        <v>30.000000000029559</v>
      </c>
      <c r="BA4" s="56">
        <v>379.85</v>
      </c>
      <c r="BB4" s="63">
        <f t="shared" ref="BB4:BB34" si="19">IF((BA4-BA3&lt;0), "",(BA4-BA3)*1000)</f>
        <v>20.000000000038654</v>
      </c>
      <c r="BC4" s="56">
        <v>240.05</v>
      </c>
      <c r="BD4" s="63">
        <f t="shared" ref="BD4:BD34" si="20">IF((BC4-BC3&lt;0), "",(BC4-BC3)*1000)</f>
        <v>30.000000000001137</v>
      </c>
      <c r="BE4" s="57">
        <v>38423</v>
      </c>
      <c r="BF4" s="65">
        <f>IF((BE4-BE3&lt;0), "",BE4-BE3)</f>
        <v>38</v>
      </c>
      <c r="BG4" s="58">
        <v>232.06</v>
      </c>
      <c r="BH4" s="63">
        <f t="shared" ref="BH4:BH34" si="21">IF((BG4-BG3&lt;0), "",(BG4-BG3)*1000)</f>
        <v>50.000000000011369</v>
      </c>
      <c r="BI4" s="58">
        <v>291.29000000000002</v>
      </c>
      <c r="BJ4" s="63">
        <f>IF((BI4-BI3&lt;0), "",(BI4-BI3)*1000)</f>
        <v>50.000000000011369</v>
      </c>
      <c r="BK4" s="58">
        <v>235.02</v>
      </c>
      <c r="BL4" s="63">
        <f t="shared" ref="BL4:BL34" si="22">IF((BK4-BK3&lt;0), "",(BK4-BK3)*1000)</f>
        <v>40.000000000020464</v>
      </c>
      <c r="BM4" s="58">
        <v>221.75</v>
      </c>
      <c r="BN4" s="63">
        <f t="shared" ref="BN4:BN33" si="23">IF((BM4-BM3&lt;0), "",(BM4-BM3)*1000)</f>
        <v>39.999999999992042</v>
      </c>
      <c r="BO4" s="58">
        <v>286.02</v>
      </c>
      <c r="BP4" s="63">
        <f t="shared" ref="BP4:BP34" si="24">IF((BO4-BO3&lt;0), "",(BO4-BO3)*1000)</f>
        <v>39.99999999996362</v>
      </c>
      <c r="BQ4" s="58">
        <v>43872</v>
      </c>
      <c r="BR4" s="63">
        <f t="shared" ref="BR4:BR34" si="25">IF((BQ4-BQ3&lt;0), "",BQ4-BQ3)</f>
        <v>35</v>
      </c>
      <c r="BS4" s="58">
        <v>199.54</v>
      </c>
      <c r="BT4" s="63">
        <f>IF((BS4-BS3&lt;0), "",(BS4-BS3)*1000)</f>
        <v>39.999999999992042</v>
      </c>
      <c r="BU4" s="58">
        <v>38330</v>
      </c>
      <c r="BV4" s="63">
        <f t="shared" ref="BV4:BV35" si="26">IF((BU4-BU3&lt;0), "",BU4-BU3)</f>
        <v>50</v>
      </c>
      <c r="BW4" s="58">
        <v>230.44</v>
      </c>
      <c r="BX4" s="63">
        <f t="shared" ref="BX4:BX34" si="27">IF((BW4-BW3&lt;0), "",(BW4-BW3)*1000)</f>
        <v>30.000000000001137</v>
      </c>
      <c r="BY4" s="58">
        <v>57645</v>
      </c>
      <c r="BZ4" s="65">
        <f t="shared" ref="BZ4:BZ34" si="28">IF((BY4-BY3&lt;0), "",BY4-BY3)</f>
        <v>46</v>
      </c>
      <c r="CA4" s="58">
        <v>30019.3</v>
      </c>
      <c r="CB4" s="65">
        <f t="shared" ref="CB4:CB33" si="29">IF((CA4-CA3&lt;0), "",CA4-CA3)</f>
        <v>43.599999999998545</v>
      </c>
      <c r="CC4" s="58">
        <v>11688</v>
      </c>
      <c r="CD4" s="65">
        <f t="shared" ref="CD4:CD34" si="30">IF((CC4-CC3&lt;0), "",CC4-CC3)</f>
        <v>24</v>
      </c>
      <c r="CE4" s="58">
        <v>6057.9</v>
      </c>
      <c r="CF4" s="65">
        <f t="shared" ref="CF4:CF33" si="31">IF((CE4-CE3&lt;0), "",CE4-CE3)</f>
        <v>0</v>
      </c>
      <c r="CG4" s="58">
        <v>57737.1</v>
      </c>
      <c r="CH4" s="65">
        <f t="shared" ref="CH4:CH34" si="32">IF((CG4-CG3&lt;0), "",CG4-CG3)</f>
        <v>32.299999999995634</v>
      </c>
      <c r="CI4" s="58">
        <v>932344</v>
      </c>
      <c r="CJ4" s="65">
        <f t="shared" ref="CJ4:CJ34" si="33">IF((CI4-CI3&lt;0), "",CI4-CI3)</f>
        <v>305</v>
      </c>
      <c r="CK4" s="58">
        <v>723.96</v>
      </c>
      <c r="CL4" s="62">
        <f t="shared" ref="CL4:CL34" si="34">IF((CK4-CK3&lt;0), "",(CK4-CK3)*1000)</f>
        <v>800.00000000006821</v>
      </c>
      <c r="CM4" s="63">
        <f t="shared" ref="CM4:CM34" si="35">CQ4+CS4</f>
        <v>68</v>
      </c>
      <c r="CN4" s="60">
        <v>9</v>
      </c>
      <c r="CO4" s="60">
        <v>26</v>
      </c>
      <c r="CP4" s="66">
        <v>6858</v>
      </c>
      <c r="CQ4" s="65">
        <f t="shared" ref="CQ4:CW34" si="36">IF((CP4-CP3&lt;0), "",CP4-CP3)</f>
        <v>53</v>
      </c>
      <c r="CR4" s="66">
        <v>13066</v>
      </c>
      <c r="CS4" s="65">
        <f t="shared" si="36"/>
        <v>15</v>
      </c>
      <c r="CT4" s="73">
        <v>5726</v>
      </c>
      <c r="CU4" s="65">
        <f t="shared" si="36"/>
        <v>20</v>
      </c>
      <c r="CV4" s="66">
        <v>14024</v>
      </c>
      <c r="CW4" s="65">
        <f t="shared" si="36"/>
        <v>32</v>
      </c>
    </row>
    <row r="5" spans="1:101" ht="25.5" customHeight="1" thickBot="1" x14ac:dyDescent="0.45">
      <c r="A5" s="61">
        <v>44318</v>
      </c>
      <c r="B5" s="44"/>
      <c r="C5" s="56">
        <v>2.1850000000000001</v>
      </c>
      <c r="D5" s="62">
        <f t="shared" si="0"/>
        <v>2299.9999999999686</v>
      </c>
      <c r="E5" s="56">
        <v>3.1021000000000001</v>
      </c>
      <c r="F5" s="62">
        <f t="shared" si="1"/>
        <v>3000.0000000001137</v>
      </c>
      <c r="G5" s="56">
        <v>3.1768000000000001</v>
      </c>
      <c r="H5" s="62">
        <f t="shared" si="2"/>
        <v>2800.0000000001355</v>
      </c>
      <c r="I5" s="56">
        <v>1.5648</v>
      </c>
      <c r="J5" s="62">
        <f t="shared" si="3"/>
        <v>1500.0000000000568</v>
      </c>
      <c r="K5" s="56">
        <v>2.5308999999999999</v>
      </c>
      <c r="L5" s="62">
        <f t="shared" ref="L5:L34" si="37">IF((K5-K4&lt;0), "0",(K5-K4)*1000000)</f>
        <v>2299.9999999999686</v>
      </c>
      <c r="M5" s="56">
        <v>1.4061999999999999</v>
      </c>
      <c r="N5" s="62">
        <f t="shared" si="4"/>
        <v>999.99999999988984</v>
      </c>
      <c r="O5" s="56">
        <v>13905</v>
      </c>
      <c r="P5" s="65">
        <f t="shared" si="5"/>
        <v>10</v>
      </c>
      <c r="Q5" s="56">
        <v>824</v>
      </c>
      <c r="R5" s="65">
        <f t="shared" si="6"/>
        <v>5</v>
      </c>
      <c r="S5" s="56">
        <v>951106.6</v>
      </c>
      <c r="T5" s="65">
        <f t="shared" si="7"/>
        <v>835.40000000002328</v>
      </c>
      <c r="U5" s="56">
        <v>399571</v>
      </c>
      <c r="V5" s="65">
        <f t="shared" ref="V5:V34" si="38">IF((U5-U4&lt;0), "",U5-U4)</f>
        <v>393</v>
      </c>
      <c r="W5" s="56">
        <v>380.94</v>
      </c>
      <c r="X5" s="63">
        <f>IF((W5-W4&lt;0), "",(W5-W4)*1000)</f>
        <v>180.00000000000682</v>
      </c>
      <c r="Y5" s="56">
        <v>2.7082000000000002</v>
      </c>
      <c r="Z5" s="63">
        <f t="shared" si="8"/>
        <v>2600.0000000001578</v>
      </c>
      <c r="AA5" s="56">
        <v>379.56</v>
      </c>
      <c r="AB5" s="63">
        <f t="shared" si="9"/>
        <v>410.00000000002501</v>
      </c>
      <c r="AC5" s="56">
        <v>357.33</v>
      </c>
      <c r="AD5" s="63">
        <f t="shared" si="10"/>
        <v>169.99999999995907</v>
      </c>
      <c r="AE5" s="56">
        <v>550.28</v>
      </c>
      <c r="AF5" s="63">
        <f t="shared" si="11"/>
        <v>269.99999999998181</v>
      </c>
      <c r="AG5" s="56">
        <v>2523</v>
      </c>
      <c r="AH5" s="65">
        <f t="shared" si="12"/>
        <v>35</v>
      </c>
      <c r="AI5" s="56">
        <v>577.41999999999996</v>
      </c>
      <c r="AJ5" s="63">
        <f t="shared" si="13"/>
        <v>929.99999999994998</v>
      </c>
      <c r="AK5" s="56">
        <v>193.76</v>
      </c>
      <c r="AL5" s="63">
        <f t="shared" si="13"/>
        <v>229.99999999998977</v>
      </c>
      <c r="AM5" s="56">
        <v>186.66</v>
      </c>
      <c r="AN5" s="63">
        <f t="shared" si="13"/>
        <v>120.00000000000455</v>
      </c>
      <c r="AO5" s="56">
        <v>181.66</v>
      </c>
      <c r="AP5" s="63">
        <f t="shared" si="13"/>
        <v>159.99999999999659</v>
      </c>
      <c r="AQ5" s="56">
        <v>239.23</v>
      </c>
      <c r="AR5" s="63">
        <f t="shared" si="14"/>
        <v>229.99999999998977</v>
      </c>
      <c r="AS5" s="56">
        <v>365.38</v>
      </c>
      <c r="AT5" s="63">
        <f t="shared" si="15"/>
        <v>60.000000000002274</v>
      </c>
      <c r="AU5" s="56">
        <v>281.58</v>
      </c>
      <c r="AV5" s="63">
        <f t="shared" si="16"/>
        <v>69.999999999993179</v>
      </c>
      <c r="AW5" s="56">
        <v>315.24</v>
      </c>
      <c r="AX5" s="63">
        <f t="shared" si="17"/>
        <v>30.000000000029559</v>
      </c>
      <c r="AY5" s="56">
        <v>359.26</v>
      </c>
      <c r="AZ5" s="63">
        <f t="shared" si="18"/>
        <v>29.999999999972715</v>
      </c>
      <c r="BA5" s="56">
        <v>379.87</v>
      </c>
      <c r="BB5" s="63">
        <f t="shared" si="19"/>
        <v>19.99999999998181</v>
      </c>
      <c r="BC5" s="56">
        <v>240.08</v>
      </c>
      <c r="BD5" s="63">
        <f t="shared" si="20"/>
        <v>30.000000000001137</v>
      </c>
      <c r="BE5" s="57">
        <v>38463</v>
      </c>
      <c r="BF5" s="65">
        <f t="shared" ref="BF5:BF34" si="39">IF((BE5-BE4&lt;0), "",BE5-BE4)</f>
        <v>40</v>
      </c>
      <c r="BG5" s="58">
        <v>232.11</v>
      </c>
      <c r="BH5" s="63">
        <f t="shared" si="21"/>
        <v>50.000000000011369</v>
      </c>
      <c r="BI5" s="58">
        <v>291.33</v>
      </c>
      <c r="BJ5" s="63">
        <f t="shared" ref="BJ5:BJ34" si="40">IF((BI5-BI4&lt;0), "",(BI5-BI4)*1000)</f>
        <v>39.99999999996362</v>
      </c>
      <c r="BK5" s="58">
        <v>235.06</v>
      </c>
      <c r="BL5" s="63">
        <f t="shared" si="22"/>
        <v>39.999999999992042</v>
      </c>
      <c r="BM5" s="58">
        <v>221.78</v>
      </c>
      <c r="BN5" s="63">
        <f t="shared" si="23"/>
        <v>30.000000000001137</v>
      </c>
      <c r="BO5" s="58">
        <v>286.05</v>
      </c>
      <c r="BP5" s="63">
        <f t="shared" si="24"/>
        <v>30.000000000029559</v>
      </c>
      <c r="BQ5" s="58">
        <v>43902</v>
      </c>
      <c r="BR5" s="63">
        <f t="shared" si="25"/>
        <v>30</v>
      </c>
      <c r="BS5" s="58">
        <v>199.57</v>
      </c>
      <c r="BT5" s="63">
        <f>IF((BS5-BS4&lt;0), "",(BS5-BS4)*1000)</f>
        <v>30.000000000001137</v>
      </c>
      <c r="BU5" s="58">
        <v>38378</v>
      </c>
      <c r="BV5" s="63">
        <f t="shared" si="26"/>
        <v>48</v>
      </c>
      <c r="BW5" s="58">
        <v>230.48</v>
      </c>
      <c r="BX5" s="63">
        <f t="shared" si="27"/>
        <v>39.999999999992042</v>
      </c>
      <c r="BY5" s="58">
        <v>57687</v>
      </c>
      <c r="BZ5" s="65">
        <f t="shared" si="28"/>
        <v>42</v>
      </c>
      <c r="CA5" s="58">
        <v>30040.799999999999</v>
      </c>
      <c r="CB5" s="65">
        <f t="shared" si="29"/>
        <v>21.5</v>
      </c>
      <c r="CC5" s="58">
        <v>11692.1</v>
      </c>
      <c r="CD5" s="65">
        <f t="shared" si="30"/>
        <v>4.1000000000003638</v>
      </c>
      <c r="CE5" s="58">
        <v>6070.3</v>
      </c>
      <c r="CF5" s="65">
        <f t="shared" si="31"/>
        <v>12.400000000000546</v>
      </c>
      <c r="CG5" s="58">
        <v>57773.9</v>
      </c>
      <c r="CH5" s="65">
        <f t="shared" si="32"/>
        <v>36.80000000000291</v>
      </c>
      <c r="CI5" s="58">
        <v>932667</v>
      </c>
      <c r="CJ5" s="65">
        <f t="shared" si="33"/>
        <v>323</v>
      </c>
      <c r="CK5" s="58">
        <v>724.68</v>
      </c>
      <c r="CL5" s="62">
        <f t="shared" si="34"/>
        <v>719.9999999999136</v>
      </c>
      <c r="CM5" s="63">
        <f t="shared" si="35"/>
        <v>62</v>
      </c>
      <c r="CN5" s="60">
        <v>11</v>
      </c>
      <c r="CO5" s="60">
        <v>31</v>
      </c>
      <c r="CP5" s="66">
        <v>6904</v>
      </c>
      <c r="CQ5" s="65">
        <f t="shared" si="36"/>
        <v>46</v>
      </c>
      <c r="CR5" s="66">
        <v>13082</v>
      </c>
      <c r="CS5" s="65">
        <f t="shared" si="36"/>
        <v>16</v>
      </c>
      <c r="CT5" s="73">
        <v>5741</v>
      </c>
      <c r="CU5" s="65">
        <f t="shared" si="36"/>
        <v>15</v>
      </c>
      <c r="CV5" s="66">
        <v>14058</v>
      </c>
      <c r="CW5" s="65">
        <f t="shared" si="36"/>
        <v>34</v>
      </c>
    </row>
    <row r="6" spans="1:101" ht="24.75" customHeight="1" thickBot="1" x14ac:dyDescent="0.45">
      <c r="A6" s="61">
        <v>44319</v>
      </c>
      <c r="B6" s="44"/>
      <c r="C6" s="56">
        <v>2.1873</v>
      </c>
      <c r="D6" s="62">
        <f t="shared" si="0"/>
        <v>2299.9999999999686</v>
      </c>
      <c r="E6" s="56">
        <v>3.1053999999999999</v>
      </c>
      <c r="F6" s="62">
        <f t="shared" si="1"/>
        <v>3299.9999999998586</v>
      </c>
      <c r="G6" s="56">
        <v>3.1797</v>
      </c>
      <c r="H6" s="62">
        <f t="shared" si="2"/>
        <v>2899.9999999999027</v>
      </c>
      <c r="I6" s="56">
        <v>1.5663</v>
      </c>
      <c r="J6" s="62">
        <f t="shared" si="3"/>
        <v>1500.0000000000568</v>
      </c>
      <c r="K6" s="56">
        <v>2.5329999999999999</v>
      </c>
      <c r="L6" s="62">
        <f t="shared" si="37"/>
        <v>2099.9999999999909</v>
      </c>
      <c r="M6" s="56">
        <v>1.4073</v>
      </c>
      <c r="N6" s="62">
        <f t="shared" si="4"/>
        <v>1100.000000000101</v>
      </c>
      <c r="O6" s="56">
        <v>13908</v>
      </c>
      <c r="P6" s="65">
        <f t="shared" si="5"/>
        <v>3</v>
      </c>
      <c r="Q6" s="56">
        <v>831</v>
      </c>
      <c r="R6" s="65">
        <f t="shared" si="6"/>
        <v>7</v>
      </c>
      <c r="S6" s="56">
        <v>952037.4</v>
      </c>
      <c r="T6" s="65">
        <f t="shared" si="7"/>
        <v>930.80000000004657</v>
      </c>
      <c r="U6" s="56">
        <v>399990.3</v>
      </c>
      <c r="V6" s="65">
        <f t="shared" si="38"/>
        <v>419.29999999998836</v>
      </c>
      <c r="W6" s="56">
        <v>381.29</v>
      </c>
      <c r="X6" s="63">
        <f t="shared" ref="X6:X34" si="41">IF((W6-W5&lt;0), "",(W6-W5)*1000)</f>
        <v>350.00000000002274</v>
      </c>
      <c r="Y6" s="56">
        <v>2.7113</v>
      </c>
      <c r="Z6" s="63">
        <f t="shared" si="8"/>
        <v>3099.9999999998809</v>
      </c>
      <c r="AA6" s="56">
        <v>379.98</v>
      </c>
      <c r="AB6" s="63">
        <f t="shared" si="9"/>
        <v>420.00000000001592</v>
      </c>
      <c r="AC6" s="56">
        <v>357.6</v>
      </c>
      <c r="AD6" s="63">
        <f t="shared" si="10"/>
        <v>270.00000000003865</v>
      </c>
      <c r="AE6" s="56">
        <v>550.65</v>
      </c>
      <c r="AF6" s="63">
        <f t="shared" si="11"/>
        <v>370.00000000000455</v>
      </c>
      <c r="AG6" s="56">
        <v>2574</v>
      </c>
      <c r="AH6" s="65">
        <f t="shared" si="12"/>
        <v>51</v>
      </c>
      <c r="AI6" s="56">
        <v>578.38</v>
      </c>
      <c r="AJ6" s="63">
        <f t="shared" si="13"/>
        <v>960.00000000003638</v>
      </c>
      <c r="AK6" s="56">
        <v>194.06</v>
      </c>
      <c r="AL6" s="63">
        <f t="shared" si="13"/>
        <v>300.00000000001137</v>
      </c>
      <c r="AM6" s="56">
        <v>186.83</v>
      </c>
      <c r="AN6" s="63">
        <f t="shared" si="13"/>
        <v>170.00000000001592</v>
      </c>
      <c r="AO6" s="56">
        <v>181.87</v>
      </c>
      <c r="AP6" s="63">
        <f t="shared" si="13"/>
        <v>210.00000000000796</v>
      </c>
      <c r="AQ6" s="56">
        <v>239.53</v>
      </c>
      <c r="AR6" s="63">
        <f t="shared" si="14"/>
        <v>300.00000000001137</v>
      </c>
      <c r="AS6" s="56">
        <v>365.48</v>
      </c>
      <c r="AT6" s="63">
        <f t="shared" si="15"/>
        <v>100.00000000002274</v>
      </c>
      <c r="AU6" s="56">
        <v>281.66000000000003</v>
      </c>
      <c r="AV6" s="63">
        <f t="shared" si="16"/>
        <v>80.000000000040927</v>
      </c>
      <c r="AW6" s="56">
        <v>315.27999999999997</v>
      </c>
      <c r="AX6" s="63">
        <f t="shared" si="17"/>
        <v>39.99999999996362</v>
      </c>
      <c r="AY6" s="56">
        <v>359.31</v>
      </c>
      <c r="AZ6" s="63">
        <f t="shared" si="18"/>
        <v>50.000000000011369</v>
      </c>
      <c r="BA6" s="56">
        <v>379.9</v>
      </c>
      <c r="BB6" s="63">
        <f t="shared" si="19"/>
        <v>29.999999999972715</v>
      </c>
      <c r="BC6" s="56">
        <v>240.12</v>
      </c>
      <c r="BD6" s="63">
        <f t="shared" si="20"/>
        <v>39.999999999992042</v>
      </c>
      <c r="BE6" s="57">
        <v>38499</v>
      </c>
      <c r="BF6" s="65">
        <f t="shared" si="39"/>
        <v>36</v>
      </c>
      <c r="BG6" s="58">
        <v>232.17</v>
      </c>
      <c r="BH6" s="63">
        <f t="shared" si="21"/>
        <v>59.999999999973852</v>
      </c>
      <c r="BI6" s="58">
        <v>291.38</v>
      </c>
      <c r="BJ6" s="63">
        <f t="shared" si="40"/>
        <v>50.000000000011369</v>
      </c>
      <c r="BK6" s="58">
        <v>235.1</v>
      </c>
      <c r="BL6" s="63">
        <f t="shared" si="22"/>
        <v>39.999999999992042</v>
      </c>
      <c r="BM6" s="58">
        <v>221.82</v>
      </c>
      <c r="BN6" s="63">
        <f t="shared" si="23"/>
        <v>39.999999999992042</v>
      </c>
      <c r="BO6" s="58">
        <v>286.08999999999997</v>
      </c>
      <c r="BP6" s="63">
        <f t="shared" si="24"/>
        <v>39.99999999996362</v>
      </c>
      <c r="BQ6" s="58">
        <v>43937</v>
      </c>
      <c r="BR6" s="63">
        <f t="shared" si="25"/>
        <v>35</v>
      </c>
      <c r="BS6" s="58">
        <v>199.61</v>
      </c>
      <c r="BT6" s="63">
        <f t="shared" ref="BT6:BT35" si="42">IF((BS6-BS5&lt;0), "",(BS6-BS5)*1000)</f>
        <v>40.000000000020464</v>
      </c>
      <c r="BU6" s="58">
        <v>38436</v>
      </c>
      <c r="BV6" s="63">
        <f t="shared" si="26"/>
        <v>58</v>
      </c>
      <c r="BW6" s="58">
        <v>230.51</v>
      </c>
      <c r="BX6" s="63">
        <f t="shared" si="27"/>
        <v>30.000000000001137</v>
      </c>
      <c r="BY6" s="58">
        <v>57735</v>
      </c>
      <c r="BZ6" s="65">
        <f t="shared" si="28"/>
        <v>48</v>
      </c>
      <c r="CA6" s="58">
        <v>30064.6</v>
      </c>
      <c r="CB6" s="65">
        <f t="shared" si="29"/>
        <v>23.799999999999272</v>
      </c>
      <c r="CC6" s="58">
        <v>11704.4</v>
      </c>
      <c r="CD6" s="65">
        <f t="shared" si="30"/>
        <v>12.299999999999272</v>
      </c>
      <c r="CE6" s="58">
        <v>6081</v>
      </c>
      <c r="CF6" s="65">
        <f t="shared" si="31"/>
        <v>10.699999999999818</v>
      </c>
      <c r="CG6" s="58">
        <v>57801.8</v>
      </c>
      <c r="CH6" s="65">
        <f t="shared" si="32"/>
        <v>27.900000000001455</v>
      </c>
      <c r="CI6" s="58">
        <v>932687</v>
      </c>
      <c r="CJ6" s="65">
        <f t="shared" si="33"/>
        <v>20</v>
      </c>
      <c r="CK6" s="58">
        <v>725.37</v>
      </c>
      <c r="CL6" s="62">
        <f t="shared" si="34"/>
        <v>690.00000000005457</v>
      </c>
      <c r="CM6" s="63">
        <f t="shared" si="35"/>
        <v>77</v>
      </c>
      <c r="CN6" s="60">
        <v>12</v>
      </c>
      <c r="CO6" s="60">
        <v>36</v>
      </c>
      <c r="CP6" s="66">
        <v>6960</v>
      </c>
      <c r="CQ6" s="65">
        <f t="shared" si="36"/>
        <v>56</v>
      </c>
      <c r="CR6" s="66">
        <v>13103</v>
      </c>
      <c r="CS6" s="65">
        <f t="shared" si="36"/>
        <v>21</v>
      </c>
      <c r="CT6" s="66">
        <v>5760</v>
      </c>
      <c r="CU6" s="65">
        <f t="shared" si="36"/>
        <v>19</v>
      </c>
      <c r="CV6" s="66">
        <v>14095</v>
      </c>
      <c r="CW6" s="65">
        <f t="shared" si="36"/>
        <v>37</v>
      </c>
    </row>
    <row r="7" spans="1:101" ht="25.5" customHeight="1" thickBot="1" x14ac:dyDescent="0.45">
      <c r="A7" s="61">
        <v>44320</v>
      </c>
      <c r="B7" s="44"/>
      <c r="C7" s="56">
        <v>2.1890000000000001</v>
      </c>
      <c r="D7" s="62">
        <f t="shared" si="0"/>
        <v>1700.0000000000348</v>
      </c>
      <c r="E7" s="56">
        <v>3.1080999999999999</v>
      </c>
      <c r="F7" s="62">
        <f t="shared" si="1"/>
        <v>2699.9999999999245</v>
      </c>
      <c r="G7" s="56">
        <v>3.1821000000000002</v>
      </c>
      <c r="H7" s="62">
        <f t="shared" si="2"/>
        <v>2400.0000000001796</v>
      </c>
      <c r="I7" s="56">
        <v>1.5676000000000001</v>
      </c>
      <c r="J7" s="62">
        <f t="shared" si="3"/>
        <v>1300.0000000000789</v>
      </c>
      <c r="K7" s="56">
        <v>2.5350000000000001</v>
      </c>
      <c r="L7" s="62">
        <f t="shared" si="37"/>
        <v>2000.0000000002237</v>
      </c>
      <c r="M7" s="56">
        <v>1.4079999999999999</v>
      </c>
      <c r="N7" s="62">
        <f t="shared" si="4"/>
        <v>699.99999999992292</v>
      </c>
      <c r="O7" s="56">
        <v>13921</v>
      </c>
      <c r="P7" s="65">
        <f t="shared" si="5"/>
        <v>13</v>
      </c>
      <c r="Q7" s="56">
        <v>833</v>
      </c>
      <c r="R7" s="65">
        <f t="shared" si="6"/>
        <v>2</v>
      </c>
      <c r="S7" s="56">
        <v>952664.2</v>
      </c>
      <c r="T7" s="65">
        <f t="shared" si="7"/>
        <v>626.79999999993015</v>
      </c>
      <c r="U7" s="56">
        <v>400211.20000000001</v>
      </c>
      <c r="V7" s="65">
        <f t="shared" si="38"/>
        <v>220.90000000002328</v>
      </c>
      <c r="W7" s="56">
        <v>381.52</v>
      </c>
      <c r="X7" s="63">
        <f t="shared" si="41"/>
        <v>229.99999999996135</v>
      </c>
      <c r="Y7" s="56">
        <v>2.7136999999999998</v>
      </c>
      <c r="Z7" s="63">
        <f t="shared" si="8"/>
        <v>2399.9999999997358</v>
      </c>
      <c r="AA7" s="56">
        <v>380.17</v>
      </c>
      <c r="AB7" s="63">
        <f t="shared" si="9"/>
        <v>189.99999999999773</v>
      </c>
      <c r="AC7" s="56">
        <v>357.74</v>
      </c>
      <c r="AD7" s="63">
        <f t="shared" si="10"/>
        <v>139.99999999998636</v>
      </c>
      <c r="AE7" s="56">
        <v>550.86</v>
      </c>
      <c r="AF7" s="63">
        <f t="shared" si="11"/>
        <v>210.00000000003638</v>
      </c>
      <c r="AG7" s="56">
        <v>2592</v>
      </c>
      <c r="AH7" s="65">
        <f t="shared" si="12"/>
        <v>18</v>
      </c>
      <c r="AI7" s="56">
        <v>579.14</v>
      </c>
      <c r="AJ7" s="63">
        <f t="shared" si="13"/>
        <v>759.99999999999091</v>
      </c>
      <c r="AK7" s="56">
        <v>194.15</v>
      </c>
      <c r="AL7" s="63">
        <f t="shared" si="13"/>
        <v>90.000000000003411</v>
      </c>
      <c r="AM7" s="56">
        <v>186.86</v>
      </c>
      <c r="AN7" s="63">
        <f t="shared" si="13"/>
        <v>30.000000000001137</v>
      </c>
      <c r="AO7" s="56">
        <v>181.93</v>
      </c>
      <c r="AP7" s="63">
        <f t="shared" si="13"/>
        <v>60.000000000002274</v>
      </c>
      <c r="AQ7" s="56">
        <v>239.63</v>
      </c>
      <c r="AR7" s="63">
        <f t="shared" si="14"/>
        <v>99.999999999994316</v>
      </c>
      <c r="AS7" s="56">
        <v>365.52</v>
      </c>
      <c r="AT7" s="63">
        <f t="shared" si="15"/>
        <v>39.99999999996362</v>
      </c>
      <c r="AU7" s="56">
        <v>281.70999999999998</v>
      </c>
      <c r="AV7" s="63">
        <f t="shared" si="16"/>
        <v>49.999999999954525</v>
      </c>
      <c r="AW7" s="56">
        <v>315.3</v>
      </c>
      <c r="AX7" s="63">
        <f t="shared" si="17"/>
        <v>20.000000000038654</v>
      </c>
      <c r="AY7" s="56">
        <v>359.33</v>
      </c>
      <c r="AZ7" s="63">
        <f t="shared" si="18"/>
        <v>19.99999999998181</v>
      </c>
      <c r="BA7" s="56">
        <v>379.91</v>
      </c>
      <c r="BB7" s="63">
        <f t="shared" si="19"/>
        <v>10.000000000047748</v>
      </c>
      <c r="BC7" s="56">
        <v>240.13</v>
      </c>
      <c r="BD7" s="63">
        <f t="shared" si="20"/>
        <v>9.9999999999909051</v>
      </c>
      <c r="BE7" s="57">
        <v>38540</v>
      </c>
      <c r="BF7" s="65">
        <f t="shared" si="39"/>
        <v>41</v>
      </c>
      <c r="BG7" s="58">
        <v>232.2</v>
      </c>
      <c r="BH7" s="63">
        <f t="shared" si="21"/>
        <v>30.000000000001137</v>
      </c>
      <c r="BI7" s="58">
        <v>291.41000000000003</v>
      </c>
      <c r="BJ7" s="63">
        <f t="shared" si="40"/>
        <v>30.000000000029559</v>
      </c>
      <c r="BK7" s="58">
        <v>235.14</v>
      </c>
      <c r="BL7" s="63">
        <f t="shared" si="22"/>
        <v>39.999999999992042</v>
      </c>
      <c r="BM7" s="58">
        <v>221.85</v>
      </c>
      <c r="BN7" s="63">
        <f t="shared" si="23"/>
        <v>30.000000000001137</v>
      </c>
      <c r="BO7" s="58">
        <v>286.11</v>
      </c>
      <c r="BP7" s="63">
        <f t="shared" si="24"/>
        <v>20.000000000038654</v>
      </c>
      <c r="BQ7" s="58">
        <v>43962</v>
      </c>
      <c r="BR7" s="63">
        <f t="shared" si="25"/>
        <v>25</v>
      </c>
      <c r="BS7" s="58">
        <v>199.62</v>
      </c>
      <c r="BT7" s="63">
        <f t="shared" si="42"/>
        <v>9.9999999999909051</v>
      </c>
      <c r="BU7" s="58">
        <v>38465</v>
      </c>
      <c r="BV7" s="63">
        <f t="shared" si="26"/>
        <v>29</v>
      </c>
      <c r="BW7" s="58">
        <v>230.53</v>
      </c>
      <c r="BX7" s="63">
        <f t="shared" si="27"/>
        <v>20.000000000010232</v>
      </c>
      <c r="BY7" s="58">
        <v>57771</v>
      </c>
      <c r="BZ7" s="65">
        <f t="shared" si="28"/>
        <v>36</v>
      </c>
      <c r="CA7" s="58">
        <v>30088.6</v>
      </c>
      <c r="CB7" s="65">
        <f t="shared" si="29"/>
        <v>24</v>
      </c>
      <c r="CC7" s="58">
        <v>11714.6</v>
      </c>
      <c r="CD7" s="65">
        <f t="shared" si="30"/>
        <v>10.200000000000728</v>
      </c>
      <c r="CE7" s="58">
        <v>6082.2</v>
      </c>
      <c r="CF7" s="65">
        <f t="shared" si="31"/>
        <v>1.1999999999998181</v>
      </c>
      <c r="CG7" s="58">
        <v>57835</v>
      </c>
      <c r="CH7" s="65">
        <f t="shared" si="32"/>
        <v>33.19999999999709</v>
      </c>
      <c r="CI7" s="58">
        <v>933308</v>
      </c>
      <c r="CJ7" s="65">
        <f t="shared" si="33"/>
        <v>621</v>
      </c>
      <c r="CK7" s="58">
        <v>726.07</v>
      </c>
      <c r="CL7" s="62">
        <f t="shared" si="34"/>
        <v>700.00000000004547</v>
      </c>
      <c r="CM7" s="63">
        <f t="shared" si="35"/>
        <v>56</v>
      </c>
      <c r="CN7" s="60">
        <v>11</v>
      </c>
      <c r="CO7" s="60">
        <v>34</v>
      </c>
      <c r="CP7" s="66">
        <v>7007</v>
      </c>
      <c r="CQ7" s="65">
        <f t="shared" si="36"/>
        <v>47</v>
      </c>
      <c r="CR7" s="66">
        <v>13112</v>
      </c>
      <c r="CS7" s="65">
        <f t="shared" si="36"/>
        <v>9</v>
      </c>
      <c r="CT7" s="73">
        <v>5769</v>
      </c>
      <c r="CU7" s="65">
        <f t="shared" si="36"/>
        <v>9</v>
      </c>
      <c r="CV7" s="66">
        <v>14119</v>
      </c>
      <c r="CW7" s="65">
        <f t="shared" si="36"/>
        <v>24</v>
      </c>
    </row>
    <row r="8" spans="1:101" ht="25.5" customHeight="1" thickBot="1" x14ac:dyDescent="0.45">
      <c r="A8" s="61">
        <v>44321</v>
      </c>
      <c r="B8" s="44"/>
      <c r="C8" s="56"/>
      <c r="D8" s="62" t="str">
        <f t="shared" si="0"/>
        <v>0</v>
      </c>
      <c r="E8" s="56"/>
      <c r="F8" s="62" t="str">
        <f t="shared" si="1"/>
        <v>0</v>
      </c>
      <c r="G8" s="56"/>
      <c r="H8" s="62" t="str">
        <f t="shared" si="2"/>
        <v>0</v>
      </c>
      <c r="I8" s="56"/>
      <c r="J8" s="62" t="str">
        <f t="shared" si="3"/>
        <v>0</v>
      </c>
      <c r="K8" s="56"/>
      <c r="L8" s="62" t="str">
        <f t="shared" si="37"/>
        <v>0</v>
      </c>
      <c r="M8" s="56"/>
      <c r="N8" s="62" t="str">
        <f t="shared" si="4"/>
        <v/>
      </c>
      <c r="O8" s="56"/>
      <c r="P8" s="65" t="str">
        <f t="shared" si="5"/>
        <v/>
      </c>
      <c r="Q8" s="56"/>
      <c r="R8" s="65" t="str">
        <f t="shared" si="6"/>
        <v/>
      </c>
      <c r="S8" s="56"/>
      <c r="T8" s="65" t="str">
        <f t="shared" si="7"/>
        <v/>
      </c>
      <c r="U8" s="56"/>
      <c r="V8" s="65" t="str">
        <f t="shared" si="38"/>
        <v/>
      </c>
      <c r="W8" s="56"/>
      <c r="X8" s="63" t="str">
        <f t="shared" si="41"/>
        <v/>
      </c>
      <c r="Y8" s="56"/>
      <c r="Z8" s="63" t="str">
        <f t="shared" si="8"/>
        <v/>
      </c>
      <c r="AA8" s="56"/>
      <c r="AB8" s="63" t="str">
        <f t="shared" si="9"/>
        <v/>
      </c>
      <c r="AC8" s="56"/>
      <c r="AD8" s="63" t="str">
        <f t="shared" si="10"/>
        <v/>
      </c>
      <c r="AE8" s="56"/>
      <c r="AF8" s="63" t="str">
        <f t="shared" si="11"/>
        <v/>
      </c>
      <c r="AG8" s="56"/>
      <c r="AH8" s="65" t="str">
        <f t="shared" si="12"/>
        <v/>
      </c>
      <c r="AI8" s="56"/>
      <c r="AJ8" s="63" t="str">
        <f t="shared" si="13"/>
        <v/>
      </c>
      <c r="AK8" s="56"/>
      <c r="AL8" s="63" t="str">
        <f t="shared" si="13"/>
        <v/>
      </c>
      <c r="AM8" s="56"/>
      <c r="AN8" s="63" t="str">
        <f t="shared" si="13"/>
        <v/>
      </c>
      <c r="AO8" s="56"/>
      <c r="AP8" s="63" t="str">
        <f t="shared" si="13"/>
        <v/>
      </c>
      <c r="AQ8" s="56"/>
      <c r="AR8" s="63" t="str">
        <f t="shared" si="14"/>
        <v/>
      </c>
      <c r="AS8" s="56"/>
      <c r="AT8" s="63" t="str">
        <f t="shared" si="15"/>
        <v/>
      </c>
      <c r="AU8" s="56"/>
      <c r="AV8" s="63" t="str">
        <f t="shared" si="16"/>
        <v/>
      </c>
      <c r="AW8" s="56"/>
      <c r="AX8" s="63" t="str">
        <f t="shared" si="17"/>
        <v/>
      </c>
      <c r="AY8" s="56"/>
      <c r="AZ8" s="63" t="str">
        <f t="shared" si="18"/>
        <v/>
      </c>
      <c r="BA8" s="56"/>
      <c r="BB8" s="63" t="str">
        <f t="shared" si="19"/>
        <v/>
      </c>
      <c r="BC8" s="56"/>
      <c r="BD8" s="63" t="str">
        <f t="shared" si="20"/>
        <v/>
      </c>
      <c r="BE8" s="57"/>
      <c r="BF8" s="65" t="str">
        <f t="shared" si="39"/>
        <v/>
      </c>
      <c r="BG8" s="58"/>
      <c r="BH8" s="63" t="str">
        <f t="shared" si="21"/>
        <v/>
      </c>
      <c r="BI8" s="58"/>
      <c r="BJ8" s="63" t="str">
        <f t="shared" si="40"/>
        <v/>
      </c>
      <c r="BK8" s="58"/>
      <c r="BL8" s="63" t="str">
        <f t="shared" si="22"/>
        <v/>
      </c>
      <c r="BM8" s="58"/>
      <c r="BN8" s="63" t="str">
        <f t="shared" si="23"/>
        <v/>
      </c>
      <c r="BO8" s="58"/>
      <c r="BP8" s="63" t="str">
        <f t="shared" si="24"/>
        <v/>
      </c>
      <c r="BQ8" s="58"/>
      <c r="BR8" s="63" t="str">
        <f t="shared" si="25"/>
        <v/>
      </c>
      <c r="BS8" s="58"/>
      <c r="BT8" s="63" t="str">
        <f t="shared" si="42"/>
        <v/>
      </c>
      <c r="BU8" s="58"/>
      <c r="BV8" s="63" t="str">
        <f t="shared" si="26"/>
        <v/>
      </c>
      <c r="BW8" s="58"/>
      <c r="BX8" s="63" t="str">
        <f t="shared" si="27"/>
        <v/>
      </c>
      <c r="BY8" s="58"/>
      <c r="BZ8" s="65" t="str">
        <f t="shared" si="28"/>
        <v/>
      </c>
      <c r="CA8" s="58"/>
      <c r="CB8" s="65" t="str">
        <f t="shared" si="29"/>
        <v/>
      </c>
      <c r="CC8" s="58"/>
      <c r="CD8" s="65" t="str">
        <f>IF((CC8-CC7&lt;0), "",CC8-CC7)</f>
        <v/>
      </c>
      <c r="CE8" s="58"/>
      <c r="CF8" s="65" t="str">
        <f t="shared" si="31"/>
        <v/>
      </c>
      <c r="CG8" s="58"/>
      <c r="CH8" s="65" t="str">
        <f t="shared" si="32"/>
        <v/>
      </c>
      <c r="CI8" s="58"/>
      <c r="CJ8" s="65" t="str">
        <f t="shared" si="33"/>
        <v/>
      </c>
      <c r="CK8" s="58"/>
      <c r="CL8" s="62" t="str">
        <f t="shared" si="34"/>
        <v/>
      </c>
      <c r="CM8" s="63" t="e">
        <f t="shared" si="35"/>
        <v>#VALUE!</v>
      </c>
      <c r="CN8" s="60"/>
      <c r="CO8" s="60"/>
      <c r="CP8" s="66"/>
      <c r="CQ8" s="65" t="str">
        <f t="shared" si="36"/>
        <v/>
      </c>
      <c r="CR8" s="66"/>
      <c r="CS8" s="65" t="str">
        <f t="shared" si="36"/>
        <v/>
      </c>
      <c r="CT8" s="73"/>
      <c r="CU8" s="65" t="str">
        <f t="shared" si="36"/>
        <v/>
      </c>
      <c r="CV8" s="66"/>
      <c r="CW8" s="65" t="str">
        <f t="shared" si="36"/>
        <v/>
      </c>
    </row>
    <row r="9" spans="1:101" ht="25.5" customHeight="1" thickBot="1" x14ac:dyDescent="0.45">
      <c r="A9" s="61">
        <v>44322</v>
      </c>
      <c r="B9" s="44"/>
      <c r="C9" s="56"/>
      <c r="D9" s="62">
        <f t="shared" si="0"/>
        <v>0</v>
      </c>
      <c r="E9" s="56"/>
      <c r="F9" s="62">
        <f t="shared" si="1"/>
        <v>0</v>
      </c>
      <c r="G9" s="56"/>
      <c r="H9" s="62">
        <f t="shared" si="2"/>
        <v>0</v>
      </c>
      <c r="I9" s="56"/>
      <c r="J9" s="62">
        <f t="shared" si="3"/>
        <v>0</v>
      </c>
      <c r="K9" s="56"/>
      <c r="L9" s="62">
        <f t="shared" si="37"/>
        <v>0</v>
      </c>
      <c r="M9" s="56"/>
      <c r="N9" s="62">
        <f t="shared" si="4"/>
        <v>0</v>
      </c>
      <c r="O9" s="56"/>
      <c r="P9" s="65">
        <f t="shared" si="5"/>
        <v>0</v>
      </c>
      <c r="Q9" s="56"/>
      <c r="R9" s="65">
        <f t="shared" si="6"/>
        <v>0</v>
      </c>
      <c r="S9" s="56"/>
      <c r="T9" s="65">
        <f t="shared" si="7"/>
        <v>0</v>
      </c>
      <c r="U9" s="56"/>
      <c r="V9" s="65">
        <f t="shared" si="38"/>
        <v>0</v>
      </c>
      <c r="W9" s="56"/>
      <c r="X9" s="63">
        <f t="shared" si="41"/>
        <v>0</v>
      </c>
      <c r="Y9" s="56"/>
      <c r="Z9" s="63">
        <f t="shared" si="8"/>
        <v>0</v>
      </c>
      <c r="AA9" s="56"/>
      <c r="AB9" s="63">
        <f t="shared" si="9"/>
        <v>0</v>
      </c>
      <c r="AC9" s="56"/>
      <c r="AD9" s="63">
        <f t="shared" si="10"/>
        <v>0</v>
      </c>
      <c r="AE9" s="56"/>
      <c r="AF9" s="63">
        <f t="shared" si="11"/>
        <v>0</v>
      </c>
      <c r="AG9" s="56"/>
      <c r="AH9" s="65">
        <f t="shared" si="12"/>
        <v>0</v>
      </c>
      <c r="AI9" s="56"/>
      <c r="AJ9" s="63">
        <f t="shared" si="13"/>
        <v>0</v>
      </c>
      <c r="AK9" s="56"/>
      <c r="AL9" s="63">
        <f t="shared" si="13"/>
        <v>0</v>
      </c>
      <c r="AM9" s="56"/>
      <c r="AN9" s="63">
        <f t="shared" si="13"/>
        <v>0</v>
      </c>
      <c r="AO9" s="56"/>
      <c r="AP9" s="63">
        <f t="shared" si="13"/>
        <v>0</v>
      </c>
      <c r="AQ9" s="56"/>
      <c r="AR9" s="63">
        <f t="shared" si="14"/>
        <v>0</v>
      </c>
      <c r="AS9" s="56"/>
      <c r="AT9" s="63">
        <f t="shared" si="15"/>
        <v>0</v>
      </c>
      <c r="AU9" s="56"/>
      <c r="AV9" s="63">
        <f t="shared" si="16"/>
        <v>0</v>
      </c>
      <c r="AW9" s="56"/>
      <c r="AX9" s="63">
        <f t="shared" si="17"/>
        <v>0</v>
      </c>
      <c r="AY9" s="56"/>
      <c r="AZ9" s="63">
        <f t="shared" si="18"/>
        <v>0</v>
      </c>
      <c r="BA9" s="56"/>
      <c r="BB9" s="63">
        <f t="shared" si="19"/>
        <v>0</v>
      </c>
      <c r="BC9" s="56"/>
      <c r="BD9" s="63">
        <f t="shared" si="20"/>
        <v>0</v>
      </c>
      <c r="BE9" s="57"/>
      <c r="BF9" s="65">
        <f t="shared" si="39"/>
        <v>0</v>
      </c>
      <c r="BG9" s="58"/>
      <c r="BH9" s="63">
        <f t="shared" si="21"/>
        <v>0</v>
      </c>
      <c r="BI9" s="58"/>
      <c r="BJ9" s="63">
        <f t="shared" si="40"/>
        <v>0</v>
      </c>
      <c r="BK9" s="58"/>
      <c r="BL9" s="63">
        <f t="shared" si="22"/>
        <v>0</v>
      </c>
      <c r="BM9" s="58"/>
      <c r="BN9" s="63">
        <f t="shared" si="23"/>
        <v>0</v>
      </c>
      <c r="BO9" s="58"/>
      <c r="BP9" s="63">
        <f t="shared" si="24"/>
        <v>0</v>
      </c>
      <c r="BQ9" s="58"/>
      <c r="BR9" s="63">
        <f t="shared" si="25"/>
        <v>0</v>
      </c>
      <c r="BS9" s="58"/>
      <c r="BT9" s="63">
        <f t="shared" si="42"/>
        <v>0</v>
      </c>
      <c r="BU9" s="58"/>
      <c r="BV9" s="63">
        <f t="shared" si="26"/>
        <v>0</v>
      </c>
      <c r="BW9" s="58"/>
      <c r="BX9" s="63">
        <f t="shared" si="27"/>
        <v>0</v>
      </c>
      <c r="BY9" s="58"/>
      <c r="BZ9" s="65">
        <f t="shared" si="28"/>
        <v>0</v>
      </c>
      <c r="CA9" s="58"/>
      <c r="CB9" s="65">
        <f t="shared" si="29"/>
        <v>0</v>
      </c>
      <c r="CC9" s="58"/>
      <c r="CD9" s="65">
        <f>IF((CC9-CC8&lt;0), "",CC9-CC8)</f>
        <v>0</v>
      </c>
      <c r="CE9" s="58"/>
      <c r="CF9" s="65">
        <f t="shared" si="31"/>
        <v>0</v>
      </c>
      <c r="CG9" s="58"/>
      <c r="CH9" s="65">
        <f t="shared" si="32"/>
        <v>0</v>
      </c>
      <c r="CI9" s="58"/>
      <c r="CJ9" s="65">
        <f t="shared" si="33"/>
        <v>0</v>
      </c>
      <c r="CK9" s="58"/>
      <c r="CL9" s="62">
        <f t="shared" si="34"/>
        <v>0</v>
      </c>
      <c r="CM9" s="63">
        <f t="shared" si="35"/>
        <v>0</v>
      </c>
      <c r="CN9" s="60"/>
      <c r="CO9" s="60"/>
      <c r="CP9" s="66"/>
      <c r="CQ9" s="65">
        <f t="shared" si="36"/>
        <v>0</v>
      </c>
      <c r="CR9" s="66"/>
      <c r="CS9" s="65">
        <f t="shared" si="36"/>
        <v>0</v>
      </c>
      <c r="CT9" s="73"/>
      <c r="CU9" s="65">
        <f t="shared" si="36"/>
        <v>0</v>
      </c>
      <c r="CV9" s="66"/>
      <c r="CW9" s="65">
        <f t="shared" si="36"/>
        <v>0</v>
      </c>
    </row>
    <row r="10" spans="1:101" ht="25.5" customHeight="1" thickBot="1" x14ac:dyDescent="0.45">
      <c r="A10" s="61">
        <v>44323</v>
      </c>
      <c r="B10" s="44"/>
      <c r="C10" s="56"/>
      <c r="D10" s="62">
        <f t="shared" si="0"/>
        <v>0</v>
      </c>
      <c r="E10" s="56"/>
      <c r="F10" s="62">
        <f t="shared" si="1"/>
        <v>0</v>
      </c>
      <c r="G10" s="56"/>
      <c r="H10" s="62">
        <f t="shared" si="2"/>
        <v>0</v>
      </c>
      <c r="I10" s="56"/>
      <c r="J10" s="62">
        <f t="shared" si="3"/>
        <v>0</v>
      </c>
      <c r="K10" s="56"/>
      <c r="L10" s="62">
        <f t="shared" si="37"/>
        <v>0</v>
      </c>
      <c r="M10" s="56"/>
      <c r="N10" s="62">
        <f t="shared" si="4"/>
        <v>0</v>
      </c>
      <c r="O10" s="56"/>
      <c r="P10" s="65">
        <f t="shared" si="5"/>
        <v>0</v>
      </c>
      <c r="Q10" s="56"/>
      <c r="R10" s="65">
        <f t="shared" si="6"/>
        <v>0</v>
      </c>
      <c r="S10" s="56"/>
      <c r="T10" s="65">
        <f t="shared" si="7"/>
        <v>0</v>
      </c>
      <c r="U10" s="56"/>
      <c r="V10" s="65">
        <f t="shared" si="38"/>
        <v>0</v>
      </c>
      <c r="W10" s="56"/>
      <c r="X10" s="63">
        <f t="shared" si="41"/>
        <v>0</v>
      </c>
      <c r="Y10" s="56"/>
      <c r="Z10" s="63">
        <f t="shared" si="8"/>
        <v>0</v>
      </c>
      <c r="AA10" s="56"/>
      <c r="AB10" s="63">
        <f t="shared" si="9"/>
        <v>0</v>
      </c>
      <c r="AC10" s="56"/>
      <c r="AD10" s="63">
        <f t="shared" si="10"/>
        <v>0</v>
      </c>
      <c r="AE10" s="56"/>
      <c r="AF10" s="63">
        <f t="shared" si="11"/>
        <v>0</v>
      </c>
      <c r="AG10" s="56"/>
      <c r="AH10" s="65">
        <f t="shared" si="12"/>
        <v>0</v>
      </c>
      <c r="AI10" s="56"/>
      <c r="AJ10" s="63">
        <f t="shared" si="13"/>
        <v>0</v>
      </c>
      <c r="AK10" s="56"/>
      <c r="AL10" s="63">
        <f t="shared" si="13"/>
        <v>0</v>
      </c>
      <c r="AM10" s="56"/>
      <c r="AN10" s="63">
        <f t="shared" si="13"/>
        <v>0</v>
      </c>
      <c r="AO10" s="56"/>
      <c r="AP10" s="63">
        <f t="shared" si="13"/>
        <v>0</v>
      </c>
      <c r="AQ10" s="56"/>
      <c r="AR10" s="63">
        <f t="shared" si="14"/>
        <v>0</v>
      </c>
      <c r="AS10" s="56"/>
      <c r="AT10" s="63">
        <f t="shared" si="15"/>
        <v>0</v>
      </c>
      <c r="AU10" s="56"/>
      <c r="AV10" s="63">
        <f t="shared" si="16"/>
        <v>0</v>
      </c>
      <c r="AW10" s="56"/>
      <c r="AX10" s="63">
        <f t="shared" si="17"/>
        <v>0</v>
      </c>
      <c r="AY10" s="56"/>
      <c r="AZ10" s="63">
        <f t="shared" si="18"/>
        <v>0</v>
      </c>
      <c r="BA10" s="56"/>
      <c r="BB10" s="63">
        <f t="shared" si="19"/>
        <v>0</v>
      </c>
      <c r="BC10" s="56"/>
      <c r="BD10" s="63">
        <f t="shared" si="20"/>
        <v>0</v>
      </c>
      <c r="BE10" s="57"/>
      <c r="BF10" s="65">
        <f t="shared" si="39"/>
        <v>0</v>
      </c>
      <c r="BG10" s="58"/>
      <c r="BH10" s="63">
        <f t="shared" si="21"/>
        <v>0</v>
      </c>
      <c r="BI10" s="58"/>
      <c r="BJ10" s="63">
        <f t="shared" si="40"/>
        <v>0</v>
      </c>
      <c r="BK10" s="58"/>
      <c r="BL10" s="63">
        <f t="shared" si="22"/>
        <v>0</v>
      </c>
      <c r="BM10" s="58"/>
      <c r="BN10" s="63">
        <f t="shared" si="23"/>
        <v>0</v>
      </c>
      <c r="BO10" s="58"/>
      <c r="BP10" s="63">
        <f t="shared" si="24"/>
        <v>0</v>
      </c>
      <c r="BQ10" s="58"/>
      <c r="BR10" s="63">
        <f t="shared" si="25"/>
        <v>0</v>
      </c>
      <c r="BS10" s="58"/>
      <c r="BT10" s="63">
        <f t="shared" si="42"/>
        <v>0</v>
      </c>
      <c r="BU10" s="58"/>
      <c r="BV10" s="63">
        <f t="shared" si="26"/>
        <v>0</v>
      </c>
      <c r="BW10" s="58"/>
      <c r="BX10" s="63">
        <f t="shared" si="27"/>
        <v>0</v>
      </c>
      <c r="BY10" s="58"/>
      <c r="BZ10" s="65">
        <f t="shared" si="28"/>
        <v>0</v>
      </c>
      <c r="CA10" s="58"/>
      <c r="CB10" s="65">
        <f t="shared" si="29"/>
        <v>0</v>
      </c>
      <c r="CC10" s="58"/>
      <c r="CD10" s="65">
        <f>IF((CC10-CC9&lt;0), "",CC10-CC9)</f>
        <v>0</v>
      </c>
      <c r="CE10" s="58"/>
      <c r="CF10" s="65">
        <f t="shared" si="31"/>
        <v>0</v>
      </c>
      <c r="CG10" s="58"/>
      <c r="CH10" s="65">
        <f t="shared" si="32"/>
        <v>0</v>
      </c>
      <c r="CI10" s="58"/>
      <c r="CJ10" s="65">
        <f t="shared" si="33"/>
        <v>0</v>
      </c>
      <c r="CK10" s="58"/>
      <c r="CL10" s="62">
        <f t="shared" si="34"/>
        <v>0</v>
      </c>
      <c r="CM10" s="63">
        <f t="shared" si="35"/>
        <v>0</v>
      </c>
      <c r="CN10" s="60"/>
      <c r="CO10" s="60"/>
      <c r="CP10" s="66"/>
      <c r="CQ10" s="65">
        <f>IF((CP10-CP9&lt;0), "",CP10-CP9)</f>
        <v>0</v>
      </c>
      <c r="CR10" s="66"/>
      <c r="CS10" s="65">
        <f t="shared" si="36"/>
        <v>0</v>
      </c>
      <c r="CT10" s="73"/>
      <c r="CU10" s="65">
        <f t="shared" si="36"/>
        <v>0</v>
      </c>
      <c r="CV10" s="66"/>
      <c r="CW10" s="65">
        <f t="shared" si="36"/>
        <v>0</v>
      </c>
    </row>
    <row r="11" spans="1:101" ht="25.5" customHeight="1" thickBot="1" x14ac:dyDescent="0.45">
      <c r="A11" s="61">
        <v>44324</v>
      </c>
      <c r="B11" s="44"/>
      <c r="C11" s="56"/>
      <c r="D11" s="62">
        <f t="shared" si="0"/>
        <v>0</v>
      </c>
      <c r="E11" s="56"/>
      <c r="F11" s="62">
        <f t="shared" si="1"/>
        <v>0</v>
      </c>
      <c r="G11" s="56"/>
      <c r="H11" s="62">
        <f t="shared" si="2"/>
        <v>0</v>
      </c>
      <c r="I11" s="56"/>
      <c r="J11" s="62">
        <f t="shared" si="3"/>
        <v>0</v>
      </c>
      <c r="K11" s="56"/>
      <c r="L11" s="62">
        <f t="shared" si="37"/>
        <v>0</v>
      </c>
      <c r="M11" s="56"/>
      <c r="N11" s="62">
        <f t="shared" si="4"/>
        <v>0</v>
      </c>
      <c r="O11" s="56"/>
      <c r="P11" s="65">
        <f t="shared" ref="P11:P34" si="43">IF((O11-O10&lt;0), "",O11-O10)</f>
        <v>0</v>
      </c>
      <c r="Q11" s="56"/>
      <c r="R11" s="65">
        <f t="shared" si="6"/>
        <v>0</v>
      </c>
      <c r="S11" s="56"/>
      <c r="T11" s="65">
        <f t="shared" si="7"/>
        <v>0</v>
      </c>
      <c r="U11" s="56"/>
      <c r="V11" s="65">
        <f t="shared" si="38"/>
        <v>0</v>
      </c>
      <c r="W11" s="56"/>
      <c r="X11" s="63">
        <f t="shared" si="41"/>
        <v>0</v>
      </c>
      <c r="Y11" s="56"/>
      <c r="Z11" s="63">
        <f t="shared" si="8"/>
        <v>0</v>
      </c>
      <c r="AA11" s="56"/>
      <c r="AB11" s="63">
        <f t="shared" si="9"/>
        <v>0</v>
      </c>
      <c r="AC11" s="56"/>
      <c r="AD11" s="63">
        <f t="shared" si="10"/>
        <v>0</v>
      </c>
      <c r="AE11" s="56"/>
      <c r="AF11" s="63">
        <f t="shared" si="11"/>
        <v>0</v>
      </c>
      <c r="AG11" s="56"/>
      <c r="AH11" s="65">
        <f t="shared" si="12"/>
        <v>0</v>
      </c>
      <c r="AI11" s="56"/>
      <c r="AJ11" s="63">
        <f t="shared" si="13"/>
        <v>0</v>
      </c>
      <c r="AK11" s="56"/>
      <c r="AL11" s="63">
        <f t="shared" si="13"/>
        <v>0</v>
      </c>
      <c r="AM11" s="56"/>
      <c r="AN11" s="63">
        <f t="shared" si="13"/>
        <v>0</v>
      </c>
      <c r="AO11" s="56"/>
      <c r="AP11" s="63">
        <f t="shared" si="13"/>
        <v>0</v>
      </c>
      <c r="AQ11" s="56"/>
      <c r="AR11" s="63">
        <f t="shared" si="14"/>
        <v>0</v>
      </c>
      <c r="AS11" s="56"/>
      <c r="AT11" s="63">
        <f t="shared" si="15"/>
        <v>0</v>
      </c>
      <c r="AU11" s="56"/>
      <c r="AV11" s="63">
        <f t="shared" si="16"/>
        <v>0</v>
      </c>
      <c r="AW11" s="56"/>
      <c r="AX11" s="63">
        <f t="shared" si="17"/>
        <v>0</v>
      </c>
      <c r="AY11" s="56"/>
      <c r="AZ11" s="63">
        <f t="shared" si="18"/>
        <v>0</v>
      </c>
      <c r="BA11" s="56"/>
      <c r="BB11" s="63">
        <f t="shared" si="19"/>
        <v>0</v>
      </c>
      <c r="BC11" s="56"/>
      <c r="BD11" s="63">
        <f>IF((BC11-BC10&lt;0), "",(BC11-BC10)*1000)</f>
        <v>0</v>
      </c>
      <c r="BE11" s="57"/>
      <c r="BF11" s="65">
        <f t="shared" si="39"/>
        <v>0</v>
      </c>
      <c r="BG11" s="58"/>
      <c r="BH11" s="63">
        <f t="shared" si="21"/>
        <v>0</v>
      </c>
      <c r="BI11" s="58"/>
      <c r="BJ11" s="63">
        <f t="shared" si="40"/>
        <v>0</v>
      </c>
      <c r="BK11" s="58"/>
      <c r="BL11" s="63">
        <f t="shared" si="22"/>
        <v>0</v>
      </c>
      <c r="BM11" s="58"/>
      <c r="BN11" s="63">
        <f t="shared" si="23"/>
        <v>0</v>
      </c>
      <c r="BO11" s="58"/>
      <c r="BP11" s="63">
        <f t="shared" si="24"/>
        <v>0</v>
      </c>
      <c r="BQ11" s="58"/>
      <c r="BR11" s="63">
        <f t="shared" si="25"/>
        <v>0</v>
      </c>
      <c r="BS11" s="58"/>
      <c r="BT11" s="63">
        <f t="shared" si="42"/>
        <v>0</v>
      </c>
      <c r="BU11" s="58"/>
      <c r="BV11" s="63">
        <f t="shared" si="26"/>
        <v>0</v>
      </c>
      <c r="BW11" s="58"/>
      <c r="BX11" s="63">
        <f t="shared" si="27"/>
        <v>0</v>
      </c>
      <c r="BY11" s="58"/>
      <c r="BZ11" s="65">
        <f t="shared" si="28"/>
        <v>0</v>
      </c>
      <c r="CA11" s="58"/>
      <c r="CB11" s="65">
        <f t="shared" si="29"/>
        <v>0</v>
      </c>
      <c r="CC11" s="58"/>
      <c r="CD11" s="65">
        <f t="shared" si="30"/>
        <v>0</v>
      </c>
      <c r="CE11" s="58"/>
      <c r="CF11" s="65">
        <f t="shared" si="31"/>
        <v>0</v>
      </c>
      <c r="CG11" s="58"/>
      <c r="CH11" s="65">
        <f t="shared" si="32"/>
        <v>0</v>
      </c>
      <c r="CI11" s="58"/>
      <c r="CJ11" s="65">
        <f t="shared" si="33"/>
        <v>0</v>
      </c>
      <c r="CK11" s="58"/>
      <c r="CL11" s="62">
        <f t="shared" si="34"/>
        <v>0</v>
      </c>
      <c r="CM11" s="63">
        <f t="shared" si="35"/>
        <v>0</v>
      </c>
      <c r="CN11" s="60"/>
      <c r="CO11" s="60"/>
      <c r="CP11" s="66"/>
      <c r="CQ11" s="65">
        <f>IF((CP11-CP10&lt;0), "",CP11-CP10)</f>
        <v>0</v>
      </c>
      <c r="CR11" s="66"/>
      <c r="CS11" s="65">
        <f t="shared" si="36"/>
        <v>0</v>
      </c>
      <c r="CT11" s="73"/>
      <c r="CU11" s="65">
        <f t="shared" si="36"/>
        <v>0</v>
      </c>
      <c r="CV11" s="66"/>
      <c r="CW11" s="65">
        <f t="shared" si="36"/>
        <v>0</v>
      </c>
    </row>
    <row r="12" spans="1:101" ht="25.5" customHeight="1" thickBot="1" x14ac:dyDescent="0.45">
      <c r="A12" s="61">
        <v>44325</v>
      </c>
      <c r="B12" s="44"/>
      <c r="C12" s="56"/>
      <c r="D12" s="62">
        <f t="shared" si="0"/>
        <v>0</v>
      </c>
      <c r="E12" s="56"/>
      <c r="F12" s="62">
        <f t="shared" si="1"/>
        <v>0</v>
      </c>
      <c r="G12" s="56"/>
      <c r="H12" s="62">
        <f t="shared" si="2"/>
        <v>0</v>
      </c>
      <c r="I12" s="56"/>
      <c r="J12" s="62">
        <f t="shared" si="3"/>
        <v>0</v>
      </c>
      <c r="K12" s="56"/>
      <c r="L12" s="62">
        <f t="shared" si="37"/>
        <v>0</v>
      </c>
      <c r="M12" s="56"/>
      <c r="N12" s="62">
        <f t="shared" si="4"/>
        <v>0</v>
      </c>
      <c r="O12" s="56"/>
      <c r="P12" s="65">
        <f t="shared" si="43"/>
        <v>0</v>
      </c>
      <c r="Q12" s="56"/>
      <c r="R12" s="65">
        <f t="shared" si="6"/>
        <v>0</v>
      </c>
      <c r="S12" s="56"/>
      <c r="T12" s="65">
        <f t="shared" si="7"/>
        <v>0</v>
      </c>
      <c r="U12" s="56"/>
      <c r="V12" s="65">
        <f t="shared" si="38"/>
        <v>0</v>
      </c>
      <c r="W12" s="56"/>
      <c r="X12" s="63">
        <f t="shared" si="41"/>
        <v>0</v>
      </c>
      <c r="Y12" s="56"/>
      <c r="Z12" s="63">
        <f t="shared" si="8"/>
        <v>0</v>
      </c>
      <c r="AA12" s="56"/>
      <c r="AB12" s="63">
        <f t="shared" si="9"/>
        <v>0</v>
      </c>
      <c r="AC12" s="56"/>
      <c r="AD12" s="63">
        <f t="shared" si="10"/>
        <v>0</v>
      </c>
      <c r="AE12" s="56"/>
      <c r="AF12" s="63">
        <f t="shared" si="11"/>
        <v>0</v>
      </c>
      <c r="AG12" s="56"/>
      <c r="AH12" s="65">
        <f t="shared" si="12"/>
        <v>0</v>
      </c>
      <c r="AI12" s="56"/>
      <c r="AJ12" s="63">
        <f t="shared" si="13"/>
        <v>0</v>
      </c>
      <c r="AK12" s="56"/>
      <c r="AL12" s="63">
        <f t="shared" si="13"/>
        <v>0</v>
      </c>
      <c r="AM12" s="56"/>
      <c r="AN12" s="63">
        <f t="shared" si="13"/>
        <v>0</v>
      </c>
      <c r="AO12" s="56"/>
      <c r="AP12" s="63">
        <f t="shared" si="13"/>
        <v>0</v>
      </c>
      <c r="AQ12" s="56"/>
      <c r="AR12" s="63">
        <f t="shared" si="14"/>
        <v>0</v>
      </c>
      <c r="AS12" s="56"/>
      <c r="AT12" s="63">
        <f t="shared" si="15"/>
        <v>0</v>
      </c>
      <c r="AU12" s="56"/>
      <c r="AV12" s="63">
        <f t="shared" si="16"/>
        <v>0</v>
      </c>
      <c r="AW12" s="56"/>
      <c r="AX12" s="63">
        <f t="shared" si="17"/>
        <v>0</v>
      </c>
      <c r="AY12" s="56"/>
      <c r="AZ12" s="63">
        <f t="shared" si="18"/>
        <v>0</v>
      </c>
      <c r="BA12" s="56"/>
      <c r="BB12" s="63">
        <f t="shared" si="19"/>
        <v>0</v>
      </c>
      <c r="BC12" s="56"/>
      <c r="BD12" s="63">
        <f t="shared" si="20"/>
        <v>0</v>
      </c>
      <c r="BE12" s="57"/>
      <c r="BF12" s="65">
        <f t="shared" si="39"/>
        <v>0</v>
      </c>
      <c r="BG12" s="58"/>
      <c r="BH12" s="63">
        <f t="shared" si="21"/>
        <v>0</v>
      </c>
      <c r="BI12" s="58"/>
      <c r="BJ12" s="63">
        <f t="shared" si="40"/>
        <v>0</v>
      </c>
      <c r="BK12" s="58"/>
      <c r="BL12" s="63">
        <f t="shared" si="22"/>
        <v>0</v>
      </c>
      <c r="BM12" s="58"/>
      <c r="BN12" s="63">
        <f t="shared" si="23"/>
        <v>0</v>
      </c>
      <c r="BO12" s="58"/>
      <c r="BP12" s="63">
        <f t="shared" si="24"/>
        <v>0</v>
      </c>
      <c r="BQ12" s="58"/>
      <c r="BR12" s="63">
        <f t="shared" si="25"/>
        <v>0</v>
      </c>
      <c r="BS12" s="58"/>
      <c r="BT12" s="63">
        <f t="shared" si="42"/>
        <v>0</v>
      </c>
      <c r="BU12" s="58"/>
      <c r="BV12" s="63">
        <f t="shared" si="26"/>
        <v>0</v>
      </c>
      <c r="BW12" s="58"/>
      <c r="BX12" s="63">
        <f t="shared" si="27"/>
        <v>0</v>
      </c>
      <c r="BY12" s="58"/>
      <c r="BZ12" s="65">
        <f t="shared" si="28"/>
        <v>0</v>
      </c>
      <c r="CA12" s="58"/>
      <c r="CB12" s="65">
        <f t="shared" si="29"/>
        <v>0</v>
      </c>
      <c r="CC12" s="58"/>
      <c r="CD12" s="65">
        <f t="shared" si="30"/>
        <v>0</v>
      </c>
      <c r="CE12" s="58"/>
      <c r="CF12" s="65">
        <f t="shared" si="31"/>
        <v>0</v>
      </c>
      <c r="CG12" s="58"/>
      <c r="CH12" s="65">
        <f t="shared" si="32"/>
        <v>0</v>
      </c>
      <c r="CI12" s="58"/>
      <c r="CJ12" s="65">
        <f t="shared" si="33"/>
        <v>0</v>
      </c>
      <c r="CK12" s="58"/>
      <c r="CL12" s="62">
        <f t="shared" si="34"/>
        <v>0</v>
      </c>
      <c r="CM12" s="63">
        <f t="shared" si="35"/>
        <v>0</v>
      </c>
      <c r="CN12" s="60"/>
      <c r="CO12" s="60"/>
      <c r="CP12" s="66"/>
      <c r="CQ12" s="65">
        <f>IF((CP12-CP11&lt;0), "",CP12-CP11)</f>
        <v>0</v>
      </c>
      <c r="CR12" s="66"/>
      <c r="CS12" s="65">
        <f t="shared" si="36"/>
        <v>0</v>
      </c>
      <c r="CT12" s="73"/>
      <c r="CU12" s="65">
        <f t="shared" si="36"/>
        <v>0</v>
      </c>
      <c r="CV12" s="66"/>
      <c r="CW12" s="65">
        <f t="shared" si="36"/>
        <v>0</v>
      </c>
    </row>
    <row r="13" spans="1:101" ht="25.5" customHeight="1" thickBot="1" x14ac:dyDescent="0.45">
      <c r="A13" s="61">
        <v>44326</v>
      </c>
      <c r="B13" s="44"/>
      <c r="C13" s="56"/>
      <c r="D13" s="62">
        <f t="shared" si="0"/>
        <v>0</v>
      </c>
      <c r="E13" s="56"/>
      <c r="F13" s="62">
        <f t="shared" si="1"/>
        <v>0</v>
      </c>
      <c r="G13" s="56"/>
      <c r="H13" s="62">
        <f t="shared" si="2"/>
        <v>0</v>
      </c>
      <c r="I13" s="56"/>
      <c r="J13" s="62">
        <f t="shared" si="3"/>
        <v>0</v>
      </c>
      <c r="K13" s="56"/>
      <c r="L13" s="62">
        <f t="shared" si="37"/>
        <v>0</v>
      </c>
      <c r="M13" s="56"/>
      <c r="N13" s="62">
        <f t="shared" si="4"/>
        <v>0</v>
      </c>
      <c r="O13" s="56"/>
      <c r="P13" s="65">
        <f t="shared" si="43"/>
        <v>0</v>
      </c>
      <c r="Q13" s="56"/>
      <c r="R13" s="65">
        <f t="shared" si="6"/>
        <v>0</v>
      </c>
      <c r="S13" s="56"/>
      <c r="T13" s="65">
        <f t="shared" si="7"/>
        <v>0</v>
      </c>
      <c r="U13" s="56"/>
      <c r="V13" s="65">
        <f t="shared" si="38"/>
        <v>0</v>
      </c>
      <c r="W13" s="56"/>
      <c r="X13" s="63">
        <f t="shared" si="41"/>
        <v>0</v>
      </c>
      <c r="Y13" s="56"/>
      <c r="Z13" s="63">
        <f t="shared" si="8"/>
        <v>0</v>
      </c>
      <c r="AA13" s="56"/>
      <c r="AB13" s="63">
        <f t="shared" si="9"/>
        <v>0</v>
      </c>
      <c r="AC13" s="56"/>
      <c r="AD13" s="63">
        <f t="shared" si="10"/>
        <v>0</v>
      </c>
      <c r="AE13" s="56"/>
      <c r="AF13" s="63">
        <f t="shared" si="11"/>
        <v>0</v>
      </c>
      <c r="AG13" s="56"/>
      <c r="AH13" s="65">
        <f t="shared" si="12"/>
        <v>0</v>
      </c>
      <c r="AI13" s="56"/>
      <c r="AJ13" s="63">
        <f t="shared" si="13"/>
        <v>0</v>
      </c>
      <c r="AK13" s="56"/>
      <c r="AL13" s="63">
        <f t="shared" si="13"/>
        <v>0</v>
      </c>
      <c r="AM13" s="56"/>
      <c r="AN13" s="63">
        <f t="shared" si="13"/>
        <v>0</v>
      </c>
      <c r="AO13" s="56"/>
      <c r="AP13" s="63">
        <f t="shared" si="13"/>
        <v>0</v>
      </c>
      <c r="AQ13" s="56"/>
      <c r="AR13" s="63">
        <f t="shared" si="14"/>
        <v>0</v>
      </c>
      <c r="AS13" s="56"/>
      <c r="AT13" s="63">
        <f t="shared" si="15"/>
        <v>0</v>
      </c>
      <c r="AU13" s="56"/>
      <c r="AV13" s="63">
        <f t="shared" si="16"/>
        <v>0</v>
      </c>
      <c r="AW13" s="56"/>
      <c r="AX13" s="63">
        <f t="shared" si="17"/>
        <v>0</v>
      </c>
      <c r="AY13" s="56"/>
      <c r="AZ13" s="63">
        <f t="shared" si="18"/>
        <v>0</v>
      </c>
      <c r="BA13" s="56"/>
      <c r="BB13" s="63">
        <f t="shared" si="19"/>
        <v>0</v>
      </c>
      <c r="BC13" s="56"/>
      <c r="BD13" s="63">
        <f t="shared" si="20"/>
        <v>0</v>
      </c>
      <c r="BE13" s="57"/>
      <c r="BF13" s="65">
        <f t="shared" si="39"/>
        <v>0</v>
      </c>
      <c r="BG13" s="58"/>
      <c r="BH13" s="63">
        <f t="shared" si="21"/>
        <v>0</v>
      </c>
      <c r="BI13" s="58"/>
      <c r="BJ13" s="63">
        <f t="shared" si="40"/>
        <v>0</v>
      </c>
      <c r="BK13" s="58"/>
      <c r="BL13" s="63">
        <f t="shared" si="22"/>
        <v>0</v>
      </c>
      <c r="BM13" s="58"/>
      <c r="BN13" s="63">
        <f t="shared" si="23"/>
        <v>0</v>
      </c>
      <c r="BO13" s="58"/>
      <c r="BP13" s="63">
        <f t="shared" si="24"/>
        <v>0</v>
      </c>
      <c r="BQ13" s="58"/>
      <c r="BR13" s="63">
        <f t="shared" si="25"/>
        <v>0</v>
      </c>
      <c r="BS13" s="58"/>
      <c r="BT13" s="63">
        <f t="shared" si="42"/>
        <v>0</v>
      </c>
      <c r="BU13" s="58"/>
      <c r="BV13" s="63">
        <f t="shared" si="26"/>
        <v>0</v>
      </c>
      <c r="BW13" s="58"/>
      <c r="BX13" s="63">
        <f t="shared" si="27"/>
        <v>0</v>
      </c>
      <c r="BY13" s="58"/>
      <c r="BZ13" s="65">
        <f t="shared" si="28"/>
        <v>0</v>
      </c>
      <c r="CA13" s="58"/>
      <c r="CB13" s="65">
        <f t="shared" si="29"/>
        <v>0</v>
      </c>
      <c r="CC13" s="58"/>
      <c r="CD13" s="65">
        <f t="shared" si="30"/>
        <v>0</v>
      </c>
      <c r="CE13" s="58"/>
      <c r="CF13" s="65">
        <f t="shared" si="31"/>
        <v>0</v>
      </c>
      <c r="CG13" s="58"/>
      <c r="CH13" s="65">
        <f t="shared" si="32"/>
        <v>0</v>
      </c>
      <c r="CI13" s="58"/>
      <c r="CJ13" s="65">
        <f t="shared" si="33"/>
        <v>0</v>
      </c>
      <c r="CK13" s="58"/>
      <c r="CL13" s="62">
        <f t="shared" si="34"/>
        <v>0</v>
      </c>
      <c r="CM13" s="63">
        <f t="shared" si="35"/>
        <v>0</v>
      </c>
      <c r="CN13" s="60"/>
      <c r="CO13" s="60"/>
      <c r="CP13" s="66"/>
      <c r="CQ13" s="65">
        <f>IF((CP13-CP12&lt;0), "",CP13-CP12)</f>
        <v>0</v>
      </c>
      <c r="CR13" s="66"/>
      <c r="CS13" s="65">
        <f t="shared" si="36"/>
        <v>0</v>
      </c>
      <c r="CT13" s="73"/>
      <c r="CU13" s="65">
        <f t="shared" si="36"/>
        <v>0</v>
      </c>
      <c r="CV13" s="66"/>
      <c r="CW13" s="65">
        <f t="shared" si="36"/>
        <v>0</v>
      </c>
    </row>
    <row r="14" spans="1:101" ht="25.5" customHeight="1" thickBot="1" x14ac:dyDescent="0.45">
      <c r="A14" s="61">
        <v>44327</v>
      </c>
      <c r="B14" s="44"/>
      <c r="C14" s="56"/>
      <c r="D14" s="62">
        <f t="shared" si="0"/>
        <v>0</v>
      </c>
      <c r="E14" s="56"/>
      <c r="F14" s="62">
        <f t="shared" si="1"/>
        <v>0</v>
      </c>
      <c r="G14" s="56"/>
      <c r="H14" s="62">
        <f t="shared" si="2"/>
        <v>0</v>
      </c>
      <c r="I14" s="56"/>
      <c r="J14" s="62">
        <f t="shared" si="3"/>
        <v>0</v>
      </c>
      <c r="K14" s="56"/>
      <c r="L14" s="62">
        <f t="shared" si="37"/>
        <v>0</v>
      </c>
      <c r="M14" s="56"/>
      <c r="N14" s="62">
        <f t="shared" si="4"/>
        <v>0</v>
      </c>
      <c r="O14" s="56"/>
      <c r="P14" s="65">
        <f t="shared" si="43"/>
        <v>0</v>
      </c>
      <c r="Q14" s="56"/>
      <c r="R14" s="65">
        <f t="shared" si="6"/>
        <v>0</v>
      </c>
      <c r="S14" s="56"/>
      <c r="T14" s="65">
        <f t="shared" si="7"/>
        <v>0</v>
      </c>
      <c r="U14" s="56"/>
      <c r="V14" s="65">
        <f t="shared" si="38"/>
        <v>0</v>
      </c>
      <c r="W14" s="56"/>
      <c r="X14" s="63">
        <f t="shared" si="41"/>
        <v>0</v>
      </c>
      <c r="Y14" s="56"/>
      <c r="Z14" s="63">
        <f t="shared" si="8"/>
        <v>0</v>
      </c>
      <c r="AA14" s="56"/>
      <c r="AB14" s="63">
        <f t="shared" si="9"/>
        <v>0</v>
      </c>
      <c r="AC14" s="56"/>
      <c r="AD14" s="63">
        <f t="shared" si="10"/>
        <v>0</v>
      </c>
      <c r="AE14" s="56"/>
      <c r="AF14" s="63">
        <f t="shared" si="11"/>
        <v>0</v>
      </c>
      <c r="AG14" s="56"/>
      <c r="AH14" s="65">
        <f t="shared" si="12"/>
        <v>0</v>
      </c>
      <c r="AI14" s="56"/>
      <c r="AJ14" s="63">
        <f t="shared" si="13"/>
        <v>0</v>
      </c>
      <c r="AK14" s="56"/>
      <c r="AL14" s="63">
        <f t="shared" si="13"/>
        <v>0</v>
      </c>
      <c r="AM14" s="56"/>
      <c r="AN14" s="63">
        <f t="shared" si="13"/>
        <v>0</v>
      </c>
      <c r="AO14" s="56"/>
      <c r="AP14" s="63">
        <f t="shared" si="13"/>
        <v>0</v>
      </c>
      <c r="AQ14" s="56"/>
      <c r="AR14" s="63">
        <f t="shared" si="14"/>
        <v>0</v>
      </c>
      <c r="AS14" s="56"/>
      <c r="AT14" s="63">
        <f t="shared" si="15"/>
        <v>0</v>
      </c>
      <c r="AU14" s="56"/>
      <c r="AV14" s="63">
        <f t="shared" si="16"/>
        <v>0</v>
      </c>
      <c r="AW14" s="56"/>
      <c r="AX14" s="63">
        <f t="shared" si="17"/>
        <v>0</v>
      </c>
      <c r="AY14" s="56"/>
      <c r="AZ14" s="63">
        <f t="shared" si="18"/>
        <v>0</v>
      </c>
      <c r="BA14" s="56"/>
      <c r="BB14" s="63">
        <f t="shared" si="19"/>
        <v>0</v>
      </c>
      <c r="BC14" s="56"/>
      <c r="BD14" s="63">
        <f t="shared" si="20"/>
        <v>0</v>
      </c>
      <c r="BE14" s="57"/>
      <c r="BF14" s="65">
        <f t="shared" si="39"/>
        <v>0</v>
      </c>
      <c r="BG14" s="58"/>
      <c r="BH14" s="63">
        <f t="shared" si="21"/>
        <v>0</v>
      </c>
      <c r="BI14" s="58"/>
      <c r="BJ14" s="63">
        <f t="shared" si="40"/>
        <v>0</v>
      </c>
      <c r="BK14" s="58"/>
      <c r="BL14" s="63">
        <f t="shared" si="22"/>
        <v>0</v>
      </c>
      <c r="BM14" s="58"/>
      <c r="BN14" s="63">
        <f t="shared" si="23"/>
        <v>0</v>
      </c>
      <c r="BO14" s="58"/>
      <c r="BP14" s="63">
        <f t="shared" si="24"/>
        <v>0</v>
      </c>
      <c r="BQ14" s="58"/>
      <c r="BR14" s="63">
        <f t="shared" si="25"/>
        <v>0</v>
      </c>
      <c r="BS14" s="58"/>
      <c r="BT14" s="63">
        <f t="shared" si="42"/>
        <v>0</v>
      </c>
      <c r="BU14" s="58"/>
      <c r="BV14" s="63">
        <f t="shared" si="26"/>
        <v>0</v>
      </c>
      <c r="BW14" s="58"/>
      <c r="BX14" s="63">
        <f t="shared" si="27"/>
        <v>0</v>
      </c>
      <c r="BY14" s="58"/>
      <c r="BZ14" s="65">
        <f t="shared" si="28"/>
        <v>0</v>
      </c>
      <c r="CA14" s="58"/>
      <c r="CB14" s="65">
        <f t="shared" si="29"/>
        <v>0</v>
      </c>
      <c r="CC14" s="58"/>
      <c r="CD14" s="65">
        <f t="shared" si="30"/>
        <v>0</v>
      </c>
      <c r="CE14" s="58"/>
      <c r="CF14" s="65">
        <f t="shared" si="31"/>
        <v>0</v>
      </c>
      <c r="CG14" s="58"/>
      <c r="CH14" s="65">
        <f t="shared" si="32"/>
        <v>0</v>
      </c>
      <c r="CI14" s="58"/>
      <c r="CJ14" s="65">
        <f t="shared" si="33"/>
        <v>0</v>
      </c>
      <c r="CK14" s="58"/>
      <c r="CL14" s="62">
        <f t="shared" si="34"/>
        <v>0</v>
      </c>
      <c r="CM14" s="63">
        <f t="shared" si="35"/>
        <v>0</v>
      </c>
      <c r="CN14" s="60"/>
      <c r="CO14" s="60"/>
      <c r="CP14" s="66"/>
      <c r="CQ14" s="65">
        <f t="shared" si="36"/>
        <v>0</v>
      </c>
      <c r="CR14" s="66"/>
      <c r="CS14" s="65">
        <f t="shared" si="36"/>
        <v>0</v>
      </c>
      <c r="CT14" s="73"/>
      <c r="CU14" s="65">
        <f t="shared" si="36"/>
        <v>0</v>
      </c>
      <c r="CV14" s="66"/>
      <c r="CW14" s="65">
        <f t="shared" si="36"/>
        <v>0</v>
      </c>
    </row>
    <row r="15" spans="1:101" ht="25.5" customHeight="1" thickBot="1" x14ac:dyDescent="0.45">
      <c r="A15" s="61">
        <v>44328</v>
      </c>
      <c r="B15" s="44"/>
      <c r="C15" s="56"/>
      <c r="D15" s="62">
        <f t="shared" si="0"/>
        <v>0</v>
      </c>
      <c r="E15" s="56"/>
      <c r="F15" s="62">
        <f t="shared" si="1"/>
        <v>0</v>
      </c>
      <c r="G15" s="56"/>
      <c r="H15" s="62">
        <f t="shared" si="2"/>
        <v>0</v>
      </c>
      <c r="I15" s="56"/>
      <c r="J15" s="62">
        <f t="shared" si="3"/>
        <v>0</v>
      </c>
      <c r="K15" s="56"/>
      <c r="L15" s="62">
        <f t="shared" si="37"/>
        <v>0</v>
      </c>
      <c r="M15" s="56"/>
      <c r="N15" s="62">
        <f t="shared" si="4"/>
        <v>0</v>
      </c>
      <c r="O15" s="56"/>
      <c r="P15" s="65">
        <f t="shared" si="43"/>
        <v>0</v>
      </c>
      <c r="Q15" s="56"/>
      <c r="R15" s="65">
        <f t="shared" si="6"/>
        <v>0</v>
      </c>
      <c r="S15" s="56"/>
      <c r="T15" s="65">
        <f t="shared" si="7"/>
        <v>0</v>
      </c>
      <c r="U15" s="56"/>
      <c r="V15" s="65">
        <f t="shared" si="38"/>
        <v>0</v>
      </c>
      <c r="W15" s="56"/>
      <c r="X15" s="63">
        <f t="shared" si="41"/>
        <v>0</v>
      </c>
      <c r="Y15" s="56"/>
      <c r="Z15" s="63">
        <f t="shared" si="8"/>
        <v>0</v>
      </c>
      <c r="AA15" s="56"/>
      <c r="AB15" s="63">
        <f t="shared" si="9"/>
        <v>0</v>
      </c>
      <c r="AC15" s="56"/>
      <c r="AD15" s="63">
        <f t="shared" si="10"/>
        <v>0</v>
      </c>
      <c r="AE15" s="56"/>
      <c r="AF15" s="63">
        <f t="shared" si="11"/>
        <v>0</v>
      </c>
      <c r="AG15" s="56"/>
      <c r="AH15" s="65">
        <f t="shared" si="12"/>
        <v>0</v>
      </c>
      <c r="AI15" s="56"/>
      <c r="AJ15" s="63">
        <f t="shared" si="13"/>
        <v>0</v>
      </c>
      <c r="AK15" s="56"/>
      <c r="AL15" s="63">
        <f t="shared" si="13"/>
        <v>0</v>
      </c>
      <c r="AM15" s="56"/>
      <c r="AN15" s="63">
        <f t="shared" si="13"/>
        <v>0</v>
      </c>
      <c r="AO15" s="56"/>
      <c r="AP15" s="63">
        <f t="shared" si="13"/>
        <v>0</v>
      </c>
      <c r="AQ15" s="56"/>
      <c r="AR15" s="63">
        <f t="shared" si="14"/>
        <v>0</v>
      </c>
      <c r="AS15" s="56"/>
      <c r="AT15" s="63">
        <f t="shared" si="15"/>
        <v>0</v>
      </c>
      <c r="AU15" s="56"/>
      <c r="AV15" s="63">
        <f t="shared" si="16"/>
        <v>0</v>
      </c>
      <c r="AW15" s="56"/>
      <c r="AX15" s="63">
        <f t="shared" si="17"/>
        <v>0</v>
      </c>
      <c r="AY15" s="56"/>
      <c r="AZ15" s="63">
        <f t="shared" si="18"/>
        <v>0</v>
      </c>
      <c r="BA15" s="56"/>
      <c r="BB15" s="63">
        <f t="shared" si="19"/>
        <v>0</v>
      </c>
      <c r="BC15" s="56"/>
      <c r="BD15" s="63">
        <f t="shared" si="20"/>
        <v>0</v>
      </c>
      <c r="BE15" s="57"/>
      <c r="BF15" s="65">
        <f t="shared" si="39"/>
        <v>0</v>
      </c>
      <c r="BG15" s="58"/>
      <c r="BH15" s="63">
        <f t="shared" si="21"/>
        <v>0</v>
      </c>
      <c r="BI15" s="58"/>
      <c r="BJ15" s="63">
        <f t="shared" si="40"/>
        <v>0</v>
      </c>
      <c r="BK15" s="58"/>
      <c r="BL15" s="63">
        <f t="shared" si="22"/>
        <v>0</v>
      </c>
      <c r="BM15" s="58"/>
      <c r="BN15" s="63">
        <f t="shared" si="23"/>
        <v>0</v>
      </c>
      <c r="BO15" s="58"/>
      <c r="BP15" s="63">
        <f t="shared" si="24"/>
        <v>0</v>
      </c>
      <c r="BQ15" s="58"/>
      <c r="BR15" s="63">
        <f t="shared" si="25"/>
        <v>0</v>
      </c>
      <c r="BS15" s="58"/>
      <c r="BT15" s="63">
        <f t="shared" si="42"/>
        <v>0</v>
      </c>
      <c r="BU15" s="58"/>
      <c r="BV15" s="63">
        <f t="shared" si="26"/>
        <v>0</v>
      </c>
      <c r="BW15" s="58"/>
      <c r="BX15" s="63">
        <f t="shared" si="27"/>
        <v>0</v>
      </c>
      <c r="BY15" s="58"/>
      <c r="BZ15" s="65">
        <f t="shared" si="28"/>
        <v>0</v>
      </c>
      <c r="CA15" s="58"/>
      <c r="CB15" s="65">
        <f t="shared" si="29"/>
        <v>0</v>
      </c>
      <c r="CC15" s="58"/>
      <c r="CD15" s="65">
        <f t="shared" si="30"/>
        <v>0</v>
      </c>
      <c r="CE15" s="58"/>
      <c r="CF15" s="65">
        <f t="shared" si="31"/>
        <v>0</v>
      </c>
      <c r="CG15" s="58"/>
      <c r="CH15" s="65">
        <f t="shared" si="32"/>
        <v>0</v>
      </c>
      <c r="CI15" s="58"/>
      <c r="CJ15" s="65">
        <f t="shared" si="33"/>
        <v>0</v>
      </c>
      <c r="CK15" s="58"/>
      <c r="CL15" s="62">
        <f t="shared" si="34"/>
        <v>0</v>
      </c>
      <c r="CM15" s="63">
        <f t="shared" si="35"/>
        <v>0</v>
      </c>
      <c r="CN15" s="60"/>
      <c r="CO15" s="60"/>
      <c r="CP15" s="66"/>
      <c r="CQ15" s="65">
        <f t="shared" si="36"/>
        <v>0</v>
      </c>
      <c r="CR15" s="66"/>
      <c r="CS15" s="65">
        <f t="shared" si="36"/>
        <v>0</v>
      </c>
      <c r="CT15" s="73"/>
      <c r="CU15" s="65">
        <f t="shared" si="36"/>
        <v>0</v>
      </c>
      <c r="CV15" s="66"/>
      <c r="CW15" s="65">
        <f t="shared" si="36"/>
        <v>0</v>
      </c>
    </row>
    <row r="16" spans="1:101" ht="25.5" customHeight="1" thickBot="1" x14ac:dyDescent="0.45">
      <c r="A16" s="61">
        <v>44329</v>
      </c>
      <c r="B16" s="44"/>
      <c r="C16" s="56"/>
      <c r="D16" s="62">
        <f t="shared" si="0"/>
        <v>0</v>
      </c>
      <c r="E16" s="56"/>
      <c r="F16" s="62">
        <f t="shared" si="1"/>
        <v>0</v>
      </c>
      <c r="G16" s="56"/>
      <c r="H16" s="62">
        <f t="shared" si="2"/>
        <v>0</v>
      </c>
      <c r="I16" s="56"/>
      <c r="J16" s="62">
        <f t="shared" si="3"/>
        <v>0</v>
      </c>
      <c r="K16" s="56"/>
      <c r="L16" s="62">
        <f t="shared" si="37"/>
        <v>0</v>
      </c>
      <c r="M16" s="56"/>
      <c r="N16" s="62">
        <f t="shared" si="4"/>
        <v>0</v>
      </c>
      <c r="O16" s="56"/>
      <c r="P16" s="65">
        <f t="shared" si="43"/>
        <v>0</v>
      </c>
      <c r="Q16" s="56"/>
      <c r="R16" s="65">
        <f t="shared" si="6"/>
        <v>0</v>
      </c>
      <c r="S16" s="56"/>
      <c r="T16" s="65">
        <f t="shared" si="7"/>
        <v>0</v>
      </c>
      <c r="U16" s="56"/>
      <c r="V16" s="65">
        <f t="shared" si="38"/>
        <v>0</v>
      </c>
      <c r="W16" s="56"/>
      <c r="X16" s="63">
        <f t="shared" si="41"/>
        <v>0</v>
      </c>
      <c r="Y16" s="56"/>
      <c r="Z16" s="63">
        <f t="shared" si="8"/>
        <v>0</v>
      </c>
      <c r="AA16" s="56"/>
      <c r="AB16" s="63">
        <f t="shared" si="9"/>
        <v>0</v>
      </c>
      <c r="AC16" s="56"/>
      <c r="AD16" s="63">
        <f t="shared" si="10"/>
        <v>0</v>
      </c>
      <c r="AE16" s="56"/>
      <c r="AF16" s="63">
        <f t="shared" si="11"/>
        <v>0</v>
      </c>
      <c r="AG16" s="56"/>
      <c r="AH16" s="65">
        <f t="shared" si="12"/>
        <v>0</v>
      </c>
      <c r="AI16" s="56"/>
      <c r="AJ16" s="63">
        <f t="shared" si="13"/>
        <v>0</v>
      </c>
      <c r="AK16" s="56"/>
      <c r="AL16" s="63">
        <f t="shared" si="13"/>
        <v>0</v>
      </c>
      <c r="AM16" s="56"/>
      <c r="AN16" s="63">
        <f t="shared" si="13"/>
        <v>0</v>
      </c>
      <c r="AO16" s="56"/>
      <c r="AP16" s="63">
        <f t="shared" si="13"/>
        <v>0</v>
      </c>
      <c r="AQ16" s="56"/>
      <c r="AR16" s="63">
        <f t="shared" si="14"/>
        <v>0</v>
      </c>
      <c r="AS16" s="56"/>
      <c r="AT16" s="63">
        <f t="shared" si="15"/>
        <v>0</v>
      </c>
      <c r="AU16" s="56"/>
      <c r="AV16" s="63">
        <f t="shared" si="16"/>
        <v>0</v>
      </c>
      <c r="AW16" s="56"/>
      <c r="AX16" s="63">
        <f t="shared" si="17"/>
        <v>0</v>
      </c>
      <c r="AY16" s="56"/>
      <c r="AZ16" s="63">
        <f t="shared" si="18"/>
        <v>0</v>
      </c>
      <c r="BA16" s="56"/>
      <c r="BB16" s="63">
        <f t="shared" si="19"/>
        <v>0</v>
      </c>
      <c r="BC16" s="56"/>
      <c r="BD16" s="63">
        <f t="shared" si="20"/>
        <v>0</v>
      </c>
      <c r="BE16" s="57"/>
      <c r="BF16" s="65">
        <f t="shared" si="39"/>
        <v>0</v>
      </c>
      <c r="BG16" s="58"/>
      <c r="BH16" s="63">
        <f t="shared" si="21"/>
        <v>0</v>
      </c>
      <c r="BI16" s="58"/>
      <c r="BJ16" s="63">
        <f t="shared" si="40"/>
        <v>0</v>
      </c>
      <c r="BK16" s="58"/>
      <c r="BL16" s="63">
        <f t="shared" si="22"/>
        <v>0</v>
      </c>
      <c r="BM16" s="58"/>
      <c r="BN16" s="63">
        <f t="shared" si="23"/>
        <v>0</v>
      </c>
      <c r="BO16" s="58"/>
      <c r="BP16" s="63">
        <f t="shared" si="24"/>
        <v>0</v>
      </c>
      <c r="BQ16" s="58"/>
      <c r="BR16" s="63">
        <f t="shared" si="25"/>
        <v>0</v>
      </c>
      <c r="BS16" s="58"/>
      <c r="BT16" s="63">
        <f t="shared" si="42"/>
        <v>0</v>
      </c>
      <c r="BU16" s="58"/>
      <c r="BV16" s="63">
        <f t="shared" si="26"/>
        <v>0</v>
      </c>
      <c r="BW16" s="58"/>
      <c r="BX16" s="63">
        <f t="shared" si="27"/>
        <v>0</v>
      </c>
      <c r="BY16" s="58"/>
      <c r="BZ16" s="65">
        <f t="shared" si="28"/>
        <v>0</v>
      </c>
      <c r="CA16" s="58"/>
      <c r="CB16" s="65">
        <f>IF((CA16-CA15&lt;0), "",CA16-CA15)</f>
        <v>0</v>
      </c>
      <c r="CC16" s="58"/>
      <c r="CD16" s="65">
        <f t="shared" si="30"/>
        <v>0</v>
      </c>
      <c r="CE16" s="58"/>
      <c r="CF16" s="65">
        <f t="shared" si="31"/>
        <v>0</v>
      </c>
      <c r="CG16" s="58"/>
      <c r="CH16" s="65">
        <f t="shared" si="32"/>
        <v>0</v>
      </c>
      <c r="CI16" s="58"/>
      <c r="CJ16" s="65">
        <f t="shared" si="33"/>
        <v>0</v>
      </c>
      <c r="CK16" s="58"/>
      <c r="CL16" s="62">
        <f t="shared" si="34"/>
        <v>0</v>
      </c>
      <c r="CM16" s="63">
        <f t="shared" si="35"/>
        <v>0</v>
      </c>
      <c r="CN16" s="60"/>
      <c r="CO16" s="60"/>
      <c r="CP16" s="66"/>
      <c r="CQ16" s="65">
        <f t="shared" si="36"/>
        <v>0</v>
      </c>
      <c r="CR16" s="66"/>
      <c r="CS16" s="65">
        <f t="shared" si="36"/>
        <v>0</v>
      </c>
      <c r="CT16" s="73"/>
      <c r="CU16" s="65">
        <f t="shared" si="36"/>
        <v>0</v>
      </c>
      <c r="CV16" s="66"/>
      <c r="CW16" s="65">
        <f t="shared" si="36"/>
        <v>0</v>
      </c>
    </row>
    <row r="17" spans="1:101" ht="25.5" customHeight="1" thickBot="1" x14ac:dyDescent="0.45">
      <c r="A17" s="61">
        <v>44330</v>
      </c>
      <c r="B17" s="44"/>
      <c r="C17" s="56"/>
      <c r="D17" s="62">
        <f t="shared" si="0"/>
        <v>0</v>
      </c>
      <c r="E17" s="56"/>
      <c r="F17" s="62">
        <f t="shared" si="1"/>
        <v>0</v>
      </c>
      <c r="G17" s="56"/>
      <c r="H17" s="62">
        <f t="shared" si="2"/>
        <v>0</v>
      </c>
      <c r="I17" s="56"/>
      <c r="J17" s="62">
        <f t="shared" si="3"/>
        <v>0</v>
      </c>
      <c r="K17" s="56"/>
      <c r="L17" s="62">
        <f t="shared" si="37"/>
        <v>0</v>
      </c>
      <c r="M17" s="56"/>
      <c r="N17" s="62">
        <f t="shared" si="4"/>
        <v>0</v>
      </c>
      <c r="O17" s="56"/>
      <c r="P17" s="65">
        <f t="shared" si="43"/>
        <v>0</v>
      </c>
      <c r="Q17" s="56"/>
      <c r="R17" s="65">
        <f t="shared" si="6"/>
        <v>0</v>
      </c>
      <c r="S17" s="56"/>
      <c r="T17" s="65">
        <f t="shared" si="7"/>
        <v>0</v>
      </c>
      <c r="U17" s="56"/>
      <c r="V17" s="65">
        <f t="shared" si="38"/>
        <v>0</v>
      </c>
      <c r="W17" s="56"/>
      <c r="X17" s="63">
        <f t="shared" si="41"/>
        <v>0</v>
      </c>
      <c r="Y17" s="56"/>
      <c r="Z17" s="63">
        <f t="shared" si="8"/>
        <v>0</v>
      </c>
      <c r="AA17" s="56"/>
      <c r="AB17" s="63">
        <f t="shared" si="9"/>
        <v>0</v>
      </c>
      <c r="AC17" s="56"/>
      <c r="AD17" s="63">
        <f t="shared" si="10"/>
        <v>0</v>
      </c>
      <c r="AE17" s="56"/>
      <c r="AF17" s="63">
        <f t="shared" si="11"/>
        <v>0</v>
      </c>
      <c r="AG17" s="56"/>
      <c r="AH17" s="65">
        <f t="shared" si="12"/>
        <v>0</v>
      </c>
      <c r="AI17" s="56"/>
      <c r="AJ17" s="63">
        <f t="shared" si="13"/>
        <v>0</v>
      </c>
      <c r="AK17" s="56"/>
      <c r="AL17" s="63">
        <f t="shared" si="13"/>
        <v>0</v>
      </c>
      <c r="AM17" s="56"/>
      <c r="AN17" s="63">
        <f t="shared" si="13"/>
        <v>0</v>
      </c>
      <c r="AO17" s="56"/>
      <c r="AP17" s="63">
        <f t="shared" si="13"/>
        <v>0</v>
      </c>
      <c r="AQ17" s="56"/>
      <c r="AR17" s="63">
        <f t="shared" si="14"/>
        <v>0</v>
      </c>
      <c r="AS17" s="56"/>
      <c r="AT17" s="63">
        <f t="shared" si="15"/>
        <v>0</v>
      </c>
      <c r="AU17" s="56"/>
      <c r="AV17" s="63">
        <f t="shared" si="16"/>
        <v>0</v>
      </c>
      <c r="AW17" s="56"/>
      <c r="AX17" s="63">
        <f t="shared" si="17"/>
        <v>0</v>
      </c>
      <c r="AY17" s="56"/>
      <c r="AZ17" s="63">
        <f t="shared" si="18"/>
        <v>0</v>
      </c>
      <c r="BA17" s="56"/>
      <c r="BB17" s="63">
        <f t="shared" si="19"/>
        <v>0</v>
      </c>
      <c r="BC17" s="56"/>
      <c r="BD17" s="63">
        <f t="shared" si="20"/>
        <v>0</v>
      </c>
      <c r="BE17" s="57"/>
      <c r="BF17" s="65">
        <f t="shared" si="39"/>
        <v>0</v>
      </c>
      <c r="BG17" s="58"/>
      <c r="BH17" s="63">
        <f t="shared" si="21"/>
        <v>0</v>
      </c>
      <c r="BI17" s="58"/>
      <c r="BJ17" s="63">
        <f t="shared" si="40"/>
        <v>0</v>
      </c>
      <c r="BK17" s="58"/>
      <c r="BL17" s="63">
        <f t="shared" si="22"/>
        <v>0</v>
      </c>
      <c r="BM17" s="58"/>
      <c r="BN17" s="63">
        <f t="shared" si="23"/>
        <v>0</v>
      </c>
      <c r="BO17" s="58"/>
      <c r="BP17" s="63">
        <f t="shared" si="24"/>
        <v>0</v>
      </c>
      <c r="BQ17" s="58"/>
      <c r="BR17" s="63">
        <f t="shared" si="25"/>
        <v>0</v>
      </c>
      <c r="BS17" s="58"/>
      <c r="BT17" s="63">
        <f t="shared" si="42"/>
        <v>0</v>
      </c>
      <c r="BU17" s="58"/>
      <c r="BV17" s="63">
        <f t="shared" si="26"/>
        <v>0</v>
      </c>
      <c r="BW17" s="58"/>
      <c r="BX17" s="63">
        <f t="shared" si="27"/>
        <v>0</v>
      </c>
      <c r="BY17" s="58"/>
      <c r="BZ17" s="65">
        <f t="shared" si="28"/>
        <v>0</v>
      </c>
      <c r="CA17" s="58"/>
      <c r="CB17" s="65">
        <f>IF((CA17-CA16&lt;0), "",CA17-CA16)</f>
        <v>0</v>
      </c>
      <c r="CC17" s="58"/>
      <c r="CD17" s="65">
        <f t="shared" si="30"/>
        <v>0</v>
      </c>
      <c r="CE17" s="58"/>
      <c r="CF17" s="65">
        <f t="shared" si="31"/>
        <v>0</v>
      </c>
      <c r="CG17" s="58"/>
      <c r="CH17" s="65">
        <f t="shared" si="32"/>
        <v>0</v>
      </c>
      <c r="CI17" s="58"/>
      <c r="CJ17" s="65">
        <f t="shared" si="33"/>
        <v>0</v>
      </c>
      <c r="CK17" s="58"/>
      <c r="CL17" s="62">
        <f t="shared" si="34"/>
        <v>0</v>
      </c>
      <c r="CM17" s="63">
        <f t="shared" si="35"/>
        <v>0</v>
      </c>
      <c r="CN17" s="60"/>
      <c r="CO17" s="60"/>
      <c r="CP17" s="66"/>
      <c r="CQ17" s="65">
        <f t="shared" si="36"/>
        <v>0</v>
      </c>
      <c r="CR17" s="66"/>
      <c r="CS17" s="65">
        <f t="shared" si="36"/>
        <v>0</v>
      </c>
      <c r="CT17" s="73"/>
      <c r="CU17" s="65">
        <f t="shared" si="36"/>
        <v>0</v>
      </c>
      <c r="CV17" s="66"/>
      <c r="CW17" s="65">
        <f t="shared" si="36"/>
        <v>0</v>
      </c>
    </row>
    <row r="18" spans="1:101" ht="25.5" customHeight="1" thickBot="1" x14ac:dyDescent="0.45">
      <c r="A18" s="61">
        <v>44331</v>
      </c>
      <c r="B18" s="44"/>
      <c r="C18" s="56"/>
      <c r="D18" s="62">
        <f t="shared" si="0"/>
        <v>0</v>
      </c>
      <c r="E18" s="56"/>
      <c r="F18" s="62">
        <f t="shared" si="1"/>
        <v>0</v>
      </c>
      <c r="G18" s="56"/>
      <c r="H18" s="62">
        <f t="shared" si="2"/>
        <v>0</v>
      </c>
      <c r="I18" s="56"/>
      <c r="J18" s="62">
        <f t="shared" si="3"/>
        <v>0</v>
      </c>
      <c r="K18" s="56"/>
      <c r="L18" s="62">
        <f t="shared" si="37"/>
        <v>0</v>
      </c>
      <c r="M18" s="56"/>
      <c r="N18" s="62">
        <f t="shared" si="4"/>
        <v>0</v>
      </c>
      <c r="O18" s="56"/>
      <c r="P18" s="65">
        <f t="shared" si="43"/>
        <v>0</v>
      </c>
      <c r="Q18" s="56"/>
      <c r="R18" s="65">
        <f t="shared" si="6"/>
        <v>0</v>
      </c>
      <c r="S18" s="56"/>
      <c r="T18" s="65">
        <f t="shared" si="7"/>
        <v>0</v>
      </c>
      <c r="U18" s="56"/>
      <c r="V18" s="65">
        <f t="shared" si="38"/>
        <v>0</v>
      </c>
      <c r="W18" s="56"/>
      <c r="X18" s="63">
        <f t="shared" si="41"/>
        <v>0</v>
      </c>
      <c r="Y18" s="56"/>
      <c r="Z18" s="63">
        <f t="shared" si="8"/>
        <v>0</v>
      </c>
      <c r="AA18" s="56"/>
      <c r="AB18" s="63">
        <f t="shared" si="9"/>
        <v>0</v>
      </c>
      <c r="AC18" s="56"/>
      <c r="AD18" s="63">
        <f t="shared" si="10"/>
        <v>0</v>
      </c>
      <c r="AE18" s="56"/>
      <c r="AF18" s="63">
        <f t="shared" si="11"/>
        <v>0</v>
      </c>
      <c r="AG18" s="56"/>
      <c r="AH18" s="65">
        <f t="shared" si="12"/>
        <v>0</v>
      </c>
      <c r="AI18" s="56"/>
      <c r="AJ18" s="63">
        <f t="shared" si="13"/>
        <v>0</v>
      </c>
      <c r="AK18" s="56"/>
      <c r="AL18" s="63">
        <f t="shared" si="13"/>
        <v>0</v>
      </c>
      <c r="AM18" s="56"/>
      <c r="AN18" s="63">
        <f t="shared" si="13"/>
        <v>0</v>
      </c>
      <c r="AO18" s="56"/>
      <c r="AP18" s="63">
        <f t="shared" si="13"/>
        <v>0</v>
      </c>
      <c r="AQ18" s="56"/>
      <c r="AR18" s="63">
        <f t="shared" si="14"/>
        <v>0</v>
      </c>
      <c r="AS18" s="56"/>
      <c r="AT18" s="63">
        <f t="shared" si="15"/>
        <v>0</v>
      </c>
      <c r="AU18" s="56"/>
      <c r="AV18" s="63">
        <f t="shared" si="16"/>
        <v>0</v>
      </c>
      <c r="AW18" s="56"/>
      <c r="AX18" s="63">
        <f t="shared" si="17"/>
        <v>0</v>
      </c>
      <c r="AY18" s="56"/>
      <c r="AZ18" s="63">
        <f t="shared" si="18"/>
        <v>0</v>
      </c>
      <c r="BA18" s="56"/>
      <c r="BB18" s="63">
        <f t="shared" si="19"/>
        <v>0</v>
      </c>
      <c r="BC18" s="56"/>
      <c r="BD18" s="63">
        <f t="shared" si="20"/>
        <v>0</v>
      </c>
      <c r="BE18" s="57"/>
      <c r="BF18" s="65">
        <f t="shared" si="39"/>
        <v>0</v>
      </c>
      <c r="BG18" s="58"/>
      <c r="BH18" s="63">
        <f t="shared" si="21"/>
        <v>0</v>
      </c>
      <c r="BI18" s="58"/>
      <c r="BJ18" s="63">
        <f t="shared" si="40"/>
        <v>0</v>
      </c>
      <c r="BK18" s="58"/>
      <c r="BL18" s="63">
        <f t="shared" si="22"/>
        <v>0</v>
      </c>
      <c r="BM18" s="58"/>
      <c r="BN18" s="63">
        <f t="shared" si="23"/>
        <v>0</v>
      </c>
      <c r="BO18" s="58"/>
      <c r="BP18" s="63">
        <f t="shared" si="24"/>
        <v>0</v>
      </c>
      <c r="BQ18" s="58"/>
      <c r="BR18" s="63">
        <f t="shared" si="25"/>
        <v>0</v>
      </c>
      <c r="BS18" s="58"/>
      <c r="BT18" s="63">
        <f t="shared" si="42"/>
        <v>0</v>
      </c>
      <c r="BU18" s="58"/>
      <c r="BV18" s="63">
        <f t="shared" si="26"/>
        <v>0</v>
      </c>
      <c r="BW18" s="58"/>
      <c r="BX18" s="63">
        <f t="shared" si="27"/>
        <v>0</v>
      </c>
      <c r="BY18" s="58"/>
      <c r="BZ18" s="65">
        <f t="shared" si="28"/>
        <v>0</v>
      </c>
      <c r="CA18" s="58"/>
      <c r="CB18" s="65">
        <f>IF((CA18-CA17&lt;0), "",CA18-CA17)</f>
        <v>0</v>
      </c>
      <c r="CC18" s="58"/>
      <c r="CD18" s="65">
        <f t="shared" si="30"/>
        <v>0</v>
      </c>
      <c r="CE18" s="58"/>
      <c r="CF18" s="65">
        <f t="shared" si="31"/>
        <v>0</v>
      </c>
      <c r="CG18" s="58"/>
      <c r="CH18" s="65">
        <f t="shared" si="32"/>
        <v>0</v>
      </c>
      <c r="CI18" s="58"/>
      <c r="CJ18" s="65">
        <f t="shared" si="33"/>
        <v>0</v>
      </c>
      <c r="CK18" s="58"/>
      <c r="CL18" s="62">
        <f t="shared" si="34"/>
        <v>0</v>
      </c>
      <c r="CM18" s="63">
        <f t="shared" si="35"/>
        <v>0</v>
      </c>
      <c r="CN18" s="60"/>
      <c r="CO18" s="60"/>
      <c r="CP18" s="66"/>
      <c r="CQ18" s="65">
        <f t="shared" si="36"/>
        <v>0</v>
      </c>
      <c r="CR18" s="66"/>
      <c r="CS18" s="65">
        <f t="shared" si="36"/>
        <v>0</v>
      </c>
      <c r="CT18" s="73"/>
      <c r="CU18" s="65">
        <f t="shared" si="36"/>
        <v>0</v>
      </c>
      <c r="CV18" s="66"/>
      <c r="CW18" s="65">
        <f t="shared" si="36"/>
        <v>0</v>
      </c>
    </row>
    <row r="19" spans="1:101" ht="25.5" customHeight="1" thickBot="1" x14ac:dyDescent="0.45">
      <c r="A19" s="61">
        <v>44332</v>
      </c>
      <c r="B19" s="44"/>
      <c r="C19" s="56"/>
      <c r="D19" s="62">
        <f t="shared" si="0"/>
        <v>0</v>
      </c>
      <c r="E19" s="56"/>
      <c r="F19" s="62">
        <f t="shared" si="1"/>
        <v>0</v>
      </c>
      <c r="G19" s="56"/>
      <c r="H19" s="62">
        <f t="shared" si="2"/>
        <v>0</v>
      </c>
      <c r="I19" s="56"/>
      <c r="J19" s="62">
        <f t="shared" si="3"/>
        <v>0</v>
      </c>
      <c r="K19" s="56"/>
      <c r="L19" s="62">
        <f t="shared" si="37"/>
        <v>0</v>
      </c>
      <c r="M19" s="56"/>
      <c r="N19" s="62">
        <f t="shared" si="4"/>
        <v>0</v>
      </c>
      <c r="O19" s="56"/>
      <c r="P19" s="65">
        <f t="shared" si="43"/>
        <v>0</v>
      </c>
      <c r="Q19" s="56"/>
      <c r="R19" s="65">
        <f t="shared" si="6"/>
        <v>0</v>
      </c>
      <c r="S19" s="56"/>
      <c r="T19" s="65">
        <f t="shared" si="7"/>
        <v>0</v>
      </c>
      <c r="U19" s="56"/>
      <c r="V19" s="65">
        <f t="shared" si="38"/>
        <v>0</v>
      </c>
      <c r="W19" s="56"/>
      <c r="X19" s="63">
        <f t="shared" si="41"/>
        <v>0</v>
      </c>
      <c r="Y19" s="56"/>
      <c r="Z19" s="63">
        <f t="shared" si="8"/>
        <v>0</v>
      </c>
      <c r="AA19" s="56"/>
      <c r="AB19" s="63">
        <f t="shared" si="9"/>
        <v>0</v>
      </c>
      <c r="AC19" s="56"/>
      <c r="AD19" s="63">
        <f t="shared" si="10"/>
        <v>0</v>
      </c>
      <c r="AE19" s="56"/>
      <c r="AF19" s="63">
        <f t="shared" si="11"/>
        <v>0</v>
      </c>
      <c r="AG19" s="56"/>
      <c r="AH19" s="65">
        <f t="shared" si="12"/>
        <v>0</v>
      </c>
      <c r="AI19" s="56"/>
      <c r="AJ19" s="63">
        <f t="shared" si="13"/>
        <v>0</v>
      </c>
      <c r="AK19" s="56"/>
      <c r="AL19" s="63">
        <f t="shared" si="13"/>
        <v>0</v>
      </c>
      <c r="AM19" s="56"/>
      <c r="AN19" s="63">
        <f t="shared" si="13"/>
        <v>0</v>
      </c>
      <c r="AO19" s="56"/>
      <c r="AP19" s="63">
        <f t="shared" si="13"/>
        <v>0</v>
      </c>
      <c r="AQ19" s="56"/>
      <c r="AR19" s="63">
        <f t="shared" si="14"/>
        <v>0</v>
      </c>
      <c r="AS19" s="56"/>
      <c r="AT19" s="63">
        <f t="shared" si="15"/>
        <v>0</v>
      </c>
      <c r="AU19" s="56"/>
      <c r="AV19" s="63">
        <f t="shared" si="16"/>
        <v>0</v>
      </c>
      <c r="AW19" s="56"/>
      <c r="AX19" s="63">
        <f t="shared" si="17"/>
        <v>0</v>
      </c>
      <c r="AY19" s="56"/>
      <c r="AZ19" s="63">
        <f t="shared" si="18"/>
        <v>0</v>
      </c>
      <c r="BA19" s="56"/>
      <c r="BB19" s="63">
        <f t="shared" si="19"/>
        <v>0</v>
      </c>
      <c r="BC19" s="56"/>
      <c r="BD19" s="63">
        <f t="shared" si="20"/>
        <v>0</v>
      </c>
      <c r="BE19" s="57"/>
      <c r="BF19" s="65">
        <f t="shared" si="39"/>
        <v>0</v>
      </c>
      <c r="BG19" s="58"/>
      <c r="BH19" s="63">
        <f t="shared" si="21"/>
        <v>0</v>
      </c>
      <c r="BI19" s="58"/>
      <c r="BJ19" s="63">
        <f t="shared" si="40"/>
        <v>0</v>
      </c>
      <c r="BK19" s="58"/>
      <c r="BL19" s="63">
        <f t="shared" si="22"/>
        <v>0</v>
      </c>
      <c r="BM19" s="58"/>
      <c r="BN19" s="63">
        <f t="shared" si="23"/>
        <v>0</v>
      </c>
      <c r="BO19" s="58"/>
      <c r="BP19" s="63">
        <f t="shared" si="24"/>
        <v>0</v>
      </c>
      <c r="BQ19" s="58"/>
      <c r="BR19" s="63">
        <f t="shared" si="25"/>
        <v>0</v>
      </c>
      <c r="BS19" s="58"/>
      <c r="BT19" s="63">
        <f t="shared" si="42"/>
        <v>0</v>
      </c>
      <c r="BU19" s="58"/>
      <c r="BV19" s="63">
        <f t="shared" si="26"/>
        <v>0</v>
      </c>
      <c r="BW19" s="58"/>
      <c r="BX19" s="63">
        <f t="shared" si="27"/>
        <v>0</v>
      </c>
      <c r="BY19" s="58"/>
      <c r="BZ19" s="65">
        <f t="shared" si="28"/>
        <v>0</v>
      </c>
      <c r="CA19" s="58"/>
      <c r="CB19" s="65">
        <f t="shared" si="29"/>
        <v>0</v>
      </c>
      <c r="CC19" s="58"/>
      <c r="CD19" s="65">
        <f t="shared" si="30"/>
        <v>0</v>
      </c>
      <c r="CE19" s="58"/>
      <c r="CF19" s="65">
        <f t="shared" si="31"/>
        <v>0</v>
      </c>
      <c r="CG19" s="58"/>
      <c r="CH19" s="65">
        <f t="shared" si="32"/>
        <v>0</v>
      </c>
      <c r="CI19" s="58"/>
      <c r="CJ19" s="65">
        <f t="shared" si="33"/>
        <v>0</v>
      </c>
      <c r="CK19" s="58"/>
      <c r="CL19" s="62">
        <f t="shared" si="34"/>
        <v>0</v>
      </c>
      <c r="CM19" s="63">
        <f t="shared" si="35"/>
        <v>0</v>
      </c>
      <c r="CN19" s="60"/>
      <c r="CO19" s="60"/>
      <c r="CP19" s="66"/>
      <c r="CQ19" s="65">
        <f t="shared" si="36"/>
        <v>0</v>
      </c>
      <c r="CR19" s="66"/>
      <c r="CS19" s="65">
        <f t="shared" si="36"/>
        <v>0</v>
      </c>
      <c r="CT19" s="73"/>
      <c r="CU19" s="65">
        <f t="shared" si="36"/>
        <v>0</v>
      </c>
      <c r="CV19" s="66"/>
      <c r="CW19" s="65">
        <f t="shared" si="36"/>
        <v>0</v>
      </c>
    </row>
    <row r="20" spans="1:101" ht="25.5" customHeight="1" thickBot="1" x14ac:dyDescent="0.45">
      <c r="A20" s="61">
        <v>44333</v>
      </c>
      <c r="B20" s="44"/>
      <c r="C20" s="56"/>
      <c r="D20" s="62">
        <f t="shared" si="0"/>
        <v>0</v>
      </c>
      <c r="E20" s="56"/>
      <c r="F20" s="62">
        <f t="shared" si="1"/>
        <v>0</v>
      </c>
      <c r="G20" s="56"/>
      <c r="H20" s="62">
        <f t="shared" si="2"/>
        <v>0</v>
      </c>
      <c r="I20" s="56"/>
      <c r="J20" s="62">
        <f t="shared" si="3"/>
        <v>0</v>
      </c>
      <c r="K20" s="56"/>
      <c r="L20" s="62">
        <f t="shared" si="37"/>
        <v>0</v>
      </c>
      <c r="M20" s="56"/>
      <c r="N20" s="62">
        <f t="shared" si="4"/>
        <v>0</v>
      </c>
      <c r="O20" s="56"/>
      <c r="P20" s="65">
        <f t="shared" si="43"/>
        <v>0</v>
      </c>
      <c r="Q20" s="56"/>
      <c r="R20" s="65">
        <f t="shared" si="6"/>
        <v>0</v>
      </c>
      <c r="S20" s="56"/>
      <c r="T20" s="65">
        <f t="shared" si="7"/>
        <v>0</v>
      </c>
      <c r="U20" s="56"/>
      <c r="V20" s="65">
        <f t="shared" si="38"/>
        <v>0</v>
      </c>
      <c r="W20" s="56"/>
      <c r="X20" s="63">
        <f t="shared" si="41"/>
        <v>0</v>
      </c>
      <c r="Y20" s="56"/>
      <c r="Z20" s="63">
        <f t="shared" si="8"/>
        <v>0</v>
      </c>
      <c r="AA20" s="56"/>
      <c r="AB20" s="63">
        <f t="shared" si="9"/>
        <v>0</v>
      </c>
      <c r="AC20" s="56"/>
      <c r="AD20" s="63">
        <f t="shared" si="10"/>
        <v>0</v>
      </c>
      <c r="AE20" s="56"/>
      <c r="AF20" s="63">
        <f t="shared" si="11"/>
        <v>0</v>
      </c>
      <c r="AG20" s="56"/>
      <c r="AH20" s="65">
        <f t="shared" si="12"/>
        <v>0</v>
      </c>
      <c r="AI20" s="56"/>
      <c r="AJ20" s="63">
        <f t="shared" si="13"/>
        <v>0</v>
      </c>
      <c r="AK20" s="56"/>
      <c r="AL20" s="63">
        <f t="shared" si="13"/>
        <v>0</v>
      </c>
      <c r="AM20" s="56"/>
      <c r="AN20" s="63">
        <f t="shared" si="13"/>
        <v>0</v>
      </c>
      <c r="AO20" s="56"/>
      <c r="AP20" s="63">
        <f t="shared" si="13"/>
        <v>0</v>
      </c>
      <c r="AQ20" s="56"/>
      <c r="AR20" s="63">
        <f t="shared" si="14"/>
        <v>0</v>
      </c>
      <c r="AS20" s="56"/>
      <c r="AT20" s="63">
        <f t="shared" si="15"/>
        <v>0</v>
      </c>
      <c r="AU20" s="56"/>
      <c r="AV20" s="63">
        <f t="shared" si="16"/>
        <v>0</v>
      </c>
      <c r="AW20" s="56"/>
      <c r="AX20" s="63">
        <f t="shared" si="17"/>
        <v>0</v>
      </c>
      <c r="AY20" s="56"/>
      <c r="AZ20" s="63">
        <f t="shared" si="18"/>
        <v>0</v>
      </c>
      <c r="BA20" s="56"/>
      <c r="BB20" s="63">
        <f t="shared" si="19"/>
        <v>0</v>
      </c>
      <c r="BC20" s="56"/>
      <c r="BD20" s="63">
        <f t="shared" si="20"/>
        <v>0</v>
      </c>
      <c r="BE20" s="57"/>
      <c r="BF20" s="65">
        <f t="shared" si="39"/>
        <v>0</v>
      </c>
      <c r="BG20" s="58"/>
      <c r="BH20" s="63">
        <f t="shared" si="21"/>
        <v>0</v>
      </c>
      <c r="BI20" s="58"/>
      <c r="BJ20" s="63">
        <f t="shared" si="40"/>
        <v>0</v>
      </c>
      <c r="BK20" s="58"/>
      <c r="BL20" s="63">
        <f t="shared" si="22"/>
        <v>0</v>
      </c>
      <c r="BM20" s="58"/>
      <c r="BN20" s="63">
        <f t="shared" si="23"/>
        <v>0</v>
      </c>
      <c r="BO20" s="58"/>
      <c r="BP20" s="63">
        <f t="shared" si="24"/>
        <v>0</v>
      </c>
      <c r="BQ20" s="58"/>
      <c r="BR20" s="63">
        <f t="shared" si="25"/>
        <v>0</v>
      </c>
      <c r="BS20" s="58"/>
      <c r="BT20" s="63">
        <f t="shared" si="42"/>
        <v>0</v>
      </c>
      <c r="BU20" s="58"/>
      <c r="BV20" s="63">
        <f t="shared" si="26"/>
        <v>0</v>
      </c>
      <c r="BW20" s="58"/>
      <c r="BX20" s="63">
        <f t="shared" si="27"/>
        <v>0</v>
      </c>
      <c r="BY20" s="58"/>
      <c r="BZ20" s="65">
        <f t="shared" si="28"/>
        <v>0</v>
      </c>
      <c r="CA20" s="58"/>
      <c r="CB20" s="65">
        <f t="shared" si="29"/>
        <v>0</v>
      </c>
      <c r="CC20" s="58"/>
      <c r="CD20" s="65">
        <f t="shared" si="30"/>
        <v>0</v>
      </c>
      <c r="CE20" s="58"/>
      <c r="CF20" s="65">
        <f t="shared" si="31"/>
        <v>0</v>
      </c>
      <c r="CG20" s="58"/>
      <c r="CH20" s="65">
        <f t="shared" si="32"/>
        <v>0</v>
      </c>
      <c r="CI20" s="58"/>
      <c r="CJ20" s="65">
        <f t="shared" si="33"/>
        <v>0</v>
      </c>
      <c r="CK20" s="58"/>
      <c r="CL20" s="62">
        <f t="shared" si="34"/>
        <v>0</v>
      </c>
      <c r="CM20" s="63">
        <f t="shared" si="35"/>
        <v>0</v>
      </c>
      <c r="CN20" s="60"/>
      <c r="CO20" s="60"/>
      <c r="CP20" s="66"/>
      <c r="CQ20" s="65">
        <f t="shared" si="36"/>
        <v>0</v>
      </c>
      <c r="CR20" s="66"/>
      <c r="CS20" s="65">
        <f t="shared" si="36"/>
        <v>0</v>
      </c>
      <c r="CT20" s="73"/>
      <c r="CU20" s="65">
        <f t="shared" si="36"/>
        <v>0</v>
      </c>
      <c r="CV20" s="66"/>
      <c r="CW20" s="65">
        <f t="shared" si="36"/>
        <v>0</v>
      </c>
    </row>
    <row r="21" spans="1:101" ht="25.5" customHeight="1" thickBot="1" x14ac:dyDescent="0.45">
      <c r="A21" s="61">
        <v>44334</v>
      </c>
      <c r="B21" s="44"/>
      <c r="C21" s="56"/>
      <c r="D21" s="62">
        <f t="shared" si="0"/>
        <v>0</v>
      </c>
      <c r="E21" s="56"/>
      <c r="F21" s="62">
        <f t="shared" si="1"/>
        <v>0</v>
      </c>
      <c r="G21" s="56"/>
      <c r="H21" s="62">
        <f t="shared" si="2"/>
        <v>0</v>
      </c>
      <c r="I21" s="56"/>
      <c r="J21" s="62">
        <f t="shared" si="3"/>
        <v>0</v>
      </c>
      <c r="K21" s="56"/>
      <c r="L21" s="62">
        <f t="shared" si="37"/>
        <v>0</v>
      </c>
      <c r="M21" s="56"/>
      <c r="N21" s="62">
        <f t="shared" si="4"/>
        <v>0</v>
      </c>
      <c r="O21" s="56"/>
      <c r="P21" s="65">
        <f t="shared" si="43"/>
        <v>0</v>
      </c>
      <c r="Q21" s="56"/>
      <c r="R21" s="65">
        <f t="shared" si="6"/>
        <v>0</v>
      </c>
      <c r="S21" s="56"/>
      <c r="T21" s="65">
        <f t="shared" si="7"/>
        <v>0</v>
      </c>
      <c r="U21" s="56"/>
      <c r="V21" s="65">
        <f t="shared" si="38"/>
        <v>0</v>
      </c>
      <c r="W21" s="56"/>
      <c r="X21" s="63">
        <f t="shared" si="41"/>
        <v>0</v>
      </c>
      <c r="Y21" s="56"/>
      <c r="Z21" s="63">
        <f t="shared" si="8"/>
        <v>0</v>
      </c>
      <c r="AA21" s="56"/>
      <c r="AB21" s="63">
        <f t="shared" si="9"/>
        <v>0</v>
      </c>
      <c r="AC21" s="56"/>
      <c r="AD21" s="63">
        <f t="shared" si="10"/>
        <v>0</v>
      </c>
      <c r="AE21" s="56"/>
      <c r="AF21" s="63">
        <f t="shared" si="11"/>
        <v>0</v>
      </c>
      <c r="AG21" s="56"/>
      <c r="AH21" s="65">
        <f t="shared" si="12"/>
        <v>0</v>
      </c>
      <c r="AI21" s="56"/>
      <c r="AJ21" s="63">
        <f t="shared" si="13"/>
        <v>0</v>
      </c>
      <c r="AK21" s="56"/>
      <c r="AL21" s="63">
        <f t="shared" si="13"/>
        <v>0</v>
      </c>
      <c r="AM21" s="56"/>
      <c r="AN21" s="63">
        <f t="shared" si="13"/>
        <v>0</v>
      </c>
      <c r="AO21" s="56"/>
      <c r="AP21" s="63">
        <f t="shared" si="13"/>
        <v>0</v>
      </c>
      <c r="AQ21" s="56"/>
      <c r="AR21" s="63">
        <f t="shared" si="14"/>
        <v>0</v>
      </c>
      <c r="AS21" s="56"/>
      <c r="AT21" s="63">
        <f t="shared" si="15"/>
        <v>0</v>
      </c>
      <c r="AU21" s="56"/>
      <c r="AV21" s="63">
        <f t="shared" si="16"/>
        <v>0</v>
      </c>
      <c r="AW21" s="56"/>
      <c r="AX21" s="63">
        <f t="shared" si="17"/>
        <v>0</v>
      </c>
      <c r="AY21" s="56"/>
      <c r="AZ21" s="63">
        <f t="shared" si="18"/>
        <v>0</v>
      </c>
      <c r="BA21" s="56"/>
      <c r="BB21" s="63">
        <f t="shared" si="19"/>
        <v>0</v>
      </c>
      <c r="BC21" s="56"/>
      <c r="BD21" s="63">
        <f t="shared" si="20"/>
        <v>0</v>
      </c>
      <c r="BE21" s="57"/>
      <c r="BF21" s="65">
        <f t="shared" si="39"/>
        <v>0</v>
      </c>
      <c r="BG21" s="58"/>
      <c r="BH21" s="63">
        <f t="shared" si="21"/>
        <v>0</v>
      </c>
      <c r="BI21" s="58"/>
      <c r="BJ21" s="63">
        <f t="shared" si="40"/>
        <v>0</v>
      </c>
      <c r="BK21" s="58"/>
      <c r="BL21" s="63">
        <f t="shared" si="22"/>
        <v>0</v>
      </c>
      <c r="BM21" s="58"/>
      <c r="BN21" s="63">
        <f t="shared" si="23"/>
        <v>0</v>
      </c>
      <c r="BO21" s="58"/>
      <c r="BP21" s="63">
        <f t="shared" si="24"/>
        <v>0</v>
      </c>
      <c r="BQ21" s="58"/>
      <c r="BR21" s="63">
        <f t="shared" si="25"/>
        <v>0</v>
      </c>
      <c r="BS21" s="58"/>
      <c r="BT21" s="63">
        <f t="shared" si="42"/>
        <v>0</v>
      </c>
      <c r="BU21" s="58"/>
      <c r="BV21" s="63">
        <f t="shared" si="26"/>
        <v>0</v>
      </c>
      <c r="BW21" s="58"/>
      <c r="BX21" s="63">
        <f t="shared" si="27"/>
        <v>0</v>
      </c>
      <c r="BY21" s="58"/>
      <c r="BZ21" s="65">
        <f t="shared" si="28"/>
        <v>0</v>
      </c>
      <c r="CA21" s="58"/>
      <c r="CB21" s="65">
        <f t="shared" si="29"/>
        <v>0</v>
      </c>
      <c r="CC21" s="58"/>
      <c r="CD21" s="65">
        <f t="shared" si="30"/>
        <v>0</v>
      </c>
      <c r="CE21" s="58"/>
      <c r="CF21" s="65">
        <f t="shared" si="31"/>
        <v>0</v>
      </c>
      <c r="CG21" s="58"/>
      <c r="CH21" s="65">
        <f t="shared" si="32"/>
        <v>0</v>
      </c>
      <c r="CI21" s="58"/>
      <c r="CJ21" s="65">
        <f t="shared" si="33"/>
        <v>0</v>
      </c>
      <c r="CK21" s="58"/>
      <c r="CL21" s="62">
        <f t="shared" si="34"/>
        <v>0</v>
      </c>
      <c r="CM21" s="63">
        <f t="shared" si="35"/>
        <v>0</v>
      </c>
      <c r="CN21" s="60"/>
      <c r="CO21" s="60"/>
      <c r="CP21" s="66"/>
      <c r="CQ21" s="65">
        <f t="shared" si="36"/>
        <v>0</v>
      </c>
      <c r="CR21" s="66"/>
      <c r="CS21" s="65">
        <f t="shared" si="36"/>
        <v>0</v>
      </c>
      <c r="CT21" s="73"/>
      <c r="CU21" s="65">
        <f t="shared" si="36"/>
        <v>0</v>
      </c>
      <c r="CV21" s="66"/>
      <c r="CW21" s="65">
        <f t="shared" si="36"/>
        <v>0</v>
      </c>
    </row>
    <row r="22" spans="1:101" ht="25.5" customHeight="1" thickBot="1" x14ac:dyDescent="0.45">
      <c r="A22" s="61">
        <v>44335</v>
      </c>
      <c r="B22" s="44"/>
      <c r="C22" s="56"/>
      <c r="D22" s="62">
        <f t="shared" si="0"/>
        <v>0</v>
      </c>
      <c r="E22" s="56"/>
      <c r="F22" s="62">
        <f t="shared" si="1"/>
        <v>0</v>
      </c>
      <c r="G22" s="56"/>
      <c r="H22" s="62">
        <f t="shared" si="2"/>
        <v>0</v>
      </c>
      <c r="I22" s="56"/>
      <c r="J22" s="62">
        <f t="shared" si="3"/>
        <v>0</v>
      </c>
      <c r="K22" s="56"/>
      <c r="L22" s="62">
        <f t="shared" si="37"/>
        <v>0</v>
      </c>
      <c r="M22" s="56"/>
      <c r="N22" s="62">
        <f t="shared" si="4"/>
        <v>0</v>
      </c>
      <c r="O22" s="56"/>
      <c r="P22" s="65">
        <f t="shared" si="43"/>
        <v>0</v>
      </c>
      <c r="Q22" s="56"/>
      <c r="R22" s="65">
        <f t="shared" si="6"/>
        <v>0</v>
      </c>
      <c r="S22" s="56"/>
      <c r="T22" s="65">
        <f t="shared" si="7"/>
        <v>0</v>
      </c>
      <c r="U22" s="56"/>
      <c r="V22" s="65">
        <f t="shared" si="38"/>
        <v>0</v>
      </c>
      <c r="W22" s="56"/>
      <c r="X22" s="63">
        <f t="shared" si="41"/>
        <v>0</v>
      </c>
      <c r="Y22" s="56"/>
      <c r="Z22" s="63">
        <f t="shared" si="8"/>
        <v>0</v>
      </c>
      <c r="AA22" s="56"/>
      <c r="AB22" s="63">
        <f t="shared" si="9"/>
        <v>0</v>
      </c>
      <c r="AC22" s="56"/>
      <c r="AD22" s="63">
        <f t="shared" si="10"/>
        <v>0</v>
      </c>
      <c r="AE22" s="56"/>
      <c r="AF22" s="63">
        <f t="shared" si="11"/>
        <v>0</v>
      </c>
      <c r="AG22" s="56"/>
      <c r="AH22" s="65">
        <f t="shared" si="12"/>
        <v>0</v>
      </c>
      <c r="AI22" s="56"/>
      <c r="AJ22" s="63">
        <f t="shared" si="13"/>
        <v>0</v>
      </c>
      <c r="AK22" s="56"/>
      <c r="AL22" s="63">
        <f t="shared" si="13"/>
        <v>0</v>
      </c>
      <c r="AM22" s="56"/>
      <c r="AN22" s="63">
        <f t="shared" si="13"/>
        <v>0</v>
      </c>
      <c r="AO22" s="56"/>
      <c r="AP22" s="63">
        <f t="shared" si="13"/>
        <v>0</v>
      </c>
      <c r="AQ22" s="56"/>
      <c r="AR22" s="63">
        <f t="shared" si="14"/>
        <v>0</v>
      </c>
      <c r="AS22" s="56"/>
      <c r="AT22" s="63">
        <f t="shared" si="15"/>
        <v>0</v>
      </c>
      <c r="AU22" s="56"/>
      <c r="AV22" s="63">
        <f t="shared" si="16"/>
        <v>0</v>
      </c>
      <c r="AW22" s="56"/>
      <c r="AX22" s="63">
        <f t="shared" si="17"/>
        <v>0</v>
      </c>
      <c r="AY22" s="56"/>
      <c r="AZ22" s="63">
        <f t="shared" si="18"/>
        <v>0</v>
      </c>
      <c r="BA22" s="56"/>
      <c r="BB22" s="63">
        <f t="shared" si="19"/>
        <v>0</v>
      </c>
      <c r="BC22" s="56"/>
      <c r="BD22" s="63">
        <f t="shared" si="20"/>
        <v>0</v>
      </c>
      <c r="BE22" s="57"/>
      <c r="BF22" s="65">
        <f t="shared" si="39"/>
        <v>0</v>
      </c>
      <c r="BG22" s="58"/>
      <c r="BH22" s="63">
        <f t="shared" si="21"/>
        <v>0</v>
      </c>
      <c r="BI22" s="58"/>
      <c r="BJ22" s="63">
        <f t="shared" si="40"/>
        <v>0</v>
      </c>
      <c r="BK22" s="58"/>
      <c r="BL22" s="63">
        <f t="shared" si="22"/>
        <v>0</v>
      </c>
      <c r="BM22" s="58"/>
      <c r="BN22" s="63">
        <f t="shared" si="23"/>
        <v>0</v>
      </c>
      <c r="BO22" s="58"/>
      <c r="BP22" s="63">
        <f t="shared" si="24"/>
        <v>0</v>
      </c>
      <c r="BQ22" s="58"/>
      <c r="BR22" s="63">
        <f t="shared" si="25"/>
        <v>0</v>
      </c>
      <c r="BS22" s="58"/>
      <c r="BT22" s="63">
        <f t="shared" si="42"/>
        <v>0</v>
      </c>
      <c r="BU22" s="58"/>
      <c r="BV22" s="63">
        <f t="shared" si="26"/>
        <v>0</v>
      </c>
      <c r="BW22" s="58"/>
      <c r="BX22" s="63">
        <f t="shared" si="27"/>
        <v>0</v>
      </c>
      <c r="BY22" s="58"/>
      <c r="BZ22" s="65">
        <f t="shared" si="28"/>
        <v>0</v>
      </c>
      <c r="CA22" s="58"/>
      <c r="CB22" s="65">
        <f t="shared" si="29"/>
        <v>0</v>
      </c>
      <c r="CC22" s="58"/>
      <c r="CD22" s="65">
        <f t="shared" si="30"/>
        <v>0</v>
      </c>
      <c r="CE22" s="58"/>
      <c r="CF22" s="65">
        <f t="shared" si="31"/>
        <v>0</v>
      </c>
      <c r="CG22" s="58"/>
      <c r="CH22" s="65">
        <f t="shared" si="32"/>
        <v>0</v>
      </c>
      <c r="CI22" s="58"/>
      <c r="CJ22" s="65">
        <f t="shared" si="33"/>
        <v>0</v>
      </c>
      <c r="CK22" s="58"/>
      <c r="CL22" s="62">
        <f t="shared" si="34"/>
        <v>0</v>
      </c>
      <c r="CM22" s="63">
        <f t="shared" si="35"/>
        <v>0</v>
      </c>
      <c r="CN22" s="60"/>
      <c r="CO22" s="60"/>
      <c r="CP22" s="66"/>
      <c r="CQ22" s="65">
        <f t="shared" si="36"/>
        <v>0</v>
      </c>
      <c r="CR22" s="66"/>
      <c r="CS22" s="65">
        <f t="shared" si="36"/>
        <v>0</v>
      </c>
      <c r="CT22" s="73"/>
      <c r="CU22" s="65">
        <f t="shared" si="36"/>
        <v>0</v>
      </c>
      <c r="CV22" s="66"/>
      <c r="CW22" s="65">
        <f t="shared" si="36"/>
        <v>0</v>
      </c>
    </row>
    <row r="23" spans="1:101" ht="25.5" customHeight="1" thickBot="1" x14ac:dyDescent="0.45">
      <c r="A23" s="61">
        <v>44336</v>
      </c>
      <c r="B23" s="44"/>
      <c r="C23" s="56"/>
      <c r="D23" s="62">
        <f t="shared" si="0"/>
        <v>0</v>
      </c>
      <c r="E23" s="56"/>
      <c r="F23" s="62">
        <f t="shared" si="1"/>
        <v>0</v>
      </c>
      <c r="G23" s="56"/>
      <c r="H23" s="62">
        <f t="shared" si="2"/>
        <v>0</v>
      </c>
      <c r="I23" s="56"/>
      <c r="J23" s="62">
        <f t="shared" si="3"/>
        <v>0</v>
      </c>
      <c r="K23" s="56"/>
      <c r="L23" s="62">
        <f t="shared" si="37"/>
        <v>0</v>
      </c>
      <c r="M23" s="56"/>
      <c r="N23" s="62">
        <f t="shared" si="4"/>
        <v>0</v>
      </c>
      <c r="O23" s="56"/>
      <c r="P23" s="65">
        <f t="shared" si="43"/>
        <v>0</v>
      </c>
      <c r="Q23" s="56"/>
      <c r="R23" s="65">
        <f t="shared" si="6"/>
        <v>0</v>
      </c>
      <c r="S23" s="56"/>
      <c r="T23" s="65">
        <f t="shared" si="7"/>
        <v>0</v>
      </c>
      <c r="U23" s="56"/>
      <c r="V23" s="65">
        <f t="shared" si="38"/>
        <v>0</v>
      </c>
      <c r="W23" s="56"/>
      <c r="X23" s="63">
        <f t="shared" si="41"/>
        <v>0</v>
      </c>
      <c r="Y23" s="56"/>
      <c r="Z23" s="63">
        <f t="shared" si="8"/>
        <v>0</v>
      </c>
      <c r="AA23" s="56"/>
      <c r="AB23" s="63">
        <f t="shared" si="9"/>
        <v>0</v>
      </c>
      <c r="AC23" s="56"/>
      <c r="AD23" s="63">
        <f t="shared" si="10"/>
        <v>0</v>
      </c>
      <c r="AE23" s="56"/>
      <c r="AF23" s="63">
        <f t="shared" si="11"/>
        <v>0</v>
      </c>
      <c r="AG23" s="56"/>
      <c r="AH23" s="65">
        <f t="shared" si="12"/>
        <v>0</v>
      </c>
      <c r="AI23" s="56"/>
      <c r="AJ23" s="63">
        <f t="shared" si="13"/>
        <v>0</v>
      </c>
      <c r="AK23" s="56"/>
      <c r="AL23" s="63">
        <f t="shared" si="13"/>
        <v>0</v>
      </c>
      <c r="AM23" s="56"/>
      <c r="AN23" s="63">
        <f t="shared" si="13"/>
        <v>0</v>
      </c>
      <c r="AO23" s="56"/>
      <c r="AP23" s="63">
        <f t="shared" si="13"/>
        <v>0</v>
      </c>
      <c r="AQ23" s="56"/>
      <c r="AR23" s="63">
        <f t="shared" si="14"/>
        <v>0</v>
      </c>
      <c r="AS23" s="56"/>
      <c r="AT23" s="63">
        <f t="shared" si="15"/>
        <v>0</v>
      </c>
      <c r="AU23" s="56"/>
      <c r="AV23" s="63">
        <f t="shared" si="16"/>
        <v>0</v>
      </c>
      <c r="AW23" s="56"/>
      <c r="AX23" s="63">
        <f t="shared" si="17"/>
        <v>0</v>
      </c>
      <c r="AY23" s="56"/>
      <c r="AZ23" s="63">
        <f t="shared" si="18"/>
        <v>0</v>
      </c>
      <c r="BA23" s="56"/>
      <c r="BB23" s="63">
        <f t="shared" si="19"/>
        <v>0</v>
      </c>
      <c r="BC23" s="56"/>
      <c r="BD23" s="63">
        <f t="shared" si="20"/>
        <v>0</v>
      </c>
      <c r="BE23" s="57"/>
      <c r="BF23" s="65">
        <f t="shared" si="39"/>
        <v>0</v>
      </c>
      <c r="BG23" s="58"/>
      <c r="BH23" s="63">
        <f t="shared" si="21"/>
        <v>0</v>
      </c>
      <c r="BI23" s="58"/>
      <c r="BJ23" s="63">
        <f t="shared" si="40"/>
        <v>0</v>
      </c>
      <c r="BK23" s="58"/>
      <c r="BL23" s="63">
        <f t="shared" si="22"/>
        <v>0</v>
      </c>
      <c r="BM23" s="58"/>
      <c r="BN23" s="63">
        <f t="shared" si="23"/>
        <v>0</v>
      </c>
      <c r="BO23" s="58"/>
      <c r="BP23" s="63">
        <f t="shared" si="24"/>
        <v>0</v>
      </c>
      <c r="BQ23" s="58"/>
      <c r="BR23" s="63">
        <f t="shared" si="25"/>
        <v>0</v>
      </c>
      <c r="BS23" s="58"/>
      <c r="BT23" s="63">
        <f t="shared" si="42"/>
        <v>0</v>
      </c>
      <c r="BU23" s="58"/>
      <c r="BV23" s="63">
        <f t="shared" si="26"/>
        <v>0</v>
      </c>
      <c r="BW23" s="58"/>
      <c r="BX23" s="63">
        <f t="shared" si="27"/>
        <v>0</v>
      </c>
      <c r="BY23" s="58"/>
      <c r="BZ23" s="65">
        <f t="shared" si="28"/>
        <v>0</v>
      </c>
      <c r="CA23" s="58"/>
      <c r="CB23" s="65">
        <f t="shared" si="29"/>
        <v>0</v>
      </c>
      <c r="CC23" s="58"/>
      <c r="CD23" s="65">
        <f t="shared" si="30"/>
        <v>0</v>
      </c>
      <c r="CE23" s="58"/>
      <c r="CF23" s="65">
        <f t="shared" si="31"/>
        <v>0</v>
      </c>
      <c r="CG23" s="58"/>
      <c r="CH23" s="65">
        <f t="shared" si="32"/>
        <v>0</v>
      </c>
      <c r="CI23" s="58"/>
      <c r="CJ23" s="65">
        <f t="shared" si="33"/>
        <v>0</v>
      </c>
      <c r="CK23" s="58"/>
      <c r="CL23" s="62">
        <f t="shared" si="34"/>
        <v>0</v>
      </c>
      <c r="CM23" s="63">
        <f t="shared" si="35"/>
        <v>0</v>
      </c>
      <c r="CN23" s="60"/>
      <c r="CO23" s="60"/>
      <c r="CP23" s="66"/>
      <c r="CQ23" s="65">
        <f t="shared" si="36"/>
        <v>0</v>
      </c>
      <c r="CR23" s="66"/>
      <c r="CS23" s="65">
        <f t="shared" si="36"/>
        <v>0</v>
      </c>
      <c r="CT23" s="73"/>
      <c r="CU23" s="65">
        <f t="shared" si="36"/>
        <v>0</v>
      </c>
      <c r="CV23" s="66"/>
      <c r="CW23" s="65">
        <f t="shared" si="36"/>
        <v>0</v>
      </c>
    </row>
    <row r="24" spans="1:101" ht="25.5" customHeight="1" thickBot="1" x14ac:dyDescent="0.45">
      <c r="A24" s="61">
        <v>44337</v>
      </c>
      <c r="B24" s="44"/>
      <c r="C24" s="56"/>
      <c r="D24" s="62">
        <f t="shared" si="0"/>
        <v>0</v>
      </c>
      <c r="E24" s="56"/>
      <c r="F24" s="62">
        <f t="shared" si="1"/>
        <v>0</v>
      </c>
      <c r="G24" s="56"/>
      <c r="H24" s="62">
        <f t="shared" si="2"/>
        <v>0</v>
      </c>
      <c r="I24" s="56"/>
      <c r="J24" s="62">
        <f t="shared" si="3"/>
        <v>0</v>
      </c>
      <c r="K24" s="56"/>
      <c r="L24" s="62">
        <f t="shared" si="37"/>
        <v>0</v>
      </c>
      <c r="M24" s="56"/>
      <c r="N24" s="62">
        <f t="shared" si="4"/>
        <v>0</v>
      </c>
      <c r="O24" s="56"/>
      <c r="P24" s="65">
        <f t="shared" si="43"/>
        <v>0</v>
      </c>
      <c r="Q24" s="56"/>
      <c r="R24" s="65">
        <f t="shared" si="6"/>
        <v>0</v>
      </c>
      <c r="S24" s="56"/>
      <c r="T24" s="65">
        <f t="shared" si="7"/>
        <v>0</v>
      </c>
      <c r="U24" s="56"/>
      <c r="V24" s="65">
        <f t="shared" si="38"/>
        <v>0</v>
      </c>
      <c r="W24" s="56"/>
      <c r="X24" s="63">
        <f t="shared" si="41"/>
        <v>0</v>
      </c>
      <c r="Y24" s="56"/>
      <c r="Z24" s="63">
        <f t="shared" si="8"/>
        <v>0</v>
      </c>
      <c r="AA24" s="56"/>
      <c r="AB24" s="63">
        <f t="shared" si="9"/>
        <v>0</v>
      </c>
      <c r="AC24" s="56"/>
      <c r="AD24" s="63">
        <f t="shared" si="10"/>
        <v>0</v>
      </c>
      <c r="AE24" s="56"/>
      <c r="AF24" s="63">
        <f t="shared" si="11"/>
        <v>0</v>
      </c>
      <c r="AG24" s="56"/>
      <c r="AH24" s="65">
        <f t="shared" si="12"/>
        <v>0</v>
      </c>
      <c r="AI24" s="56"/>
      <c r="AJ24" s="63">
        <f t="shared" si="13"/>
        <v>0</v>
      </c>
      <c r="AK24" s="56"/>
      <c r="AL24" s="63">
        <f t="shared" si="13"/>
        <v>0</v>
      </c>
      <c r="AM24" s="56"/>
      <c r="AN24" s="63">
        <f t="shared" si="13"/>
        <v>0</v>
      </c>
      <c r="AO24" s="56"/>
      <c r="AP24" s="63">
        <f t="shared" si="13"/>
        <v>0</v>
      </c>
      <c r="AQ24" s="56"/>
      <c r="AR24" s="63">
        <f t="shared" si="14"/>
        <v>0</v>
      </c>
      <c r="AS24" s="56"/>
      <c r="AT24" s="63">
        <f t="shared" si="15"/>
        <v>0</v>
      </c>
      <c r="AU24" s="56"/>
      <c r="AV24" s="63">
        <f t="shared" si="16"/>
        <v>0</v>
      </c>
      <c r="AW24" s="56"/>
      <c r="AX24" s="63">
        <f t="shared" si="17"/>
        <v>0</v>
      </c>
      <c r="AY24" s="56"/>
      <c r="AZ24" s="63">
        <f t="shared" si="18"/>
        <v>0</v>
      </c>
      <c r="BA24" s="56"/>
      <c r="BB24" s="63">
        <f t="shared" si="19"/>
        <v>0</v>
      </c>
      <c r="BC24" s="56"/>
      <c r="BD24" s="63">
        <f t="shared" si="20"/>
        <v>0</v>
      </c>
      <c r="BE24" s="57"/>
      <c r="BF24" s="65">
        <f t="shared" si="39"/>
        <v>0</v>
      </c>
      <c r="BG24" s="58"/>
      <c r="BH24" s="63">
        <f t="shared" si="21"/>
        <v>0</v>
      </c>
      <c r="BI24" s="58"/>
      <c r="BJ24" s="63">
        <f t="shared" si="40"/>
        <v>0</v>
      </c>
      <c r="BK24" s="58"/>
      <c r="BL24" s="63">
        <f t="shared" si="22"/>
        <v>0</v>
      </c>
      <c r="BM24" s="58"/>
      <c r="BN24" s="63">
        <f t="shared" si="23"/>
        <v>0</v>
      </c>
      <c r="BO24" s="58"/>
      <c r="BP24" s="63">
        <f t="shared" si="24"/>
        <v>0</v>
      </c>
      <c r="BQ24" s="58"/>
      <c r="BR24" s="63">
        <f t="shared" si="25"/>
        <v>0</v>
      </c>
      <c r="BS24" s="58"/>
      <c r="BT24" s="63">
        <f t="shared" si="42"/>
        <v>0</v>
      </c>
      <c r="BU24" s="58"/>
      <c r="BV24" s="63">
        <f t="shared" si="26"/>
        <v>0</v>
      </c>
      <c r="BW24" s="58"/>
      <c r="BX24" s="63">
        <f t="shared" si="27"/>
        <v>0</v>
      </c>
      <c r="BY24" s="58"/>
      <c r="BZ24" s="65">
        <f t="shared" si="28"/>
        <v>0</v>
      </c>
      <c r="CA24" s="58"/>
      <c r="CB24" s="65">
        <f t="shared" si="29"/>
        <v>0</v>
      </c>
      <c r="CC24" s="58"/>
      <c r="CD24" s="65">
        <f t="shared" si="30"/>
        <v>0</v>
      </c>
      <c r="CE24" s="58"/>
      <c r="CF24" s="65">
        <f t="shared" si="31"/>
        <v>0</v>
      </c>
      <c r="CG24" s="58"/>
      <c r="CH24" s="65">
        <f t="shared" si="32"/>
        <v>0</v>
      </c>
      <c r="CI24" s="58"/>
      <c r="CJ24" s="65">
        <f t="shared" si="33"/>
        <v>0</v>
      </c>
      <c r="CK24" s="58"/>
      <c r="CL24" s="62">
        <f t="shared" si="34"/>
        <v>0</v>
      </c>
      <c r="CM24" s="63">
        <f t="shared" si="35"/>
        <v>0</v>
      </c>
      <c r="CN24" s="60"/>
      <c r="CO24" s="60"/>
      <c r="CP24" s="66"/>
      <c r="CQ24" s="65">
        <f t="shared" si="36"/>
        <v>0</v>
      </c>
      <c r="CR24" s="66"/>
      <c r="CS24" s="65">
        <f t="shared" si="36"/>
        <v>0</v>
      </c>
      <c r="CT24" s="73"/>
      <c r="CU24" s="65">
        <f t="shared" si="36"/>
        <v>0</v>
      </c>
      <c r="CV24" s="66"/>
      <c r="CW24" s="65">
        <f t="shared" si="36"/>
        <v>0</v>
      </c>
    </row>
    <row r="25" spans="1:101" ht="25.5" customHeight="1" thickBot="1" x14ac:dyDescent="0.45">
      <c r="A25" s="61">
        <v>44338</v>
      </c>
      <c r="B25" s="44"/>
      <c r="C25" s="56"/>
      <c r="D25" s="62">
        <f t="shared" si="0"/>
        <v>0</v>
      </c>
      <c r="E25" s="56"/>
      <c r="F25" s="62">
        <f t="shared" si="1"/>
        <v>0</v>
      </c>
      <c r="G25" s="56"/>
      <c r="H25" s="62">
        <f t="shared" si="2"/>
        <v>0</v>
      </c>
      <c r="I25" s="56"/>
      <c r="J25" s="62">
        <f t="shared" si="3"/>
        <v>0</v>
      </c>
      <c r="K25" s="56"/>
      <c r="L25" s="62">
        <f t="shared" si="37"/>
        <v>0</v>
      </c>
      <c r="M25" s="56"/>
      <c r="N25" s="62">
        <f t="shared" si="4"/>
        <v>0</v>
      </c>
      <c r="O25" s="56"/>
      <c r="P25" s="65">
        <f t="shared" si="43"/>
        <v>0</v>
      </c>
      <c r="Q25" s="56"/>
      <c r="R25" s="65">
        <f t="shared" si="6"/>
        <v>0</v>
      </c>
      <c r="S25" s="56"/>
      <c r="T25" s="65">
        <f t="shared" si="7"/>
        <v>0</v>
      </c>
      <c r="U25" s="56"/>
      <c r="V25" s="65">
        <f t="shared" si="38"/>
        <v>0</v>
      </c>
      <c r="W25" s="56"/>
      <c r="X25" s="63">
        <f t="shared" si="41"/>
        <v>0</v>
      </c>
      <c r="Y25" s="56"/>
      <c r="Z25" s="63">
        <f t="shared" si="8"/>
        <v>0</v>
      </c>
      <c r="AA25" s="56"/>
      <c r="AB25" s="63">
        <f t="shared" si="9"/>
        <v>0</v>
      </c>
      <c r="AC25" s="56"/>
      <c r="AD25" s="63">
        <f t="shared" si="10"/>
        <v>0</v>
      </c>
      <c r="AE25" s="56"/>
      <c r="AF25" s="63">
        <f t="shared" si="11"/>
        <v>0</v>
      </c>
      <c r="AG25" s="56"/>
      <c r="AH25" s="65">
        <f t="shared" si="12"/>
        <v>0</v>
      </c>
      <c r="AI25" s="56"/>
      <c r="AJ25" s="63">
        <f t="shared" si="13"/>
        <v>0</v>
      </c>
      <c r="AK25" s="56"/>
      <c r="AL25" s="63">
        <f t="shared" si="13"/>
        <v>0</v>
      </c>
      <c r="AM25" s="56"/>
      <c r="AN25" s="63">
        <f t="shared" si="13"/>
        <v>0</v>
      </c>
      <c r="AO25" s="56"/>
      <c r="AP25" s="63">
        <f t="shared" si="13"/>
        <v>0</v>
      </c>
      <c r="AQ25" s="56"/>
      <c r="AR25" s="63">
        <f t="shared" si="14"/>
        <v>0</v>
      </c>
      <c r="AS25" s="56"/>
      <c r="AT25" s="63">
        <f t="shared" si="15"/>
        <v>0</v>
      </c>
      <c r="AU25" s="56"/>
      <c r="AV25" s="63">
        <f t="shared" si="16"/>
        <v>0</v>
      </c>
      <c r="AW25" s="56"/>
      <c r="AX25" s="63">
        <f t="shared" si="17"/>
        <v>0</v>
      </c>
      <c r="AY25" s="56"/>
      <c r="AZ25" s="63">
        <f t="shared" si="18"/>
        <v>0</v>
      </c>
      <c r="BA25" s="56"/>
      <c r="BB25" s="63">
        <f t="shared" si="19"/>
        <v>0</v>
      </c>
      <c r="BC25" s="56"/>
      <c r="BD25" s="63">
        <f t="shared" si="20"/>
        <v>0</v>
      </c>
      <c r="BE25" s="57"/>
      <c r="BF25" s="65">
        <f t="shared" si="39"/>
        <v>0</v>
      </c>
      <c r="BG25" s="58"/>
      <c r="BH25" s="63">
        <f t="shared" si="21"/>
        <v>0</v>
      </c>
      <c r="BI25" s="58"/>
      <c r="BJ25" s="63">
        <f t="shared" si="40"/>
        <v>0</v>
      </c>
      <c r="BK25" s="58"/>
      <c r="BL25" s="63">
        <f t="shared" si="22"/>
        <v>0</v>
      </c>
      <c r="BM25" s="58"/>
      <c r="BN25" s="63">
        <f t="shared" si="23"/>
        <v>0</v>
      </c>
      <c r="BO25" s="58"/>
      <c r="BP25" s="63">
        <f t="shared" si="24"/>
        <v>0</v>
      </c>
      <c r="BQ25" s="58"/>
      <c r="BR25" s="63">
        <f t="shared" si="25"/>
        <v>0</v>
      </c>
      <c r="BS25" s="58"/>
      <c r="BT25" s="63">
        <f t="shared" si="42"/>
        <v>0</v>
      </c>
      <c r="BU25" s="58"/>
      <c r="BV25" s="63">
        <f t="shared" si="26"/>
        <v>0</v>
      </c>
      <c r="BW25" s="58"/>
      <c r="BX25" s="63">
        <f t="shared" si="27"/>
        <v>0</v>
      </c>
      <c r="BY25" s="58"/>
      <c r="BZ25" s="65">
        <f t="shared" si="28"/>
        <v>0</v>
      </c>
      <c r="CA25" s="58"/>
      <c r="CB25" s="65">
        <f t="shared" si="29"/>
        <v>0</v>
      </c>
      <c r="CC25" s="58"/>
      <c r="CD25" s="65">
        <f t="shared" si="30"/>
        <v>0</v>
      </c>
      <c r="CE25" s="58"/>
      <c r="CF25" s="65">
        <f t="shared" si="31"/>
        <v>0</v>
      </c>
      <c r="CG25" s="58"/>
      <c r="CH25" s="65">
        <f t="shared" si="32"/>
        <v>0</v>
      </c>
      <c r="CI25" s="58"/>
      <c r="CJ25" s="65">
        <f t="shared" si="33"/>
        <v>0</v>
      </c>
      <c r="CK25" s="58"/>
      <c r="CL25" s="62">
        <f t="shared" si="34"/>
        <v>0</v>
      </c>
      <c r="CM25" s="63">
        <f t="shared" si="35"/>
        <v>0</v>
      </c>
      <c r="CN25" s="60"/>
      <c r="CO25" s="60"/>
      <c r="CP25" s="66"/>
      <c r="CQ25" s="65">
        <f t="shared" si="36"/>
        <v>0</v>
      </c>
      <c r="CR25" s="66"/>
      <c r="CS25" s="65">
        <f t="shared" si="36"/>
        <v>0</v>
      </c>
      <c r="CT25" s="73"/>
      <c r="CU25" s="65">
        <f t="shared" si="36"/>
        <v>0</v>
      </c>
      <c r="CV25" s="66"/>
      <c r="CW25" s="65">
        <f t="shared" si="36"/>
        <v>0</v>
      </c>
    </row>
    <row r="26" spans="1:101" ht="25.5" customHeight="1" thickBot="1" x14ac:dyDescent="0.45">
      <c r="A26" s="61">
        <v>44339</v>
      </c>
      <c r="B26" s="44"/>
      <c r="C26" s="56"/>
      <c r="D26" s="62">
        <f t="shared" si="0"/>
        <v>0</v>
      </c>
      <c r="E26" s="56"/>
      <c r="F26" s="62">
        <f t="shared" si="1"/>
        <v>0</v>
      </c>
      <c r="G26" s="56"/>
      <c r="H26" s="62">
        <f t="shared" si="2"/>
        <v>0</v>
      </c>
      <c r="I26" s="56"/>
      <c r="J26" s="62">
        <f t="shared" si="3"/>
        <v>0</v>
      </c>
      <c r="K26" s="56"/>
      <c r="L26" s="62">
        <f t="shared" si="37"/>
        <v>0</v>
      </c>
      <c r="M26" s="56"/>
      <c r="N26" s="62">
        <f t="shared" si="4"/>
        <v>0</v>
      </c>
      <c r="O26" s="56"/>
      <c r="P26" s="65">
        <f t="shared" si="43"/>
        <v>0</v>
      </c>
      <c r="Q26" s="56"/>
      <c r="R26" s="65">
        <f t="shared" si="6"/>
        <v>0</v>
      </c>
      <c r="S26" s="56"/>
      <c r="T26" s="65">
        <f t="shared" si="7"/>
        <v>0</v>
      </c>
      <c r="U26" s="56"/>
      <c r="V26" s="65">
        <f t="shared" si="38"/>
        <v>0</v>
      </c>
      <c r="W26" s="56"/>
      <c r="X26" s="63">
        <f t="shared" si="41"/>
        <v>0</v>
      </c>
      <c r="Y26" s="56"/>
      <c r="Z26" s="63">
        <f t="shared" si="8"/>
        <v>0</v>
      </c>
      <c r="AA26" s="56"/>
      <c r="AB26" s="63">
        <f t="shared" si="9"/>
        <v>0</v>
      </c>
      <c r="AC26" s="56"/>
      <c r="AD26" s="63">
        <f t="shared" si="10"/>
        <v>0</v>
      </c>
      <c r="AE26" s="56"/>
      <c r="AF26" s="63">
        <f t="shared" si="11"/>
        <v>0</v>
      </c>
      <c r="AG26" s="56"/>
      <c r="AH26" s="65">
        <f t="shared" si="12"/>
        <v>0</v>
      </c>
      <c r="AI26" s="56"/>
      <c r="AJ26" s="63">
        <f t="shared" si="13"/>
        <v>0</v>
      </c>
      <c r="AK26" s="56"/>
      <c r="AL26" s="63">
        <f t="shared" si="13"/>
        <v>0</v>
      </c>
      <c r="AM26" s="56"/>
      <c r="AN26" s="63">
        <f t="shared" si="13"/>
        <v>0</v>
      </c>
      <c r="AO26" s="56"/>
      <c r="AP26" s="63">
        <f t="shared" si="13"/>
        <v>0</v>
      </c>
      <c r="AQ26" s="56"/>
      <c r="AR26" s="63">
        <f t="shared" si="14"/>
        <v>0</v>
      </c>
      <c r="AS26" s="56"/>
      <c r="AT26" s="63">
        <f t="shared" si="15"/>
        <v>0</v>
      </c>
      <c r="AU26" s="56"/>
      <c r="AV26" s="63">
        <f t="shared" si="16"/>
        <v>0</v>
      </c>
      <c r="AW26" s="56"/>
      <c r="AX26" s="63">
        <f t="shared" si="17"/>
        <v>0</v>
      </c>
      <c r="AY26" s="56"/>
      <c r="AZ26" s="63">
        <f t="shared" si="18"/>
        <v>0</v>
      </c>
      <c r="BA26" s="56"/>
      <c r="BB26" s="63">
        <f t="shared" si="19"/>
        <v>0</v>
      </c>
      <c r="BC26" s="56"/>
      <c r="BD26" s="63">
        <f t="shared" si="20"/>
        <v>0</v>
      </c>
      <c r="BE26" s="57"/>
      <c r="BF26" s="65">
        <f t="shared" si="39"/>
        <v>0</v>
      </c>
      <c r="BG26" s="58"/>
      <c r="BH26" s="63">
        <f t="shared" si="21"/>
        <v>0</v>
      </c>
      <c r="BI26" s="58"/>
      <c r="BJ26" s="63">
        <f t="shared" si="40"/>
        <v>0</v>
      </c>
      <c r="BK26" s="58"/>
      <c r="BL26" s="63">
        <f t="shared" si="22"/>
        <v>0</v>
      </c>
      <c r="BM26" s="58"/>
      <c r="BN26" s="63">
        <f t="shared" si="23"/>
        <v>0</v>
      </c>
      <c r="BO26" s="58"/>
      <c r="BP26" s="63">
        <f t="shared" si="24"/>
        <v>0</v>
      </c>
      <c r="BQ26" s="58"/>
      <c r="BR26" s="63">
        <f t="shared" si="25"/>
        <v>0</v>
      </c>
      <c r="BS26" s="58"/>
      <c r="BT26" s="63">
        <f t="shared" si="42"/>
        <v>0</v>
      </c>
      <c r="BU26" s="58"/>
      <c r="BV26" s="63">
        <f t="shared" si="26"/>
        <v>0</v>
      </c>
      <c r="BW26" s="58"/>
      <c r="BX26" s="63">
        <f t="shared" si="27"/>
        <v>0</v>
      </c>
      <c r="BY26" s="58"/>
      <c r="BZ26" s="65">
        <f t="shared" si="28"/>
        <v>0</v>
      </c>
      <c r="CA26" s="58"/>
      <c r="CB26" s="65">
        <f t="shared" si="29"/>
        <v>0</v>
      </c>
      <c r="CC26" s="58"/>
      <c r="CD26" s="65">
        <f t="shared" si="30"/>
        <v>0</v>
      </c>
      <c r="CE26" s="58"/>
      <c r="CF26" s="65">
        <f t="shared" si="31"/>
        <v>0</v>
      </c>
      <c r="CG26" s="58"/>
      <c r="CH26" s="65">
        <f t="shared" si="32"/>
        <v>0</v>
      </c>
      <c r="CI26" s="58"/>
      <c r="CJ26" s="65">
        <f t="shared" si="33"/>
        <v>0</v>
      </c>
      <c r="CK26" s="58"/>
      <c r="CL26" s="62">
        <f t="shared" si="34"/>
        <v>0</v>
      </c>
      <c r="CM26" s="63">
        <f t="shared" si="35"/>
        <v>0</v>
      </c>
      <c r="CN26" s="60"/>
      <c r="CO26" s="60"/>
      <c r="CP26" s="66"/>
      <c r="CQ26" s="65">
        <f t="shared" si="36"/>
        <v>0</v>
      </c>
      <c r="CR26" s="66"/>
      <c r="CS26" s="65">
        <f t="shared" si="36"/>
        <v>0</v>
      </c>
      <c r="CT26" s="73"/>
      <c r="CU26" s="65">
        <f t="shared" si="36"/>
        <v>0</v>
      </c>
      <c r="CV26" s="66"/>
      <c r="CW26" s="65">
        <f t="shared" si="36"/>
        <v>0</v>
      </c>
    </row>
    <row r="27" spans="1:101" ht="25.5" customHeight="1" thickBot="1" x14ac:dyDescent="0.45">
      <c r="A27" s="61">
        <v>44340</v>
      </c>
      <c r="B27" s="44"/>
      <c r="C27" s="56"/>
      <c r="D27" s="62">
        <f t="shared" si="0"/>
        <v>0</v>
      </c>
      <c r="E27" s="56"/>
      <c r="F27" s="62">
        <f t="shared" si="1"/>
        <v>0</v>
      </c>
      <c r="G27" s="56"/>
      <c r="H27" s="62">
        <f t="shared" si="2"/>
        <v>0</v>
      </c>
      <c r="I27" s="56"/>
      <c r="J27" s="62">
        <f t="shared" si="3"/>
        <v>0</v>
      </c>
      <c r="K27" s="56"/>
      <c r="L27" s="62">
        <f t="shared" si="37"/>
        <v>0</v>
      </c>
      <c r="M27" s="56"/>
      <c r="N27" s="62">
        <f t="shared" si="4"/>
        <v>0</v>
      </c>
      <c r="O27" s="56"/>
      <c r="P27" s="65">
        <f t="shared" si="43"/>
        <v>0</v>
      </c>
      <c r="Q27" s="56"/>
      <c r="R27" s="65">
        <f t="shared" si="6"/>
        <v>0</v>
      </c>
      <c r="S27" s="56"/>
      <c r="T27" s="65">
        <f t="shared" si="7"/>
        <v>0</v>
      </c>
      <c r="U27" s="56"/>
      <c r="V27" s="65">
        <f t="shared" si="38"/>
        <v>0</v>
      </c>
      <c r="W27" s="56"/>
      <c r="X27" s="63">
        <f t="shared" si="41"/>
        <v>0</v>
      </c>
      <c r="Y27" s="56"/>
      <c r="Z27" s="63">
        <f t="shared" si="8"/>
        <v>0</v>
      </c>
      <c r="AA27" s="56"/>
      <c r="AB27" s="63">
        <f t="shared" si="9"/>
        <v>0</v>
      </c>
      <c r="AC27" s="56"/>
      <c r="AD27" s="63">
        <f t="shared" si="10"/>
        <v>0</v>
      </c>
      <c r="AE27" s="56"/>
      <c r="AF27" s="63">
        <f t="shared" si="11"/>
        <v>0</v>
      </c>
      <c r="AG27" s="56"/>
      <c r="AH27" s="65">
        <f t="shared" si="12"/>
        <v>0</v>
      </c>
      <c r="AI27" s="56"/>
      <c r="AJ27" s="63">
        <f t="shared" si="13"/>
        <v>0</v>
      </c>
      <c r="AK27" s="56"/>
      <c r="AL27" s="63">
        <f t="shared" si="13"/>
        <v>0</v>
      </c>
      <c r="AM27" s="56"/>
      <c r="AN27" s="63">
        <f t="shared" si="13"/>
        <v>0</v>
      </c>
      <c r="AO27" s="56"/>
      <c r="AP27" s="63">
        <f t="shared" si="13"/>
        <v>0</v>
      </c>
      <c r="AQ27" s="56"/>
      <c r="AR27" s="63">
        <f t="shared" si="14"/>
        <v>0</v>
      </c>
      <c r="AS27" s="56"/>
      <c r="AT27" s="63">
        <f t="shared" si="15"/>
        <v>0</v>
      </c>
      <c r="AU27" s="56"/>
      <c r="AV27" s="63">
        <f t="shared" si="16"/>
        <v>0</v>
      </c>
      <c r="AW27" s="56"/>
      <c r="AX27" s="63">
        <f t="shared" si="17"/>
        <v>0</v>
      </c>
      <c r="AY27" s="56"/>
      <c r="AZ27" s="63">
        <f t="shared" si="18"/>
        <v>0</v>
      </c>
      <c r="BA27" s="56"/>
      <c r="BB27" s="63">
        <f t="shared" si="19"/>
        <v>0</v>
      </c>
      <c r="BC27" s="56"/>
      <c r="BD27" s="63">
        <f t="shared" si="20"/>
        <v>0</v>
      </c>
      <c r="BE27" s="57"/>
      <c r="BF27" s="65">
        <f t="shared" si="39"/>
        <v>0</v>
      </c>
      <c r="BG27" s="58"/>
      <c r="BH27" s="63">
        <f t="shared" si="21"/>
        <v>0</v>
      </c>
      <c r="BI27" s="58"/>
      <c r="BJ27" s="63">
        <f t="shared" si="40"/>
        <v>0</v>
      </c>
      <c r="BK27" s="58"/>
      <c r="BL27" s="63">
        <f t="shared" si="22"/>
        <v>0</v>
      </c>
      <c r="BM27" s="58"/>
      <c r="BN27" s="63">
        <f t="shared" si="23"/>
        <v>0</v>
      </c>
      <c r="BO27" s="58"/>
      <c r="BP27" s="63">
        <f t="shared" si="24"/>
        <v>0</v>
      </c>
      <c r="BQ27" s="58"/>
      <c r="BR27" s="63">
        <f t="shared" si="25"/>
        <v>0</v>
      </c>
      <c r="BS27" s="58"/>
      <c r="BT27" s="63">
        <f t="shared" si="42"/>
        <v>0</v>
      </c>
      <c r="BU27" s="58"/>
      <c r="BV27" s="63">
        <f t="shared" si="26"/>
        <v>0</v>
      </c>
      <c r="BW27" s="58"/>
      <c r="BX27" s="63">
        <f t="shared" si="27"/>
        <v>0</v>
      </c>
      <c r="BY27" s="58"/>
      <c r="BZ27" s="65">
        <f t="shared" si="28"/>
        <v>0</v>
      </c>
      <c r="CA27" s="58"/>
      <c r="CB27" s="65">
        <f t="shared" si="29"/>
        <v>0</v>
      </c>
      <c r="CC27" s="58"/>
      <c r="CD27" s="65">
        <f>IF((CC27-CC26&lt;0), "",CC27-CC26)</f>
        <v>0</v>
      </c>
      <c r="CE27" s="58"/>
      <c r="CF27" s="65">
        <f t="shared" si="31"/>
        <v>0</v>
      </c>
      <c r="CG27" s="58"/>
      <c r="CH27" s="65">
        <f t="shared" si="32"/>
        <v>0</v>
      </c>
      <c r="CI27" s="58"/>
      <c r="CJ27" s="65">
        <f t="shared" si="33"/>
        <v>0</v>
      </c>
      <c r="CK27" s="58"/>
      <c r="CL27" s="62">
        <f t="shared" si="34"/>
        <v>0</v>
      </c>
      <c r="CM27" s="63">
        <f t="shared" si="35"/>
        <v>0</v>
      </c>
      <c r="CN27" s="60"/>
      <c r="CO27" s="60"/>
      <c r="CP27" s="66"/>
      <c r="CQ27" s="65">
        <f t="shared" si="36"/>
        <v>0</v>
      </c>
      <c r="CR27" s="66"/>
      <c r="CS27" s="65">
        <f t="shared" si="36"/>
        <v>0</v>
      </c>
      <c r="CT27" s="73"/>
      <c r="CU27" s="65">
        <f t="shared" si="36"/>
        <v>0</v>
      </c>
      <c r="CV27" s="66"/>
      <c r="CW27" s="65">
        <f t="shared" si="36"/>
        <v>0</v>
      </c>
    </row>
    <row r="28" spans="1:101" ht="25.5" customHeight="1" thickBot="1" x14ac:dyDescent="0.45">
      <c r="A28" s="61">
        <v>44341</v>
      </c>
      <c r="B28" s="44"/>
      <c r="C28" s="56"/>
      <c r="D28" s="62">
        <f t="shared" si="0"/>
        <v>0</v>
      </c>
      <c r="E28" s="56"/>
      <c r="F28" s="62">
        <f t="shared" si="1"/>
        <v>0</v>
      </c>
      <c r="G28" s="56"/>
      <c r="H28" s="62">
        <f t="shared" si="2"/>
        <v>0</v>
      </c>
      <c r="I28" s="56"/>
      <c r="J28" s="62">
        <f t="shared" si="3"/>
        <v>0</v>
      </c>
      <c r="K28" s="56"/>
      <c r="L28" s="62">
        <f t="shared" si="37"/>
        <v>0</v>
      </c>
      <c r="M28" s="56"/>
      <c r="N28" s="62">
        <f t="shared" si="4"/>
        <v>0</v>
      </c>
      <c r="O28" s="56"/>
      <c r="P28" s="65">
        <f t="shared" si="43"/>
        <v>0</v>
      </c>
      <c r="Q28" s="56"/>
      <c r="R28" s="65">
        <f t="shared" si="6"/>
        <v>0</v>
      </c>
      <c r="S28" s="56"/>
      <c r="T28" s="65">
        <f t="shared" si="7"/>
        <v>0</v>
      </c>
      <c r="U28" s="56"/>
      <c r="V28" s="65">
        <f t="shared" si="38"/>
        <v>0</v>
      </c>
      <c r="W28" s="56"/>
      <c r="X28" s="63">
        <f t="shared" si="41"/>
        <v>0</v>
      </c>
      <c r="Y28" s="56"/>
      <c r="Z28" s="63">
        <f t="shared" si="8"/>
        <v>0</v>
      </c>
      <c r="AA28" s="56"/>
      <c r="AB28" s="63">
        <f t="shared" si="9"/>
        <v>0</v>
      </c>
      <c r="AC28" s="56"/>
      <c r="AD28" s="63">
        <f t="shared" si="10"/>
        <v>0</v>
      </c>
      <c r="AE28" s="56"/>
      <c r="AF28" s="63">
        <f t="shared" si="11"/>
        <v>0</v>
      </c>
      <c r="AG28" s="56"/>
      <c r="AH28" s="65">
        <f t="shared" si="12"/>
        <v>0</v>
      </c>
      <c r="AI28" s="56"/>
      <c r="AJ28" s="63">
        <f t="shared" si="13"/>
        <v>0</v>
      </c>
      <c r="AK28" s="56"/>
      <c r="AL28" s="63">
        <f t="shared" si="13"/>
        <v>0</v>
      </c>
      <c r="AM28" s="56"/>
      <c r="AN28" s="63">
        <f t="shared" si="13"/>
        <v>0</v>
      </c>
      <c r="AO28" s="56"/>
      <c r="AP28" s="63">
        <f t="shared" si="13"/>
        <v>0</v>
      </c>
      <c r="AQ28" s="56"/>
      <c r="AR28" s="63">
        <f t="shared" si="14"/>
        <v>0</v>
      </c>
      <c r="AS28" s="56"/>
      <c r="AT28" s="63">
        <f t="shared" si="15"/>
        <v>0</v>
      </c>
      <c r="AU28" s="56"/>
      <c r="AV28" s="63">
        <f t="shared" si="16"/>
        <v>0</v>
      </c>
      <c r="AW28" s="56"/>
      <c r="AX28" s="63">
        <f t="shared" si="17"/>
        <v>0</v>
      </c>
      <c r="AY28" s="56"/>
      <c r="AZ28" s="63">
        <f t="shared" si="18"/>
        <v>0</v>
      </c>
      <c r="BA28" s="56"/>
      <c r="BB28" s="63">
        <f t="shared" si="19"/>
        <v>0</v>
      </c>
      <c r="BC28" s="56"/>
      <c r="BD28" s="63">
        <f t="shared" si="20"/>
        <v>0</v>
      </c>
      <c r="BE28" s="57"/>
      <c r="BF28" s="65">
        <f t="shared" si="39"/>
        <v>0</v>
      </c>
      <c r="BG28" s="58"/>
      <c r="BH28" s="63">
        <f t="shared" si="21"/>
        <v>0</v>
      </c>
      <c r="BI28" s="58"/>
      <c r="BJ28" s="63">
        <f t="shared" si="40"/>
        <v>0</v>
      </c>
      <c r="BK28" s="58"/>
      <c r="BL28" s="63">
        <f t="shared" si="22"/>
        <v>0</v>
      </c>
      <c r="BM28" s="58"/>
      <c r="BN28" s="63">
        <f t="shared" si="23"/>
        <v>0</v>
      </c>
      <c r="BO28" s="58"/>
      <c r="BP28" s="63">
        <f t="shared" si="24"/>
        <v>0</v>
      </c>
      <c r="BQ28" s="58"/>
      <c r="BR28" s="63">
        <f t="shared" si="25"/>
        <v>0</v>
      </c>
      <c r="BS28" s="58"/>
      <c r="BT28" s="63">
        <f t="shared" si="42"/>
        <v>0</v>
      </c>
      <c r="BU28" s="58"/>
      <c r="BV28" s="63">
        <f t="shared" si="26"/>
        <v>0</v>
      </c>
      <c r="BW28" s="58"/>
      <c r="BX28" s="63">
        <f t="shared" si="27"/>
        <v>0</v>
      </c>
      <c r="BY28" s="58"/>
      <c r="BZ28" s="65">
        <f t="shared" si="28"/>
        <v>0</v>
      </c>
      <c r="CA28" s="58"/>
      <c r="CB28" s="65">
        <f t="shared" si="29"/>
        <v>0</v>
      </c>
      <c r="CC28" s="58"/>
      <c r="CD28" s="65">
        <f>IF((CC28-CC27&lt;0), "",CC28-CC27)</f>
        <v>0</v>
      </c>
      <c r="CE28" s="58"/>
      <c r="CF28" s="65">
        <f t="shared" si="31"/>
        <v>0</v>
      </c>
      <c r="CG28" s="58"/>
      <c r="CH28" s="65">
        <f t="shared" si="32"/>
        <v>0</v>
      </c>
      <c r="CI28" s="58"/>
      <c r="CJ28" s="65">
        <f t="shared" si="33"/>
        <v>0</v>
      </c>
      <c r="CK28" s="58"/>
      <c r="CL28" s="62">
        <f t="shared" si="34"/>
        <v>0</v>
      </c>
      <c r="CM28" s="63">
        <f t="shared" si="35"/>
        <v>0</v>
      </c>
      <c r="CN28" s="60"/>
      <c r="CO28" s="60"/>
      <c r="CP28" s="66"/>
      <c r="CQ28" s="65">
        <f t="shared" si="36"/>
        <v>0</v>
      </c>
      <c r="CR28" s="66"/>
      <c r="CS28" s="65">
        <f t="shared" si="36"/>
        <v>0</v>
      </c>
      <c r="CT28" s="73"/>
      <c r="CU28" s="65">
        <f t="shared" si="36"/>
        <v>0</v>
      </c>
      <c r="CV28" s="66"/>
      <c r="CW28" s="65">
        <f t="shared" si="36"/>
        <v>0</v>
      </c>
    </row>
    <row r="29" spans="1:101" ht="25.5" customHeight="1" thickBot="1" x14ac:dyDescent="0.45">
      <c r="A29" s="61">
        <v>44342</v>
      </c>
      <c r="B29" s="44"/>
      <c r="C29" s="56"/>
      <c r="D29" s="62">
        <f t="shared" si="0"/>
        <v>0</v>
      </c>
      <c r="E29" s="56"/>
      <c r="F29" s="62">
        <f t="shared" si="1"/>
        <v>0</v>
      </c>
      <c r="G29" s="56"/>
      <c r="H29" s="62">
        <f t="shared" si="2"/>
        <v>0</v>
      </c>
      <c r="I29" s="56"/>
      <c r="J29" s="62">
        <f t="shared" si="3"/>
        <v>0</v>
      </c>
      <c r="K29" s="56"/>
      <c r="L29" s="62">
        <f t="shared" si="37"/>
        <v>0</v>
      </c>
      <c r="M29" s="56"/>
      <c r="N29" s="62">
        <f t="shared" si="4"/>
        <v>0</v>
      </c>
      <c r="O29" s="56"/>
      <c r="P29" s="65">
        <f t="shared" si="43"/>
        <v>0</v>
      </c>
      <c r="Q29" s="56"/>
      <c r="R29" s="65">
        <f t="shared" si="6"/>
        <v>0</v>
      </c>
      <c r="S29" s="56"/>
      <c r="T29" s="65">
        <f t="shared" si="7"/>
        <v>0</v>
      </c>
      <c r="U29" s="56"/>
      <c r="V29" s="65">
        <f t="shared" si="38"/>
        <v>0</v>
      </c>
      <c r="W29" s="56"/>
      <c r="X29" s="63">
        <f t="shared" si="41"/>
        <v>0</v>
      </c>
      <c r="Y29" s="56"/>
      <c r="Z29" s="63">
        <f t="shared" si="8"/>
        <v>0</v>
      </c>
      <c r="AA29" s="56"/>
      <c r="AB29" s="63">
        <f t="shared" si="9"/>
        <v>0</v>
      </c>
      <c r="AC29" s="56"/>
      <c r="AD29" s="63">
        <f t="shared" si="10"/>
        <v>0</v>
      </c>
      <c r="AE29" s="56"/>
      <c r="AF29" s="63">
        <f t="shared" si="11"/>
        <v>0</v>
      </c>
      <c r="AG29" s="56"/>
      <c r="AH29" s="65">
        <f t="shared" si="12"/>
        <v>0</v>
      </c>
      <c r="AI29" s="56"/>
      <c r="AJ29" s="63">
        <f t="shared" si="13"/>
        <v>0</v>
      </c>
      <c r="AK29" s="56"/>
      <c r="AL29" s="63">
        <f t="shared" si="13"/>
        <v>0</v>
      </c>
      <c r="AM29" s="56"/>
      <c r="AN29" s="63">
        <f t="shared" si="13"/>
        <v>0</v>
      </c>
      <c r="AO29" s="56"/>
      <c r="AP29" s="63">
        <f t="shared" si="13"/>
        <v>0</v>
      </c>
      <c r="AQ29" s="56"/>
      <c r="AR29" s="63">
        <f t="shared" si="14"/>
        <v>0</v>
      </c>
      <c r="AS29" s="56"/>
      <c r="AT29" s="63">
        <f t="shared" si="15"/>
        <v>0</v>
      </c>
      <c r="AU29" s="56"/>
      <c r="AV29" s="63">
        <f t="shared" si="16"/>
        <v>0</v>
      </c>
      <c r="AW29" s="56"/>
      <c r="AX29" s="63">
        <f t="shared" si="17"/>
        <v>0</v>
      </c>
      <c r="AY29" s="56"/>
      <c r="AZ29" s="63">
        <f t="shared" si="18"/>
        <v>0</v>
      </c>
      <c r="BA29" s="56"/>
      <c r="BB29" s="63">
        <f t="shared" si="19"/>
        <v>0</v>
      </c>
      <c r="BC29" s="56"/>
      <c r="BD29" s="63">
        <f t="shared" si="20"/>
        <v>0</v>
      </c>
      <c r="BE29" s="57"/>
      <c r="BF29" s="65">
        <f t="shared" si="39"/>
        <v>0</v>
      </c>
      <c r="BG29" s="58"/>
      <c r="BH29" s="63">
        <f t="shared" si="21"/>
        <v>0</v>
      </c>
      <c r="BI29" s="58"/>
      <c r="BJ29" s="63">
        <f t="shared" si="40"/>
        <v>0</v>
      </c>
      <c r="BK29" s="58"/>
      <c r="BL29" s="63">
        <f t="shared" si="22"/>
        <v>0</v>
      </c>
      <c r="BM29" s="58"/>
      <c r="BN29" s="63">
        <f t="shared" si="23"/>
        <v>0</v>
      </c>
      <c r="BO29" s="58"/>
      <c r="BP29" s="63">
        <f t="shared" si="24"/>
        <v>0</v>
      </c>
      <c r="BQ29" s="58"/>
      <c r="BR29" s="63">
        <f t="shared" si="25"/>
        <v>0</v>
      </c>
      <c r="BS29" s="58"/>
      <c r="BT29" s="63">
        <f t="shared" si="42"/>
        <v>0</v>
      </c>
      <c r="BU29" s="58"/>
      <c r="BV29" s="63">
        <f t="shared" si="26"/>
        <v>0</v>
      </c>
      <c r="BW29" s="58"/>
      <c r="BX29" s="63">
        <f t="shared" si="27"/>
        <v>0</v>
      </c>
      <c r="BY29" s="58"/>
      <c r="BZ29" s="65">
        <f t="shared" si="28"/>
        <v>0</v>
      </c>
      <c r="CA29" s="58"/>
      <c r="CB29" s="65">
        <f t="shared" si="29"/>
        <v>0</v>
      </c>
      <c r="CC29" s="58"/>
      <c r="CD29" s="65">
        <f>IF((CC29-CC28&lt;0), "",CC29-CC28)</f>
        <v>0</v>
      </c>
      <c r="CE29" s="58"/>
      <c r="CF29" s="65">
        <f t="shared" si="31"/>
        <v>0</v>
      </c>
      <c r="CG29" s="58"/>
      <c r="CH29" s="65">
        <f t="shared" si="32"/>
        <v>0</v>
      </c>
      <c r="CI29" s="58"/>
      <c r="CJ29" s="65">
        <f t="shared" si="33"/>
        <v>0</v>
      </c>
      <c r="CK29" s="58"/>
      <c r="CL29" s="62">
        <f t="shared" si="34"/>
        <v>0</v>
      </c>
      <c r="CM29" s="63">
        <f t="shared" si="35"/>
        <v>0</v>
      </c>
      <c r="CN29" s="60"/>
      <c r="CO29" s="60"/>
      <c r="CP29" s="66"/>
      <c r="CQ29" s="65">
        <f t="shared" si="36"/>
        <v>0</v>
      </c>
      <c r="CR29" s="66"/>
      <c r="CS29" s="65">
        <f t="shared" si="36"/>
        <v>0</v>
      </c>
      <c r="CT29" s="73"/>
      <c r="CU29" s="65">
        <f t="shared" si="36"/>
        <v>0</v>
      </c>
      <c r="CV29" s="66"/>
      <c r="CW29" s="65">
        <f t="shared" si="36"/>
        <v>0</v>
      </c>
    </row>
    <row r="30" spans="1:101" ht="25.5" customHeight="1" thickBot="1" x14ac:dyDescent="0.45">
      <c r="A30" s="61">
        <v>44343</v>
      </c>
      <c r="B30" s="44"/>
      <c r="C30" s="56"/>
      <c r="D30" s="62">
        <f t="shared" si="0"/>
        <v>0</v>
      </c>
      <c r="E30" s="56"/>
      <c r="F30" s="62">
        <f t="shared" si="1"/>
        <v>0</v>
      </c>
      <c r="G30" s="56"/>
      <c r="H30" s="62">
        <f t="shared" si="2"/>
        <v>0</v>
      </c>
      <c r="I30" s="56"/>
      <c r="J30" s="62">
        <f t="shared" si="3"/>
        <v>0</v>
      </c>
      <c r="K30" s="56"/>
      <c r="L30" s="62">
        <f t="shared" si="37"/>
        <v>0</v>
      </c>
      <c r="M30" s="56"/>
      <c r="N30" s="62">
        <f t="shared" si="4"/>
        <v>0</v>
      </c>
      <c r="O30" s="56"/>
      <c r="P30" s="65">
        <f t="shared" si="43"/>
        <v>0</v>
      </c>
      <c r="Q30" s="56"/>
      <c r="R30" s="65">
        <f t="shared" si="6"/>
        <v>0</v>
      </c>
      <c r="S30" s="56"/>
      <c r="T30" s="65">
        <f t="shared" si="7"/>
        <v>0</v>
      </c>
      <c r="U30" s="56"/>
      <c r="V30" s="65">
        <f t="shared" si="38"/>
        <v>0</v>
      </c>
      <c r="W30" s="56"/>
      <c r="X30" s="63">
        <f t="shared" si="41"/>
        <v>0</v>
      </c>
      <c r="Y30" s="56"/>
      <c r="Z30" s="63">
        <f t="shared" si="8"/>
        <v>0</v>
      </c>
      <c r="AA30" s="56"/>
      <c r="AB30" s="63">
        <f t="shared" si="9"/>
        <v>0</v>
      </c>
      <c r="AC30" s="56"/>
      <c r="AD30" s="63">
        <f t="shared" si="10"/>
        <v>0</v>
      </c>
      <c r="AE30" s="56"/>
      <c r="AF30" s="63">
        <f t="shared" si="11"/>
        <v>0</v>
      </c>
      <c r="AG30" s="56"/>
      <c r="AH30" s="65">
        <f t="shared" si="12"/>
        <v>0</v>
      </c>
      <c r="AI30" s="56"/>
      <c r="AJ30" s="63">
        <f t="shared" si="13"/>
        <v>0</v>
      </c>
      <c r="AK30" s="56"/>
      <c r="AL30" s="63">
        <f t="shared" si="13"/>
        <v>0</v>
      </c>
      <c r="AM30" s="56"/>
      <c r="AN30" s="63">
        <f t="shared" si="13"/>
        <v>0</v>
      </c>
      <c r="AO30" s="56"/>
      <c r="AP30" s="63">
        <f t="shared" si="13"/>
        <v>0</v>
      </c>
      <c r="AQ30" s="56"/>
      <c r="AR30" s="63">
        <f t="shared" si="14"/>
        <v>0</v>
      </c>
      <c r="AS30" s="56"/>
      <c r="AT30" s="63">
        <f t="shared" si="15"/>
        <v>0</v>
      </c>
      <c r="AU30" s="56"/>
      <c r="AV30" s="63">
        <f t="shared" si="16"/>
        <v>0</v>
      </c>
      <c r="AW30" s="56"/>
      <c r="AX30" s="63">
        <f t="shared" si="17"/>
        <v>0</v>
      </c>
      <c r="AY30" s="56"/>
      <c r="AZ30" s="63">
        <f t="shared" si="18"/>
        <v>0</v>
      </c>
      <c r="BA30" s="56"/>
      <c r="BB30" s="63">
        <f t="shared" si="19"/>
        <v>0</v>
      </c>
      <c r="BC30" s="56"/>
      <c r="BD30" s="63">
        <f t="shared" si="20"/>
        <v>0</v>
      </c>
      <c r="BE30" s="57"/>
      <c r="BF30" s="65">
        <f t="shared" si="39"/>
        <v>0</v>
      </c>
      <c r="BG30" s="58"/>
      <c r="BH30" s="63">
        <f t="shared" si="21"/>
        <v>0</v>
      </c>
      <c r="BI30" s="58"/>
      <c r="BJ30" s="63">
        <f t="shared" si="40"/>
        <v>0</v>
      </c>
      <c r="BK30" s="58"/>
      <c r="BL30" s="63">
        <f t="shared" si="22"/>
        <v>0</v>
      </c>
      <c r="BM30" s="58"/>
      <c r="BN30" s="63">
        <f t="shared" si="23"/>
        <v>0</v>
      </c>
      <c r="BO30" s="58"/>
      <c r="BP30" s="63">
        <f t="shared" si="24"/>
        <v>0</v>
      </c>
      <c r="BQ30" s="58"/>
      <c r="BR30" s="63">
        <f t="shared" si="25"/>
        <v>0</v>
      </c>
      <c r="BS30" s="58"/>
      <c r="BT30" s="63">
        <f t="shared" si="42"/>
        <v>0</v>
      </c>
      <c r="BU30" s="58"/>
      <c r="BV30" s="63">
        <f t="shared" si="26"/>
        <v>0</v>
      </c>
      <c r="BW30" s="58"/>
      <c r="BX30" s="63">
        <f t="shared" si="27"/>
        <v>0</v>
      </c>
      <c r="BY30" s="58"/>
      <c r="BZ30" s="65">
        <f t="shared" si="28"/>
        <v>0</v>
      </c>
      <c r="CA30" s="58"/>
      <c r="CB30" s="65">
        <f t="shared" si="29"/>
        <v>0</v>
      </c>
      <c r="CC30" s="58"/>
      <c r="CD30" s="65">
        <f t="shared" si="30"/>
        <v>0</v>
      </c>
      <c r="CE30" s="58"/>
      <c r="CF30" s="65">
        <f t="shared" si="31"/>
        <v>0</v>
      </c>
      <c r="CG30" s="58"/>
      <c r="CH30" s="65">
        <f t="shared" si="32"/>
        <v>0</v>
      </c>
      <c r="CI30" s="58"/>
      <c r="CJ30" s="65">
        <f t="shared" si="33"/>
        <v>0</v>
      </c>
      <c r="CK30" s="58"/>
      <c r="CL30" s="62">
        <f t="shared" si="34"/>
        <v>0</v>
      </c>
      <c r="CM30" s="63">
        <f t="shared" si="35"/>
        <v>0</v>
      </c>
      <c r="CN30" s="60"/>
      <c r="CO30" s="60"/>
      <c r="CP30" s="66"/>
      <c r="CQ30" s="65">
        <f t="shared" si="36"/>
        <v>0</v>
      </c>
      <c r="CR30" s="66"/>
      <c r="CS30" s="65">
        <f t="shared" si="36"/>
        <v>0</v>
      </c>
      <c r="CT30" s="73"/>
      <c r="CU30" s="65">
        <f t="shared" si="36"/>
        <v>0</v>
      </c>
      <c r="CV30" s="66"/>
      <c r="CW30" s="65">
        <f t="shared" si="36"/>
        <v>0</v>
      </c>
    </row>
    <row r="31" spans="1:101" ht="25.5" customHeight="1" thickBot="1" x14ac:dyDescent="0.45">
      <c r="A31" s="61">
        <v>44344</v>
      </c>
      <c r="B31" s="64"/>
      <c r="C31" s="56"/>
      <c r="D31" s="62">
        <f t="shared" si="0"/>
        <v>0</v>
      </c>
      <c r="E31" s="56"/>
      <c r="F31" s="62">
        <f t="shared" si="1"/>
        <v>0</v>
      </c>
      <c r="G31" s="56"/>
      <c r="H31" s="62">
        <f t="shared" si="2"/>
        <v>0</v>
      </c>
      <c r="I31" s="56"/>
      <c r="J31" s="62">
        <f t="shared" si="3"/>
        <v>0</v>
      </c>
      <c r="K31" s="56"/>
      <c r="L31" s="62">
        <f t="shared" si="37"/>
        <v>0</v>
      </c>
      <c r="M31" s="56"/>
      <c r="N31" s="62">
        <f t="shared" si="4"/>
        <v>0</v>
      </c>
      <c r="O31" s="56"/>
      <c r="P31" s="65">
        <f t="shared" si="43"/>
        <v>0</v>
      </c>
      <c r="Q31" s="56"/>
      <c r="R31" s="65">
        <f t="shared" si="6"/>
        <v>0</v>
      </c>
      <c r="S31" s="56"/>
      <c r="T31" s="65">
        <f>IF((S31-S30&lt;0), "",S31-S30)</f>
        <v>0</v>
      </c>
      <c r="U31" s="56"/>
      <c r="V31" s="65">
        <f t="shared" si="38"/>
        <v>0</v>
      </c>
      <c r="W31" s="56"/>
      <c r="X31" s="63">
        <f t="shared" si="41"/>
        <v>0</v>
      </c>
      <c r="Y31" s="56"/>
      <c r="Z31" s="63">
        <f t="shared" si="8"/>
        <v>0</v>
      </c>
      <c r="AA31" s="56"/>
      <c r="AB31" s="63">
        <f t="shared" si="9"/>
        <v>0</v>
      </c>
      <c r="AC31" s="56"/>
      <c r="AD31" s="63">
        <f t="shared" si="10"/>
        <v>0</v>
      </c>
      <c r="AE31" s="56"/>
      <c r="AF31" s="63">
        <f t="shared" si="11"/>
        <v>0</v>
      </c>
      <c r="AG31" s="56"/>
      <c r="AH31" s="65">
        <f t="shared" si="12"/>
        <v>0</v>
      </c>
      <c r="AI31" s="56"/>
      <c r="AJ31" s="63">
        <f t="shared" si="13"/>
        <v>0</v>
      </c>
      <c r="AK31" s="56"/>
      <c r="AL31" s="63">
        <f t="shared" si="13"/>
        <v>0</v>
      </c>
      <c r="AM31" s="56"/>
      <c r="AN31" s="63">
        <f t="shared" si="13"/>
        <v>0</v>
      </c>
      <c r="AO31" s="56"/>
      <c r="AP31" s="63">
        <f t="shared" si="13"/>
        <v>0</v>
      </c>
      <c r="AQ31" s="56"/>
      <c r="AR31" s="63">
        <f t="shared" si="14"/>
        <v>0</v>
      </c>
      <c r="AS31" s="56"/>
      <c r="AT31" s="63">
        <f t="shared" si="15"/>
        <v>0</v>
      </c>
      <c r="AU31" s="56"/>
      <c r="AV31" s="63">
        <f t="shared" si="16"/>
        <v>0</v>
      </c>
      <c r="AW31" s="56"/>
      <c r="AX31" s="63">
        <f t="shared" si="17"/>
        <v>0</v>
      </c>
      <c r="AY31" s="56"/>
      <c r="AZ31" s="63">
        <f t="shared" si="18"/>
        <v>0</v>
      </c>
      <c r="BA31" s="56"/>
      <c r="BB31" s="63">
        <f t="shared" si="19"/>
        <v>0</v>
      </c>
      <c r="BC31" s="56"/>
      <c r="BD31" s="63">
        <f t="shared" si="20"/>
        <v>0</v>
      </c>
      <c r="BE31" s="57"/>
      <c r="BF31" s="65">
        <f t="shared" si="39"/>
        <v>0</v>
      </c>
      <c r="BG31" s="58"/>
      <c r="BH31" s="63">
        <f t="shared" si="21"/>
        <v>0</v>
      </c>
      <c r="BI31" s="58"/>
      <c r="BJ31" s="63">
        <f t="shared" si="40"/>
        <v>0</v>
      </c>
      <c r="BK31" s="58"/>
      <c r="BL31" s="63">
        <f t="shared" si="22"/>
        <v>0</v>
      </c>
      <c r="BM31" s="58"/>
      <c r="BN31" s="63">
        <f t="shared" si="23"/>
        <v>0</v>
      </c>
      <c r="BO31" s="58"/>
      <c r="BP31" s="63">
        <f t="shared" si="24"/>
        <v>0</v>
      </c>
      <c r="BQ31" s="58"/>
      <c r="BR31" s="63">
        <f t="shared" si="25"/>
        <v>0</v>
      </c>
      <c r="BS31" s="58"/>
      <c r="BT31" s="63">
        <f t="shared" si="42"/>
        <v>0</v>
      </c>
      <c r="BU31" s="58"/>
      <c r="BV31" s="63">
        <f t="shared" si="26"/>
        <v>0</v>
      </c>
      <c r="BW31" s="58"/>
      <c r="BX31" s="63">
        <f t="shared" si="27"/>
        <v>0</v>
      </c>
      <c r="BY31" s="58"/>
      <c r="BZ31" s="65">
        <f t="shared" si="28"/>
        <v>0</v>
      </c>
      <c r="CA31" s="58"/>
      <c r="CB31" s="65">
        <f t="shared" si="29"/>
        <v>0</v>
      </c>
      <c r="CC31" s="58"/>
      <c r="CD31" s="65">
        <f t="shared" si="30"/>
        <v>0</v>
      </c>
      <c r="CE31" s="58"/>
      <c r="CF31" s="65">
        <f t="shared" si="31"/>
        <v>0</v>
      </c>
      <c r="CG31" s="58"/>
      <c r="CH31" s="65">
        <f t="shared" si="32"/>
        <v>0</v>
      </c>
      <c r="CI31" s="58"/>
      <c r="CJ31" s="65">
        <f t="shared" si="33"/>
        <v>0</v>
      </c>
      <c r="CK31" s="58"/>
      <c r="CL31" s="62">
        <f t="shared" si="34"/>
        <v>0</v>
      </c>
      <c r="CM31" s="63">
        <f t="shared" si="35"/>
        <v>0</v>
      </c>
      <c r="CN31" s="60"/>
      <c r="CO31" s="60"/>
      <c r="CP31" s="66"/>
      <c r="CQ31" s="65">
        <f t="shared" si="36"/>
        <v>0</v>
      </c>
      <c r="CR31" s="66"/>
      <c r="CS31" s="65">
        <f t="shared" si="36"/>
        <v>0</v>
      </c>
      <c r="CT31" s="73"/>
      <c r="CU31" s="65">
        <f t="shared" si="36"/>
        <v>0</v>
      </c>
      <c r="CV31" s="66"/>
      <c r="CW31" s="65">
        <f t="shared" si="36"/>
        <v>0</v>
      </c>
    </row>
    <row r="32" spans="1:101" ht="25.5" customHeight="1" thickBot="1" x14ac:dyDescent="0.45">
      <c r="A32" s="61">
        <v>44345</v>
      </c>
      <c r="B32" s="66"/>
      <c r="C32" s="56"/>
      <c r="D32" s="62">
        <f t="shared" si="0"/>
        <v>0</v>
      </c>
      <c r="E32" s="56"/>
      <c r="F32" s="62">
        <f t="shared" si="1"/>
        <v>0</v>
      </c>
      <c r="G32" s="56"/>
      <c r="H32" s="62">
        <f t="shared" si="2"/>
        <v>0</v>
      </c>
      <c r="I32" s="56"/>
      <c r="J32" s="62">
        <f t="shared" si="3"/>
        <v>0</v>
      </c>
      <c r="K32" s="56"/>
      <c r="L32" s="62">
        <f t="shared" si="37"/>
        <v>0</v>
      </c>
      <c r="M32" s="56"/>
      <c r="N32" s="62">
        <f t="shared" si="4"/>
        <v>0</v>
      </c>
      <c r="O32" s="56"/>
      <c r="P32" s="65">
        <f t="shared" si="43"/>
        <v>0</v>
      </c>
      <c r="Q32" s="56"/>
      <c r="R32" s="65">
        <f t="shared" si="6"/>
        <v>0</v>
      </c>
      <c r="S32" s="56"/>
      <c r="T32" s="65">
        <f t="shared" si="7"/>
        <v>0</v>
      </c>
      <c r="U32" s="56"/>
      <c r="V32" s="65">
        <f t="shared" si="38"/>
        <v>0</v>
      </c>
      <c r="W32" s="56"/>
      <c r="X32" s="63">
        <f t="shared" si="41"/>
        <v>0</v>
      </c>
      <c r="Y32" s="56"/>
      <c r="Z32" s="63">
        <f t="shared" si="8"/>
        <v>0</v>
      </c>
      <c r="AA32" s="56"/>
      <c r="AB32" s="63">
        <f t="shared" si="9"/>
        <v>0</v>
      </c>
      <c r="AC32" s="56"/>
      <c r="AD32" s="63">
        <f t="shared" si="10"/>
        <v>0</v>
      </c>
      <c r="AE32" s="56"/>
      <c r="AF32" s="63">
        <f t="shared" si="11"/>
        <v>0</v>
      </c>
      <c r="AG32" s="56"/>
      <c r="AH32" s="65">
        <f t="shared" si="12"/>
        <v>0</v>
      </c>
      <c r="AI32" s="56"/>
      <c r="AJ32" s="63">
        <f t="shared" si="13"/>
        <v>0</v>
      </c>
      <c r="AK32" s="56"/>
      <c r="AL32" s="63">
        <f t="shared" si="13"/>
        <v>0</v>
      </c>
      <c r="AM32" s="56"/>
      <c r="AN32" s="63">
        <f t="shared" si="13"/>
        <v>0</v>
      </c>
      <c r="AO32" s="56"/>
      <c r="AP32" s="63">
        <f t="shared" si="13"/>
        <v>0</v>
      </c>
      <c r="AQ32" s="56"/>
      <c r="AR32" s="63">
        <f t="shared" si="14"/>
        <v>0</v>
      </c>
      <c r="AS32" s="56"/>
      <c r="AT32" s="63">
        <f t="shared" si="15"/>
        <v>0</v>
      </c>
      <c r="AU32" s="56"/>
      <c r="AV32" s="63">
        <f t="shared" si="16"/>
        <v>0</v>
      </c>
      <c r="AW32" s="56"/>
      <c r="AX32" s="63">
        <f t="shared" si="17"/>
        <v>0</v>
      </c>
      <c r="AY32" s="56"/>
      <c r="AZ32" s="63">
        <f t="shared" si="18"/>
        <v>0</v>
      </c>
      <c r="BA32" s="56"/>
      <c r="BB32" s="63">
        <f t="shared" si="19"/>
        <v>0</v>
      </c>
      <c r="BC32" s="56"/>
      <c r="BD32" s="63">
        <f t="shared" si="20"/>
        <v>0</v>
      </c>
      <c r="BE32" s="57"/>
      <c r="BF32" s="65">
        <f t="shared" si="39"/>
        <v>0</v>
      </c>
      <c r="BG32" s="58"/>
      <c r="BH32" s="63">
        <f t="shared" si="21"/>
        <v>0</v>
      </c>
      <c r="BI32" s="58"/>
      <c r="BJ32" s="63">
        <f t="shared" si="40"/>
        <v>0</v>
      </c>
      <c r="BK32" s="58"/>
      <c r="BL32" s="63">
        <f t="shared" si="22"/>
        <v>0</v>
      </c>
      <c r="BM32" s="58"/>
      <c r="BN32" s="63">
        <f t="shared" si="23"/>
        <v>0</v>
      </c>
      <c r="BO32" s="58"/>
      <c r="BP32" s="63">
        <f t="shared" si="24"/>
        <v>0</v>
      </c>
      <c r="BQ32" s="58"/>
      <c r="BR32" s="63">
        <f t="shared" si="25"/>
        <v>0</v>
      </c>
      <c r="BS32" s="58"/>
      <c r="BT32" s="63">
        <f t="shared" si="42"/>
        <v>0</v>
      </c>
      <c r="BU32" s="58"/>
      <c r="BV32" s="63">
        <f t="shared" si="26"/>
        <v>0</v>
      </c>
      <c r="BW32" s="58"/>
      <c r="BX32" s="63">
        <f t="shared" si="27"/>
        <v>0</v>
      </c>
      <c r="BY32" s="58"/>
      <c r="BZ32" s="65">
        <f t="shared" si="28"/>
        <v>0</v>
      </c>
      <c r="CA32" s="58"/>
      <c r="CB32" s="65">
        <f t="shared" si="29"/>
        <v>0</v>
      </c>
      <c r="CC32" s="58"/>
      <c r="CD32" s="65">
        <f t="shared" si="30"/>
        <v>0</v>
      </c>
      <c r="CE32" s="58"/>
      <c r="CF32" s="65">
        <f t="shared" si="31"/>
        <v>0</v>
      </c>
      <c r="CG32" s="58"/>
      <c r="CH32" s="65">
        <f t="shared" si="32"/>
        <v>0</v>
      </c>
      <c r="CI32" s="58"/>
      <c r="CJ32" s="65">
        <f t="shared" si="33"/>
        <v>0</v>
      </c>
      <c r="CK32" s="58"/>
      <c r="CL32" s="62">
        <f t="shared" si="34"/>
        <v>0</v>
      </c>
      <c r="CM32" s="63">
        <f t="shared" si="35"/>
        <v>0</v>
      </c>
      <c r="CN32" s="60"/>
      <c r="CO32" s="60"/>
      <c r="CP32" s="66"/>
      <c r="CQ32" s="65">
        <f t="shared" si="36"/>
        <v>0</v>
      </c>
      <c r="CR32" s="66"/>
      <c r="CS32" s="65">
        <f t="shared" si="36"/>
        <v>0</v>
      </c>
      <c r="CT32" s="73"/>
      <c r="CU32" s="65">
        <f t="shared" si="36"/>
        <v>0</v>
      </c>
      <c r="CV32" s="66"/>
      <c r="CW32" s="65">
        <f t="shared" si="36"/>
        <v>0</v>
      </c>
    </row>
    <row r="33" spans="1:101" ht="25.5" customHeight="1" thickBot="1" x14ac:dyDescent="0.45">
      <c r="A33" s="61">
        <v>44346</v>
      </c>
      <c r="B33" s="66"/>
      <c r="C33" s="56"/>
      <c r="D33" s="62">
        <f t="shared" si="0"/>
        <v>0</v>
      </c>
      <c r="E33" s="56"/>
      <c r="F33" s="62">
        <f t="shared" si="1"/>
        <v>0</v>
      </c>
      <c r="G33" s="56"/>
      <c r="H33" s="62">
        <f t="shared" si="2"/>
        <v>0</v>
      </c>
      <c r="I33" s="56"/>
      <c r="J33" s="62">
        <f t="shared" si="3"/>
        <v>0</v>
      </c>
      <c r="K33" s="56"/>
      <c r="L33" s="62">
        <f t="shared" si="37"/>
        <v>0</v>
      </c>
      <c r="M33" s="56"/>
      <c r="N33" s="62">
        <f t="shared" si="4"/>
        <v>0</v>
      </c>
      <c r="O33" s="56"/>
      <c r="P33" s="65">
        <f t="shared" si="43"/>
        <v>0</v>
      </c>
      <c r="Q33" s="56"/>
      <c r="R33" s="65">
        <f t="shared" si="6"/>
        <v>0</v>
      </c>
      <c r="S33" s="56"/>
      <c r="T33" s="65">
        <f t="shared" si="7"/>
        <v>0</v>
      </c>
      <c r="U33" s="56"/>
      <c r="V33" s="65">
        <f t="shared" si="38"/>
        <v>0</v>
      </c>
      <c r="W33" s="56"/>
      <c r="X33" s="63">
        <f t="shared" si="41"/>
        <v>0</v>
      </c>
      <c r="Y33" s="56"/>
      <c r="Z33" s="63">
        <f t="shared" si="8"/>
        <v>0</v>
      </c>
      <c r="AA33" s="56"/>
      <c r="AB33" s="63">
        <f t="shared" si="9"/>
        <v>0</v>
      </c>
      <c r="AC33" s="56"/>
      <c r="AD33" s="63">
        <f t="shared" si="10"/>
        <v>0</v>
      </c>
      <c r="AE33" s="56"/>
      <c r="AF33" s="63">
        <f t="shared" si="11"/>
        <v>0</v>
      </c>
      <c r="AG33" s="56"/>
      <c r="AH33" s="65">
        <f t="shared" si="12"/>
        <v>0</v>
      </c>
      <c r="AI33" s="56"/>
      <c r="AJ33" s="63">
        <f t="shared" si="13"/>
        <v>0</v>
      </c>
      <c r="AK33" s="56"/>
      <c r="AL33" s="63">
        <f t="shared" si="13"/>
        <v>0</v>
      </c>
      <c r="AM33" s="56"/>
      <c r="AN33" s="63">
        <f t="shared" si="13"/>
        <v>0</v>
      </c>
      <c r="AO33" s="56"/>
      <c r="AP33" s="63">
        <f t="shared" si="13"/>
        <v>0</v>
      </c>
      <c r="AQ33" s="56"/>
      <c r="AR33" s="63">
        <f t="shared" si="14"/>
        <v>0</v>
      </c>
      <c r="AS33" s="56"/>
      <c r="AT33" s="63">
        <f t="shared" si="15"/>
        <v>0</v>
      </c>
      <c r="AU33" s="56"/>
      <c r="AV33" s="63">
        <f t="shared" si="16"/>
        <v>0</v>
      </c>
      <c r="AW33" s="56"/>
      <c r="AX33" s="63">
        <f t="shared" si="17"/>
        <v>0</v>
      </c>
      <c r="AY33" s="56"/>
      <c r="AZ33" s="63">
        <f t="shared" si="18"/>
        <v>0</v>
      </c>
      <c r="BA33" s="56"/>
      <c r="BB33" s="63">
        <f t="shared" si="19"/>
        <v>0</v>
      </c>
      <c r="BC33" s="56"/>
      <c r="BD33" s="63">
        <f t="shared" si="20"/>
        <v>0</v>
      </c>
      <c r="BE33" s="57"/>
      <c r="BF33" s="65">
        <f t="shared" si="39"/>
        <v>0</v>
      </c>
      <c r="BG33" s="58"/>
      <c r="BH33" s="63">
        <f t="shared" si="21"/>
        <v>0</v>
      </c>
      <c r="BI33" s="58"/>
      <c r="BJ33" s="63">
        <f t="shared" si="40"/>
        <v>0</v>
      </c>
      <c r="BK33" s="58"/>
      <c r="BL33" s="63">
        <f t="shared" si="22"/>
        <v>0</v>
      </c>
      <c r="BM33" s="58"/>
      <c r="BN33" s="63">
        <f t="shared" si="23"/>
        <v>0</v>
      </c>
      <c r="BO33" s="58"/>
      <c r="BP33" s="63">
        <f t="shared" si="24"/>
        <v>0</v>
      </c>
      <c r="BQ33" s="58"/>
      <c r="BR33" s="63">
        <f t="shared" si="25"/>
        <v>0</v>
      </c>
      <c r="BS33" s="58"/>
      <c r="BT33" s="63">
        <f t="shared" si="42"/>
        <v>0</v>
      </c>
      <c r="BU33" s="58"/>
      <c r="BV33" s="63">
        <f t="shared" si="26"/>
        <v>0</v>
      </c>
      <c r="BW33" s="58"/>
      <c r="BX33" s="63">
        <f t="shared" si="27"/>
        <v>0</v>
      </c>
      <c r="BY33" s="58"/>
      <c r="BZ33" s="65">
        <f t="shared" si="28"/>
        <v>0</v>
      </c>
      <c r="CA33" s="58"/>
      <c r="CB33" s="65">
        <f t="shared" si="29"/>
        <v>0</v>
      </c>
      <c r="CC33" s="58"/>
      <c r="CD33" s="65">
        <f t="shared" si="30"/>
        <v>0</v>
      </c>
      <c r="CE33" s="58"/>
      <c r="CF33" s="65">
        <f t="shared" si="31"/>
        <v>0</v>
      </c>
      <c r="CG33" s="58"/>
      <c r="CH33" s="65">
        <f t="shared" si="32"/>
        <v>0</v>
      </c>
      <c r="CI33" s="58"/>
      <c r="CJ33" s="65">
        <f t="shared" si="33"/>
        <v>0</v>
      </c>
      <c r="CK33" s="58"/>
      <c r="CL33" s="62">
        <f t="shared" si="34"/>
        <v>0</v>
      </c>
      <c r="CM33" s="63">
        <f t="shared" si="35"/>
        <v>0</v>
      </c>
      <c r="CN33" s="60"/>
      <c r="CO33" s="60"/>
      <c r="CP33" s="66"/>
      <c r="CQ33" s="65">
        <f t="shared" si="36"/>
        <v>0</v>
      </c>
      <c r="CR33" s="66"/>
      <c r="CS33" s="65">
        <f t="shared" si="36"/>
        <v>0</v>
      </c>
      <c r="CT33" s="73"/>
      <c r="CU33" s="65">
        <f t="shared" si="36"/>
        <v>0</v>
      </c>
      <c r="CV33" s="66"/>
      <c r="CW33" s="65">
        <f t="shared" si="36"/>
        <v>0</v>
      </c>
    </row>
    <row r="34" spans="1:101" ht="25.5" customHeight="1" thickBot="1" x14ac:dyDescent="0.45">
      <c r="A34" s="61">
        <v>44347</v>
      </c>
      <c r="B34" s="66"/>
      <c r="C34" s="56"/>
      <c r="D34" s="62">
        <f t="shared" si="0"/>
        <v>0</v>
      </c>
      <c r="E34" s="56"/>
      <c r="F34" s="62">
        <f t="shared" si="1"/>
        <v>0</v>
      </c>
      <c r="G34" s="56"/>
      <c r="H34" s="62">
        <f t="shared" si="2"/>
        <v>0</v>
      </c>
      <c r="I34" s="56"/>
      <c r="J34" s="62">
        <f t="shared" si="3"/>
        <v>0</v>
      </c>
      <c r="K34" s="56"/>
      <c r="L34" s="62">
        <f t="shared" si="37"/>
        <v>0</v>
      </c>
      <c r="M34" s="56"/>
      <c r="N34" s="62">
        <f t="shared" si="4"/>
        <v>0</v>
      </c>
      <c r="O34" s="56"/>
      <c r="P34" s="65">
        <f t="shared" si="43"/>
        <v>0</v>
      </c>
      <c r="Q34" s="56"/>
      <c r="R34" s="65">
        <f t="shared" si="6"/>
        <v>0</v>
      </c>
      <c r="S34" s="56"/>
      <c r="T34" s="65">
        <f t="shared" si="7"/>
        <v>0</v>
      </c>
      <c r="U34" s="56"/>
      <c r="V34" s="65">
        <f t="shared" si="38"/>
        <v>0</v>
      </c>
      <c r="W34" s="56"/>
      <c r="X34" s="63">
        <f t="shared" si="41"/>
        <v>0</v>
      </c>
      <c r="Y34" s="56"/>
      <c r="Z34" s="63">
        <f t="shared" si="8"/>
        <v>0</v>
      </c>
      <c r="AA34" s="56"/>
      <c r="AB34" s="63">
        <f t="shared" si="9"/>
        <v>0</v>
      </c>
      <c r="AC34" s="56"/>
      <c r="AD34" s="63">
        <f t="shared" si="10"/>
        <v>0</v>
      </c>
      <c r="AE34" s="56"/>
      <c r="AF34" s="63">
        <f t="shared" si="11"/>
        <v>0</v>
      </c>
      <c r="AG34" s="56"/>
      <c r="AH34" s="65">
        <f t="shared" si="12"/>
        <v>0</v>
      </c>
      <c r="AI34" s="56"/>
      <c r="AJ34" s="63">
        <f t="shared" si="13"/>
        <v>0</v>
      </c>
      <c r="AK34" s="56"/>
      <c r="AL34" s="63">
        <f t="shared" si="13"/>
        <v>0</v>
      </c>
      <c r="AM34" s="56"/>
      <c r="AN34" s="63">
        <f t="shared" si="13"/>
        <v>0</v>
      </c>
      <c r="AO34" s="56"/>
      <c r="AP34" s="63">
        <f t="shared" si="13"/>
        <v>0</v>
      </c>
      <c r="AQ34" s="56"/>
      <c r="AR34" s="63">
        <f t="shared" si="14"/>
        <v>0</v>
      </c>
      <c r="AS34" s="56"/>
      <c r="AT34" s="63">
        <f t="shared" si="15"/>
        <v>0</v>
      </c>
      <c r="AU34" s="56"/>
      <c r="AV34" s="63">
        <f t="shared" si="16"/>
        <v>0</v>
      </c>
      <c r="AW34" s="56"/>
      <c r="AX34" s="63">
        <f t="shared" si="17"/>
        <v>0</v>
      </c>
      <c r="AY34" s="56"/>
      <c r="AZ34" s="63">
        <f t="shared" si="18"/>
        <v>0</v>
      </c>
      <c r="BA34" s="56"/>
      <c r="BB34" s="63">
        <f t="shared" si="19"/>
        <v>0</v>
      </c>
      <c r="BC34" s="56"/>
      <c r="BD34" s="63">
        <f t="shared" si="20"/>
        <v>0</v>
      </c>
      <c r="BE34" s="57"/>
      <c r="BF34" s="65">
        <f t="shared" si="39"/>
        <v>0</v>
      </c>
      <c r="BG34" s="58"/>
      <c r="BH34" s="63">
        <f t="shared" si="21"/>
        <v>0</v>
      </c>
      <c r="BI34" s="58"/>
      <c r="BJ34" s="63">
        <f t="shared" si="40"/>
        <v>0</v>
      </c>
      <c r="BK34" s="58"/>
      <c r="BL34" s="63">
        <f t="shared" si="22"/>
        <v>0</v>
      </c>
      <c r="BM34" s="58"/>
      <c r="BN34" s="63">
        <f>IF((BM34-BM33&lt;0), "",(BM34-BM33)*1000)</f>
        <v>0</v>
      </c>
      <c r="BO34" s="58"/>
      <c r="BP34" s="63">
        <f t="shared" si="24"/>
        <v>0</v>
      </c>
      <c r="BQ34" s="58"/>
      <c r="BR34" s="63">
        <f t="shared" si="25"/>
        <v>0</v>
      </c>
      <c r="BS34" s="58"/>
      <c r="BT34" s="63">
        <f t="shared" si="42"/>
        <v>0</v>
      </c>
      <c r="BU34" s="58"/>
      <c r="BV34" s="63">
        <f t="shared" si="26"/>
        <v>0</v>
      </c>
      <c r="BW34" s="58"/>
      <c r="BX34" s="63">
        <f t="shared" si="27"/>
        <v>0</v>
      </c>
      <c r="BY34" s="58"/>
      <c r="BZ34" s="65">
        <f t="shared" si="28"/>
        <v>0</v>
      </c>
      <c r="CA34" s="58"/>
      <c r="CB34" s="65">
        <f>IF((CA34-CA33&lt;0), "",CA34-CA33)</f>
        <v>0</v>
      </c>
      <c r="CC34" s="58"/>
      <c r="CD34" s="65">
        <f t="shared" si="30"/>
        <v>0</v>
      </c>
      <c r="CE34" s="58"/>
      <c r="CF34" s="65">
        <f>IF((CE34-CE33&lt;0), "",CE34-CE33)</f>
        <v>0</v>
      </c>
      <c r="CG34" s="58"/>
      <c r="CH34" s="65">
        <f t="shared" si="32"/>
        <v>0</v>
      </c>
      <c r="CI34" s="58"/>
      <c r="CJ34" s="65">
        <f t="shared" si="33"/>
        <v>0</v>
      </c>
      <c r="CK34" s="58"/>
      <c r="CL34" s="62">
        <f t="shared" si="34"/>
        <v>0</v>
      </c>
      <c r="CM34" s="63">
        <f t="shared" si="35"/>
        <v>0</v>
      </c>
      <c r="CN34" s="60"/>
      <c r="CO34" s="60"/>
      <c r="CP34" s="66"/>
      <c r="CQ34" s="65">
        <f t="shared" si="36"/>
        <v>0</v>
      </c>
      <c r="CR34" s="66"/>
      <c r="CS34" s="65">
        <f t="shared" si="36"/>
        <v>0</v>
      </c>
      <c r="CT34" s="73"/>
      <c r="CU34" s="65">
        <f t="shared" si="36"/>
        <v>0</v>
      </c>
      <c r="CV34" s="66"/>
      <c r="CW34" s="65">
        <f t="shared" si="36"/>
        <v>0</v>
      </c>
    </row>
    <row r="35" spans="1:101" ht="21.75" x14ac:dyDescent="0.4">
      <c r="P35" s="67"/>
      <c r="R35" s="67"/>
      <c r="BF35" s="67"/>
      <c r="BJ35" s="63">
        <f>IF((BI35-BI34&lt;0), "",(BI35-BI34)*1000)</f>
        <v>0</v>
      </c>
      <c r="BL35" s="63">
        <f>IF((BK35-BK34&lt;0), "",(BK35-BK34)*1000)</f>
        <v>0</v>
      </c>
      <c r="BT35" s="63">
        <f t="shared" si="42"/>
        <v>0</v>
      </c>
      <c r="BV35" s="63">
        <f t="shared" si="26"/>
        <v>0</v>
      </c>
    </row>
    <row r="37" spans="1:101" ht="19.5" thickBot="1" x14ac:dyDescent="0.35"/>
    <row r="38" spans="1:101" ht="19.5" thickBot="1" x14ac:dyDescent="0.35">
      <c r="Q38" s="56"/>
      <c r="T38" s="56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topLeftCell="B1" zoomScaleNormal="100" workbookViewId="0">
      <selection activeCell="N15" sqref="N1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7" t="s">
        <v>0</v>
      </c>
      <c r="B4" s="90" t="s">
        <v>52</v>
      </c>
      <c r="C4" s="90" t="s">
        <v>53</v>
      </c>
      <c r="D4" s="93" t="s">
        <v>54</v>
      </c>
      <c r="E4" s="96" t="s">
        <v>55</v>
      </c>
      <c r="F4" s="97"/>
      <c r="G4" s="97"/>
      <c r="H4" s="97"/>
      <c r="I4" s="97"/>
      <c r="J4" s="98"/>
      <c r="K4" s="106" t="s">
        <v>56</v>
      </c>
      <c r="L4" s="107"/>
      <c r="M4" s="108"/>
      <c r="N4" s="99" t="s">
        <v>35</v>
      </c>
      <c r="O4" s="99"/>
      <c r="P4" s="99"/>
      <c r="Q4" s="99"/>
      <c r="R4" s="85" t="s">
        <v>147</v>
      </c>
      <c r="S4" s="86"/>
      <c r="T4" t="s">
        <v>145</v>
      </c>
    </row>
    <row r="5" spans="1:20" ht="33.75" customHeight="1" x14ac:dyDescent="0.25">
      <c r="A5" s="88"/>
      <c r="B5" s="91"/>
      <c r="C5" s="91"/>
      <c r="D5" s="94"/>
      <c r="E5" s="96" t="s">
        <v>57</v>
      </c>
      <c r="F5" s="98"/>
      <c r="G5" s="96" t="s">
        <v>58</v>
      </c>
      <c r="H5" s="98"/>
      <c r="I5" s="96" t="s">
        <v>59</v>
      </c>
      <c r="J5" s="98"/>
      <c r="K5" s="100" t="s">
        <v>60</v>
      </c>
      <c r="L5" s="101"/>
      <c r="M5" s="102"/>
      <c r="N5" s="103" t="s">
        <v>61</v>
      </c>
      <c r="O5" s="104"/>
      <c r="P5" s="104"/>
      <c r="Q5" s="105"/>
      <c r="R5" s="83" t="s">
        <v>146</v>
      </c>
      <c r="S5" s="84"/>
    </row>
    <row r="6" spans="1:20" x14ac:dyDescent="0.25">
      <c r="A6" s="89"/>
      <c r="B6" s="92"/>
      <c r="C6" s="92"/>
      <c r="D6" s="95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4" t="s">
        <v>67</v>
      </c>
      <c r="S6" s="74" t="s">
        <v>63</v>
      </c>
    </row>
    <row r="7" spans="1:20" x14ac:dyDescent="0.25">
      <c r="A7" s="71">
        <v>44316</v>
      </c>
      <c r="B7" s="40">
        <v>0</v>
      </c>
      <c r="C7" s="40">
        <v>0</v>
      </c>
      <c r="D7" s="40">
        <v>0</v>
      </c>
      <c r="E7" s="41">
        <v>85</v>
      </c>
      <c r="F7" s="41">
        <v>5081</v>
      </c>
      <c r="G7" s="41">
        <v>85</v>
      </c>
      <c r="H7" s="41">
        <v>1433</v>
      </c>
      <c r="I7" s="41">
        <v>20</v>
      </c>
      <c r="J7" s="41">
        <v>307</v>
      </c>
      <c r="K7" s="42">
        <v>71</v>
      </c>
      <c r="L7" s="42">
        <v>85</v>
      </c>
      <c r="M7" s="42">
        <v>1256</v>
      </c>
      <c r="N7" s="39">
        <v>85</v>
      </c>
      <c r="O7" s="39">
        <v>50</v>
      </c>
      <c r="P7" s="39">
        <v>85</v>
      </c>
      <c r="Q7" s="39">
        <v>3619</v>
      </c>
      <c r="R7" s="75">
        <v>70</v>
      </c>
      <c r="S7" s="75">
        <v>197</v>
      </c>
    </row>
    <row r="8" spans="1:20" x14ac:dyDescent="0.25">
      <c r="A8" s="71">
        <v>44317</v>
      </c>
      <c r="B8" s="40">
        <v>0</v>
      </c>
      <c r="C8" s="40">
        <v>9</v>
      </c>
      <c r="D8" s="40">
        <v>26</v>
      </c>
      <c r="E8" s="41">
        <v>85</v>
      </c>
      <c r="F8" s="41">
        <v>5082</v>
      </c>
      <c r="G8" s="41">
        <v>85</v>
      </c>
      <c r="H8" s="41">
        <v>1456</v>
      </c>
      <c r="I8" s="41">
        <v>10</v>
      </c>
      <c r="J8" s="41">
        <v>308</v>
      </c>
      <c r="K8" s="42">
        <v>71</v>
      </c>
      <c r="L8" s="42">
        <v>85</v>
      </c>
      <c r="M8" s="42">
        <v>1256</v>
      </c>
      <c r="N8" s="39">
        <v>85</v>
      </c>
      <c r="O8" s="39">
        <v>50</v>
      </c>
      <c r="P8" s="39">
        <v>85</v>
      </c>
      <c r="Q8" s="39">
        <v>3623</v>
      </c>
      <c r="R8" s="75">
        <v>70</v>
      </c>
      <c r="S8" s="75">
        <v>197</v>
      </c>
      <c r="T8">
        <f>S8-S7</f>
        <v>0</v>
      </c>
    </row>
    <row r="9" spans="1:20" x14ac:dyDescent="0.25">
      <c r="A9" s="71">
        <v>44318</v>
      </c>
      <c r="B9" s="40">
        <v>0</v>
      </c>
      <c r="C9" s="40">
        <v>11</v>
      </c>
      <c r="D9" s="40">
        <v>31</v>
      </c>
      <c r="E9" s="41">
        <v>80</v>
      </c>
      <c r="F9" s="41">
        <v>5093</v>
      </c>
      <c r="G9" s="41">
        <v>85</v>
      </c>
      <c r="H9" s="41">
        <v>1436</v>
      </c>
      <c r="I9" s="41">
        <v>0</v>
      </c>
      <c r="J9" s="41">
        <v>309</v>
      </c>
      <c r="K9" s="42">
        <v>70</v>
      </c>
      <c r="L9" s="42">
        <v>85</v>
      </c>
      <c r="M9" s="42">
        <v>1258</v>
      </c>
      <c r="N9" s="39">
        <v>85</v>
      </c>
      <c r="O9" s="39">
        <v>40</v>
      </c>
      <c r="P9" s="39">
        <v>85</v>
      </c>
      <c r="Q9" s="39">
        <v>3628</v>
      </c>
      <c r="R9" s="75">
        <v>70</v>
      </c>
      <c r="S9" s="75">
        <v>197</v>
      </c>
      <c r="T9">
        <f t="shared" ref="T9:T37" si="0">S9-S8</f>
        <v>0</v>
      </c>
    </row>
    <row r="10" spans="1:20" x14ac:dyDescent="0.25">
      <c r="A10" s="71">
        <v>44319</v>
      </c>
      <c r="B10" s="40">
        <v>0</v>
      </c>
      <c r="C10" s="40">
        <v>12</v>
      </c>
      <c r="D10" s="40">
        <v>36</v>
      </c>
      <c r="E10" s="41">
        <v>80</v>
      </c>
      <c r="F10" s="41">
        <v>5098</v>
      </c>
      <c r="G10" s="41">
        <v>85</v>
      </c>
      <c r="H10" s="41">
        <v>1438</v>
      </c>
      <c r="I10" s="41">
        <v>0</v>
      </c>
      <c r="J10" s="41">
        <v>310</v>
      </c>
      <c r="K10" s="42">
        <v>65</v>
      </c>
      <c r="L10" s="42">
        <v>85</v>
      </c>
      <c r="M10" s="42">
        <v>1260</v>
      </c>
      <c r="N10" s="39">
        <v>85</v>
      </c>
      <c r="O10" s="39">
        <v>30</v>
      </c>
      <c r="P10" s="39">
        <v>85</v>
      </c>
      <c r="Q10" s="39">
        <v>3633</v>
      </c>
      <c r="R10" s="75">
        <v>70</v>
      </c>
      <c r="S10" s="75">
        <v>197</v>
      </c>
      <c r="T10">
        <f t="shared" si="0"/>
        <v>0</v>
      </c>
    </row>
    <row r="11" spans="1:20" x14ac:dyDescent="0.25">
      <c r="A11" s="71">
        <v>44320</v>
      </c>
      <c r="B11" s="40">
        <v>0</v>
      </c>
      <c r="C11" s="40">
        <v>11</v>
      </c>
      <c r="D11" s="40">
        <v>34</v>
      </c>
      <c r="E11" s="41">
        <v>80</v>
      </c>
      <c r="F11" s="41">
        <v>5102</v>
      </c>
      <c r="G11" s="41">
        <v>85</v>
      </c>
      <c r="H11" s="41">
        <v>1439</v>
      </c>
      <c r="I11" s="41">
        <v>0</v>
      </c>
      <c r="J11" s="41">
        <v>310</v>
      </c>
      <c r="K11" s="42">
        <v>65</v>
      </c>
      <c r="L11" s="42">
        <v>85</v>
      </c>
      <c r="M11" s="42">
        <v>1260</v>
      </c>
      <c r="N11" s="39">
        <v>85</v>
      </c>
      <c r="O11" s="39">
        <v>30</v>
      </c>
      <c r="P11" s="39">
        <v>85</v>
      </c>
      <c r="Q11" s="39">
        <v>3638</v>
      </c>
      <c r="R11" s="75">
        <v>70</v>
      </c>
      <c r="S11" s="75">
        <v>197</v>
      </c>
      <c r="T11">
        <f t="shared" si="0"/>
        <v>0</v>
      </c>
    </row>
    <row r="12" spans="1:20" x14ac:dyDescent="0.25">
      <c r="A12" s="71">
        <v>44321</v>
      </c>
      <c r="B12" s="40"/>
      <c r="C12" s="40"/>
      <c r="D12" s="40"/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5"/>
      <c r="S12" s="75"/>
      <c r="T12">
        <f t="shared" si="0"/>
        <v>-197</v>
      </c>
    </row>
    <row r="13" spans="1:20" x14ac:dyDescent="0.25">
      <c r="A13" s="71">
        <v>44322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5"/>
      <c r="S13" s="75"/>
      <c r="T13">
        <f t="shared" si="0"/>
        <v>0</v>
      </c>
    </row>
    <row r="14" spans="1:20" x14ac:dyDescent="0.25">
      <c r="A14" s="71">
        <v>44323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5"/>
      <c r="S14" s="75"/>
      <c r="T14">
        <f t="shared" si="0"/>
        <v>0</v>
      </c>
    </row>
    <row r="15" spans="1:20" x14ac:dyDescent="0.25">
      <c r="A15" s="71">
        <v>44324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5"/>
      <c r="S15" s="75"/>
      <c r="T15">
        <f t="shared" si="0"/>
        <v>0</v>
      </c>
    </row>
    <row r="16" spans="1:20" x14ac:dyDescent="0.25">
      <c r="A16" s="71">
        <v>44325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5"/>
      <c r="S16" s="75"/>
      <c r="T16">
        <f t="shared" si="0"/>
        <v>0</v>
      </c>
    </row>
    <row r="17" spans="1:20" x14ac:dyDescent="0.25">
      <c r="A17" s="71">
        <v>44326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5"/>
      <c r="S17" s="75"/>
      <c r="T17">
        <f t="shared" si="0"/>
        <v>0</v>
      </c>
    </row>
    <row r="18" spans="1:20" x14ac:dyDescent="0.25">
      <c r="A18" s="71">
        <v>44327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5"/>
      <c r="S18" s="75"/>
      <c r="T18">
        <f t="shared" si="0"/>
        <v>0</v>
      </c>
    </row>
    <row r="19" spans="1:20" x14ac:dyDescent="0.25">
      <c r="A19" s="71">
        <v>44328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5"/>
      <c r="S19" s="75"/>
      <c r="T19">
        <f t="shared" si="0"/>
        <v>0</v>
      </c>
    </row>
    <row r="20" spans="1:20" x14ac:dyDescent="0.25">
      <c r="A20" s="71">
        <v>44329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5"/>
      <c r="S20" s="75"/>
      <c r="T20">
        <f t="shared" si="0"/>
        <v>0</v>
      </c>
    </row>
    <row r="21" spans="1:20" x14ac:dyDescent="0.25">
      <c r="A21" s="71">
        <v>44330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5"/>
      <c r="S21" s="75"/>
      <c r="T21">
        <f t="shared" si="0"/>
        <v>0</v>
      </c>
    </row>
    <row r="22" spans="1:20" x14ac:dyDescent="0.25">
      <c r="A22" s="71">
        <v>44331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5"/>
      <c r="S22" s="75"/>
      <c r="T22">
        <f t="shared" si="0"/>
        <v>0</v>
      </c>
    </row>
    <row r="23" spans="1:20" x14ac:dyDescent="0.25">
      <c r="A23" s="71">
        <v>44332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5"/>
      <c r="S23" s="75"/>
      <c r="T23">
        <f t="shared" si="0"/>
        <v>0</v>
      </c>
    </row>
    <row r="24" spans="1:20" x14ac:dyDescent="0.25">
      <c r="A24" s="71">
        <v>44333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5"/>
      <c r="S24" s="75"/>
      <c r="T24">
        <f t="shared" si="0"/>
        <v>0</v>
      </c>
    </row>
    <row r="25" spans="1:20" x14ac:dyDescent="0.25">
      <c r="A25" s="71">
        <v>44334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5"/>
      <c r="S25" s="75"/>
      <c r="T25">
        <f t="shared" si="0"/>
        <v>0</v>
      </c>
    </row>
    <row r="26" spans="1:20" x14ac:dyDescent="0.25">
      <c r="A26" s="71">
        <v>44335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5"/>
      <c r="S26" s="75"/>
      <c r="T26">
        <f t="shared" si="0"/>
        <v>0</v>
      </c>
    </row>
    <row r="27" spans="1:20" x14ac:dyDescent="0.25">
      <c r="A27" s="71">
        <v>44336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5"/>
      <c r="S27" s="75"/>
      <c r="T27">
        <f t="shared" si="0"/>
        <v>0</v>
      </c>
    </row>
    <row r="28" spans="1:20" x14ac:dyDescent="0.25">
      <c r="A28" s="71">
        <v>44337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5"/>
      <c r="S28" s="75"/>
      <c r="T28">
        <f t="shared" si="0"/>
        <v>0</v>
      </c>
    </row>
    <row r="29" spans="1:20" x14ac:dyDescent="0.25">
      <c r="A29" s="71">
        <v>44338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5"/>
      <c r="S29" s="75"/>
      <c r="T29">
        <f t="shared" si="0"/>
        <v>0</v>
      </c>
    </row>
    <row r="30" spans="1:20" x14ac:dyDescent="0.25">
      <c r="A30" s="71">
        <v>44339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5"/>
      <c r="S30" s="75"/>
      <c r="T30">
        <f t="shared" si="0"/>
        <v>0</v>
      </c>
    </row>
    <row r="31" spans="1:20" x14ac:dyDescent="0.25">
      <c r="A31" s="71">
        <v>44340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5"/>
      <c r="S31" s="75"/>
      <c r="T31">
        <f t="shared" si="0"/>
        <v>0</v>
      </c>
    </row>
    <row r="32" spans="1:20" x14ac:dyDescent="0.25">
      <c r="A32" s="71">
        <v>44341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5"/>
      <c r="S32" s="75"/>
      <c r="T32">
        <f t="shared" si="0"/>
        <v>0</v>
      </c>
    </row>
    <row r="33" spans="1:20" x14ac:dyDescent="0.25">
      <c r="A33" s="71">
        <v>44342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5"/>
      <c r="S33" s="75"/>
      <c r="T33">
        <f t="shared" si="0"/>
        <v>0</v>
      </c>
    </row>
    <row r="34" spans="1:20" x14ac:dyDescent="0.25">
      <c r="A34" s="71">
        <v>44343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5"/>
      <c r="S34" s="75"/>
      <c r="T34">
        <f t="shared" si="0"/>
        <v>0</v>
      </c>
    </row>
    <row r="35" spans="1:20" x14ac:dyDescent="0.25">
      <c r="A35" s="71">
        <v>44344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5"/>
      <c r="S35" s="75"/>
      <c r="T35">
        <f t="shared" si="0"/>
        <v>0</v>
      </c>
    </row>
    <row r="36" spans="1:20" x14ac:dyDescent="0.25">
      <c r="A36" s="71">
        <v>44345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5"/>
      <c r="S36" s="75"/>
      <c r="T36">
        <f t="shared" si="0"/>
        <v>0</v>
      </c>
    </row>
    <row r="37" spans="1:20" x14ac:dyDescent="0.25">
      <c r="A37" s="71">
        <v>44346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5"/>
      <c r="S37" s="75"/>
      <c r="T37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2021-05-05T19:25:36Z</dcterms:modified>
</cp:coreProperties>
</file>