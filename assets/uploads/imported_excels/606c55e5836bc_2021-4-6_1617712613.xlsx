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Electricity!$B$1:$U$55</definedName>
    <definedName name="_xlnm.Print_Area" localSheetId="2">Water!$A$1:$I$37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2" i="4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7" i="2" l="1"/>
  <c r="F25" i="2"/>
  <c r="F26" i="2"/>
  <c r="F27" i="2"/>
  <c r="F28" i="2"/>
  <c r="F29" i="2"/>
  <c r="F30" i="2"/>
  <c r="F31" i="2"/>
  <c r="F32" i="2"/>
  <c r="F33" i="2"/>
  <c r="F34" i="2"/>
  <c r="F3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5" i="2"/>
  <c r="F37" i="2" s="1"/>
  <c r="C5" i="2"/>
  <c r="I2" i="4" s="1"/>
  <c r="C6" i="2"/>
  <c r="I3" i="4" s="1"/>
  <c r="C7" i="2"/>
  <c r="I4" i="4" s="1"/>
  <c r="C8" i="2"/>
  <c r="I5" i="4" s="1"/>
  <c r="C9" i="2"/>
  <c r="I6" i="4" s="1"/>
  <c r="C10" i="2"/>
  <c r="I7" i="4" s="1"/>
  <c r="C11" i="2"/>
  <c r="I8" i="4" s="1"/>
  <c r="C12" i="2"/>
  <c r="I9" i="4" s="1"/>
  <c r="C13" i="2"/>
  <c r="I10" i="4" s="1"/>
  <c r="C14" i="2"/>
  <c r="I11" i="4" s="1"/>
  <c r="C15" i="2"/>
  <c r="I12" i="4" s="1"/>
  <c r="C16" i="2"/>
  <c r="I13" i="4" s="1"/>
  <c r="C17" i="2"/>
  <c r="I14" i="4" s="1"/>
  <c r="C18" i="2"/>
  <c r="I15" i="4" s="1"/>
  <c r="C19" i="2"/>
  <c r="I16" i="4" s="1"/>
  <c r="C20" i="2"/>
  <c r="I17" i="4" s="1"/>
  <c r="D37" i="3" l="1"/>
  <c r="E37" i="3"/>
  <c r="F37" i="3"/>
  <c r="G37" i="3"/>
  <c r="H37" i="3"/>
  <c r="H38" i="3" s="1"/>
  <c r="C25" i="2"/>
  <c r="I22" i="4" s="1"/>
  <c r="C26" i="2"/>
  <c r="I23" i="4" s="1"/>
  <c r="C27" i="2"/>
  <c r="I24" i="4" s="1"/>
  <c r="C28" i="2"/>
  <c r="I25" i="4" s="1"/>
  <c r="C29" i="2"/>
  <c r="I26" i="4" s="1"/>
  <c r="C30" i="2"/>
  <c r="I27" i="4" s="1"/>
  <c r="C31" i="2"/>
  <c r="I28" i="4" s="1"/>
  <c r="C32" i="2"/>
  <c r="I29" i="4" s="1"/>
  <c r="C33" i="2"/>
  <c r="I30" i="4" s="1"/>
  <c r="C34" i="2"/>
  <c r="I31" i="4" s="1"/>
  <c r="C35" i="2"/>
  <c r="I32" i="4" s="1"/>
  <c r="C37" i="3"/>
  <c r="E46" i="3" s="1"/>
  <c r="G38" i="1"/>
  <c r="I38" i="1"/>
  <c r="F38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K37" i="1" s="1"/>
  <c r="E6" i="1"/>
  <c r="K9" i="1" l="1"/>
  <c r="K34" i="1"/>
  <c r="K26" i="1"/>
  <c r="K18" i="1"/>
  <c r="K10" i="1"/>
  <c r="K7" i="1"/>
  <c r="K17" i="1"/>
  <c r="K16" i="1"/>
  <c r="K31" i="1"/>
  <c r="K22" i="1"/>
  <c r="K14" i="1"/>
  <c r="K32" i="1"/>
  <c r="K29" i="1"/>
  <c r="K21" i="1"/>
  <c r="K13" i="1"/>
  <c r="K25" i="1"/>
  <c r="K8" i="1"/>
  <c r="K23" i="1"/>
  <c r="K6" i="1"/>
  <c r="K20" i="1"/>
  <c r="K12" i="1"/>
  <c r="K33" i="1"/>
  <c r="K24" i="1"/>
  <c r="K15" i="1"/>
  <c r="K30" i="1"/>
  <c r="K36" i="1"/>
  <c r="K28" i="1"/>
  <c r="K35" i="1"/>
  <c r="K27" i="1"/>
  <c r="K19" i="1"/>
  <c r="K11" i="1"/>
  <c r="N46" i="1"/>
  <c r="O46" i="1" s="1"/>
  <c r="K38" i="1" l="1"/>
  <c r="H37" i="1"/>
  <c r="J37" i="1" s="1"/>
  <c r="L37" i="1"/>
  <c r="H36" i="1"/>
  <c r="L36" i="1"/>
  <c r="H35" i="1"/>
  <c r="L35" i="1"/>
  <c r="H34" i="1"/>
  <c r="L34" i="1"/>
  <c r="H33" i="1"/>
  <c r="L33" i="1"/>
  <c r="H32" i="1"/>
  <c r="L32" i="1"/>
  <c r="H31" i="1"/>
  <c r="L31" i="1"/>
  <c r="H30" i="1"/>
  <c r="L30" i="1"/>
  <c r="H29" i="1"/>
  <c r="L29" i="1"/>
  <c r="H28" i="1"/>
  <c r="L28" i="1"/>
  <c r="H27" i="1"/>
  <c r="L27" i="1"/>
  <c r="H26" i="1"/>
  <c r="L26" i="1"/>
  <c r="H25" i="1"/>
  <c r="L25" i="1"/>
  <c r="H24" i="1"/>
  <c r="L24" i="1"/>
  <c r="H23" i="1"/>
  <c r="L23" i="1"/>
  <c r="H22" i="1"/>
  <c r="L22" i="1"/>
  <c r="H21" i="1"/>
  <c r="L21" i="1"/>
  <c r="H20" i="1"/>
  <c r="L20" i="1"/>
  <c r="H19" i="1"/>
  <c r="L19" i="1"/>
  <c r="H18" i="1"/>
  <c r="L18" i="1"/>
  <c r="H17" i="1"/>
  <c r="L17" i="1"/>
  <c r="H16" i="1"/>
  <c r="L16" i="1"/>
  <c r="H15" i="1"/>
  <c r="L15" i="1"/>
  <c r="H14" i="1"/>
  <c r="L14" i="1"/>
  <c r="H13" i="1"/>
  <c r="L13" i="1"/>
  <c r="H12" i="1"/>
  <c r="L12" i="1"/>
  <c r="H11" i="1"/>
  <c r="L11" i="1"/>
  <c r="H10" i="1"/>
  <c r="L10" i="1"/>
  <c r="H9" i="1"/>
  <c r="L9" i="1"/>
  <c r="H8" i="1"/>
  <c r="L8" i="1"/>
  <c r="H7" i="1"/>
  <c r="L7" i="1"/>
  <c r="H6" i="1"/>
  <c r="E2" i="4" s="1"/>
  <c r="M2" i="4" s="1"/>
  <c r="L6" i="1"/>
  <c r="L38" i="1" s="1"/>
  <c r="J10" i="1" l="1"/>
  <c r="E6" i="4"/>
  <c r="M6" i="4" s="1"/>
  <c r="J14" i="1"/>
  <c r="E10" i="4"/>
  <c r="M10" i="4" s="1"/>
  <c r="J18" i="1"/>
  <c r="E14" i="4"/>
  <c r="M14" i="4" s="1"/>
  <c r="J22" i="1"/>
  <c r="E18" i="4"/>
  <c r="J26" i="1"/>
  <c r="E22" i="4"/>
  <c r="M22" i="4" s="1"/>
  <c r="J30" i="1"/>
  <c r="E26" i="4"/>
  <c r="M26" i="4" s="1"/>
  <c r="J34" i="1"/>
  <c r="E30" i="4"/>
  <c r="M30" i="4" s="1"/>
  <c r="J7" i="1"/>
  <c r="E3" i="4"/>
  <c r="M3" i="4" s="1"/>
  <c r="J11" i="1"/>
  <c r="E7" i="4"/>
  <c r="M7" i="4" s="1"/>
  <c r="J15" i="1"/>
  <c r="E11" i="4"/>
  <c r="M11" i="4" s="1"/>
  <c r="J19" i="1"/>
  <c r="E15" i="4"/>
  <c r="M15" i="4" s="1"/>
  <c r="J23" i="1"/>
  <c r="E19" i="4"/>
  <c r="J27" i="1"/>
  <c r="E23" i="4"/>
  <c r="M23" i="4" s="1"/>
  <c r="J31" i="1"/>
  <c r="E27" i="4"/>
  <c r="M27" i="4" s="1"/>
  <c r="J35" i="1"/>
  <c r="E31" i="4"/>
  <c r="M31" i="4" s="1"/>
  <c r="J8" i="1"/>
  <c r="E4" i="4"/>
  <c r="M4" i="4" s="1"/>
  <c r="J20" i="1"/>
  <c r="E16" i="4"/>
  <c r="M16" i="4" s="1"/>
  <c r="J32" i="1"/>
  <c r="E28" i="4"/>
  <c r="M28" i="4" s="1"/>
  <c r="J36" i="1"/>
  <c r="E32" i="4"/>
  <c r="J16" i="1"/>
  <c r="E12" i="4"/>
  <c r="M12" i="4" s="1"/>
  <c r="J28" i="1"/>
  <c r="E24" i="4"/>
  <c r="M24" i="4" s="1"/>
  <c r="J12" i="1"/>
  <c r="E8" i="4"/>
  <c r="M8" i="4" s="1"/>
  <c r="J24" i="1"/>
  <c r="E20" i="4"/>
  <c r="J9" i="1"/>
  <c r="E5" i="4"/>
  <c r="M5" i="4" s="1"/>
  <c r="J13" i="1"/>
  <c r="E9" i="4"/>
  <c r="M9" i="4" s="1"/>
  <c r="J17" i="1"/>
  <c r="E13" i="4"/>
  <c r="M13" i="4" s="1"/>
  <c r="J21" i="1"/>
  <c r="E17" i="4"/>
  <c r="M17" i="4" s="1"/>
  <c r="J25" i="1"/>
  <c r="E21" i="4"/>
  <c r="J29" i="1"/>
  <c r="E25" i="4"/>
  <c r="M25" i="4" s="1"/>
  <c r="J33" i="1"/>
  <c r="E29" i="4"/>
  <c r="M29" i="4" s="1"/>
  <c r="J6" i="1"/>
  <c r="H38" i="1"/>
  <c r="M35" i="1"/>
  <c r="N35" i="1" s="1"/>
  <c r="O35" i="1" s="1"/>
  <c r="M31" i="1"/>
  <c r="N31" i="1" s="1"/>
  <c r="O31" i="1" s="1"/>
  <c r="M29" i="1"/>
  <c r="N29" i="1" s="1"/>
  <c r="O29" i="1" s="1"/>
  <c r="M37" i="1"/>
  <c r="N37" i="1" s="1"/>
  <c r="O37" i="1" s="1"/>
  <c r="M19" i="1"/>
  <c r="N19" i="1" s="1"/>
  <c r="O19" i="1" s="1"/>
  <c r="M27" i="1"/>
  <c r="N27" i="1" s="1"/>
  <c r="O27" i="1" s="1"/>
  <c r="M25" i="1"/>
  <c r="N25" i="1" s="1"/>
  <c r="O25" i="1" s="1"/>
  <c r="M7" i="1"/>
  <c r="N7" i="1" s="1"/>
  <c r="O7" i="1" s="1"/>
  <c r="M22" i="1"/>
  <c r="N22" i="1" s="1"/>
  <c r="O22" i="1" s="1"/>
  <c r="M8" i="1"/>
  <c r="N8" i="1" s="1"/>
  <c r="O8" i="1" s="1"/>
  <c r="M16" i="1"/>
  <c r="N16" i="1" s="1"/>
  <c r="O16" i="1" s="1"/>
  <c r="M36" i="1"/>
  <c r="N36" i="1" s="1"/>
  <c r="O36" i="1" s="1"/>
  <c r="M9" i="1"/>
  <c r="N9" i="1" s="1"/>
  <c r="O9" i="1" s="1"/>
  <c r="M34" i="1"/>
  <c r="N34" i="1" s="1"/>
  <c r="O34" i="1" s="1"/>
  <c r="M33" i="1"/>
  <c r="N33" i="1" s="1"/>
  <c r="O33" i="1" s="1"/>
  <c r="M32" i="1"/>
  <c r="N32" i="1" s="1"/>
  <c r="O32" i="1" s="1"/>
  <c r="M30" i="1"/>
  <c r="N30" i="1" s="1"/>
  <c r="O30" i="1" s="1"/>
  <c r="M28" i="1"/>
  <c r="N28" i="1" s="1"/>
  <c r="O28" i="1" s="1"/>
  <c r="M26" i="1"/>
  <c r="N26" i="1" s="1"/>
  <c r="O26" i="1" s="1"/>
  <c r="M24" i="1"/>
  <c r="N24" i="1" s="1"/>
  <c r="O24" i="1" s="1"/>
  <c r="M23" i="1"/>
  <c r="N23" i="1" s="1"/>
  <c r="O23" i="1" s="1"/>
  <c r="M21" i="1"/>
  <c r="N21" i="1" s="1"/>
  <c r="O21" i="1" s="1"/>
  <c r="M20" i="1"/>
  <c r="N20" i="1" s="1"/>
  <c r="O20" i="1" s="1"/>
  <c r="M18" i="1"/>
  <c r="N18" i="1" s="1"/>
  <c r="O18" i="1" s="1"/>
  <c r="M17" i="1"/>
  <c r="N17" i="1" s="1"/>
  <c r="O17" i="1" s="1"/>
  <c r="M15" i="1"/>
  <c r="N15" i="1" s="1"/>
  <c r="O15" i="1" s="1"/>
  <c r="M14" i="1"/>
  <c r="N14" i="1" s="1"/>
  <c r="O14" i="1" s="1"/>
  <c r="M13" i="1"/>
  <c r="N13" i="1" s="1"/>
  <c r="O13" i="1" s="1"/>
  <c r="M12" i="1"/>
  <c r="N12" i="1" s="1"/>
  <c r="O12" i="1" s="1"/>
  <c r="M11" i="1"/>
  <c r="N11" i="1" s="1"/>
  <c r="O11" i="1" s="1"/>
  <c r="M10" i="1"/>
  <c r="N10" i="1" s="1"/>
  <c r="O10" i="1" s="1"/>
  <c r="M6" i="1"/>
  <c r="J38" i="1" l="1"/>
  <c r="N6" i="1"/>
  <c r="M38" i="1"/>
  <c r="E37" i="2"/>
  <c r="O41" i="1"/>
  <c r="O6" i="1" l="1"/>
  <c r="O38" i="1" s="1"/>
  <c r="N38" i="1"/>
  <c r="O42" i="1"/>
  <c r="O48" i="1" s="1"/>
  <c r="C23" i="2"/>
  <c r="I20" i="4" s="1"/>
  <c r="M20" i="4" s="1"/>
  <c r="C24" i="2"/>
  <c r="I21" i="4" s="1"/>
  <c r="M21" i="4" s="1"/>
  <c r="C21" i="2"/>
  <c r="I18" i="4" s="1"/>
  <c r="M18" i="4" s="1"/>
  <c r="C22" i="2"/>
  <c r="I19" i="4" s="1"/>
  <c r="M19" i="4" s="1"/>
  <c r="D37" i="2"/>
  <c r="C37" i="2" s="1"/>
  <c r="G41" i="2" l="1"/>
  <c r="G47" i="2" s="1"/>
</calcChain>
</file>

<file path=xl/sharedStrings.xml><?xml version="1.0" encoding="utf-8"?>
<sst xmlns="http://schemas.openxmlformats.org/spreadsheetml/2006/main" count="118" uniqueCount="71">
  <si>
    <t>Date</t>
  </si>
  <si>
    <t>Total (Rp)</t>
  </si>
  <si>
    <t>Hotel</t>
  </si>
  <si>
    <t>Hotel usage for Heat Pump, Escalator &amp; Ballroom Lift</t>
  </si>
  <si>
    <t>Mixed used Hotel &amp; Office</t>
  </si>
  <si>
    <t>Mixed used Hotel area B3-B5</t>
  </si>
  <si>
    <t xml:space="preserve">Charge to GRU Estate </t>
  </si>
  <si>
    <t>Biaya perhitungan listrik parkir + listrik ruangan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</si>
  <si>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</si>
  <si>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</si>
  <si>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</si>
  <si>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</si>
  <si>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</si>
  <si>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</si>
  <si>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>MRA (Lala Restaurant)</t>
  </si>
  <si>
    <t xml:space="preserve">Total </t>
  </si>
  <si>
    <t>Food Court</t>
  </si>
  <si>
    <t xml:space="preserve"> </t>
  </si>
  <si>
    <t>01 Feb'20             00-07pagi</t>
  </si>
  <si>
    <t>Total Cost of Electric billing for the month of January 2020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</si>
  <si>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</si>
  <si>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</si>
  <si>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</si>
  <si>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</si>
  <si>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</si>
  <si>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</si>
  <si>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</si>
  <si>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</si>
  <si>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</si>
  <si>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</si>
  <si>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</si>
  <si>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</si>
  <si>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</si>
  <si>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</si>
  <si>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</si>
  <si>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</si>
  <si>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</si>
  <si>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</si>
  <si>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</si>
  <si>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</si>
  <si>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</si>
  <si>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</si>
  <si>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</si>
  <si>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</si>
  <si>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</si>
  <si>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</si>
  <si>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</si>
  <si>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</si>
  <si>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4.97</t>
  </si>
  <si>
    <t>Sub metering ( m3)</t>
  </si>
  <si>
    <t>Sm3</t>
  </si>
  <si>
    <t>US $</t>
  </si>
  <si>
    <t>mimimum contract</t>
  </si>
  <si>
    <t>Recycle Water   share 20%</t>
  </si>
  <si>
    <t>Electricity Distribution 2021</t>
  </si>
  <si>
    <t>Utilities day cost dh</t>
  </si>
  <si>
    <t xml:space="preserve">Total Guests </t>
  </si>
  <si>
    <t xml:space="preserve">Room Nights </t>
  </si>
  <si>
    <t>Natural Gas $/m3</t>
  </si>
  <si>
    <t>Natual Gas (m3)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</si>
  <si>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</si>
  <si>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</si>
  <si>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</si>
  <si>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</si>
  <si>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</si>
  <si>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</si>
  <si>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</si>
  <si>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</si>
  <si>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>Electricity Tariff ($/Kwh)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</si>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</sst>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&quot;Rp&quot;* #,##0.00_);_(&quot;Rp&quot;* \(#,##0.00\);_(&quot;Rp&quot;* &quot;-&quot;??_);_(@_)"/>
    <numFmt numFmtId="166" formatCode="#.00"/>
    <numFmt numFmtId="167" formatCode="_(* #.##0_);_(* \(#.##0\);_(* &quot;-&quot;_);_(@_)"/>
    <numFmt numFmtId="168" formatCode="_(* #.##0.00_);_(* \(#.##0.00\);_(* &quot;-&quot;??_);_(@_)"/>
    <numFmt numFmtId="169" formatCode="0.00;[Red]0.00"/>
    <numFmt numFmtId="170" formatCode="[$Rp-421]#,##0"/>
    <numFmt numFmtId="171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1">
    <xf numFmtId="0" fontId="0" fillId="0" borderId="0"/>
    <xf numFmtId="41" fontId="10" fillId="0" borderId="0" applyFont="0" applyFill="0" applyBorder="0" applyAlignment="0" applyProtection="0"/>
    <xf numFmtId="0" fontId="6" fillId="0" borderId="0"/>
    <xf numFmtId="0" fontId="6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4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0" fillId="4" borderId="9" applyNumberFormat="0" applyAlignment="0" applyProtection="0"/>
    <xf numFmtId="0" fontId="10" fillId="0" borderId="0"/>
  </cellStyleXfs>
  <cellXfs count="185">
    <xf numFmtId="0" fontId="0" fillId="0" borderId="0" xfId="0"/>
    <xf numFmtId="0" fontId="6" fillId="2" borderId="0" xfId="2" applyFill="1" applyAlignment="1">
      <alignment vertical="center"/>
    </xf>
    <xf numFmtId="0" fontId="6" fillId="2" borderId="0" xfId="2" applyFill="1" applyBorder="1" applyAlignment="1">
      <alignment vertical="center"/>
    </xf>
    <xf numFmtId="0" fontId="6" fillId="0" borderId="0" xfId="2" applyAlignment="1">
      <alignment vertical="center"/>
    </xf>
    <xf numFmtId="0" fontId="8" fillId="0" borderId="6" xfId="2" applyFont="1" applyBorder="1" applyAlignment="1">
      <alignment horizontal="center" vertical="center"/>
    </xf>
    <xf numFmtId="0" fontId="8" fillId="2" borderId="0" xfId="2" applyFont="1" applyFill="1" applyBorder="1" applyAlignment="1">
      <alignment horizontal="center" vertical="center"/>
    </xf>
    <xf numFmtId="14" fontId="6" fillId="0" borderId="3" xfId="3" applyNumberFormat="1" applyBorder="1" applyAlignment="1">
      <alignment horizontal="center" vertical="center"/>
    </xf>
    <xf numFmtId="166" fontId="6" fillId="2" borderId="0" xfId="2" applyNumberFormat="1" applyFill="1" applyBorder="1" applyAlignment="1">
      <alignment vertical="center"/>
    </xf>
    <xf numFmtId="14" fontId="0" fillId="0" borderId="7" xfId="3" applyNumberFormat="1" applyFont="1" applyBorder="1" applyAlignment="1">
      <alignment horizontal="center" vertical="center" wrapText="1"/>
    </xf>
    <xf numFmtId="164" fontId="6" fillId="2" borderId="0" xfId="2" applyNumberFormat="1" applyFill="1" applyAlignment="1">
      <alignment vertical="center"/>
    </xf>
    <xf numFmtId="0" fontId="6" fillId="2" borderId="0" xfId="3" applyFill="1" applyBorder="1" applyAlignment="1">
      <alignment vertical="center"/>
    </xf>
    <xf numFmtId="0" fontId="0" fillId="2" borderId="0" xfId="3" applyFont="1" applyFill="1" applyAlignment="1">
      <alignment horizontal="right" vertical="center"/>
    </xf>
    <xf numFmtId="164" fontId="6" fillId="2" borderId="0" xfId="3" applyNumberFormat="1" applyFill="1" applyAlignment="1">
      <alignment vertical="center"/>
    </xf>
    <xf numFmtId="164" fontId="7" fillId="2" borderId="0" xfId="3" applyNumberFormat="1" applyFont="1" applyFill="1" applyAlignment="1">
      <alignment vertical="center"/>
    </xf>
    <xf numFmtId="0" fontId="6" fillId="2" borderId="0" xfId="3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168" fontId="0" fillId="2" borderId="0" xfId="3" applyNumberFormat="1" applyFont="1" applyFill="1" applyAlignment="1">
      <alignment horizontal="right" vertical="center"/>
    </xf>
    <xf numFmtId="1" fontId="5" fillId="2" borderId="0" xfId="4" applyNumberFormat="1" applyFill="1" applyAlignment="1">
      <alignment vertical="center"/>
    </xf>
    <xf numFmtId="1" fontId="6" fillId="2" borderId="0" xfId="3" applyNumberFormat="1" applyFill="1" applyAlignment="1">
      <alignment vertical="center"/>
    </xf>
    <xf numFmtId="169" fontId="5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6" fillId="2" borderId="0" xfId="2" applyNumberFormat="1" applyFill="1" applyAlignment="1">
      <alignment vertical="center"/>
    </xf>
    <xf numFmtId="0" fontId="5" fillId="2" borderId="0" xfId="3" applyFont="1" applyFill="1" applyAlignment="1">
      <alignment horizontal="right" vertical="center"/>
    </xf>
    <xf numFmtId="0" fontId="6" fillId="2" borderId="0" xfId="3" applyFill="1" applyAlignment="1">
      <alignment horizontal="right" vertical="center"/>
    </xf>
    <xf numFmtId="164" fontId="7" fillId="2" borderId="0" xfId="2" applyNumberFormat="1" applyFont="1" applyFill="1" applyAlignment="1">
      <alignment vertical="center"/>
    </xf>
    <xf numFmtId="167" fontId="0" fillId="2" borderId="0" xfId="5" applyFont="1" applyFill="1" applyAlignment="1">
      <alignment vertical="center"/>
    </xf>
    <xf numFmtId="0" fontId="6" fillId="2" borderId="0" xfId="2" applyFill="1" applyAlignment="1">
      <alignment horizontal="right" vertical="center"/>
    </xf>
    <xf numFmtId="0" fontId="5" fillId="2" borderId="0" xfId="3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167" fontId="0" fillId="2" borderId="0" xfId="4" applyFont="1" applyFill="1" applyAlignment="1">
      <alignment vertical="center"/>
    </xf>
    <xf numFmtId="170" fontId="6" fillId="2" borderId="0" xfId="2" applyNumberFormat="1" applyFill="1" applyAlignment="1">
      <alignment vertical="center"/>
    </xf>
    <xf numFmtId="0" fontId="6" fillId="2" borderId="0" xfId="2" applyFill="1"/>
    <xf numFmtId="170" fontId="6" fillId="2" borderId="0" xfId="2" applyNumberFormat="1" applyFill="1"/>
    <xf numFmtId="0" fontId="6" fillId="0" borderId="0" xfId="2"/>
    <xf numFmtId="0" fontId="0" fillId="2" borderId="0" xfId="0" applyFill="1"/>
    <xf numFmtId="16" fontId="15" fillId="2" borderId="5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/>
    </xf>
    <xf numFmtId="1" fontId="16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18" fillId="2" borderId="0" xfId="0" applyFont="1" applyFill="1"/>
    <xf numFmtId="1" fontId="1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4" fillId="2" borderId="0" xfId="0" applyFont="1" applyFill="1" applyAlignment="1"/>
    <xf numFmtId="0" fontId="14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2" fontId="7" fillId="2" borderId="0" xfId="0" applyNumberFormat="1" applyFont="1" applyFill="1"/>
    <xf numFmtId="0" fontId="8" fillId="2" borderId="0" xfId="0" applyFont="1" applyFill="1"/>
    <xf numFmtId="0" fontId="7" fillId="2" borderId="0" xfId="0" applyFont="1" applyFill="1"/>
    <xf numFmtId="41" fontId="7" fillId="2" borderId="0" xfId="1" applyFont="1" applyFill="1"/>
    <xf numFmtId="41" fontId="7" fillId="3" borderId="0" xfId="1" applyFont="1" applyFill="1"/>
    <xf numFmtId="0" fontId="7" fillId="2" borderId="0" xfId="2" applyFont="1" applyFill="1" applyAlignment="1">
      <alignment horizontal="right" vertical="center"/>
    </xf>
    <xf numFmtId="41" fontId="7" fillId="3" borderId="0" xfId="1" applyFont="1" applyFill="1" applyAlignment="1">
      <alignment vertical="center"/>
    </xf>
    <xf numFmtId="0" fontId="19" fillId="2" borderId="0" xfId="3" applyFont="1" applyFill="1" applyAlignment="1">
      <alignment vertical="center"/>
    </xf>
    <xf numFmtId="1" fontId="16" fillId="2" borderId="8" xfId="0" applyNumberFormat="1" applyFont="1" applyFill="1" applyBorder="1" applyAlignment="1">
      <alignment horizontal="center" vertical="center" wrapText="1"/>
    </xf>
    <xf numFmtId="165" fontId="6" fillId="0" borderId="5" xfId="3" applyNumberFormat="1" applyBorder="1" applyAlignment="1">
      <alignment vertical="center"/>
    </xf>
    <xf numFmtId="164" fontId="6" fillId="0" borderId="5" xfId="3" applyNumberFormat="1" applyBorder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39" fontId="6" fillId="2" borderId="5" xfId="3" applyNumberFormat="1" applyFill="1" applyBorder="1" applyAlignment="1">
      <alignment horizontal="center" vertical="center"/>
    </xf>
    <xf numFmtId="4" fontId="6" fillId="5" borderId="5" xfId="2" applyNumberFormat="1" applyFill="1" applyBorder="1" applyAlignment="1">
      <alignment horizontal="center" vertical="center"/>
    </xf>
    <xf numFmtId="0" fontId="11" fillId="6" borderId="4" xfId="2" applyFont="1" applyFill="1" applyBorder="1" applyAlignment="1">
      <alignment horizontal="center" vertical="center" wrapText="1"/>
    </xf>
    <xf numFmtId="0" fontId="22" fillId="2" borderId="16" xfId="2" applyFont="1" applyFill="1" applyBorder="1" applyAlignment="1">
      <alignment horizontal="center" vertical="center" wrapText="1"/>
    </xf>
    <xf numFmtId="0" fontId="15" fillId="2" borderId="0" xfId="2" applyFont="1" applyFill="1" applyBorder="1" applyAlignment="1">
      <alignment vertical="center"/>
    </xf>
    <xf numFmtId="0" fontId="15" fillId="2" borderId="0" xfId="2" applyFont="1" applyFill="1" applyAlignment="1">
      <alignment vertical="center"/>
    </xf>
    <xf numFmtId="0" fontId="15" fillId="0" borderId="0" xfId="2" applyFont="1" applyAlignment="1">
      <alignment vertical="center"/>
    </xf>
    <xf numFmtId="0" fontId="22" fillId="2" borderId="4" xfId="2" applyFont="1" applyFill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/>
    </xf>
    <xf numFmtId="0" fontId="6" fillId="2" borderId="22" xfId="2" applyFill="1" applyBorder="1" applyAlignment="1">
      <alignment vertical="center"/>
    </xf>
    <xf numFmtId="0" fontId="7" fillId="2" borderId="22" xfId="2" applyFont="1" applyFill="1" applyBorder="1" applyAlignment="1">
      <alignment horizontal="left" vertical="center"/>
    </xf>
    <xf numFmtId="0" fontId="6" fillId="2" borderId="23" xfId="2" applyFill="1" applyBorder="1" applyAlignment="1">
      <alignment vertical="center"/>
    </xf>
    <xf numFmtId="164" fontId="6" fillId="0" borderId="6" xfId="3" applyNumberFormat="1" applyBorder="1" applyAlignment="1">
      <alignment vertical="center"/>
    </xf>
    <xf numFmtId="39" fontId="20" fillId="4" borderId="9" xfId="9" applyNumberFormat="1" applyBorder="1" applyAlignment="1">
      <alignment horizontal="center" vertical="center"/>
    </xf>
    <xf numFmtId="4" fontId="6" fillId="5" borderId="24" xfId="2" applyNumberFormat="1" applyFill="1" applyBorder="1" applyAlignment="1">
      <alignment horizontal="center" vertical="center"/>
    </xf>
    <xf numFmtId="39" fontId="20" fillId="4" borderId="25" xfId="9" applyNumberFormat="1" applyBorder="1" applyAlignment="1">
      <alignment horizontal="center" vertical="center"/>
    </xf>
    <xf numFmtId="165" fontId="6" fillId="0" borderId="24" xfId="3" applyNumberFormat="1" applyBorder="1" applyAlignment="1">
      <alignment vertical="center"/>
    </xf>
    <xf numFmtId="164" fontId="6" fillId="0" borderId="24" xfId="3" applyNumberFormat="1" applyBorder="1" applyAlignment="1">
      <alignment vertical="center"/>
    </xf>
    <xf numFmtId="164" fontId="6" fillId="0" borderId="26" xfId="3" applyNumberFormat="1" applyBorder="1" applyAlignment="1">
      <alignment vertical="center"/>
    </xf>
    <xf numFmtId="0" fontId="7" fillId="2" borderId="22" xfId="2" applyFont="1" applyFill="1" applyBorder="1" applyAlignment="1">
      <alignment horizontal="center" vertical="center"/>
    </xf>
    <xf numFmtId="0" fontId="6" fillId="2" borderId="22" xfId="2" applyFill="1" applyBorder="1" applyAlignment="1">
      <alignment horizontal="center" vertical="center"/>
    </xf>
    <xf numFmtId="171" fontId="6" fillId="0" borderId="5" xfId="7" applyNumberFormat="1" applyFont="1" applyBorder="1" applyAlignment="1">
      <alignment horizontal="center" vertical="center"/>
    </xf>
    <xf numFmtId="41" fontId="3" fillId="0" borderId="5" xfId="1" applyFont="1" applyBorder="1" applyAlignment="1">
      <alignment horizontal="center" vertical="center"/>
    </xf>
    <xf numFmtId="39" fontId="6" fillId="0" borderId="5" xfId="3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39" fontId="6" fillId="0" borderId="24" xfId="3" applyNumberFormat="1" applyBorder="1" applyAlignment="1">
      <alignment horizontal="center" vertical="center"/>
    </xf>
    <xf numFmtId="41" fontId="5" fillId="2" borderId="0" xfId="1" applyFont="1" applyFill="1" applyAlignment="1">
      <alignment horizontal="center" vertical="center"/>
    </xf>
    <xf numFmtId="0" fontId="6" fillId="2" borderId="0" xfId="3" applyFill="1" applyAlignment="1">
      <alignment horizontal="center" vertical="center"/>
    </xf>
    <xf numFmtId="1" fontId="5" fillId="2" borderId="0" xfId="4" applyNumberFormat="1" applyFill="1" applyAlignment="1">
      <alignment horizontal="center" vertical="center"/>
    </xf>
    <xf numFmtId="0" fontId="6" fillId="2" borderId="0" xfId="2" applyFill="1" applyAlignment="1">
      <alignment horizontal="center" vertical="center"/>
    </xf>
    <xf numFmtId="1" fontId="5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6" fillId="2" borderId="0" xfId="3" applyNumberFormat="1" applyFill="1" applyAlignment="1">
      <alignment horizontal="center" vertical="center"/>
    </xf>
    <xf numFmtId="1" fontId="7" fillId="2" borderId="0" xfId="3" applyNumberFormat="1" applyFont="1" applyFill="1" applyAlignment="1">
      <alignment horizontal="center" vertical="center"/>
    </xf>
    <xf numFmtId="169" fontId="6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4" fontId="6" fillId="2" borderId="0" xfId="3" applyNumberFormat="1" applyFill="1" applyAlignment="1">
      <alignment horizontal="center" vertical="center"/>
    </xf>
    <xf numFmtId="0" fontId="6" fillId="2" borderId="0" xfId="2" applyFill="1" applyAlignment="1">
      <alignment horizontal="center"/>
    </xf>
    <xf numFmtId="164" fontId="6" fillId="2" borderId="0" xfId="3" applyNumberFormat="1" applyFill="1" applyAlignment="1">
      <alignment horizontal="center"/>
    </xf>
    <xf numFmtId="0" fontId="6" fillId="2" borderId="0" xfId="3" applyFill="1" applyAlignment="1">
      <alignment horizontal="center"/>
    </xf>
    <xf numFmtId="0" fontId="6" fillId="0" borderId="0" xfId="2" applyAlignment="1">
      <alignment horizontal="center"/>
    </xf>
    <xf numFmtId="9" fontId="6" fillId="2" borderId="0" xfId="8" applyFont="1" applyFill="1" applyBorder="1" applyAlignment="1">
      <alignment vertical="center"/>
    </xf>
    <xf numFmtId="1" fontId="15" fillId="2" borderId="5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12" fillId="3" borderId="19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1" fontId="0" fillId="3" borderId="0" xfId="1" applyFont="1" applyFill="1" applyAlignment="1">
      <alignment horizontal="center"/>
    </xf>
    <xf numFmtId="41" fontId="24" fillId="3" borderId="19" xfId="0" applyNumberFormat="1" applyFont="1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/>
    </xf>
    <xf numFmtId="2" fontId="16" fillId="2" borderId="8" xfId="0" applyNumberFormat="1" applyFont="1" applyFill="1" applyBorder="1" applyAlignment="1">
      <alignment horizontal="center" vertical="center" wrapText="1"/>
    </xf>
    <xf numFmtId="2" fontId="16" fillId="2" borderId="15" xfId="0" applyNumberFormat="1" applyFont="1" applyFill="1" applyBorder="1" applyAlignment="1">
      <alignment horizontal="center" vertical="center" wrapText="1"/>
    </xf>
    <xf numFmtId="2" fontId="16" fillId="2" borderId="5" xfId="0" applyNumberFormat="1" applyFont="1" applyFill="1" applyBorder="1" applyAlignment="1">
      <alignment horizontal="center" vertical="center" wrapText="1"/>
    </xf>
    <xf numFmtId="0" fontId="26" fillId="2" borderId="0" xfId="0" applyNumberFormat="1" applyFont="1" applyFill="1" applyAlignment="1">
      <alignment horizontal="center"/>
    </xf>
    <xf numFmtId="2" fontId="26" fillId="2" borderId="0" xfId="0" applyNumberFormat="1" applyFont="1" applyFill="1" applyAlignment="1">
      <alignment horizontal="center"/>
    </xf>
    <xf numFmtId="0" fontId="0" fillId="3" borderId="13" xfId="0" applyFill="1" applyBorder="1" applyAlignment="1">
      <alignment horizontal="center"/>
    </xf>
    <xf numFmtId="0" fontId="8" fillId="3" borderId="13" xfId="0" applyFont="1" applyFill="1" applyBorder="1" applyAlignment="1">
      <alignment horizontal="right"/>
    </xf>
    <xf numFmtId="0" fontId="25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right"/>
    </xf>
    <xf numFmtId="0" fontId="19" fillId="3" borderId="13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 vertical="center"/>
    </xf>
    <xf numFmtId="0" fontId="21" fillId="2" borderId="0" xfId="0" applyFont="1" applyFill="1"/>
    <xf numFmtId="0" fontId="21" fillId="0" borderId="0" xfId="0" applyFont="1"/>
    <xf numFmtId="0" fontId="13" fillId="3" borderId="5" xfId="0" quotePrefix="1" applyFont="1" applyFill="1" applyBorder="1" applyAlignment="1">
      <alignment horizontal="center" vertical="center"/>
    </xf>
    <xf numFmtId="0" fontId="27" fillId="2" borderId="0" xfId="0" applyFont="1" applyFill="1"/>
    <xf numFmtId="0" fontId="27" fillId="0" borderId="0" xfId="0" applyFont="1"/>
    <xf numFmtId="0" fontId="23" fillId="3" borderId="5" xfId="0" applyFont="1" applyFill="1" applyBorder="1" applyAlignment="1">
      <alignment horizontal="center" vertical="center"/>
    </xf>
    <xf numFmtId="0" fontId="23" fillId="3" borderId="5" xfId="0" quotePrefix="1" applyFont="1" applyFill="1" applyBorder="1" applyAlignment="1">
      <alignment horizontal="center" vertical="center"/>
    </xf>
    <xf numFmtId="0" fontId="10" fillId="0" borderId="0" xfId="10"/>
    <xf numFmtId="1" fontId="10" fillId="0" borderId="0" xfId="10" applyNumberFormat="1" applyAlignment="1">
      <alignment horizontal="center"/>
    </xf>
    <xf numFmtId="0" fontId="10" fillId="0" borderId="0" xfId="10" applyAlignment="1">
      <alignment horizontal="center"/>
    </xf>
    <xf numFmtId="1" fontId="28" fillId="0" borderId="0" xfId="10" applyNumberFormat="1" applyFont="1" applyAlignment="1">
      <alignment horizontal="center"/>
    </xf>
    <xf numFmtId="0" fontId="28" fillId="0" borderId="0" xfId="10" applyFont="1" applyAlignment="1">
      <alignment horizontal="center"/>
    </xf>
    <xf numFmtId="2" fontId="10" fillId="0" borderId="0" xfId="10" applyNumberFormat="1" applyAlignment="1">
      <alignment horizontal="center"/>
    </xf>
    <xf numFmtId="0" fontId="29" fillId="0" borderId="0" xfId="10" applyFont="1" applyAlignment="1">
      <alignment horizontal="center"/>
    </xf>
    <xf numFmtId="2" fontId="10" fillId="0" borderId="0" xfId="10" applyNumberFormat="1"/>
    <xf numFmtId="0" fontId="7" fillId="0" borderId="0" xfId="10" applyFont="1"/>
    <xf numFmtId="0" fontId="7" fillId="0" borderId="0" xfId="10" applyFont="1" applyAlignment="1">
      <alignment wrapText="1"/>
    </xf>
    <xf numFmtId="1" fontId="7" fillId="0" borderId="30" xfId="10" applyNumberFormat="1" applyFont="1" applyBorder="1" applyAlignment="1">
      <alignment horizontal="center" wrapText="1"/>
    </xf>
    <xf numFmtId="1" fontId="30" fillId="0" borderId="30" xfId="10" applyNumberFormat="1" applyFont="1" applyBorder="1" applyAlignment="1">
      <alignment horizontal="center"/>
    </xf>
    <xf numFmtId="0" fontId="30" fillId="0" borderId="30" xfId="10" applyFont="1" applyBorder="1" applyAlignment="1">
      <alignment horizontal="center"/>
    </xf>
    <xf numFmtId="0" fontId="7" fillId="0" borderId="30" xfId="10" applyFont="1" applyBorder="1" applyAlignment="1">
      <alignment horizontal="center"/>
    </xf>
    <xf numFmtId="0" fontId="8" fillId="0" borderId="31" xfId="2" applyFont="1" applyBorder="1" applyAlignment="1">
      <alignment horizontal="center" vertical="center"/>
    </xf>
    <xf numFmtId="0" fontId="8" fillId="0" borderId="32" xfId="2" applyFont="1" applyBorder="1" applyAlignment="1">
      <alignment horizontal="center" vertical="center"/>
    </xf>
    <xf numFmtId="0" fontId="8" fillId="0" borderId="33" xfId="2" applyFont="1" applyBorder="1" applyAlignment="1">
      <alignment horizontal="center" vertical="center"/>
    </xf>
    <xf numFmtId="14" fontId="0" fillId="0" borderId="34" xfId="3" applyNumberFormat="1" applyFont="1" applyBorder="1" applyAlignment="1">
      <alignment horizontal="center" vertical="center" wrapText="1"/>
    </xf>
    <xf numFmtId="0" fontId="8" fillId="7" borderId="33" xfId="2" applyFont="1" applyFill="1" applyBorder="1" applyAlignment="1">
      <alignment horizontal="center" vertical="center"/>
    </xf>
    <xf numFmtId="41" fontId="1" fillId="0" borderId="5" xfId="1" applyFont="1" applyBorder="1" applyAlignment="1">
      <alignment horizontal="center" vertical="center"/>
    </xf>
    <xf numFmtId="171" fontId="1" fillId="0" borderId="24" xfId="7" applyNumberFormat="1" applyFont="1" applyBorder="1" applyAlignment="1">
      <alignment horizontal="center" vertical="center"/>
    </xf>
    <xf numFmtId="41" fontId="1" fillId="0" borderId="24" xfId="1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7" fillId="2" borderId="20" xfId="2" applyFont="1" applyFill="1" applyBorder="1" applyAlignment="1">
      <alignment horizontal="center" vertical="center"/>
    </xf>
    <xf numFmtId="0" fontId="7" fillId="2" borderId="2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9" fillId="3" borderId="27" xfId="2" applyFont="1" applyFill="1" applyBorder="1" applyAlignment="1">
      <alignment horizontal="center" vertical="center" wrapText="1"/>
    </xf>
    <xf numFmtId="0" fontId="9" fillId="3" borderId="28" xfId="2" applyFont="1" applyFill="1" applyBorder="1" applyAlignment="1">
      <alignment horizontal="center" vertical="center" wrapText="1"/>
    </xf>
    <xf numFmtId="0" fontId="9" fillId="3" borderId="29" xfId="2" applyFont="1" applyFill="1" applyBorder="1" applyAlignment="1">
      <alignment horizontal="center" vertical="center" wrapText="1"/>
    </xf>
    <xf numFmtId="0" fontId="22" fillId="2" borderId="10" xfId="2" applyFont="1" applyFill="1" applyBorder="1" applyAlignment="1">
      <alignment horizontal="center" vertical="center" wrapText="1"/>
    </xf>
    <xf numFmtId="0" fontId="22" fillId="2" borderId="11" xfId="2" applyFont="1" applyFill="1" applyBorder="1" applyAlignment="1">
      <alignment horizontal="center" vertical="center" wrapText="1"/>
    </xf>
    <xf numFmtId="0" fontId="22" fillId="2" borderId="13" xfId="2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5" xfId="0" quotePrefix="1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10" xfId="0" quotePrefix="1" applyFont="1" applyFill="1" applyBorder="1" applyAlignment="1">
      <alignment horizontal="center" vertical="center"/>
    </xf>
    <xf numFmtId="0" fontId="23" fillId="3" borderId="13" xfId="0" quotePrefix="1" applyFont="1" applyFill="1" applyBorder="1" applyAlignment="1">
      <alignment horizontal="center" vertical="center"/>
    </xf>
    <xf numFmtId="0" fontId="23" fillId="3" borderId="11" xfId="0" quotePrefix="1" applyFont="1" applyFill="1" applyBorder="1" applyAlignment="1">
      <alignment horizontal="center" vertical="center"/>
    </xf>
    <xf numFmtId="0" fontId="23" fillId="3" borderId="10" xfId="0" quotePrefix="1" applyFont="1" applyFill="1" applyBorder="1" applyAlignment="1">
      <alignment horizontal="center" vertical="center" wrapText="1"/>
    </xf>
    <xf numFmtId="0" fontId="23" fillId="3" borderId="11" xfId="0" quotePrefix="1" applyFont="1" applyFill="1" applyBorder="1" applyAlignment="1">
      <alignment horizontal="center" vertical="center" wrapText="1"/>
    </xf>
    <xf numFmtId="0" fontId="30" fillId="0" borderId="30" xfId="10" applyFont="1" applyBorder="1" applyAlignment="1">
      <alignment horizontal="center" wrapText="1"/>
    </xf>
    <xf numFmtId="2" fontId="31" fillId="0" borderId="0" xfId="10" applyNumberFormat="1" applyFont="1" applyAlignment="1">
      <alignment horizontal="center"/>
    </xf>
  </cellXfs>
  <cellStyles count="11">
    <cellStyle name="Calculation" xfId="9" builtinId="22"/>
    <cellStyle name="Comma" xfId="7" builtinId="3"/>
    <cellStyle name="Comma [0]" xfId="1" builtinId="6"/>
    <cellStyle name="Comma [0] 2 4" xfId="5"/>
    <cellStyle name="Comma [0] 5" xfId="4"/>
    <cellStyle name="Normal" xfId="0" builtinId="0"/>
    <cellStyle name="Normal 2" xfId="6"/>
    <cellStyle name="Normal 2 4" xfId="3"/>
    <cellStyle name="Normal 4" xfId="10"/>
    <cellStyle name="Normal 5" xfId="2"/>
    <cellStyle name="Percent" xfId="8" builtinId="5"/>
  </cellStyles>
  <dxfs count="7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T4" sqref="T4"/>
    </sheetView>
  </sheetViews>
  <sheetFormatPr defaultColWidth="11.5703125" defaultRowHeight="15" x14ac:dyDescent="0.25"/>
  <cols>
    <col min="1" max="1" width="12.42578125" style="137" customWidth="1"/>
    <col min="2" max="3" width="11.5703125" style="139"/>
    <col min="4" max="4" width="13.42578125" style="138" customWidth="1"/>
    <col min="5" max="5" width="12.5703125" style="136" customWidth="1"/>
    <col min="6" max="6" width="12.5703125" style="137" customWidth="1"/>
    <col min="7" max="10" width="11.5703125" style="137"/>
    <col min="11" max="12" width="11.5703125" style="136"/>
    <col min="13" max="13" width="0" style="135" hidden="1" customWidth="1"/>
    <col min="14" max="256" width="11.5703125" style="135"/>
    <col min="257" max="257" width="12.42578125" style="135" customWidth="1"/>
    <col min="258" max="259" width="11.5703125" style="135"/>
    <col min="260" max="260" width="13.42578125" style="135" customWidth="1"/>
    <col min="261" max="262" width="12.5703125" style="135" customWidth="1"/>
    <col min="263" max="268" width="11.5703125" style="135"/>
    <col min="269" max="269" width="0" style="135" hidden="1" customWidth="1"/>
    <col min="270" max="512" width="11.5703125" style="135"/>
    <col min="513" max="513" width="12.42578125" style="135" customWidth="1"/>
    <col min="514" max="515" width="11.5703125" style="135"/>
    <col min="516" max="516" width="13.42578125" style="135" customWidth="1"/>
    <col min="517" max="518" width="12.5703125" style="135" customWidth="1"/>
    <col min="519" max="524" width="11.5703125" style="135"/>
    <col min="525" max="525" width="0" style="135" hidden="1" customWidth="1"/>
    <col min="526" max="768" width="11.5703125" style="135"/>
    <col min="769" max="769" width="12.42578125" style="135" customWidth="1"/>
    <col min="770" max="771" width="11.5703125" style="135"/>
    <col min="772" max="772" width="13.42578125" style="135" customWidth="1"/>
    <col min="773" max="774" width="12.5703125" style="135" customWidth="1"/>
    <col min="775" max="780" width="11.5703125" style="135"/>
    <col min="781" max="781" width="0" style="135" hidden="1" customWidth="1"/>
    <col min="782" max="1024" width="11.5703125" style="135"/>
    <col min="1025" max="1025" width="12.42578125" style="135" customWidth="1"/>
    <col min="1026" max="1027" width="11.5703125" style="135"/>
    <col min="1028" max="1028" width="13.42578125" style="135" customWidth="1"/>
    <col min="1029" max="1030" width="12.5703125" style="135" customWidth="1"/>
    <col min="1031" max="1036" width="11.5703125" style="135"/>
    <col min="1037" max="1037" width="0" style="135" hidden="1" customWidth="1"/>
    <col min="1038" max="1280" width="11.5703125" style="135"/>
    <col min="1281" max="1281" width="12.42578125" style="135" customWidth="1"/>
    <col min="1282" max="1283" width="11.5703125" style="135"/>
    <col min="1284" max="1284" width="13.42578125" style="135" customWidth="1"/>
    <col min="1285" max="1286" width="12.5703125" style="135" customWidth="1"/>
    <col min="1287" max="1292" width="11.5703125" style="135"/>
    <col min="1293" max="1293" width="0" style="135" hidden="1" customWidth="1"/>
    <col min="1294" max="1536" width="11.5703125" style="135"/>
    <col min="1537" max="1537" width="12.42578125" style="135" customWidth="1"/>
    <col min="1538" max="1539" width="11.5703125" style="135"/>
    <col min="1540" max="1540" width="13.42578125" style="135" customWidth="1"/>
    <col min="1541" max="1542" width="12.5703125" style="135" customWidth="1"/>
    <col min="1543" max="1548" width="11.5703125" style="135"/>
    <col min="1549" max="1549" width="0" style="135" hidden="1" customWidth="1"/>
    <col min="1550" max="1792" width="11.5703125" style="135"/>
    <col min="1793" max="1793" width="12.42578125" style="135" customWidth="1"/>
    <col min="1794" max="1795" width="11.5703125" style="135"/>
    <col min="1796" max="1796" width="13.42578125" style="135" customWidth="1"/>
    <col min="1797" max="1798" width="12.5703125" style="135" customWidth="1"/>
    <col min="1799" max="1804" width="11.5703125" style="135"/>
    <col min="1805" max="1805" width="0" style="135" hidden="1" customWidth="1"/>
    <col min="1806" max="2048" width="11.5703125" style="135"/>
    <col min="2049" max="2049" width="12.42578125" style="135" customWidth="1"/>
    <col min="2050" max="2051" width="11.5703125" style="135"/>
    <col min="2052" max="2052" width="13.42578125" style="135" customWidth="1"/>
    <col min="2053" max="2054" width="12.5703125" style="135" customWidth="1"/>
    <col min="2055" max="2060" width="11.5703125" style="135"/>
    <col min="2061" max="2061" width="0" style="135" hidden="1" customWidth="1"/>
    <col min="2062" max="2304" width="11.5703125" style="135"/>
    <col min="2305" max="2305" width="12.42578125" style="135" customWidth="1"/>
    <col min="2306" max="2307" width="11.5703125" style="135"/>
    <col min="2308" max="2308" width="13.42578125" style="135" customWidth="1"/>
    <col min="2309" max="2310" width="12.5703125" style="135" customWidth="1"/>
    <col min="2311" max="2316" width="11.5703125" style="135"/>
    <col min="2317" max="2317" width="0" style="135" hidden="1" customWidth="1"/>
    <col min="2318" max="2560" width="11.5703125" style="135"/>
    <col min="2561" max="2561" width="12.42578125" style="135" customWidth="1"/>
    <col min="2562" max="2563" width="11.5703125" style="135"/>
    <col min="2564" max="2564" width="13.42578125" style="135" customWidth="1"/>
    <col min="2565" max="2566" width="12.5703125" style="135" customWidth="1"/>
    <col min="2567" max="2572" width="11.5703125" style="135"/>
    <col min="2573" max="2573" width="0" style="135" hidden="1" customWidth="1"/>
    <col min="2574" max="2816" width="11.5703125" style="135"/>
    <col min="2817" max="2817" width="12.42578125" style="135" customWidth="1"/>
    <col min="2818" max="2819" width="11.5703125" style="135"/>
    <col min="2820" max="2820" width="13.42578125" style="135" customWidth="1"/>
    <col min="2821" max="2822" width="12.5703125" style="135" customWidth="1"/>
    <col min="2823" max="2828" width="11.5703125" style="135"/>
    <col min="2829" max="2829" width="0" style="135" hidden="1" customWidth="1"/>
    <col min="2830" max="3072" width="11.5703125" style="135"/>
    <col min="3073" max="3073" width="12.42578125" style="135" customWidth="1"/>
    <col min="3074" max="3075" width="11.5703125" style="135"/>
    <col min="3076" max="3076" width="13.42578125" style="135" customWidth="1"/>
    <col min="3077" max="3078" width="12.5703125" style="135" customWidth="1"/>
    <col min="3079" max="3084" width="11.5703125" style="135"/>
    <col min="3085" max="3085" width="0" style="135" hidden="1" customWidth="1"/>
    <col min="3086" max="3328" width="11.5703125" style="135"/>
    <col min="3329" max="3329" width="12.42578125" style="135" customWidth="1"/>
    <col min="3330" max="3331" width="11.5703125" style="135"/>
    <col min="3332" max="3332" width="13.42578125" style="135" customWidth="1"/>
    <col min="3333" max="3334" width="12.5703125" style="135" customWidth="1"/>
    <col min="3335" max="3340" width="11.5703125" style="135"/>
    <col min="3341" max="3341" width="0" style="135" hidden="1" customWidth="1"/>
    <col min="3342" max="3584" width="11.5703125" style="135"/>
    <col min="3585" max="3585" width="12.42578125" style="135" customWidth="1"/>
    <col min="3586" max="3587" width="11.5703125" style="135"/>
    <col min="3588" max="3588" width="13.42578125" style="135" customWidth="1"/>
    <col min="3589" max="3590" width="12.5703125" style="135" customWidth="1"/>
    <col min="3591" max="3596" width="11.5703125" style="135"/>
    <col min="3597" max="3597" width="0" style="135" hidden="1" customWidth="1"/>
    <col min="3598" max="3840" width="11.5703125" style="135"/>
    <col min="3841" max="3841" width="12.42578125" style="135" customWidth="1"/>
    <col min="3842" max="3843" width="11.5703125" style="135"/>
    <col min="3844" max="3844" width="13.42578125" style="135" customWidth="1"/>
    <col min="3845" max="3846" width="12.5703125" style="135" customWidth="1"/>
    <col min="3847" max="3852" width="11.5703125" style="135"/>
    <col min="3853" max="3853" width="0" style="135" hidden="1" customWidth="1"/>
    <col min="3854" max="4096" width="11.5703125" style="135"/>
    <col min="4097" max="4097" width="12.42578125" style="135" customWidth="1"/>
    <col min="4098" max="4099" width="11.5703125" style="135"/>
    <col min="4100" max="4100" width="13.42578125" style="135" customWidth="1"/>
    <col min="4101" max="4102" width="12.5703125" style="135" customWidth="1"/>
    <col min="4103" max="4108" width="11.5703125" style="135"/>
    <col min="4109" max="4109" width="0" style="135" hidden="1" customWidth="1"/>
    <col min="4110" max="4352" width="11.5703125" style="135"/>
    <col min="4353" max="4353" width="12.42578125" style="135" customWidth="1"/>
    <col min="4354" max="4355" width="11.5703125" style="135"/>
    <col min="4356" max="4356" width="13.42578125" style="135" customWidth="1"/>
    <col min="4357" max="4358" width="12.5703125" style="135" customWidth="1"/>
    <col min="4359" max="4364" width="11.5703125" style="135"/>
    <col min="4365" max="4365" width="0" style="135" hidden="1" customWidth="1"/>
    <col min="4366" max="4608" width="11.5703125" style="135"/>
    <col min="4609" max="4609" width="12.42578125" style="135" customWidth="1"/>
    <col min="4610" max="4611" width="11.5703125" style="135"/>
    <col min="4612" max="4612" width="13.42578125" style="135" customWidth="1"/>
    <col min="4613" max="4614" width="12.5703125" style="135" customWidth="1"/>
    <col min="4615" max="4620" width="11.5703125" style="135"/>
    <col min="4621" max="4621" width="0" style="135" hidden="1" customWidth="1"/>
    <col min="4622" max="4864" width="11.5703125" style="135"/>
    <col min="4865" max="4865" width="12.42578125" style="135" customWidth="1"/>
    <col min="4866" max="4867" width="11.5703125" style="135"/>
    <col min="4868" max="4868" width="13.42578125" style="135" customWidth="1"/>
    <col min="4869" max="4870" width="12.5703125" style="135" customWidth="1"/>
    <col min="4871" max="4876" width="11.5703125" style="135"/>
    <col min="4877" max="4877" width="0" style="135" hidden="1" customWidth="1"/>
    <col min="4878" max="5120" width="11.5703125" style="135"/>
    <col min="5121" max="5121" width="12.42578125" style="135" customWidth="1"/>
    <col min="5122" max="5123" width="11.5703125" style="135"/>
    <col min="5124" max="5124" width="13.42578125" style="135" customWidth="1"/>
    <col min="5125" max="5126" width="12.5703125" style="135" customWidth="1"/>
    <col min="5127" max="5132" width="11.5703125" style="135"/>
    <col min="5133" max="5133" width="0" style="135" hidden="1" customWidth="1"/>
    <col min="5134" max="5376" width="11.5703125" style="135"/>
    <col min="5377" max="5377" width="12.42578125" style="135" customWidth="1"/>
    <col min="5378" max="5379" width="11.5703125" style="135"/>
    <col min="5380" max="5380" width="13.42578125" style="135" customWidth="1"/>
    <col min="5381" max="5382" width="12.5703125" style="135" customWidth="1"/>
    <col min="5383" max="5388" width="11.5703125" style="135"/>
    <col min="5389" max="5389" width="0" style="135" hidden="1" customWidth="1"/>
    <col min="5390" max="5632" width="11.5703125" style="135"/>
    <col min="5633" max="5633" width="12.42578125" style="135" customWidth="1"/>
    <col min="5634" max="5635" width="11.5703125" style="135"/>
    <col min="5636" max="5636" width="13.42578125" style="135" customWidth="1"/>
    <col min="5637" max="5638" width="12.5703125" style="135" customWidth="1"/>
    <col min="5639" max="5644" width="11.5703125" style="135"/>
    <col min="5645" max="5645" width="0" style="135" hidden="1" customWidth="1"/>
    <col min="5646" max="5888" width="11.5703125" style="135"/>
    <col min="5889" max="5889" width="12.42578125" style="135" customWidth="1"/>
    <col min="5890" max="5891" width="11.5703125" style="135"/>
    <col min="5892" max="5892" width="13.42578125" style="135" customWidth="1"/>
    <col min="5893" max="5894" width="12.5703125" style="135" customWidth="1"/>
    <col min="5895" max="5900" width="11.5703125" style="135"/>
    <col min="5901" max="5901" width="0" style="135" hidden="1" customWidth="1"/>
    <col min="5902" max="6144" width="11.5703125" style="135"/>
    <col min="6145" max="6145" width="12.42578125" style="135" customWidth="1"/>
    <col min="6146" max="6147" width="11.5703125" style="135"/>
    <col min="6148" max="6148" width="13.42578125" style="135" customWidth="1"/>
    <col min="6149" max="6150" width="12.5703125" style="135" customWidth="1"/>
    <col min="6151" max="6156" width="11.5703125" style="135"/>
    <col min="6157" max="6157" width="0" style="135" hidden="1" customWidth="1"/>
    <col min="6158" max="6400" width="11.5703125" style="135"/>
    <col min="6401" max="6401" width="12.42578125" style="135" customWidth="1"/>
    <col min="6402" max="6403" width="11.5703125" style="135"/>
    <col min="6404" max="6404" width="13.42578125" style="135" customWidth="1"/>
    <col min="6405" max="6406" width="12.5703125" style="135" customWidth="1"/>
    <col min="6407" max="6412" width="11.5703125" style="135"/>
    <col min="6413" max="6413" width="0" style="135" hidden="1" customWidth="1"/>
    <col min="6414" max="6656" width="11.5703125" style="135"/>
    <col min="6657" max="6657" width="12.42578125" style="135" customWidth="1"/>
    <col min="6658" max="6659" width="11.5703125" style="135"/>
    <col min="6660" max="6660" width="13.42578125" style="135" customWidth="1"/>
    <col min="6661" max="6662" width="12.5703125" style="135" customWidth="1"/>
    <col min="6663" max="6668" width="11.5703125" style="135"/>
    <col min="6669" max="6669" width="0" style="135" hidden="1" customWidth="1"/>
    <col min="6670" max="6912" width="11.5703125" style="135"/>
    <col min="6913" max="6913" width="12.42578125" style="135" customWidth="1"/>
    <col min="6914" max="6915" width="11.5703125" style="135"/>
    <col min="6916" max="6916" width="13.42578125" style="135" customWidth="1"/>
    <col min="6917" max="6918" width="12.5703125" style="135" customWidth="1"/>
    <col min="6919" max="6924" width="11.5703125" style="135"/>
    <col min="6925" max="6925" width="0" style="135" hidden="1" customWidth="1"/>
    <col min="6926" max="7168" width="11.5703125" style="135"/>
    <col min="7169" max="7169" width="12.42578125" style="135" customWidth="1"/>
    <col min="7170" max="7171" width="11.5703125" style="135"/>
    <col min="7172" max="7172" width="13.42578125" style="135" customWidth="1"/>
    <col min="7173" max="7174" width="12.5703125" style="135" customWidth="1"/>
    <col min="7175" max="7180" width="11.5703125" style="135"/>
    <col min="7181" max="7181" width="0" style="135" hidden="1" customWidth="1"/>
    <col min="7182" max="7424" width="11.5703125" style="135"/>
    <col min="7425" max="7425" width="12.42578125" style="135" customWidth="1"/>
    <col min="7426" max="7427" width="11.5703125" style="135"/>
    <col min="7428" max="7428" width="13.42578125" style="135" customWidth="1"/>
    <col min="7429" max="7430" width="12.5703125" style="135" customWidth="1"/>
    <col min="7431" max="7436" width="11.5703125" style="135"/>
    <col min="7437" max="7437" width="0" style="135" hidden="1" customWidth="1"/>
    <col min="7438" max="7680" width="11.5703125" style="135"/>
    <col min="7681" max="7681" width="12.42578125" style="135" customWidth="1"/>
    <col min="7682" max="7683" width="11.5703125" style="135"/>
    <col min="7684" max="7684" width="13.42578125" style="135" customWidth="1"/>
    <col min="7685" max="7686" width="12.5703125" style="135" customWidth="1"/>
    <col min="7687" max="7692" width="11.5703125" style="135"/>
    <col min="7693" max="7693" width="0" style="135" hidden="1" customWidth="1"/>
    <col min="7694" max="7936" width="11.5703125" style="135"/>
    <col min="7937" max="7937" width="12.42578125" style="135" customWidth="1"/>
    <col min="7938" max="7939" width="11.5703125" style="135"/>
    <col min="7940" max="7940" width="13.42578125" style="135" customWidth="1"/>
    <col min="7941" max="7942" width="12.5703125" style="135" customWidth="1"/>
    <col min="7943" max="7948" width="11.5703125" style="135"/>
    <col min="7949" max="7949" width="0" style="135" hidden="1" customWidth="1"/>
    <col min="7950" max="8192" width="11.5703125" style="135"/>
    <col min="8193" max="8193" width="12.42578125" style="135" customWidth="1"/>
    <col min="8194" max="8195" width="11.5703125" style="135"/>
    <col min="8196" max="8196" width="13.42578125" style="135" customWidth="1"/>
    <col min="8197" max="8198" width="12.5703125" style="135" customWidth="1"/>
    <col min="8199" max="8204" width="11.5703125" style="135"/>
    <col min="8205" max="8205" width="0" style="135" hidden="1" customWidth="1"/>
    <col min="8206" max="8448" width="11.5703125" style="135"/>
    <col min="8449" max="8449" width="12.42578125" style="135" customWidth="1"/>
    <col min="8450" max="8451" width="11.5703125" style="135"/>
    <col min="8452" max="8452" width="13.42578125" style="135" customWidth="1"/>
    <col min="8453" max="8454" width="12.5703125" style="135" customWidth="1"/>
    <col min="8455" max="8460" width="11.5703125" style="135"/>
    <col min="8461" max="8461" width="0" style="135" hidden="1" customWidth="1"/>
    <col min="8462" max="8704" width="11.5703125" style="135"/>
    <col min="8705" max="8705" width="12.42578125" style="135" customWidth="1"/>
    <col min="8706" max="8707" width="11.5703125" style="135"/>
    <col min="8708" max="8708" width="13.42578125" style="135" customWidth="1"/>
    <col min="8709" max="8710" width="12.5703125" style="135" customWidth="1"/>
    <col min="8711" max="8716" width="11.5703125" style="135"/>
    <col min="8717" max="8717" width="0" style="135" hidden="1" customWidth="1"/>
    <col min="8718" max="8960" width="11.5703125" style="135"/>
    <col min="8961" max="8961" width="12.42578125" style="135" customWidth="1"/>
    <col min="8962" max="8963" width="11.5703125" style="135"/>
    <col min="8964" max="8964" width="13.42578125" style="135" customWidth="1"/>
    <col min="8965" max="8966" width="12.5703125" style="135" customWidth="1"/>
    <col min="8967" max="8972" width="11.5703125" style="135"/>
    <col min="8973" max="8973" width="0" style="135" hidden="1" customWidth="1"/>
    <col min="8974" max="9216" width="11.5703125" style="135"/>
    <col min="9217" max="9217" width="12.42578125" style="135" customWidth="1"/>
    <col min="9218" max="9219" width="11.5703125" style="135"/>
    <col min="9220" max="9220" width="13.42578125" style="135" customWidth="1"/>
    <col min="9221" max="9222" width="12.5703125" style="135" customWidth="1"/>
    <col min="9223" max="9228" width="11.5703125" style="135"/>
    <col min="9229" max="9229" width="0" style="135" hidden="1" customWidth="1"/>
    <col min="9230" max="9472" width="11.5703125" style="135"/>
    <col min="9473" max="9473" width="12.42578125" style="135" customWidth="1"/>
    <col min="9474" max="9475" width="11.5703125" style="135"/>
    <col min="9476" max="9476" width="13.42578125" style="135" customWidth="1"/>
    <col min="9477" max="9478" width="12.5703125" style="135" customWidth="1"/>
    <col min="9479" max="9484" width="11.5703125" style="135"/>
    <col min="9485" max="9485" width="0" style="135" hidden="1" customWidth="1"/>
    <col min="9486" max="9728" width="11.5703125" style="135"/>
    <col min="9729" max="9729" width="12.42578125" style="135" customWidth="1"/>
    <col min="9730" max="9731" width="11.5703125" style="135"/>
    <col min="9732" max="9732" width="13.42578125" style="135" customWidth="1"/>
    <col min="9733" max="9734" width="12.5703125" style="135" customWidth="1"/>
    <col min="9735" max="9740" width="11.5703125" style="135"/>
    <col min="9741" max="9741" width="0" style="135" hidden="1" customWidth="1"/>
    <col min="9742" max="9984" width="11.5703125" style="135"/>
    <col min="9985" max="9985" width="12.42578125" style="135" customWidth="1"/>
    <col min="9986" max="9987" width="11.5703125" style="135"/>
    <col min="9988" max="9988" width="13.42578125" style="135" customWidth="1"/>
    <col min="9989" max="9990" width="12.5703125" style="135" customWidth="1"/>
    <col min="9991" max="9996" width="11.5703125" style="135"/>
    <col min="9997" max="9997" width="0" style="135" hidden="1" customWidth="1"/>
    <col min="9998" max="10240" width="11.5703125" style="135"/>
    <col min="10241" max="10241" width="12.42578125" style="135" customWidth="1"/>
    <col min="10242" max="10243" width="11.5703125" style="135"/>
    <col min="10244" max="10244" width="13.42578125" style="135" customWidth="1"/>
    <col min="10245" max="10246" width="12.5703125" style="135" customWidth="1"/>
    <col min="10247" max="10252" width="11.5703125" style="135"/>
    <col min="10253" max="10253" width="0" style="135" hidden="1" customWidth="1"/>
    <col min="10254" max="10496" width="11.5703125" style="135"/>
    <col min="10497" max="10497" width="12.42578125" style="135" customWidth="1"/>
    <col min="10498" max="10499" width="11.5703125" style="135"/>
    <col min="10500" max="10500" width="13.42578125" style="135" customWidth="1"/>
    <col min="10501" max="10502" width="12.5703125" style="135" customWidth="1"/>
    <col min="10503" max="10508" width="11.5703125" style="135"/>
    <col min="10509" max="10509" width="0" style="135" hidden="1" customWidth="1"/>
    <col min="10510" max="10752" width="11.5703125" style="135"/>
    <col min="10753" max="10753" width="12.42578125" style="135" customWidth="1"/>
    <col min="10754" max="10755" width="11.5703125" style="135"/>
    <col min="10756" max="10756" width="13.42578125" style="135" customWidth="1"/>
    <col min="10757" max="10758" width="12.5703125" style="135" customWidth="1"/>
    <col min="10759" max="10764" width="11.5703125" style="135"/>
    <col min="10765" max="10765" width="0" style="135" hidden="1" customWidth="1"/>
    <col min="10766" max="11008" width="11.5703125" style="135"/>
    <col min="11009" max="11009" width="12.42578125" style="135" customWidth="1"/>
    <col min="11010" max="11011" width="11.5703125" style="135"/>
    <col min="11012" max="11012" width="13.42578125" style="135" customWidth="1"/>
    <col min="11013" max="11014" width="12.5703125" style="135" customWidth="1"/>
    <col min="11015" max="11020" width="11.5703125" style="135"/>
    <col min="11021" max="11021" width="0" style="135" hidden="1" customWidth="1"/>
    <col min="11022" max="11264" width="11.5703125" style="135"/>
    <col min="11265" max="11265" width="12.42578125" style="135" customWidth="1"/>
    <col min="11266" max="11267" width="11.5703125" style="135"/>
    <col min="11268" max="11268" width="13.42578125" style="135" customWidth="1"/>
    <col min="11269" max="11270" width="12.5703125" style="135" customWidth="1"/>
    <col min="11271" max="11276" width="11.5703125" style="135"/>
    <col min="11277" max="11277" width="0" style="135" hidden="1" customWidth="1"/>
    <col min="11278" max="11520" width="11.5703125" style="135"/>
    <col min="11521" max="11521" width="12.42578125" style="135" customWidth="1"/>
    <col min="11522" max="11523" width="11.5703125" style="135"/>
    <col min="11524" max="11524" width="13.42578125" style="135" customWidth="1"/>
    <col min="11525" max="11526" width="12.5703125" style="135" customWidth="1"/>
    <col min="11527" max="11532" width="11.5703125" style="135"/>
    <col min="11533" max="11533" width="0" style="135" hidden="1" customWidth="1"/>
    <col min="11534" max="11776" width="11.5703125" style="135"/>
    <col min="11777" max="11777" width="12.42578125" style="135" customWidth="1"/>
    <col min="11778" max="11779" width="11.5703125" style="135"/>
    <col min="11780" max="11780" width="13.42578125" style="135" customWidth="1"/>
    <col min="11781" max="11782" width="12.5703125" style="135" customWidth="1"/>
    <col min="11783" max="11788" width="11.5703125" style="135"/>
    <col min="11789" max="11789" width="0" style="135" hidden="1" customWidth="1"/>
    <col min="11790" max="12032" width="11.5703125" style="135"/>
    <col min="12033" max="12033" width="12.42578125" style="135" customWidth="1"/>
    <col min="12034" max="12035" width="11.5703125" style="135"/>
    <col min="12036" max="12036" width="13.42578125" style="135" customWidth="1"/>
    <col min="12037" max="12038" width="12.5703125" style="135" customWidth="1"/>
    <col min="12039" max="12044" width="11.5703125" style="135"/>
    <col min="12045" max="12045" width="0" style="135" hidden="1" customWidth="1"/>
    <col min="12046" max="12288" width="11.5703125" style="135"/>
    <col min="12289" max="12289" width="12.42578125" style="135" customWidth="1"/>
    <col min="12290" max="12291" width="11.5703125" style="135"/>
    <col min="12292" max="12292" width="13.42578125" style="135" customWidth="1"/>
    <col min="12293" max="12294" width="12.5703125" style="135" customWidth="1"/>
    <col min="12295" max="12300" width="11.5703125" style="135"/>
    <col min="12301" max="12301" width="0" style="135" hidden="1" customWidth="1"/>
    <col min="12302" max="12544" width="11.5703125" style="135"/>
    <col min="12545" max="12545" width="12.42578125" style="135" customWidth="1"/>
    <col min="12546" max="12547" width="11.5703125" style="135"/>
    <col min="12548" max="12548" width="13.42578125" style="135" customWidth="1"/>
    <col min="12549" max="12550" width="12.5703125" style="135" customWidth="1"/>
    <col min="12551" max="12556" width="11.5703125" style="135"/>
    <col min="12557" max="12557" width="0" style="135" hidden="1" customWidth="1"/>
    <col min="12558" max="12800" width="11.5703125" style="135"/>
    <col min="12801" max="12801" width="12.42578125" style="135" customWidth="1"/>
    <col min="12802" max="12803" width="11.5703125" style="135"/>
    <col min="12804" max="12804" width="13.42578125" style="135" customWidth="1"/>
    <col min="12805" max="12806" width="12.5703125" style="135" customWidth="1"/>
    <col min="12807" max="12812" width="11.5703125" style="135"/>
    <col min="12813" max="12813" width="0" style="135" hidden="1" customWidth="1"/>
    <col min="12814" max="13056" width="11.5703125" style="135"/>
    <col min="13057" max="13057" width="12.42578125" style="135" customWidth="1"/>
    <col min="13058" max="13059" width="11.5703125" style="135"/>
    <col min="13060" max="13060" width="13.42578125" style="135" customWidth="1"/>
    <col min="13061" max="13062" width="12.5703125" style="135" customWidth="1"/>
    <col min="13063" max="13068" width="11.5703125" style="135"/>
    <col min="13069" max="13069" width="0" style="135" hidden="1" customWidth="1"/>
    <col min="13070" max="13312" width="11.5703125" style="135"/>
    <col min="13313" max="13313" width="12.42578125" style="135" customWidth="1"/>
    <col min="13314" max="13315" width="11.5703125" style="135"/>
    <col min="13316" max="13316" width="13.42578125" style="135" customWidth="1"/>
    <col min="13317" max="13318" width="12.5703125" style="135" customWidth="1"/>
    <col min="13319" max="13324" width="11.5703125" style="135"/>
    <col min="13325" max="13325" width="0" style="135" hidden="1" customWidth="1"/>
    <col min="13326" max="13568" width="11.5703125" style="135"/>
    <col min="13569" max="13569" width="12.42578125" style="135" customWidth="1"/>
    <col min="13570" max="13571" width="11.5703125" style="135"/>
    <col min="13572" max="13572" width="13.42578125" style="135" customWidth="1"/>
    <col min="13573" max="13574" width="12.5703125" style="135" customWidth="1"/>
    <col min="13575" max="13580" width="11.5703125" style="135"/>
    <col min="13581" max="13581" width="0" style="135" hidden="1" customWidth="1"/>
    <col min="13582" max="13824" width="11.5703125" style="135"/>
    <col min="13825" max="13825" width="12.42578125" style="135" customWidth="1"/>
    <col min="13826" max="13827" width="11.5703125" style="135"/>
    <col min="13828" max="13828" width="13.42578125" style="135" customWidth="1"/>
    <col min="13829" max="13830" width="12.5703125" style="135" customWidth="1"/>
    <col min="13831" max="13836" width="11.5703125" style="135"/>
    <col min="13837" max="13837" width="0" style="135" hidden="1" customWidth="1"/>
    <col min="13838" max="14080" width="11.5703125" style="135"/>
    <col min="14081" max="14081" width="12.42578125" style="135" customWidth="1"/>
    <col min="14082" max="14083" width="11.5703125" style="135"/>
    <col min="14084" max="14084" width="13.42578125" style="135" customWidth="1"/>
    <col min="14085" max="14086" width="12.5703125" style="135" customWidth="1"/>
    <col min="14087" max="14092" width="11.5703125" style="135"/>
    <col min="14093" max="14093" width="0" style="135" hidden="1" customWidth="1"/>
    <col min="14094" max="14336" width="11.5703125" style="135"/>
    <col min="14337" max="14337" width="12.42578125" style="135" customWidth="1"/>
    <col min="14338" max="14339" width="11.5703125" style="135"/>
    <col min="14340" max="14340" width="13.42578125" style="135" customWidth="1"/>
    <col min="14341" max="14342" width="12.5703125" style="135" customWidth="1"/>
    <col min="14343" max="14348" width="11.5703125" style="135"/>
    <col min="14349" max="14349" width="0" style="135" hidden="1" customWidth="1"/>
    <col min="14350" max="14592" width="11.5703125" style="135"/>
    <col min="14593" max="14593" width="12.42578125" style="135" customWidth="1"/>
    <col min="14594" max="14595" width="11.5703125" style="135"/>
    <col min="14596" max="14596" width="13.42578125" style="135" customWidth="1"/>
    <col min="14597" max="14598" width="12.5703125" style="135" customWidth="1"/>
    <col min="14599" max="14604" width="11.5703125" style="135"/>
    <col min="14605" max="14605" width="0" style="135" hidden="1" customWidth="1"/>
    <col min="14606" max="14848" width="11.5703125" style="135"/>
    <col min="14849" max="14849" width="12.42578125" style="135" customWidth="1"/>
    <col min="14850" max="14851" width="11.5703125" style="135"/>
    <col min="14852" max="14852" width="13.42578125" style="135" customWidth="1"/>
    <col min="14853" max="14854" width="12.5703125" style="135" customWidth="1"/>
    <col min="14855" max="14860" width="11.5703125" style="135"/>
    <col min="14861" max="14861" width="0" style="135" hidden="1" customWidth="1"/>
    <col min="14862" max="15104" width="11.5703125" style="135"/>
    <col min="15105" max="15105" width="12.42578125" style="135" customWidth="1"/>
    <col min="15106" max="15107" width="11.5703125" style="135"/>
    <col min="15108" max="15108" width="13.42578125" style="135" customWidth="1"/>
    <col min="15109" max="15110" width="12.5703125" style="135" customWidth="1"/>
    <col min="15111" max="15116" width="11.5703125" style="135"/>
    <col min="15117" max="15117" width="0" style="135" hidden="1" customWidth="1"/>
    <col min="15118" max="15360" width="11.5703125" style="135"/>
    <col min="15361" max="15361" width="12.42578125" style="135" customWidth="1"/>
    <col min="15362" max="15363" width="11.5703125" style="135"/>
    <col min="15364" max="15364" width="13.42578125" style="135" customWidth="1"/>
    <col min="15365" max="15366" width="12.5703125" style="135" customWidth="1"/>
    <col min="15367" max="15372" width="11.5703125" style="135"/>
    <col min="15373" max="15373" width="0" style="135" hidden="1" customWidth="1"/>
    <col min="15374" max="15616" width="11.5703125" style="135"/>
    <col min="15617" max="15617" width="12.42578125" style="135" customWidth="1"/>
    <col min="15618" max="15619" width="11.5703125" style="135"/>
    <col min="15620" max="15620" width="13.42578125" style="135" customWidth="1"/>
    <col min="15621" max="15622" width="12.5703125" style="135" customWidth="1"/>
    <col min="15623" max="15628" width="11.5703125" style="135"/>
    <col min="15629" max="15629" width="0" style="135" hidden="1" customWidth="1"/>
    <col min="15630" max="15872" width="11.5703125" style="135"/>
    <col min="15873" max="15873" width="12.42578125" style="135" customWidth="1"/>
    <col min="15874" max="15875" width="11.5703125" style="135"/>
    <col min="15876" max="15876" width="13.42578125" style="135" customWidth="1"/>
    <col min="15877" max="15878" width="12.5703125" style="135" customWidth="1"/>
    <col min="15879" max="15884" width="11.5703125" style="135"/>
    <col min="15885" max="15885" width="0" style="135" hidden="1" customWidth="1"/>
    <col min="15886" max="16128" width="11.5703125" style="135"/>
    <col min="16129" max="16129" width="12.42578125" style="135" customWidth="1"/>
    <col min="16130" max="16131" width="11.5703125" style="135"/>
    <col min="16132" max="16132" width="13.42578125" style="135" customWidth="1"/>
    <col min="16133" max="16134" width="12.5703125" style="135" customWidth="1"/>
    <col min="16135" max="16140" width="11.5703125" style="135"/>
    <col min="16141" max="16141" width="0" style="135" hidden="1" customWidth="1"/>
    <col min="16142" max="16384" width="11.5703125" style="135"/>
  </cols>
  <sheetData>
    <row r="1" spans="1:13" s="143" customFormat="1" ht="60.75" thickBot="1" x14ac:dyDescent="0.3">
      <c r="A1" s="148" t="s">
        <v>64</v>
      </c>
      <c r="B1" s="147" t="s">
        <v>63</v>
      </c>
      <c r="C1" s="147" t="s">
        <v>62</v>
      </c>
      <c r="D1" s="146" t="s">
        <v>61</v>
      </c>
      <c r="E1" s="145" t="s">
        <v>60</v>
      </c>
      <c r="F1" s="183" t="s">
        <v>68</v>
      </c>
      <c r="G1" s="145" t="s">
        <v>59</v>
      </c>
      <c r="H1" s="183" t="s">
        <v>58</v>
      </c>
      <c r="I1" s="145" t="s">
        <v>69</v>
      </c>
      <c r="J1" s="183" t="s">
        <v>70</v>
      </c>
      <c r="K1" s="145" t="s">
        <v>57</v>
      </c>
      <c r="L1" s="145" t="s">
        <v>56</v>
      </c>
      <c r="M1" s="144" t="s">
        <v>55</v>
      </c>
    </row>
    <row r="2" spans="1:13" x14ac:dyDescent="0.25">
      <c r="A2" s="141" t="s">
        <v>65</v>
      </c>
      <c r="B2" s="139">
        <v>1</v>
      </c>
      <c r="C2" s="139">
        <v>3</v>
      </c>
      <c r="D2" s="138">
        <v>2021</v>
      </c>
      <c r="E2" s="140">
        <f>Electricity!H6</f>
        <v>19356</v>
      </c>
      <c r="F2" s="184">
        <f>Electricity!O6/Electricity!H6</f>
        <v>1172.0726157780532</v>
      </c>
      <c r="G2" s="140">
        <f>Gas!D5</f>
        <v>79.81</v>
      </c>
      <c r="H2" s="184">
        <v>27.16</v>
      </c>
      <c r="I2" s="136">
        <f>Water!C5</f>
        <v>162</v>
      </c>
      <c r="J2" s="184">
        <v>0.89500000000000002</v>
      </c>
      <c r="K2" s="136">
        <v>101</v>
      </c>
      <c r="L2" s="136">
        <v>202</v>
      </c>
      <c r="M2" s="142" t="e">
        <f>E2*F2+G2*H2+#REF!*#REF!+I2*J2</f>
        <v>#REF!</v>
      </c>
    </row>
    <row r="3" spans="1:13" x14ac:dyDescent="0.25">
      <c r="A3" s="141" t="s">
        <v>65</v>
      </c>
      <c r="B3" s="139">
        <f t="shared" ref="B3:B32" si="0">B2+1</f>
        <v>2</v>
      </c>
      <c r="C3" s="139">
        <v>3</v>
      </c>
      <c r="D3" s="138">
        <v>2021</v>
      </c>
      <c r="E3" s="140">
        <f>Electricity!H7</f>
        <v>19448</v>
      </c>
      <c r="F3" s="184">
        <f>Electricity!O7/Electricity!H7</f>
        <v>1162.962365281777</v>
      </c>
      <c r="G3" s="140">
        <f>Gas!D6</f>
        <v>77.64</v>
      </c>
      <c r="H3" s="184">
        <v>27.16</v>
      </c>
      <c r="I3" s="136">
        <f>Water!C6</f>
        <v>165</v>
      </c>
      <c r="J3" s="184">
        <v>0.89500000000000002</v>
      </c>
      <c r="K3" s="136">
        <v>89</v>
      </c>
      <c r="L3" s="136">
        <v>177</v>
      </c>
      <c r="M3" s="142" t="e">
        <f>E3*F3+G3*H3+#REF!*#REF!+I3*J3</f>
        <v>#REF!</v>
      </c>
    </row>
    <row r="4" spans="1:13" x14ac:dyDescent="0.25">
      <c r="A4" s="141" t="s">
        <v>65</v>
      </c>
      <c r="B4" s="139">
        <f t="shared" si="0"/>
        <v>3</v>
      </c>
      <c r="C4" s="139">
        <v>3</v>
      </c>
      <c r="D4" s="138">
        <v>2021</v>
      </c>
      <c r="E4" s="140">
        <f>Electricity!H8</f>
        <v>19984</v>
      </c>
      <c r="F4" s="184">
        <f>Electricity!O8/Electricity!H8</f>
        <v>1153.7647958767013</v>
      </c>
      <c r="G4" s="140">
        <f>Gas!D7</f>
        <v>99.29</v>
      </c>
      <c r="H4" s="184">
        <v>27.16</v>
      </c>
      <c r="I4" s="136">
        <f>Water!C7</f>
        <v>178</v>
      </c>
      <c r="J4" s="184">
        <v>0.89500000000000002</v>
      </c>
      <c r="K4" s="136">
        <v>68</v>
      </c>
      <c r="L4" s="136">
        <v>134</v>
      </c>
      <c r="M4" s="142" t="e">
        <f>E4*F4+G4*H4+#REF!*#REF!+I4*J4</f>
        <v>#REF!</v>
      </c>
    </row>
    <row r="5" spans="1:13" x14ac:dyDescent="0.25">
      <c r="A5" s="141" t="s">
        <v>65</v>
      </c>
      <c r="B5" s="139">
        <f t="shared" si="0"/>
        <v>4</v>
      </c>
      <c r="C5" s="139">
        <v>3</v>
      </c>
      <c r="D5" s="138">
        <v>2021</v>
      </c>
      <c r="E5" s="140">
        <f>Electricity!H9</f>
        <v>19118</v>
      </c>
      <c r="F5" s="184">
        <f>Electricity!O9/Electricity!H9</f>
        <v>1157.2552468459044</v>
      </c>
      <c r="G5" s="140">
        <f>Gas!D8</f>
        <v>83.75</v>
      </c>
      <c r="H5" s="184">
        <v>27.16</v>
      </c>
      <c r="I5" s="136">
        <f>Water!C8</f>
        <v>152</v>
      </c>
      <c r="J5" s="184">
        <v>0.89500000000000002</v>
      </c>
      <c r="K5" s="136">
        <v>48</v>
      </c>
      <c r="L5" s="136">
        <v>95</v>
      </c>
      <c r="M5" s="142" t="e">
        <f>E5*F5+G5*H5+#REF!*#REF!+I5*J5</f>
        <v>#REF!</v>
      </c>
    </row>
    <row r="6" spans="1:13" x14ac:dyDescent="0.25">
      <c r="A6" s="141" t="s">
        <v>65</v>
      </c>
      <c r="B6" s="139">
        <f t="shared" si="0"/>
        <v>5</v>
      </c>
      <c r="C6" s="139">
        <v>3</v>
      </c>
      <c r="D6" s="138">
        <v>2021</v>
      </c>
      <c r="E6" s="140">
        <f>Electricity!H10</f>
        <v>19854</v>
      </c>
      <c r="F6" s="184">
        <f>Electricity!O10/Electricity!H10</f>
        <v>1159.6536327893623</v>
      </c>
      <c r="G6" s="140">
        <f>Gas!D9</f>
        <v>125.84</v>
      </c>
      <c r="H6" s="184">
        <v>27.16</v>
      </c>
      <c r="I6" s="136">
        <f>Water!C9</f>
        <v>138</v>
      </c>
      <c r="J6" s="184">
        <v>0.89500000000000002</v>
      </c>
      <c r="K6" s="136">
        <v>41</v>
      </c>
      <c r="L6" s="136">
        <v>77</v>
      </c>
      <c r="M6" s="142" t="e">
        <f>E6*F6+G6*H6+#REF!*#REF!+I6*J6</f>
        <v>#REF!</v>
      </c>
    </row>
    <row r="7" spans="1:13" x14ac:dyDescent="0.25">
      <c r="A7" s="141" t="s">
        <v>65</v>
      </c>
      <c r="B7" s="139">
        <f t="shared" si="0"/>
        <v>6</v>
      </c>
      <c r="C7" s="139">
        <v>3</v>
      </c>
      <c r="D7" s="138">
        <v>2021</v>
      </c>
      <c r="E7" s="140">
        <f>Electricity!H11</f>
        <v>21212</v>
      </c>
      <c r="F7" s="184">
        <f>Electricity!O11/Electricity!H11</f>
        <v>1160.0496733452762</v>
      </c>
      <c r="G7" s="140">
        <f>Gas!D10</f>
        <v>121.79</v>
      </c>
      <c r="H7" s="184">
        <v>27.16</v>
      </c>
      <c r="I7" s="136">
        <f>Water!C10</f>
        <v>155</v>
      </c>
      <c r="J7" s="184">
        <v>0.89500000000000002</v>
      </c>
      <c r="K7" s="136">
        <v>40</v>
      </c>
      <c r="L7" s="136">
        <v>70</v>
      </c>
      <c r="M7" s="142" t="e">
        <f>E7*F7+G7*H7+#REF!*#REF!+I7*J7</f>
        <v>#REF!</v>
      </c>
    </row>
    <row r="8" spans="1:13" x14ac:dyDescent="0.25">
      <c r="A8" s="141" t="s">
        <v>65</v>
      </c>
      <c r="B8" s="139">
        <f t="shared" si="0"/>
        <v>7</v>
      </c>
      <c r="C8" s="139">
        <v>3</v>
      </c>
      <c r="D8" s="138">
        <v>2021</v>
      </c>
      <c r="E8" s="140">
        <f>Electricity!H12</f>
        <v>21326</v>
      </c>
      <c r="F8" s="184">
        <f>Electricity!O12/Electricity!H12</f>
        <v>1159.4014066585389</v>
      </c>
      <c r="G8" s="140">
        <f>Gas!D11</f>
        <v>134.66</v>
      </c>
      <c r="H8" s="184">
        <v>27.16</v>
      </c>
      <c r="I8" s="136">
        <f>Water!C11</f>
        <v>172</v>
      </c>
      <c r="J8" s="184">
        <v>0.89500000000000002</v>
      </c>
      <c r="K8" s="136">
        <v>57</v>
      </c>
      <c r="L8" s="136">
        <v>100</v>
      </c>
      <c r="M8" s="142" t="e">
        <f>E8*F8+G8*H8+#REF!*#REF!+I8*J8</f>
        <v>#REF!</v>
      </c>
    </row>
    <row r="9" spans="1:13" x14ac:dyDescent="0.25">
      <c r="A9" s="141" t="s">
        <v>65</v>
      </c>
      <c r="B9" s="139">
        <f t="shared" si="0"/>
        <v>8</v>
      </c>
      <c r="C9" s="139">
        <v>3</v>
      </c>
      <c r="D9" s="138">
        <v>2021</v>
      </c>
      <c r="E9" s="140">
        <f>Electricity!H13</f>
        <v>19726</v>
      </c>
      <c r="F9" s="184">
        <f>Electricity!O13/Electricity!H13</f>
        <v>1162.2568977998583</v>
      </c>
      <c r="G9" s="140">
        <f>Gas!D12</f>
        <v>93.73</v>
      </c>
      <c r="H9" s="184">
        <v>27.16</v>
      </c>
      <c r="I9" s="136">
        <f>Water!C12</f>
        <v>137</v>
      </c>
      <c r="J9" s="184">
        <v>0.89500000000000002</v>
      </c>
      <c r="K9" s="136">
        <v>60</v>
      </c>
      <c r="L9" s="136">
        <v>105</v>
      </c>
      <c r="M9" s="142" t="e">
        <f>E9*F9+G9*H9+#REF!*#REF!+I9*J9</f>
        <v>#REF!</v>
      </c>
    </row>
    <row r="10" spans="1:13" x14ac:dyDescent="0.25">
      <c r="A10" s="141" t="s">
        <v>65</v>
      </c>
      <c r="B10" s="139">
        <f t="shared" si="0"/>
        <v>9</v>
      </c>
      <c r="C10" s="139">
        <v>3</v>
      </c>
      <c r="D10" s="138">
        <v>2021</v>
      </c>
      <c r="E10" s="140">
        <f>Electricity!H14</f>
        <v>19198</v>
      </c>
      <c r="F10" s="184">
        <f>Electricity!O14/Electricity!H14</f>
        <v>1161.1575056255858</v>
      </c>
      <c r="G10" s="140">
        <f>Gas!D13</f>
        <v>91.51</v>
      </c>
      <c r="H10" s="184">
        <v>27.16</v>
      </c>
      <c r="I10" s="136">
        <f>Water!C13</f>
        <v>156</v>
      </c>
      <c r="J10" s="184">
        <v>0.89500000000000002</v>
      </c>
      <c r="K10" s="136">
        <v>44</v>
      </c>
      <c r="L10" s="136">
        <v>80</v>
      </c>
      <c r="M10" s="142" t="e">
        <f>E10*F10+G10*H10+#REF!*#REF!+I10*J10</f>
        <v>#REF!</v>
      </c>
    </row>
    <row r="11" spans="1:13" x14ac:dyDescent="0.25">
      <c r="A11" s="141" t="s">
        <v>65</v>
      </c>
      <c r="B11" s="139">
        <f t="shared" si="0"/>
        <v>10</v>
      </c>
      <c r="C11" s="139">
        <v>3</v>
      </c>
      <c r="D11" s="138">
        <v>2021</v>
      </c>
      <c r="E11" s="140">
        <f>Electricity!H15</f>
        <v>19080</v>
      </c>
      <c r="F11" s="184">
        <f>Electricity!O15/Electricity!H15</f>
        <v>1159.1127349056603</v>
      </c>
      <c r="G11" s="140">
        <f>Gas!D14</f>
        <v>73.7</v>
      </c>
      <c r="H11" s="184">
        <v>27.16</v>
      </c>
      <c r="I11" s="136">
        <f>Water!C14</f>
        <v>185</v>
      </c>
      <c r="J11" s="184">
        <v>0.89500000000000002</v>
      </c>
      <c r="K11" s="136">
        <v>69</v>
      </c>
      <c r="L11" s="136">
        <v>132</v>
      </c>
      <c r="M11" s="142" t="e">
        <f>E11*F11+G11*H11+#REF!*#REF!+I11*J11</f>
        <v>#REF!</v>
      </c>
    </row>
    <row r="12" spans="1:13" x14ac:dyDescent="0.25">
      <c r="A12" s="141" t="s">
        <v>65</v>
      </c>
      <c r="B12" s="139">
        <f t="shared" si="0"/>
        <v>11</v>
      </c>
      <c r="C12" s="139">
        <v>3</v>
      </c>
      <c r="D12" s="138">
        <v>2021</v>
      </c>
      <c r="E12" s="140">
        <f>Electricity!H16</f>
        <v>19532</v>
      </c>
      <c r="F12" s="184">
        <f>Electricity!O16/Electricity!H16</f>
        <v>1153.1542586934261</v>
      </c>
      <c r="G12" s="140">
        <f>Gas!D15</f>
        <v>89.92</v>
      </c>
      <c r="H12" s="184">
        <v>27.16</v>
      </c>
      <c r="I12" s="136">
        <f>Water!C15</f>
        <v>171</v>
      </c>
      <c r="J12" s="184">
        <v>0.89500000000000002</v>
      </c>
      <c r="K12" s="136">
        <v>34</v>
      </c>
      <c r="L12" s="136">
        <v>69</v>
      </c>
      <c r="M12" s="142" t="e">
        <f>E12*F12+G12*H12+#REF!*#REF!+I12*J12</f>
        <v>#REF!</v>
      </c>
    </row>
    <row r="13" spans="1:13" x14ac:dyDescent="0.25">
      <c r="A13" s="141" t="s">
        <v>65</v>
      </c>
      <c r="B13" s="139">
        <f t="shared" si="0"/>
        <v>12</v>
      </c>
      <c r="C13" s="139">
        <v>3</v>
      </c>
      <c r="D13" s="138">
        <v>2021</v>
      </c>
      <c r="E13" s="140">
        <f>Electricity!H17</f>
        <v>20208</v>
      </c>
      <c r="F13" s="184">
        <f>Electricity!O17/Electricity!H17</f>
        <v>1159.506196763658</v>
      </c>
      <c r="G13" s="140">
        <f>Gas!D16</f>
        <v>134.72999999999999</v>
      </c>
      <c r="H13" s="184">
        <v>27.16</v>
      </c>
      <c r="I13" s="136">
        <f>Water!C16</f>
        <v>121</v>
      </c>
      <c r="J13" s="184">
        <v>0.89500000000000002</v>
      </c>
      <c r="K13" s="136">
        <v>29</v>
      </c>
      <c r="L13" s="136">
        <v>54</v>
      </c>
      <c r="M13" s="142" t="e">
        <f>E13*F13+G13*H13+#REF!*#REF!+I13*J13</f>
        <v>#REF!</v>
      </c>
    </row>
    <row r="14" spans="1:13" x14ac:dyDescent="0.25">
      <c r="A14" s="141" t="s">
        <v>65</v>
      </c>
      <c r="B14" s="139">
        <f t="shared" si="0"/>
        <v>13</v>
      </c>
      <c r="C14" s="139">
        <v>3</v>
      </c>
      <c r="D14" s="138">
        <v>2021</v>
      </c>
      <c r="E14" s="140">
        <f>Electricity!H18</f>
        <v>20754</v>
      </c>
      <c r="F14" s="184">
        <f>Electricity!O18/Electricity!H18</f>
        <v>1158.9706445215381</v>
      </c>
      <c r="G14" s="140">
        <f>Gas!D17</f>
        <v>146.47999999999999</v>
      </c>
      <c r="H14" s="184">
        <v>27.16</v>
      </c>
      <c r="I14" s="136">
        <f>Water!C17</f>
        <v>137</v>
      </c>
      <c r="J14" s="184">
        <v>0.89500000000000002</v>
      </c>
      <c r="K14" s="136">
        <v>19</v>
      </c>
      <c r="L14" s="136">
        <v>33</v>
      </c>
      <c r="M14" s="142" t="e">
        <f>E14*F14+G14*H14+#REF!*#REF!+I14*J14</f>
        <v>#REF!</v>
      </c>
    </row>
    <row r="15" spans="1:13" x14ac:dyDescent="0.25">
      <c r="A15" s="141" t="s">
        <v>65</v>
      </c>
      <c r="B15" s="139">
        <f t="shared" si="0"/>
        <v>14</v>
      </c>
      <c r="C15" s="139">
        <v>3</v>
      </c>
      <c r="D15" s="138">
        <v>2021</v>
      </c>
      <c r="E15" s="140">
        <f>Electricity!H19</f>
        <v>19490</v>
      </c>
      <c r="F15" s="184">
        <f>Electricity!O19/Electricity!H19</f>
        <v>1156.4603274397127</v>
      </c>
      <c r="G15" s="140">
        <f>Gas!D18</f>
        <v>103.44</v>
      </c>
      <c r="H15" s="184">
        <v>27.16</v>
      </c>
      <c r="I15" s="136">
        <f>Water!C18</f>
        <v>127</v>
      </c>
      <c r="J15" s="184">
        <v>0.89500000000000002</v>
      </c>
      <c r="K15" s="136">
        <v>23</v>
      </c>
      <c r="L15" s="136">
        <v>42</v>
      </c>
      <c r="M15" s="142" t="e">
        <f>E15*F15+G15*H15+#REF!*#REF!+I15*J15</f>
        <v>#REF!</v>
      </c>
    </row>
    <row r="16" spans="1:13" x14ac:dyDescent="0.25">
      <c r="A16" s="141" t="s">
        <v>65</v>
      </c>
      <c r="B16" s="139">
        <f t="shared" si="0"/>
        <v>15</v>
      </c>
      <c r="C16" s="139">
        <v>3</v>
      </c>
      <c r="D16" s="138">
        <v>2021</v>
      </c>
      <c r="E16" s="140">
        <f>Electricity!H20</f>
        <v>18302</v>
      </c>
      <c r="F16" s="184">
        <f>Electricity!O20/Electricity!H20</f>
        <v>1163.0928800240411</v>
      </c>
      <c r="G16" s="140">
        <f>Gas!D19</f>
        <v>150.55000000000001</v>
      </c>
      <c r="H16" s="184">
        <v>27.16</v>
      </c>
      <c r="I16" s="136">
        <f>Water!C19</f>
        <v>178</v>
      </c>
      <c r="J16" s="184">
        <v>0.89500000000000002</v>
      </c>
      <c r="K16" s="136">
        <v>28</v>
      </c>
      <c r="L16" s="136">
        <v>48</v>
      </c>
      <c r="M16" s="142" t="e">
        <f>E16*F16+G16*H16+#REF!*#REF!+I16*J16</f>
        <v>#REF!</v>
      </c>
    </row>
    <row r="17" spans="1:13" x14ac:dyDescent="0.25">
      <c r="A17" s="141" t="s">
        <v>65</v>
      </c>
      <c r="B17" s="139">
        <f t="shared" si="0"/>
        <v>16</v>
      </c>
      <c r="C17" s="139">
        <v>3</v>
      </c>
      <c r="D17" s="138">
        <v>2021</v>
      </c>
      <c r="E17" s="140">
        <f>Electricity!H21</f>
        <v>18850</v>
      </c>
      <c r="F17" s="184">
        <f>Electricity!O21/Electricity!H21</f>
        <v>1160.2384456233422</v>
      </c>
      <c r="G17" s="140">
        <f>Gas!D20</f>
        <v>136.28</v>
      </c>
      <c r="H17" s="184">
        <v>27.16</v>
      </c>
      <c r="I17" s="136">
        <f>Water!C20</f>
        <v>172</v>
      </c>
      <c r="J17" s="184">
        <v>0.89500000000000002</v>
      </c>
      <c r="K17" s="136">
        <v>32</v>
      </c>
      <c r="L17" s="136">
        <v>58</v>
      </c>
      <c r="M17" s="142" t="e">
        <f>E17*F17+G17*H17+#REF!*#REF!+I17*J17</f>
        <v>#REF!</v>
      </c>
    </row>
    <row r="18" spans="1:13" x14ac:dyDescent="0.25">
      <c r="A18" s="141" t="s">
        <v>65</v>
      </c>
      <c r="B18" s="139">
        <f t="shared" si="0"/>
        <v>17</v>
      </c>
      <c r="C18" s="139">
        <v>3</v>
      </c>
      <c r="D18" s="138">
        <v>2021</v>
      </c>
      <c r="E18" s="140">
        <f>Electricity!H22</f>
        <v>18590</v>
      </c>
      <c r="F18" s="184">
        <f>Electricity!O22/Electricity!H22</f>
        <v>1160.339370338892</v>
      </c>
      <c r="G18" s="140">
        <f>Gas!D21</f>
        <v>112.75</v>
      </c>
      <c r="H18" s="184">
        <v>27.16</v>
      </c>
      <c r="I18" s="136">
        <f>Water!C21</f>
        <v>150</v>
      </c>
      <c r="J18" s="184">
        <v>0.89500000000000002</v>
      </c>
      <c r="K18" s="136">
        <v>72</v>
      </c>
      <c r="L18" s="136">
        <v>140</v>
      </c>
      <c r="M18" s="142" t="e">
        <f>E18*F18+G18*H18+#REF!*#REF!+I18*J18</f>
        <v>#REF!</v>
      </c>
    </row>
    <row r="19" spans="1:13" x14ac:dyDescent="0.25">
      <c r="A19" s="141" t="s">
        <v>65</v>
      </c>
      <c r="B19" s="139">
        <f t="shared" si="0"/>
        <v>18</v>
      </c>
      <c r="C19" s="139">
        <v>3</v>
      </c>
      <c r="D19" s="138">
        <v>2021</v>
      </c>
      <c r="E19" s="140">
        <f>Electricity!H23</f>
        <v>17518</v>
      </c>
      <c r="F19" s="184">
        <f>Electricity!O23/Electricity!H23</f>
        <v>1158.9348214408037</v>
      </c>
      <c r="G19" s="140">
        <f>Gas!D22</f>
        <v>94.89</v>
      </c>
      <c r="H19" s="184">
        <v>27.16</v>
      </c>
      <c r="I19" s="136">
        <f>Water!C22</f>
        <v>109</v>
      </c>
      <c r="J19" s="184">
        <v>0.89500000000000002</v>
      </c>
      <c r="K19" s="136">
        <v>30</v>
      </c>
      <c r="L19" s="136">
        <v>56</v>
      </c>
      <c r="M19" s="142" t="e">
        <f>E19*F19+G19*H19+#REF!*#REF!+I19*J19</f>
        <v>#REF!</v>
      </c>
    </row>
    <row r="20" spans="1:13" x14ac:dyDescent="0.25">
      <c r="A20" s="141" t="s">
        <v>65</v>
      </c>
      <c r="B20" s="139">
        <f t="shared" si="0"/>
        <v>19</v>
      </c>
      <c r="C20" s="139">
        <v>3</v>
      </c>
      <c r="D20" s="138">
        <v>2021</v>
      </c>
      <c r="E20" s="140">
        <f>Electricity!H24</f>
        <v>19598</v>
      </c>
      <c r="F20" s="184">
        <f>Electricity!O24/Electricity!H24</f>
        <v>1157.2730090111238</v>
      </c>
      <c r="G20" s="140">
        <f>Gas!D23</f>
        <v>120.79</v>
      </c>
      <c r="H20" s="184">
        <v>27.16</v>
      </c>
      <c r="I20" s="136">
        <f>Water!C23</f>
        <v>107</v>
      </c>
      <c r="J20" s="184">
        <v>0.89500000000000002</v>
      </c>
      <c r="K20" s="136">
        <v>23</v>
      </c>
      <c r="L20" s="136">
        <v>41</v>
      </c>
      <c r="M20" s="142" t="e">
        <f>E20*F20+G20*H20+#REF!*#REF!+I20*J20</f>
        <v>#REF!</v>
      </c>
    </row>
    <row r="21" spans="1:13" x14ac:dyDescent="0.25">
      <c r="A21" s="141" t="s">
        <v>65</v>
      </c>
      <c r="B21" s="139">
        <f t="shared" si="0"/>
        <v>20</v>
      </c>
      <c r="C21" s="139">
        <v>3</v>
      </c>
      <c r="D21" s="138">
        <v>2021</v>
      </c>
      <c r="E21" s="140">
        <f>Electricity!H25</f>
        <v>19246</v>
      </c>
      <c r="F21" s="184">
        <f>Electricity!O25/Electricity!H25</f>
        <v>1162.4744181336382</v>
      </c>
      <c r="G21" s="140">
        <f>Gas!D24</f>
        <v>136.51</v>
      </c>
      <c r="H21" s="184">
        <v>27.16</v>
      </c>
      <c r="I21" s="136">
        <f>Water!C24</f>
        <v>224</v>
      </c>
      <c r="J21" s="184">
        <v>0.89500000000000002</v>
      </c>
      <c r="K21" s="136">
        <v>21</v>
      </c>
      <c r="L21" s="136">
        <v>37</v>
      </c>
      <c r="M21" s="142" t="e">
        <f>E21*F21+G21*H21+#REF!*#REF!+I21*J21</f>
        <v>#REF!</v>
      </c>
    </row>
    <row r="22" spans="1:13" x14ac:dyDescent="0.25">
      <c r="A22" s="141" t="s">
        <v>65</v>
      </c>
      <c r="B22" s="139">
        <f t="shared" si="0"/>
        <v>21</v>
      </c>
      <c r="C22" s="139">
        <v>3</v>
      </c>
      <c r="D22" s="138">
        <v>2021</v>
      </c>
      <c r="E22" s="140">
        <f>Electricity!H26</f>
        <v>20276</v>
      </c>
      <c r="F22" s="184">
        <f>Electricity!O26/Electricity!H26</f>
        <v>1162.0893762280527</v>
      </c>
      <c r="G22" s="140">
        <f>Gas!D25</f>
        <v>159.72</v>
      </c>
      <c r="H22" s="184">
        <v>27.16</v>
      </c>
      <c r="I22" s="136">
        <f>Water!C25</f>
        <v>160</v>
      </c>
      <c r="J22" s="184">
        <v>0.89500000000000002</v>
      </c>
      <c r="K22" s="136">
        <v>35</v>
      </c>
      <c r="L22" s="136">
        <v>62</v>
      </c>
      <c r="M22" s="142" t="e">
        <f>E22*F22+G22*H22+#REF!*#REF!+I22*J22</f>
        <v>#REF!</v>
      </c>
    </row>
    <row r="23" spans="1:13" x14ac:dyDescent="0.25">
      <c r="A23" s="141" t="s">
        <v>65</v>
      </c>
      <c r="B23" s="139">
        <f t="shared" si="0"/>
        <v>22</v>
      </c>
      <c r="C23" s="139">
        <v>3</v>
      </c>
      <c r="D23" s="138">
        <v>2021</v>
      </c>
      <c r="E23" s="140">
        <f>Electricity!H27</f>
        <v>20172</v>
      </c>
      <c r="F23" s="184">
        <f>Electricity!O27/Electricity!H27</f>
        <v>1162.0515023200476</v>
      </c>
      <c r="G23" s="140">
        <f>Gas!D26</f>
        <v>182.34</v>
      </c>
      <c r="H23" s="184">
        <v>27.16</v>
      </c>
      <c r="I23" s="136">
        <f>Water!C26</f>
        <v>201</v>
      </c>
      <c r="J23" s="184">
        <v>0.89500000000000002</v>
      </c>
      <c r="K23" s="136">
        <v>41</v>
      </c>
      <c r="L23" s="136">
        <v>78</v>
      </c>
      <c r="M23" s="142" t="e">
        <f>E23*F23+G23*H23+#REF!*#REF!+I23*J23</f>
        <v>#REF!</v>
      </c>
    </row>
    <row r="24" spans="1:13" x14ac:dyDescent="0.25">
      <c r="A24" s="141" t="s">
        <v>65</v>
      </c>
      <c r="B24" s="139">
        <f t="shared" si="0"/>
        <v>23</v>
      </c>
      <c r="C24" s="139">
        <v>3</v>
      </c>
      <c r="D24" s="138">
        <v>2021</v>
      </c>
      <c r="E24" s="140">
        <f>Electricity!H28</f>
        <v>20184</v>
      </c>
      <c r="F24" s="184">
        <f>Electricity!O28/Electricity!H28</f>
        <v>1150.7364928359098</v>
      </c>
      <c r="G24" s="140">
        <f>Gas!D27</f>
        <v>178.12</v>
      </c>
      <c r="H24" s="184">
        <v>27.16</v>
      </c>
      <c r="I24" s="136">
        <f>Water!C27</f>
        <v>169</v>
      </c>
      <c r="J24" s="184">
        <v>0.89500000000000002</v>
      </c>
      <c r="K24" s="136">
        <v>60</v>
      </c>
      <c r="L24" s="136">
        <v>114</v>
      </c>
      <c r="M24" s="142" t="e">
        <f>E24*F24+G24*H24+#REF!*#REF!+I24*J24</f>
        <v>#REF!</v>
      </c>
    </row>
    <row r="25" spans="1:13" x14ac:dyDescent="0.25">
      <c r="A25" s="141" t="s">
        <v>65</v>
      </c>
      <c r="B25" s="139">
        <f t="shared" si="0"/>
        <v>24</v>
      </c>
      <c r="C25" s="139">
        <v>3</v>
      </c>
      <c r="D25" s="138">
        <v>2021</v>
      </c>
      <c r="E25" s="140">
        <f>Electricity!H29</f>
        <v>19700</v>
      </c>
      <c r="F25" s="184">
        <f>Electricity!O29/Electricity!H29</f>
        <v>1150.7936421319796</v>
      </c>
      <c r="G25" s="140">
        <f>Gas!D28</f>
        <v>113.11</v>
      </c>
      <c r="H25" s="184">
        <v>27.16</v>
      </c>
      <c r="I25" s="136">
        <f>Water!C28</f>
        <v>164</v>
      </c>
      <c r="J25" s="184">
        <v>0.89500000000000002</v>
      </c>
      <c r="K25" s="136">
        <v>77</v>
      </c>
      <c r="L25" s="136">
        <v>147</v>
      </c>
      <c r="M25" s="142" t="e">
        <f>E25*F25+G25*H25+#REF!*#REF!+I25*J25</f>
        <v>#REF!</v>
      </c>
    </row>
    <row r="26" spans="1:13" x14ac:dyDescent="0.25">
      <c r="A26" s="141" t="s">
        <v>65</v>
      </c>
      <c r="B26" s="139">
        <f t="shared" si="0"/>
        <v>25</v>
      </c>
      <c r="C26" s="139">
        <v>3</v>
      </c>
      <c r="D26" s="138">
        <v>2021</v>
      </c>
      <c r="E26" s="140">
        <f>Electricity!H30</f>
        <v>18750</v>
      </c>
      <c r="F26" s="184">
        <f>Electricity!O30/Electricity!H30</f>
        <v>1155.6156028800001</v>
      </c>
      <c r="G26" s="140">
        <f>Gas!D29</f>
        <v>125.33</v>
      </c>
      <c r="H26" s="184">
        <v>27.16</v>
      </c>
      <c r="I26" s="136">
        <f>Water!C29</f>
        <v>153</v>
      </c>
      <c r="J26" s="184">
        <v>0.89500000000000002</v>
      </c>
      <c r="K26" s="136">
        <v>25</v>
      </c>
      <c r="L26" s="136">
        <v>46</v>
      </c>
      <c r="M26" s="142" t="e">
        <f>E26*F26+G26*H26+#REF!*#REF!+I26*J26</f>
        <v>#REF!</v>
      </c>
    </row>
    <row r="27" spans="1:13" x14ac:dyDescent="0.25">
      <c r="A27" s="141" t="s">
        <v>65</v>
      </c>
      <c r="B27" s="139">
        <f t="shared" si="0"/>
        <v>26</v>
      </c>
      <c r="C27" s="139">
        <v>3</v>
      </c>
      <c r="D27" s="138">
        <v>2021</v>
      </c>
      <c r="E27" s="140">
        <f>Electricity!H31</f>
        <v>18436</v>
      </c>
      <c r="F27" s="184">
        <f>Electricity!O31/Electricity!H31</f>
        <v>1158.2847501844219</v>
      </c>
      <c r="G27" s="140">
        <f>Gas!D30</f>
        <v>146.74</v>
      </c>
      <c r="H27" s="184">
        <v>27.16</v>
      </c>
      <c r="I27" s="136">
        <f>Water!C30</f>
        <v>161</v>
      </c>
      <c r="J27" s="184">
        <v>0.89500000000000002</v>
      </c>
      <c r="K27" s="136">
        <v>30</v>
      </c>
      <c r="L27" s="136">
        <v>55</v>
      </c>
      <c r="M27" s="142" t="e">
        <f>E27*F27+G27*H27+#REF!*#REF!+I27*J27</f>
        <v>#REF!</v>
      </c>
    </row>
    <row r="28" spans="1:13" x14ac:dyDescent="0.25">
      <c r="A28" s="141" t="s">
        <v>65</v>
      </c>
      <c r="B28" s="139">
        <f t="shared" si="0"/>
        <v>27</v>
      </c>
      <c r="C28" s="139">
        <v>3</v>
      </c>
      <c r="D28" s="138">
        <v>2021</v>
      </c>
      <c r="E28" s="140">
        <f>Electricity!H32</f>
        <v>18214</v>
      </c>
      <c r="F28" s="184">
        <f>Electricity!O32/Electricity!H32</f>
        <v>1159.4577277369056</v>
      </c>
      <c r="G28" s="140">
        <f>Gas!D31</f>
        <v>142.08000000000001</v>
      </c>
      <c r="H28" s="184">
        <v>27.16</v>
      </c>
      <c r="I28" s="136">
        <f>Water!C31</f>
        <v>154</v>
      </c>
      <c r="J28" s="184">
        <v>0.89500000000000002</v>
      </c>
      <c r="K28" s="136">
        <v>27</v>
      </c>
      <c r="L28" s="136">
        <v>44</v>
      </c>
      <c r="M28" s="142" t="e">
        <f>E28*F28+G28*H28+#REF!*#REF!+I28*J28</f>
        <v>#REF!</v>
      </c>
    </row>
    <row r="29" spans="1:13" x14ac:dyDescent="0.25">
      <c r="A29" s="141" t="s">
        <v>65</v>
      </c>
      <c r="B29" s="139">
        <f t="shared" si="0"/>
        <v>28</v>
      </c>
      <c r="C29" s="139">
        <v>3</v>
      </c>
      <c r="D29" s="138">
        <v>2021</v>
      </c>
      <c r="E29" s="140">
        <f>Electricity!H33</f>
        <v>18762</v>
      </c>
      <c r="F29" s="184">
        <f>Electricity!O33/Electricity!H33</f>
        <v>1156.6960805244642</v>
      </c>
      <c r="G29" s="140">
        <f>Gas!D32</f>
        <v>152.32</v>
      </c>
      <c r="H29" s="184">
        <v>27.16</v>
      </c>
      <c r="I29" s="136">
        <f>Water!C32</f>
        <v>179</v>
      </c>
      <c r="J29" s="184">
        <v>0.89500000000000002</v>
      </c>
      <c r="K29" s="136">
        <v>30</v>
      </c>
      <c r="L29" s="136">
        <v>51</v>
      </c>
      <c r="M29" s="142" t="e">
        <f>E29*F29+G29*H29+#REF!*#REF!+I29*J29</f>
        <v>#REF!</v>
      </c>
    </row>
    <row r="30" spans="1:13" x14ac:dyDescent="0.25">
      <c r="A30" s="141" t="s">
        <v>65</v>
      </c>
      <c r="B30" s="139">
        <f t="shared" si="0"/>
        <v>29</v>
      </c>
      <c r="C30" s="139">
        <v>3</v>
      </c>
      <c r="D30" s="138">
        <v>2021</v>
      </c>
      <c r="E30" s="140">
        <f>Electricity!H34</f>
        <v>18978</v>
      </c>
      <c r="F30" s="184">
        <f>Electricity!O34/Electricity!H34</f>
        <v>1156.0108187164085</v>
      </c>
      <c r="G30" s="140">
        <f>Gas!D33</f>
        <v>126.43</v>
      </c>
      <c r="H30" s="184">
        <v>27.16</v>
      </c>
      <c r="I30" s="136">
        <f>Water!C33</f>
        <v>158</v>
      </c>
      <c r="J30" s="184">
        <v>0.89500000000000002</v>
      </c>
      <c r="K30" s="136">
        <v>29</v>
      </c>
      <c r="L30" s="136">
        <v>49</v>
      </c>
      <c r="M30" s="142" t="e">
        <f>E30*F30+G30*H30+#REF!*#REF!+I30*J30</f>
        <v>#REF!</v>
      </c>
    </row>
    <row r="31" spans="1:13" x14ac:dyDescent="0.25">
      <c r="A31" s="141" t="s">
        <v>65</v>
      </c>
      <c r="B31" s="139">
        <f t="shared" si="0"/>
        <v>30</v>
      </c>
      <c r="C31" s="139">
        <v>3</v>
      </c>
      <c r="D31" s="138">
        <v>2021</v>
      </c>
      <c r="E31" s="140">
        <f>Electricity!H35</f>
        <v>19156</v>
      </c>
      <c r="F31" s="184">
        <f>Electricity!O35/Electricity!H35</f>
        <v>1156.6303722697849</v>
      </c>
      <c r="G31" s="140">
        <f>Gas!D34</f>
        <v>114.29</v>
      </c>
      <c r="H31" s="184">
        <v>27.16</v>
      </c>
      <c r="I31" s="136">
        <f>Water!C34</f>
        <v>150</v>
      </c>
      <c r="J31" s="184">
        <v>0.89500000000000002</v>
      </c>
      <c r="K31" s="136">
        <v>65</v>
      </c>
      <c r="L31" s="136">
        <v>120</v>
      </c>
      <c r="M31" s="142" t="e">
        <f>E31*F31+G31*H31+#REF!*#REF!+I31*J31</f>
        <v>#REF!</v>
      </c>
    </row>
    <row r="32" spans="1:13" s="136" customFormat="1" x14ac:dyDescent="0.25">
      <c r="A32" s="141" t="s">
        <v>65</v>
      </c>
      <c r="B32" s="139">
        <f t="shared" si="0"/>
        <v>31</v>
      </c>
      <c r="C32" s="139">
        <v>3</v>
      </c>
      <c r="D32" s="138">
        <v>2021</v>
      </c>
      <c r="E32" s="140">
        <f>Electricity!H36</f>
        <v>18604</v>
      </c>
      <c r="F32" s="184">
        <f>Electricity!O36/Electricity!H36</f>
        <v>1158.3766222317781</v>
      </c>
      <c r="G32" s="140">
        <f>Gas!D35</f>
        <v>87.77</v>
      </c>
      <c r="H32" s="184">
        <v>27.16</v>
      </c>
      <c r="I32" s="136">
        <f>Water!C35</f>
        <v>204</v>
      </c>
      <c r="J32" s="184">
        <v>0.89500000000000002</v>
      </c>
      <c r="K32" s="136">
        <v>63</v>
      </c>
      <c r="L32" s="136">
        <v>118</v>
      </c>
      <c r="M32" s="135"/>
    </row>
    <row r="33" spans="1:13" s="136" customFormat="1" x14ac:dyDescent="0.25">
      <c r="A33" s="137"/>
      <c r="B33" s="139"/>
      <c r="C33" s="139"/>
      <c r="D33" s="138"/>
      <c r="F33" s="140"/>
      <c r="G33" s="140"/>
      <c r="H33" s="140"/>
      <c r="I33" s="140"/>
      <c r="J33" s="140"/>
      <c r="M33" s="135"/>
    </row>
    <row r="34" spans="1:13" s="136" customFormat="1" x14ac:dyDescent="0.25">
      <c r="A34" s="137"/>
      <c r="B34" s="139"/>
      <c r="C34" s="139"/>
      <c r="D34" s="138"/>
      <c r="F34" s="140"/>
      <c r="G34" s="140"/>
      <c r="H34" s="140"/>
      <c r="I34" s="140"/>
      <c r="J34" s="140"/>
      <c r="M34" s="135"/>
    </row>
    <row r="35" spans="1:13" s="136" customFormat="1" x14ac:dyDescent="0.25">
      <c r="A35" s="137"/>
      <c r="B35" s="139"/>
      <c r="C35" s="139"/>
      <c r="D35" s="138"/>
      <c r="F35" s="140"/>
      <c r="G35" s="140"/>
      <c r="H35" s="140"/>
      <c r="I35" s="140"/>
      <c r="J35" s="140"/>
      <c r="M35" s="135"/>
    </row>
    <row r="36" spans="1:13" s="136" customFormat="1" x14ac:dyDescent="0.25">
      <c r="A36" s="137"/>
      <c r="B36" s="139"/>
      <c r="C36" s="139"/>
      <c r="D36" s="138"/>
      <c r="F36" s="140"/>
      <c r="G36" s="140"/>
      <c r="H36" s="140"/>
      <c r="I36" s="140"/>
      <c r="J36" s="140"/>
      <c r="M36" s="135"/>
    </row>
    <row r="37" spans="1:13" s="136" customFormat="1" x14ac:dyDescent="0.25">
      <c r="A37" s="137"/>
      <c r="B37" s="139"/>
      <c r="C37" s="139"/>
      <c r="D37" s="138"/>
      <c r="F37" s="140"/>
      <c r="G37" s="140"/>
      <c r="H37" s="140"/>
      <c r="I37" s="140"/>
      <c r="J37" s="140"/>
      <c r="M37" s="135"/>
    </row>
    <row r="38" spans="1:13" s="136" customFormat="1" x14ac:dyDescent="0.25">
      <c r="A38" s="137"/>
      <c r="B38" s="139"/>
      <c r="C38" s="139"/>
      <c r="D38" s="138"/>
      <c r="F38" s="140"/>
      <c r="G38" s="140"/>
      <c r="H38" s="140"/>
      <c r="I38" s="140"/>
      <c r="J38" s="140"/>
      <c r="M38" s="1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56"/>
  <sheetViews>
    <sheetView view="pageBreakPreview" zoomScale="80" zoomScaleNormal="80" zoomScaleSheetLayoutView="80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1" width="2.28515625" style="33" customWidth="1"/>
    <col min="2" max="5" width="16.28515625" style="33" customWidth="1"/>
    <col min="6" max="7" width="17.7109375" style="108" customWidth="1"/>
    <col min="8" max="10" width="29.7109375" style="108" customWidth="1"/>
    <col min="11" max="11" width="21.5703125" style="33" bestFit="1" customWidth="1"/>
    <col min="12" max="12" width="24.85546875" style="33" customWidth="1"/>
    <col min="13" max="13" width="29.7109375" style="33" customWidth="1"/>
    <col min="14" max="14" width="20.5703125" style="33" bestFit="1" customWidth="1"/>
    <col min="15" max="15" width="23.42578125" style="33" customWidth="1"/>
    <col min="16" max="16" width="11" style="31" customWidth="1"/>
    <col min="17" max="17" width="16.5703125" style="31" customWidth="1"/>
    <col min="18" max="20" width="9.140625" style="31"/>
    <col min="21" max="16384" width="9.140625" style="33"/>
  </cols>
  <sheetData>
    <row r="1" spans="2:20" s="1" customFormat="1" ht="15.75" thickBot="1" x14ac:dyDescent="0.3">
      <c r="B1" s="161" t="s">
        <v>54</v>
      </c>
      <c r="C1" s="162"/>
      <c r="D1" s="162"/>
      <c r="E1" s="162"/>
      <c r="F1" s="87"/>
      <c r="G1" s="88"/>
      <c r="H1" s="88"/>
      <c r="I1" s="88"/>
      <c r="J1" s="88"/>
      <c r="K1" s="78"/>
      <c r="L1" s="77"/>
      <c r="M1" s="77"/>
      <c r="N1" s="77"/>
      <c r="O1" s="79"/>
      <c r="P1" s="2"/>
      <c r="Q1" s="2"/>
    </row>
    <row r="2" spans="2:20" s="3" customFormat="1" ht="63" customHeight="1" x14ac:dyDescent="0.25">
      <c r="B2" s="163" t="s">
        <v>0</v>
      </c>
      <c r="C2" s="149"/>
      <c r="D2" s="149"/>
      <c r="E2" s="166" t="s">
        <v>22</v>
      </c>
      <c r="F2" s="168" t="s">
        <v>26</v>
      </c>
      <c r="G2" s="169"/>
      <c r="H2" s="169"/>
      <c r="I2" s="169"/>
      <c r="J2" s="169"/>
      <c r="K2" s="169"/>
      <c r="L2" s="169"/>
      <c r="M2" s="169"/>
      <c r="N2" s="169"/>
      <c r="O2" s="170"/>
      <c r="P2" s="2"/>
      <c r="Q2" s="2"/>
      <c r="R2" s="1"/>
      <c r="S2" s="1"/>
      <c r="T2" s="1"/>
    </row>
    <row r="3" spans="2:20" s="72" customFormat="1" ht="25.5" customHeight="1" x14ac:dyDescent="0.25">
      <c r="B3" s="164"/>
      <c r="C3" s="150"/>
      <c r="D3" s="150"/>
      <c r="E3" s="158"/>
      <c r="F3" s="69" t="s">
        <v>20</v>
      </c>
      <c r="G3" s="73" t="s">
        <v>29</v>
      </c>
      <c r="H3" s="73" t="s">
        <v>34</v>
      </c>
      <c r="I3" s="171" t="s">
        <v>33</v>
      </c>
      <c r="J3" s="172"/>
      <c r="K3" s="171" t="s">
        <v>35</v>
      </c>
      <c r="L3" s="173"/>
      <c r="M3" s="172"/>
      <c r="N3" s="157" t="s">
        <v>27</v>
      </c>
      <c r="O3" s="159" t="s">
        <v>8</v>
      </c>
      <c r="P3" s="70"/>
      <c r="Q3" s="70"/>
      <c r="R3" s="71"/>
      <c r="S3" s="71"/>
      <c r="T3" s="71"/>
    </row>
    <row r="4" spans="2:20" s="3" customFormat="1" ht="29.25" customHeight="1" x14ac:dyDescent="0.25">
      <c r="B4" s="165"/>
      <c r="C4" s="151"/>
      <c r="D4" s="151"/>
      <c r="E4" s="167"/>
      <c r="F4" s="65" t="s">
        <v>28</v>
      </c>
      <c r="G4" s="64" t="s">
        <v>30</v>
      </c>
      <c r="H4" s="64" t="s">
        <v>31</v>
      </c>
      <c r="I4" s="74" t="s">
        <v>32</v>
      </c>
      <c r="J4" s="75" t="s">
        <v>25</v>
      </c>
      <c r="K4" s="76" t="s">
        <v>20</v>
      </c>
      <c r="L4" s="64" t="s">
        <v>21</v>
      </c>
      <c r="M4" s="64" t="s">
        <v>1</v>
      </c>
      <c r="N4" s="158"/>
      <c r="O4" s="160"/>
      <c r="P4" s="2"/>
      <c r="Q4" s="5"/>
      <c r="R4" s="1"/>
      <c r="S4" s="1"/>
      <c r="T4" s="1"/>
    </row>
    <row r="5" spans="2:20" s="3" customFormat="1" ht="35.25" customHeight="1" x14ac:dyDescent="0.25">
      <c r="B5" s="62"/>
      <c r="C5" s="153" t="s">
        <v>66</v>
      </c>
      <c r="D5" s="153" t="s">
        <v>67</v>
      </c>
      <c r="E5" s="68">
        <v>1035.78</v>
      </c>
      <c r="F5" s="64" t="s">
        <v>23</v>
      </c>
      <c r="G5" s="64" t="s">
        <v>23</v>
      </c>
      <c r="H5" s="64" t="s">
        <v>23</v>
      </c>
      <c r="I5" s="64" t="s">
        <v>23</v>
      </c>
      <c r="J5" s="64" t="s">
        <v>23</v>
      </c>
      <c r="K5" s="64" t="s">
        <v>24</v>
      </c>
      <c r="L5" s="64" t="s">
        <v>24</v>
      </c>
      <c r="M5" s="64" t="s">
        <v>24</v>
      </c>
      <c r="N5" s="63" t="s">
        <v>24</v>
      </c>
      <c r="O5" s="4" t="s">
        <v>24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43831</v>
      </c>
      <c r="C6" s="136">
        <v>101</v>
      </c>
      <c r="D6" s="136">
        <v>202</v>
      </c>
      <c r="E6" s="67">
        <f>$E$5</f>
        <v>1035.78</v>
      </c>
      <c r="F6" s="89">
        <v>3818</v>
      </c>
      <c r="G6" s="90">
        <v>15538</v>
      </c>
      <c r="H6" s="66">
        <f t="shared" ref="H6:H37" si="0">G6+F6</f>
        <v>19356</v>
      </c>
      <c r="I6" s="91">
        <v>6663</v>
      </c>
      <c r="J6" s="91">
        <f>+H6-I6</f>
        <v>12693</v>
      </c>
      <c r="K6" s="57">
        <f t="shared" ref="K6:K37" si="1">F6*1.5*E6</f>
        <v>5931912.0599999996</v>
      </c>
      <c r="L6" s="57">
        <f t="shared" ref="L6:L37" si="2">G6*E6</f>
        <v>16093949.639999999</v>
      </c>
      <c r="M6" s="57">
        <f t="shared" ref="M6:M37" si="3">L6+K6</f>
        <v>22025861.699999999</v>
      </c>
      <c r="N6" s="58">
        <f>M6*0.03</f>
        <v>660775.85099999991</v>
      </c>
      <c r="O6" s="80">
        <f>M6+N6</f>
        <v>22686637.550999999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43832</v>
      </c>
      <c r="C7" s="136">
        <v>89</v>
      </c>
      <c r="D7" s="136">
        <v>177</v>
      </c>
      <c r="E7" s="67">
        <f t="shared" ref="E7:E37" si="4">$E$5</f>
        <v>1035.78</v>
      </c>
      <c r="F7" s="92">
        <v>3504</v>
      </c>
      <c r="G7" s="90">
        <v>15944</v>
      </c>
      <c r="H7" s="66">
        <f t="shared" si="0"/>
        <v>19448</v>
      </c>
      <c r="I7" s="91">
        <v>6795</v>
      </c>
      <c r="J7" s="91">
        <f t="shared" ref="J7:J37" si="5">+H7-I7</f>
        <v>12653</v>
      </c>
      <c r="K7" s="57">
        <f t="shared" si="1"/>
        <v>5444059.6799999997</v>
      </c>
      <c r="L7" s="57">
        <f t="shared" si="2"/>
        <v>16514476.32</v>
      </c>
      <c r="M7" s="57">
        <f t="shared" si="3"/>
        <v>21958536</v>
      </c>
      <c r="N7" s="58">
        <f>M7*0.03</f>
        <v>658756.07999999996</v>
      </c>
      <c r="O7" s="80">
        <f>M7+N7</f>
        <v>22617292.079999998</v>
      </c>
      <c r="P7" s="1"/>
      <c r="Q7" s="109"/>
      <c r="R7" s="1"/>
      <c r="S7" s="1"/>
      <c r="T7" s="1"/>
    </row>
    <row r="8" spans="2:20" s="3" customFormat="1" ht="50.1" customHeight="1" x14ac:dyDescent="0.25">
      <c r="B8" s="6">
        <v>43833</v>
      </c>
      <c r="C8" s="136">
        <v>68</v>
      </c>
      <c r="D8" s="136">
        <v>134</v>
      </c>
      <c r="E8" s="67">
        <f t="shared" si="4"/>
        <v>1035.78</v>
      </c>
      <c r="F8" s="92">
        <v>3256</v>
      </c>
      <c r="G8" s="90">
        <v>16728</v>
      </c>
      <c r="H8" s="66">
        <f t="shared" si="0"/>
        <v>19984</v>
      </c>
      <c r="I8" s="91">
        <v>6795</v>
      </c>
      <c r="J8" s="91">
        <f t="shared" si="5"/>
        <v>13189</v>
      </c>
      <c r="K8" s="57">
        <f t="shared" si="1"/>
        <v>5058749.5199999996</v>
      </c>
      <c r="L8" s="57">
        <f t="shared" si="2"/>
        <v>17326527.84</v>
      </c>
      <c r="M8" s="57">
        <f t="shared" si="3"/>
        <v>22385277.359999999</v>
      </c>
      <c r="N8" s="58">
        <f t="shared" ref="N8:N37" si="6">M8*0.03</f>
        <v>671558.32079999999</v>
      </c>
      <c r="O8" s="80">
        <f t="shared" ref="O8:O37" si="7">M8+N8</f>
        <v>23056835.680799998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43834</v>
      </c>
      <c r="C9" s="136">
        <v>48</v>
      </c>
      <c r="D9" s="136">
        <v>95</v>
      </c>
      <c r="E9" s="67">
        <f t="shared" si="4"/>
        <v>1035.78</v>
      </c>
      <c r="F9" s="92">
        <v>3240</v>
      </c>
      <c r="G9" s="90">
        <v>15878</v>
      </c>
      <c r="H9" s="66">
        <f t="shared" si="0"/>
        <v>19118</v>
      </c>
      <c r="I9" s="91">
        <v>6795</v>
      </c>
      <c r="J9" s="91">
        <f t="shared" si="5"/>
        <v>12323</v>
      </c>
      <c r="K9" s="57">
        <f t="shared" si="1"/>
        <v>5033890.8</v>
      </c>
      <c r="L9" s="57">
        <f t="shared" si="2"/>
        <v>16446114.84</v>
      </c>
      <c r="M9" s="57">
        <f t="shared" si="3"/>
        <v>21480005.640000001</v>
      </c>
      <c r="N9" s="58">
        <f t="shared" si="6"/>
        <v>644400.1692</v>
      </c>
      <c r="O9" s="80">
        <f t="shared" si="7"/>
        <v>22124405.8092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43835</v>
      </c>
      <c r="C10" s="136">
        <v>41</v>
      </c>
      <c r="D10" s="136">
        <v>77</v>
      </c>
      <c r="E10" s="67">
        <f t="shared" si="4"/>
        <v>1035.78</v>
      </c>
      <c r="F10" s="92">
        <v>3454</v>
      </c>
      <c r="G10" s="90">
        <v>16400</v>
      </c>
      <c r="H10" s="66">
        <f t="shared" si="0"/>
        <v>19854</v>
      </c>
      <c r="I10" s="91">
        <v>6795</v>
      </c>
      <c r="J10" s="91">
        <f t="shared" si="5"/>
        <v>13059</v>
      </c>
      <c r="K10" s="57">
        <f t="shared" si="1"/>
        <v>5366376.18</v>
      </c>
      <c r="L10" s="57">
        <f t="shared" si="2"/>
        <v>16986792</v>
      </c>
      <c r="M10" s="57">
        <f t="shared" si="3"/>
        <v>22353168.18</v>
      </c>
      <c r="N10" s="58">
        <f t="shared" si="6"/>
        <v>670595.04539999994</v>
      </c>
      <c r="O10" s="80">
        <f t="shared" si="7"/>
        <v>23023763.225400001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43836</v>
      </c>
      <c r="C11" s="136">
        <v>40</v>
      </c>
      <c r="D11" s="136">
        <v>70</v>
      </c>
      <c r="E11" s="67">
        <f t="shared" si="4"/>
        <v>1035.78</v>
      </c>
      <c r="F11" s="92">
        <v>3706</v>
      </c>
      <c r="G11" s="90">
        <v>17506</v>
      </c>
      <c r="H11" s="66">
        <f t="shared" si="0"/>
        <v>21212</v>
      </c>
      <c r="I11" s="91">
        <v>6795</v>
      </c>
      <c r="J11" s="91">
        <f t="shared" si="5"/>
        <v>14417</v>
      </c>
      <c r="K11" s="57">
        <f t="shared" si="1"/>
        <v>5757901.0199999996</v>
      </c>
      <c r="L11" s="57">
        <f t="shared" si="2"/>
        <v>18132364.68</v>
      </c>
      <c r="M11" s="57">
        <f t="shared" si="3"/>
        <v>23890265.699999999</v>
      </c>
      <c r="N11" s="58">
        <f t="shared" si="6"/>
        <v>716707.9709999999</v>
      </c>
      <c r="O11" s="80">
        <f t="shared" si="7"/>
        <v>24606973.671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43837</v>
      </c>
      <c r="C12" s="136">
        <v>57</v>
      </c>
      <c r="D12" s="136">
        <v>100</v>
      </c>
      <c r="E12" s="67">
        <f t="shared" si="4"/>
        <v>1035.78</v>
      </c>
      <c r="F12" s="92">
        <v>3700</v>
      </c>
      <c r="G12" s="90">
        <v>17626</v>
      </c>
      <c r="H12" s="66">
        <f t="shared" si="0"/>
        <v>21326</v>
      </c>
      <c r="I12" s="91">
        <v>6795</v>
      </c>
      <c r="J12" s="91">
        <f t="shared" si="5"/>
        <v>14531</v>
      </c>
      <c r="K12" s="57">
        <f t="shared" si="1"/>
        <v>5748579</v>
      </c>
      <c r="L12" s="57">
        <f t="shared" si="2"/>
        <v>18256658.280000001</v>
      </c>
      <c r="M12" s="57">
        <f t="shared" si="3"/>
        <v>24005237.280000001</v>
      </c>
      <c r="N12" s="58">
        <f t="shared" si="6"/>
        <v>720157.11840000004</v>
      </c>
      <c r="O12" s="80">
        <f t="shared" si="7"/>
        <v>24725394.398400001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43838</v>
      </c>
      <c r="C13" s="136">
        <v>60</v>
      </c>
      <c r="D13" s="136">
        <v>105</v>
      </c>
      <c r="E13" s="67">
        <f t="shared" si="4"/>
        <v>1035.78</v>
      </c>
      <c r="F13" s="92">
        <v>3528</v>
      </c>
      <c r="G13" s="90">
        <v>16198</v>
      </c>
      <c r="H13" s="66">
        <f t="shared" si="0"/>
        <v>19726</v>
      </c>
      <c r="I13" s="91">
        <v>6795</v>
      </c>
      <c r="J13" s="91">
        <f t="shared" si="5"/>
        <v>12931</v>
      </c>
      <c r="K13" s="57">
        <f t="shared" si="1"/>
        <v>5481347.7599999998</v>
      </c>
      <c r="L13" s="57">
        <f t="shared" si="2"/>
        <v>16777564.440000001</v>
      </c>
      <c r="M13" s="57">
        <f t="shared" si="3"/>
        <v>22258912.200000003</v>
      </c>
      <c r="N13" s="58">
        <f t="shared" si="6"/>
        <v>667767.36600000004</v>
      </c>
      <c r="O13" s="80">
        <f t="shared" si="7"/>
        <v>22926679.566000003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43839</v>
      </c>
      <c r="C14" s="136">
        <v>44</v>
      </c>
      <c r="D14" s="136">
        <v>80</v>
      </c>
      <c r="E14" s="67">
        <f t="shared" si="4"/>
        <v>1035.78</v>
      </c>
      <c r="F14" s="92">
        <v>3394</v>
      </c>
      <c r="G14" s="90">
        <v>15804</v>
      </c>
      <c r="H14" s="66">
        <f t="shared" si="0"/>
        <v>19198</v>
      </c>
      <c r="I14" s="91">
        <v>6795</v>
      </c>
      <c r="J14" s="91">
        <f t="shared" si="5"/>
        <v>12403</v>
      </c>
      <c r="K14" s="57">
        <f t="shared" si="1"/>
        <v>5273155.9799999995</v>
      </c>
      <c r="L14" s="57">
        <f t="shared" si="2"/>
        <v>16369467.119999999</v>
      </c>
      <c r="M14" s="57">
        <f t="shared" si="3"/>
        <v>21642623.099999998</v>
      </c>
      <c r="N14" s="58">
        <f t="shared" si="6"/>
        <v>649278.69299999985</v>
      </c>
      <c r="O14" s="80">
        <f t="shared" si="7"/>
        <v>22291901.792999998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43840</v>
      </c>
      <c r="C15" s="136">
        <v>69</v>
      </c>
      <c r="D15" s="136">
        <v>132</v>
      </c>
      <c r="E15" s="67">
        <f t="shared" si="4"/>
        <v>1035.78</v>
      </c>
      <c r="F15" s="92">
        <v>3300</v>
      </c>
      <c r="G15" s="90">
        <v>15780</v>
      </c>
      <c r="H15" s="66">
        <f t="shared" si="0"/>
        <v>19080</v>
      </c>
      <c r="I15" s="91">
        <v>6795</v>
      </c>
      <c r="J15" s="91">
        <f t="shared" si="5"/>
        <v>12285</v>
      </c>
      <c r="K15" s="57">
        <f t="shared" si="1"/>
        <v>5127111</v>
      </c>
      <c r="L15" s="57">
        <f t="shared" si="2"/>
        <v>16344608.4</v>
      </c>
      <c r="M15" s="57">
        <f t="shared" si="3"/>
        <v>21471719.399999999</v>
      </c>
      <c r="N15" s="58">
        <f t="shared" si="6"/>
        <v>644151.58199999994</v>
      </c>
      <c r="O15" s="80">
        <f t="shared" si="7"/>
        <v>22115870.981999997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43841</v>
      </c>
      <c r="C16" s="136">
        <v>34</v>
      </c>
      <c r="D16" s="136">
        <v>69</v>
      </c>
      <c r="E16" s="67">
        <f t="shared" si="4"/>
        <v>1035.78</v>
      </c>
      <c r="F16" s="92">
        <v>3160</v>
      </c>
      <c r="G16" s="90">
        <v>16372</v>
      </c>
      <c r="H16" s="66">
        <f t="shared" si="0"/>
        <v>19532</v>
      </c>
      <c r="I16" s="91">
        <v>6795</v>
      </c>
      <c r="J16" s="91">
        <f t="shared" si="5"/>
        <v>12737</v>
      </c>
      <c r="K16" s="57">
        <f t="shared" si="1"/>
        <v>4909597.2</v>
      </c>
      <c r="L16" s="57">
        <f t="shared" si="2"/>
        <v>16957790.16</v>
      </c>
      <c r="M16" s="57">
        <f t="shared" si="3"/>
        <v>21867387.359999999</v>
      </c>
      <c r="N16" s="58">
        <f t="shared" si="6"/>
        <v>656021.62079999992</v>
      </c>
      <c r="O16" s="80">
        <f t="shared" si="7"/>
        <v>22523408.980799999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43842</v>
      </c>
      <c r="C17" s="136">
        <v>29</v>
      </c>
      <c r="D17" s="136">
        <v>54</v>
      </c>
      <c r="E17" s="67">
        <f t="shared" si="4"/>
        <v>1035.78</v>
      </c>
      <c r="F17" s="92">
        <v>3510</v>
      </c>
      <c r="G17" s="90">
        <v>16698</v>
      </c>
      <c r="H17" s="66">
        <f t="shared" si="0"/>
        <v>20208</v>
      </c>
      <c r="I17" s="91">
        <v>6795</v>
      </c>
      <c r="J17" s="91">
        <f t="shared" si="5"/>
        <v>13413</v>
      </c>
      <c r="K17" s="57">
        <f t="shared" si="1"/>
        <v>5453381.7000000002</v>
      </c>
      <c r="L17" s="57">
        <f t="shared" si="2"/>
        <v>17295454.440000001</v>
      </c>
      <c r="M17" s="57">
        <f t="shared" si="3"/>
        <v>22748836.140000001</v>
      </c>
      <c r="N17" s="58">
        <f t="shared" si="6"/>
        <v>682465.08420000004</v>
      </c>
      <c r="O17" s="80">
        <f t="shared" si="7"/>
        <v>23431301.224199999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43843</v>
      </c>
      <c r="C18" s="136">
        <v>19</v>
      </c>
      <c r="D18" s="136">
        <v>33</v>
      </c>
      <c r="E18" s="67">
        <f t="shared" si="4"/>
        <v>1035.78</v>
      </c>
      <c r="F18" s="92">
        <v>3584</v>
      </c>
      <c r="G18" s="90">
        <v>17170</v>
      </c>
      <c r="H18" s="66">
        <f t="shared" si="0"/>
        <v>20754</v>
      </c>
      <c r="I18" s="91">
        <v>6795</v>
      </c>
      <c r="J18" s="91">
        <f t="shared" si="5"/>
        <v>13959</v>
      </c>
      <c r="K18" s="57">
        <f t="shared" si="1"/>
        <v>5568353.2800000003</v>
      </c>
      <c r="L18" s="57">
        <f t="shared" si="2"/>
        <v>17784342.599999998</v>
      </c>
      <c r="M18" s="57">
        <f t="shared" si="3"/>
        <v>23352695.879999999</v>
      </c>
      <c r="N18" s="58">
        <f t="shared" si="6"/>
        <v>700580.87639999995</v>
      </c>
      <c r="O18" s="80">
        <f t="shared" si="7"/>
        <v>24053276.7564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43844</v>
      </c>
      <c r="C19" s="136">
        <v>23</v>
      </c>
      <c r="D19" s="136">
        <v>42</v>
      </c>
      <c r="E19" s="67">
        <f t="shared" si="4"/>
        <v>1035.78</v>
      </c>
      <c r="F19" s="92">
        <v>3274</v>
      </c>
      <c r="G19" s="90">
        <v>16216</v>
      </c>
      <c r="H19" s="66">
        <f t="shared" si="0"/>
        <v>19490</v>
      </c>
      <c r="I19" s="91">
        <v>6796</v>
      </c>
      <c r="J19" s="91">
        <f t="shared" si="5"/>
        <v>12694</v>
      </c>
      <c r="K19" s="57">
        <f t="shared" si="1"/>
        <v>5086715.58</v>
      </c>
      <c r="L19" s="57">
        <f t="shared" si="2"/>
        <v>16796208.48</v>
      </c>
      <c r="M19" s="57">
        <f t="shared" si="3"/>
        <v>21882924.060000002</v>
      </c>
      <c r="N19" s="58">
        <f t="shared" si="6"/>
        <v>656487.72180000006</v>
      </c>
      <c r="O19" s="80">
        <f t="shared" si="7"/>
        <v>22539411.781800002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43845</v>
      </c>
      <c r="C20" s="136">
        <v>28</v>
      </c>
      <c r="D20" s="136">
        <v>48</v>
      </c>
      <c r="E20" s="67">
        <f t="shared" si="4"/>
        <v>1035.78</v>
      </c>
      <c r="F20" s="92">
        <v>3302</v>
      </c>
      <c r="G20" s="90">
        <v>15000</v>
      </c>
      <c r="H20" s="66">
        <f t="shared" si="0"/>
        <v>18302</v>
      </c>
      <c r="I20" s="91">
        <v>7076</v>
      </c>
      <c r="J20" s="91">
        <f t="shared" si="5"/>
        <v>11226</v>
      </c>
      <c r="K20" s="57">
        <f t="shared" si="1"/>
        <v>5130218.34</v>
      </c>
      <c r="L20" s="57">
        <f t="shared" si="2"/>
        <v>15536700</v>
      </c>
      <c r="M20" s="57">
        <f t="shared" si="3"/>
        <v>20666918.34</v>
      </c>
      <c r="N20" s="58">
        <f t="shared" si="6"/>
        <v>620007.55019999994</v>
      </c>
      <c r="O20" s="80">
        <f t="shared" si="7"/>
        <v>21286925.8902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43846</v>
      </c>
      <c r="C21" s="136">
        <v>32</v>
      </c>
      <c r="D21" s="136">
        <v>58</v>
      </c>
      <c r="E21" s="67">
        <f t="shared" si="4"/>
        <v>1035.78</v>
      </c>
      <c r="F21" s="92">
        <v>3300</v>
      </c>
      <c r="G21" s="90">
        <v>15550</v>
      </c>
      <c r="H21" s="66">
        <f t="shared" si="0"/>
        <v>18850</v>
      </c>
      <c r="I21" s="91">
        <v>7666.04</v>
      </c>
      <c r="J21" s="91">
        <f t="shared" si="5"/>
        <v>11183.96</v>
      </c>
      <c r="K21" s="57">
        <f t="shared" si="1"/>
        <v>5127111</v>
      </c>
      <c r="L21" s="57">
        <f t="shared" si="2"/>
        <v>16106379</v>
      </c>
      <c r="M21" s="57">
        <f t="shared" si="3"/>
        <v>21233490</v>
      </c>
      <c r="N21" s="58">
        <f t="shared" si="6"/>
        <v>637004.69999999995</v>
      </c>
      <c r="O21" s="80">
        <f t="shared" si="7"/>
        <v>21870494.699999999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43847</v>
      </c>
      <c r="C22" s="136">
        <v>72</v>
      </c>
      <c r="D22" s="136">
        <v>140</v>
      </c>
      <c r="E22" s="67">
        <f t="shared" si="4"/>
        <v>1035.78</v>
      </c>
      <c r="F22" s="92">
        <v>3258</v>
      </c>
      <c r="G22" s="90">
        <v>15332</v>
      </c>
      <c r="H22" s="66">
        <f t="shared" si="0"/>
        <v>18590</v>
      </c>
      <c r="I22" s="91">
        <v>7504.04</v>
      </c>
      <c r="J22" s="91">
        <f t="shared" si="5"/>
        <v>11085.96</v>
      </c>
      <c r="K22" s="57">
        <f t="shared" si="1"/>
        <v>5061856.8599999994</v>
      </c>
      <c r="L22" s="57">
        <f t="shared" si="2"/>
        <v>15880578.959999999</v>
      </c>
      <c r="M22" s="57">
        <f t="shared" si="3"/>
        <v>20942435.82</v>
      </c>
      <c r="N22" s="58">
        <f t="shared" si="6"/>
        <v>628273.07459999993</v>
      </c>
      <c r="O22" s="80">
        <f t="shared" si="7"/>
        <v>21570708.8946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43848</v>
      </c>
      <c r="C23" s="136">
        <v>30</v>
      </c>
      <c r="D23" s="136">
        <v>56</v>
      </c>
      <c r="E23" s="67">
        <f t="shared" si="4"/>
        <v>1035.78</v>
      </c>
      <c r="F23" s="92">
        <v>3024</v>
      </c>
      <c r="G23" s="90">
        <v>14494</v>
      </c>
      <c r="H23" s="66">
        <f t="shared" si="0"/>
        <v>17518</v>
      </c>
      <c r="I23" s="91">
        <v>7200</v>
      </c>
      <c r="J23" s="91">
        <f t="shared" si="5"/>
        <v>10318</v>
      </c>
      <c r="K23" s="57">
        <f t="shared" si="1"/>
        <v>4698298.08</v>
      </c>
      <c r="L23" s="57">
        <f t="shared" si="2"/>
        <v>15012595.32</v>
      </c>
      <c r="M23" s="57">
        <f t="shared" si="3"/>
        <v>19710893.399999999</v>
      </c>
      <c r="N23" s="58">
        <f t="shared" si="6"/>
        <v>591326.80199999991</v>
      </c>
      <c r="O23" s="80">
        <f t="shared" si="7"/>
        <v>20302220.202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43849</v>
      </c>
      <c r="C24" s="136">
        <v>23</v>
      </c>
      <c r="D24" s="136">
        <v>41</v>
      </c>
      <c r="E24" s="67">
        <f t="shared" si="4"/>
        <v>1035.78</v>
      </c>
      <c r="F24" s="92">
        <v>3322</v>
      </c>
      <c r="G24" s="90">
        <v>16276</v>
      </c>
      <c r="H24" s="66">
        <f t="shared" si="0"/>
        <v>19598</v>
      </c>
      <c r="I24" s="91">
        <v>7789.2</v>
      </c>
      <c r="J24" s="91">
        <f t="shared" si="5"/>
        <v>11808.8</v>
      </c>
      <c r="K24" s="57">
        <f t="shared" si="1"/>
        <v>5161291.74</v>
      </c>
      <c r="L24" s="57">
        <f t="shared" si="2"/>
        <v>16858355.280000001</v>
      </c>
      <c r="M24" s="57">
        <f t="shared" si="3"/>
        <v>22019647.020000003</v>
      </c>
      <c r="N24" s="58">
        <f t="shared" si="6"/>
        <v>660589.41060000006</v>
      </c>
      <c r="O24" s="80">
        <f t="shared" si="7"/>
        <v>22680236.430600002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43850</v>
      </c>
      <c r="C25" s="136">
        <v>21</v>
      </c>
      <c r="D25" s="136">
        <v>37</v>
      </c>
      <c r="E25" s="67">
        <f t="shared" si="4"/>
        <v>1035.78</v>
      </c>
      <c r="F25" s="92">
        <v>3450</v>
      </c>
      <c r="G25" s="90">
        <v>15796</v>
      </c>
      <c r="H25" s="66">
        <f t="shared" si="0"/>
        <v>19246</v>
      </c>
      <c r="I25" s="91">
        <v>7814</v>
      </c>
      <c r="J25" s="91">
        <f t="shared" si="5"/>
        <v>11432</v>
      </c>
      <c r="K25" s="57">
        <f t="shared" si="1"/>
        <v>5360161.5</v>
      </c>
      <c r="L25" s="57">
        <f t="shared" si="2"/>
        <v>16361180.879999999</v>
      </c>
      <c r="M25" s="57">
        <f t="shared" si="3"/>
        <v>21721342.379999999</v>
      </c>
      <c r="N25" s="58">
        <f t="shared" si="6"/>
        <v>651640.27139999997</v>
      </c>
      <c r="O25" s="80">
        <f t="shared" si="7"/>
        <v>22372982.6514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43851</v>
      </c>
      <c r="C26" s="136">
        <v>35</v>
      </c>
      <c r="D26" s="136">
        <v>62</v>
      </c>
      <c r="E26" s="67">
        <f t="shared" si="4"/>
        <v>1035.78</v>
      </c>
      <c r="F26" s="92">
        <v>3620</v>
      </c>
      <c r="G26" s="90">
        <v>16656</v>
      </c>
      <c r="H26" s="66">
        <f t="shared" si="0"/>
        <v>20276</v>
      </c>
      <c r="I26" s="91">
        <v>8243</v>
      </c>
      <c r="J26" s="91">
        <f t="shared" si="5"/>
        <v>12033</v>
      </c>
      <c r="K26" s="57">
        <f t="shared" si="1"/>
        <v>5624285.3999999994</v>
      </c>
      <c r="L26" s="57">
        <f t="shared" si="2"/>
        <v>17251951.68</v>
      </c>
      <c r="M26" s="57">
        <f t="shared" si="3"/>
        <v>22876237.079999998</v>
      </c>
      <c r="N26" s="58">
        <f t="shared" si="6"/>
        <v>686287.11239999987</v>
      </c>
      <c r="O26" s="80">
        <f t="shared" si="7"/>
        <v>23562524.192399997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43852</v>
      </c>
      <c r="C27" s="136">
        <v>41</v>
      </c>
      <c r="D27" s="136">
        <v>78</v>
      </c>
      <c r="E27" s="67">
        <f t="shared" si="4"/>
        <v>1035.78</v>
      </c>
      <c r="F27" s="92">
        <v>3600</v>
      </c>
      <c r="G27" s="154">
        <v>16572</v>
      </c>
      <c r="H27" s="81">
        <f t="shared" si="0"/>
        <v>20172</v>
      </c>
      <c r="I27" s="91">
        <v>8243</v>
      </c>
      <c r="J27" s="91">
        <f t="shared" si="5"/>
        <v>11929</v>
      </c>
      <c r="K27" s="57">
        <f t="shared" si="1"/>
        <v>5593212</v>
      </c>
      <c r="L27" s="57">
        <f t="shared" si="2"/>
        <v>17164946.16</v>
      </c>
      <c r="M27" s="57">
        <f t="shared" si="3"/>
        <v>22758158.16</v>
      </c>
      <c r="N27" s="58">
        <f t="shared" si="6"/>
        <v>682744.74479999999</v>
      </c>
      <c r="O27" s="80">
        <f t="shared" si="7"/>
        <v>23440902.904800002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43853</v>
      </c>
      <c r="C28" s="136">
        <v>60</v>
      </c>
      <c r="D28" s="136">
        <v>114</v>
      </c>
      <c r="E28" s="67">
        <f t="shared" si="4"/>
        <v>1035.78</v>
      </c>
      <c r="F28" s="92">
        <v>3174</v>
      </c>
      <c r="G28" s="154">
        <v>17010</v>
      </c>
      <c r="H28" s="81">
        <f t="shared" si="0"/>
        <v>20184</v>
      </c>
      <c r="I28" s="91">
        <v>8243</v>
      </c>
      <c r="J28" s="91">
        <f t="shared" si="5"/>
        <v>11941</v>
      </c>
      <c r="K28" s="57">
        <f t="shared" si="1"/>
        <v>4931348.58</v>
      </c>
      <c r="L28" s="57">
        <f t="shared" si="2"/>
        <v>17618617.800000001</v>
      </c>
      <c r="M28" s="57">
        <f t="shared" si="3"/>
        <v>22549966.380000003</v>
      </c>
      <c r="N28" s="58">
        <f t="shared" si="6"/>
        <v>676498.99140000006</v>
      </c>
      <c r="O28" s="80">
        <f t="shared" si="7"/>
        <v>23226465.371400002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43854</v>
      </c>
      <c r="C29" s="136">
        <v>77</v>
      </c>
      <c r="D29" s="136">
        <v>147</v>
      </c>
      <c r="E29" s="67">
        <f t="shared" si="4"/>
        <v>1035.78</v>
      </c>
      <c r="F29" s="92">
        <v>3100</v>
      </c>
      <c r="G29" s="154">
        <v>16600</v>
      </c>
      <c r="H29" s="81">
        <f t="shared" si="0"/>
        <v>19700</v>
      </c>
      <c r="I29" s="91">
        <v>7832</v>
      </c>
      <c r="J29" s="91">
        <f t="shared" si="5"/>
        <v>11868</v>
      </c>
      <c r="K29" s="57">
        <f t="shared" si="1"/>
        <v>4816377</v>
      </c>
      <c r="L29" s="57">
        <f t="shared" si="2"/>
        <v>17193948</v>
      </c>
      <c r="M29" s="57">
        <f t="shared" si="3"/>
        <v>22010325</v>
      </c>
      <c r="N29" s="58">
        <f t="shared" si="6"/>
        <v>660309.75</v>
      </c>
      <c r="O29" s="80">
        <f t="shared" si="7"/>
        <v>22670634.75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43855</v>
      </c>
      <c r="C30" s="136">
        <v>25</v>
      </c>
      <c r="D30" s="136">
        <v>46</v>
      </c>
      <c r="E30" s="67">
        <f t="shared" si="4"/>
        <v>1035.78</v>
      </c>
      <c r="F30" s="92">
        <v>3120</v>
      </c>
      <c r="G30" s="154">
        <v>15630</v>
      </c>
      <c r="H30" s="81">
        <f t="shared" si="0"/>
        <v>18750</v>
      </c>
      <c r="I30" s="91">
        <v>7590</v>
      </c>
      <c r="J30" s="91">
        <f t="shared" si="5"/>
        <v>11160</v>
      </c>
      <c r="K30" s="57">
        <f t="shared" si="1"/>
        <v>4847450.3999999994</v>
      </c>
      <c r="L30" s="57">
        <f t="shared" si="2"/>
        <v>16189241.4</v>
      </c>
      <c r="M30" s="57">
        <f t="shared" si="3"/>
        <v>21036691.800000001</v>
      </c>
      <c r="N30" s="58">
        <f t="shared" si="6"/>
        <v>631100.75399999996</v>
      </c>
      <c r="O30" s="80">
        <f t="shared" si="7"/>
        <v>21667792.554000001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43856</v>
      </c>
      <c r="C31" s="136">
        <v>30</v>
      </c>
      <c r="D31" s="136">
        <v>55</v>
      </c>
      <c r="E31" s="67">
        <f t="shared" si="4"/>
        <v>1035.78</v>
      </c>
      <c r="F31" s="92">
        <v>3160</v>
      </c>
      <c r="G31" s="154">
        <v>15276</v>
      </c>
      <c r="H31" s="81">
        <f t="shared" si="0"/>
        <v>18436</v>
      </c>
      <c r="I31" s="91">
        <v>7589</v>
      </c>
      <c r="J31" s="91">
        <f t="shared" si="5"/>
        <v>10847</v>
      </c>
      <c r="K31" s="57">
        <f t="shared" si="1"/>
        <v>4909597.2</v>
      </c>
      <c r="L31" s="57">
        <f t="shared" si="2"/>
        <v>15822575.279999999</v>
      </c>
      <c r="M31" s="57">
        <f t="shared" si="3"/>
        <v>20732172.48</v>
      </c>
      <c r="N31" s="58">
        <f t="shared" si="6"/>
        <v>621965.17440000002</v>
      </c>
      <c r="O31" s="80">
        <f t="shared" si="7"/>
        <v>21354137.654400002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43857</v>
      </c>
      <c r="C32" s="136">
        <v>27</v>
      </c>
      <c r="D32" s="136">
        <v>44</v>
      </c>
      <c r="E32" s="67">
        <f t="shared" si="4"/>
        <v>1035.78</v>
      </c>
      <c r="F32" s="92">
        <v>3162</v>
      </c>
      <c r="G32" s="154">
        <v>15052</v>
      </c>
      <c r="H32" s="81">
        <f t="shared" si="0"/>
        <v>18214</v>
      </c>
      <c r="I32" s="91">
        <v>7375</v>
      </c>
      <c r="J32" s="91">
        <f t="shared" si="5"/>
        <v>10839</v>
      </c>
      <c r="K32" s="57">
        <f t="shared" si="1"/>
        <v>4912704.54</v>
      </c>
      <c r="L32" s="57">
        <f t="shared" si="2"/>
        <v>15590560.559999999</v>
      </c>
      <c r="M32" s="57">
        <f t="shared" si="3"/>
        <v>20503265.099999998</v>
      </c>
      <c r="N32" s="58">
        <f t="shared" si="6"/>
        <v>615097.95299999986</v>
      </c>
      <c r="O32" s="80">
        <f t="shared" si="7"/>
        <v>21118363.052999999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43858</v>
      </c>
      <c r="C33" s="136">
        <v>30</v>
      </c>
      <c r="D33" s="136">
        <v>51</v>
      </c>
      <c r="E33" s="67">
        <f t="shared" si="4"/>
        <v>1035.78</v>
      </c>
      <c r="F33" s="92">
        <v>3160</v>
      </c>
      <c r="G33" s="154">
        <v>15602</v>
      </c>
      <c r="H33" s="81">
        <f t="shared" si="0"/>
        <v>18762</v>
      </c>
      <c r="I33" s="91">
        <v>7461</v>
      </c>
      <c r="J33" s="91">
        <f t="shared" si="5"/>
        <v>11301</v>
      </c>
      <c r="K33" s="57">
        <f t="shared" si="1"/>
        <v>4909597.2</v>
      </c>
      <c r="L33" s="57">
        <f t="shared" si="2"/>
        <v>16160239.559999999</v>
      </c>
      <c r="M33" s="57">
        <f t="shared" si="3"/>
        <v>21069836.759999998</v>
      </c>
      <c r="N33" s="58">
        <f t="shared" si="6"/>
        <v>632095.10279999988</v>
      </c>
      <c r="O33" s="80">
        <f t="shared" si="7"/>
        <v>21701931.862799998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43859</v>
      </c>
      <c r="C34" s="136">
        <v>29</v>
      </c>
      <c r="D34" s="136">
        <v>49</v>
      </c>
      <c r="E34" s="67">
        <f t="shared" si="4"/>
        <v>1035.78</v>
      </c>
      <c r="F34" s="92">
        <v>3172</v>
      </c>
      <c r="G34" s="154">
        <v>15806</v>
      </c>
      <c r="H34" s="81">
        <f t="shared" si="0"/>
        <v>18978</v>
      </c>
      <c r="I34" s="91">
        <v>7572</v>
      </c>
      <c r="J34" s="91">
        <f t="shared" si="5"/>
        <v>11406</v>
      </c>
      <c r="K34" s="57">
        <f t="shared" si="1"/>
        <v>4928241.24</v>
      </c>
      <c r="L34" s="57">
        <f t="shared" si="2"/>
        <v>16371538.68</v>
      </c>
      <c r="M34" s="57">
        <f t="shared" si="3"/>
        <v>21299779.920000002</v>
      </c>
      <c r="N34" s="58">
        <f t="shared" si="6"/>
        <v>638993.39760000003</v>
      </c>
      <c r="O34" s="80">
        <f t="shared" si="7"/>
        <v>21938773.317600001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43860</v>
      </c>
      <c r="C35" s="136">
        <v>65</v>
      </c>
      <c r="D35" s="136">
        <v>120</v>
      </c>
      <c r="E35" s="67">
        <f t="shared" si="4"/>
        <v>1035.78</v>
      </c>
      <c r="F35" s="92">
        <v>3224</v>
      </c>
      <c r="G35" s="154">
        <v>15932</v>
      </c>
      <c r="H35" s="81">
        <f t="shared" si="0"/>
        <v>19156</v>
      </c>
      <c r="I35" s="91">
        <v>7737.81</v>
      </c>
      <c r="J35" s="91">
        <f t="shared" si="5"/>
        <v>11418.189999999999</v>
      </c>
      <c r="K35" s="57">
        <f t="shared" si="1"/>
        <v>5009032.08</v>
      </c>
      <c r="L35" s="57">
        <f t="shared" si="2"/>
        <v>16502046.959999999</v>
      </c>
      <c r="M35" s="57">
        <f t="shared" si="3"/>
        <v>21511079.039999999</v>
      </c>
      <c r="N35" s="58">
        <f t="shared" si="6"/>
        <v>645332.37119999994</v>
      </c>
      <c r="O35" s="80">
        <f t="shared" si="7"/>
        <v>22156411.411199998</v>
      </c>
      <c r="P35" s="1"/>
      <c r="Q35" s="1"/>
      <c r="R35" s="1"/>
      <c r="S35" s="1"/>
      <c r="T35" s="1"/>
    </row>
    <row r="36" spans="2:20" s="3" customFormat="1" ht="50.1" customHeight="1" x14ac:dyDescent="0.25">
      <c r="B36" s="6">
        <v>43861</v>
      </c>
      <c r="C36" s="136">
        <v>63</v>
      </c>
      <c r="D36" s="136">
        <v>118</v>
      </c>
      <c r="E36" s="67">
        <f t="shared" si="4"/>
        <v>1035.78</v>
      </c>
      <c r="F36" s="92">
        <v>3192</v>
      </c>
      <c r="G36" s="154">
        <v>15412</v>
      </c>
      <c r="H36" s="81">
        <f t="shared" si="0"/>
        <v>18604</v>
      </c>
      <c r="I36" s="91">
        <v>7666.82</v>
      </c>
      <c r="J36" s="91">
        <f t="shared" si="5"/>
        <v>10937.18</v>
      </c>
      <c r="K36" s="57">
        <f t="shared" si="1"/>
        <v>4959314.6399999997</v>
      </c>
      <c r="L36" s="57">
        <f t="shared" si="2"/>
        <v>15963441.359999999</v>
      </c>
      <c r="M36" s="57">
        <f t="shared" si="3"/>
        <v>20922756</v>
      </c>
      <c r="N36" s="58">
        <f t="shared" si="6"/>
        <v>627682.67999999993</v>
      </c>
      <c r="O36" s="80">
        <f t="shared" si="7"/>
        <v>21550438.68</v>
      </c>
      <c r="P36" s="1"/>
      <c r="Q36" s="1"/>
      <c r="R36" s="1"/>
      <c r="S36" s="1"/>
      <c r="T36" s="1"/>
    </row>
    <row r="37" spans="2:20" s="3" customFormat="1" ht="50.1" customHeight="1" thickBot="1" x14ac:dyDescent="0.3">
      <c r="B37" s="8" t="s">
        <v>18</v>
      </c>
      <c r="C37" s="152"/>
      <c r="D37" s="152"/>
      <c r="E37" s="82">
        <f t="shared" si="4"/>
        <v>1035.78</v>
      </c>
      <c r="F37" s="155"/>
      <c r="G37" s="156">
        <v>299</v>
      </c>
      <c r="H37" s="83">
        <f t="shared" si="0"/>
        <v>299</v>
      </c>
      <c r="I37" s="93"/>
      <c r="J37" s="91">
        <f t="shared" si="5"/>
        <v>299</v>
      </c>
      <c r="K37" s="84">
        <f t="shared" si="1"/>
        <v>0</v>
      </c>
      <c r="L37" s="84">
        <f t="shared" si="2"/>
        <v>309698.21999999997</v>
      </c>
      <c r="M37" s="84">
        <f t="shared" si="3"/>
        <v>309698.21999999997</v>
      </c>
      <c r="N37" s="85">
        <f t="shared" si="6"/>
        <v>9290.9465999999993</v>
      </c>
      <c r="O37" s="86">
        <f t="shared" si="7"/>
        <v>318989.1666</v>
      </c>
      <c r="P37" s="1"/>
      <c r="Q37" s="9"/>
      <c r="R37" s="1"/>
      <c r="S37" s="1"/>
      <c r="T37" s="1"/>
    </row>
    <row r="38" spans="2:20" s="1" customFormat="1" x14ac:dyDescent="0.25">
      <c r="B38" s="10"/>
      <c r="C38" s="10"/>
      <c r="D38" s="10"/>
      <c r="E38" s="11" t="s">
        <v>2</v>
      </c>
      <c r="F38" s="94">
        <f>SUM(F6:F37)</f>
        <v>103768</v>
      </c>
      <c r="G38" s="94">
        <f t="shared" ref="G38:O38" si="8">SUM(G6:G37)</f>
        <v>498153</v>
      </c>
      <c r="H38" s="94">
        <f t="shared" si="8"/>
        <v>601921</v>
      </c>
      <c r="I38" s="94">
        <f t="shared" si="8"/>
        <v>225600.91</v>
      </c>
      <c r="J38" s="94">
        <f t="shared" si="8"/>
        <v>376320.08999999997</v>
      </c>
      <c r="K38" s="94">
        <f t="shared" si="8"/>
        <v>161221228.55999997</v>
      </c>
      <c r="L38" s="94">
        <f t="shared" si="8"/>
        <v>515976914.33999997</v>
      </c>
      <c r="M38" s="94">
        <f t="shared" si="8"/>
        <v>677198142.89999986</v>
      </c>
      <c r="N38" s="94">
        <f t="shared" si="8"/>
        <v>20315944.286999997</v>
      </c>
      <c r="O38" s="94">
        <f t="shared" si="8"/>
        <v>697514087.18700004</v>
      </c>
    </row>
    <row r="39" spans="2:20" s="1" customFormat="1" x14ac:dyDescent="0.25">
      <c r="B39" s="14"/>
      <c r="C39" s="14"/>
      <c r="D39" s="14"/>
      <c r="E39" s="14"/>
      <c r="F39" s="15"/>
      <c r="G39" s="15"/>
      <c r="H39" s="95"/>
      <c r="I39" s="95"/>
      <c r="J39" s="95"/>
      <c r="K39" s="15"/>
      <c r="L39" s="14"/>
      <c r="M39" s="14"/>
      <c r="N39" s="14"/>
      <c r="O39" s="12"/>
    </row>
    <row r="40" spans="2:20" s="1" customFormat="1" x14ac:dyDescent="0.25">
      <c r="B40" s="14"/>
      <c r="C40" s="14"/>
      <c r="D40" s="14"/>
      <c r="E40" s="16"/>
      <c r="F40" s="96"/>
      <c r="G40" s="96"/>
      <c r="H40" s="97"/>
      <c r="I40" s="97"/>
      <c r="J40" s="97"/>
      <c r="K40" s="18"/>
      <c r="M40" s="19" t="s">
        <v>3</v>
      </c>
      <c r="N40" s="52">
        <v>55985137</v>
      </c>
      <c r="O40" s="12"/>
      <c r="Q40" s="14"/>
    </row>
    <row r="41" spans="2:20" s="1" customFormat="1" x14ac:dyDescent="0.25">
      <c r="B41" s="14"/>
      <c r="C41" s="14"/>
      <c r="D41" s="14"/>
      <c r="E41" s="20"/>
      <c r="F41" s="96"/>
      <c r="G41" s="98"/>
      <c r="H41" s="97"/>
      <c r="I41" s="97"/>
      <c r="J41" s="97"/>
      <c r="K41" s="17"/>
      <c r="L41" s="21"/>
      <c r="M41" s="22" t="s">
        <v>4</v>
      </c>
      <c r="N41" s="52">
        <v>17744976</v>
      </c>
      <c r="O41" s="13">
        <f>N40+N41</f>
        <v>73730113</v>
      </c>
      <c r="P41" s="1" t="s">
        <v>5</v>
      </c>
      <c r="Q41" s="14"/>
    </row>
    <row r="42" spans="2:20" s="1" customFormat="1" x14ac:dyDescent="0.25">
      <c r="B42" s="14"/>
      <c r="C42" s="14"/>
      <c r="D42" s="14"/>
      <c r="F42" s="96"/>
      <c r="G42" s="99"/>
      <c r="H42" s="97"/>
      <c r="I42" s="97"/>
      <c r="J42" s="97"/>
      <c r="K42" s="18"/>
      <c r="M42" s="23"/>
      <c r="N42" s="14"/>
      <c r="O42" s="24">
        <f>O38+O41</f>
        <v>771244200.18700004</v>
      </c>
      <c r="Q42" s="14"/>
    </row>
    <row r="43" spans="2:20" s="1" customFormat="1" x14ac:dyDescent="0.25">
      <c r="B43" s="14"/>
      <c r="C43" s="14"/>
      <c r="D43" s="14"/>
      <c r="E43" s="14"/>
      <c r="F43" s="96"/>
      <c r="G43" s="98"/>
      <c r="H43" s="97"/>
      <c r="I43" s="97"/>
      <c r="J43" s="97"/>
      <c r="K43" s="18"/>
      <c r="M43" s="59" t="s">
        <v>14</v>
      </c>
      <c r="N43" s="54">
        <v>42856377</v>
      </c>
      <c r="O43" s="9"/>
      <c r="Q43" s="14"/>
    </row>
    <row r="44" spans="2:20" s="1" customFormat="1" x14ac:dyDescent="0.25">
      <c r="B44" s="14"/>
      <c r="C44" s="14"/>
      <c r="D44" s="14"/>
      <c r="E44" s="14"/>
      <c r="F44" s="96"/>
      <c r="G44" s="98"/>
      <c r="H44" s="97"/>
      <c r="I44" s="97"/>
      <c r="J44" s="97"/>
      <c r="K44" s="18"/>
      <c r="M44" s="61" t="s">
        <v>16</v>
      </c>
      <c r="N44" s="54">
        <v>72524343</v>
      </c>
      <c r="O44" s="9"/>
      <c r="Q44" s="14"/>
    </row>
    <row r="45" spans="2:20" s="1" customFormat="1" x14ac:dyDescent="0.25">
      <c r="B45" s="14"/>
      <c r="C45" s="14"/>
      <c r="D45" s="14"/>
      <c r="E45" s="25"/>
      <c r="F45" s="96"/>
      <c r="G45" s="96"/>
      <c r="H45" s="97"/>
      <c r="I45" s="97"/>
      <c r="J45" s="97"/>
      <c r="K45" s="18"/>
      <c r="M45" s="26" t="s">
        <v>6</v>
      </c>
      <c r="N45" s="52">
        <v>100000000</v>
      </c>
      <c r="O45" s="9"/>
      <c r="Q45" s="14"/>
    </row>
    <row r="46" spans="2:20" s="1" customFormat="1" x14ac:dyDescent="0.25">
      <c r="B46" s="14"/>
      <c r="C46" s="14"/>
      <c r="D46" s="14"/>
      <c r="F46" s="97"/>
      <c r="G46" s="97"/>
      <c r="H46" s="97"/>
      <c r="I46" s="97"/>
      <c r="J46" s="97"/>
      <c r="M46" s="53" t="s">
        <v>15</v>
      </c>
      <c r="N46" s="54">
        <f>N43+N44+N45</f>
        <v>215380720</v>
      </c>
      <c r="O46" s="24">
        <f>N46</f>
        <v>215380720</v>
      </c>
      <c r="P46" s="27" t="s">
        <v>7</v>
      </c>
      <c r="Q46" s="14"/>
    </row>
    <row r="47" spans="2:20" s="1" customFormat="1" x14ac:dyDescent="0.25">
      <c r="B47" s="14"/>
      <c r="C47" s="14"/>
      <c r="D47" s="14"/>
      <c r="E47" s="20"/>
      <c r="F47" s="100"/>
      <c r="G47" s="100"/>
      <c r="H47" s="101" t="s">
        <v>17</v>
      </c>
      <c r="I47" s="101"/>
      <c r="J47" s="101"/>
      <c r="K47" s="18"/>
      <c r="M47" s="23"/>
      <c r="N47" s="14"/>
      <c r="Q47" s="14"/>
    </row>
    <row r="48" spans="2:20" s="1" customFormat="1" ht="21" x14ac:dyDescent="0.25">
      <c r="B48" s="14"/>
      <c r="C48" s="14"/>
      <c r="D48" s="14"/>
      <c r="E48" s="14"/>
      <c r="F48" s="97"/>
      <c r="G48" s="97"/>
      <c r="H48" s="102"/>
      <c r="I48" s="102"/>
      <c r="J48" s="102"/>
      <c r="K48" s="14"/>
      <c r="M48" s="55" t="s">
        <v>8</v>
      </c>
      <c r="N48" s="14"/>
      <c r="O48" s="28">
        <f>O42-O46</f>
        <v>555863480.18700004</v>
      </c>
      <c r="P48" s="60" t="s">
        <v>19</v>
      </c>
      <c r="Q48" s="14"/>
    </row>
    <row r="49" spans="5:15" s="1" customFormat="1" x14ac:dyDescent="0.25">
      <c r="E49" s="29"/>
      <c r="F49" s="103"/>
      <c r="G49" s="97"/>
      <c r="H49" s="95"/>
      <c r="I49" s="95"/>
      <c r="J49" s="95"/>
    </row>
    <row r="50" spans="5:15" s="1" customFormat="1" x14ac:dyDescent="0.25">
      <c r="F50" s="97"/>
      <c r="G50" s="97"/>
      <c r="H50" s="95"/>
      <c r="I50" s="95"/>
      <c r="J50" s="95"/>
      <c r="O50" s="30"/>
    </row>
    <row r="51" spans="5:15" s="1" customFormat="1" x14ac:dyDescent="0.25">
      <c r="F51" s="97"/>
      <c r="G51" s="97"/>
      <c r="H51" s="104"/>
      <c r="I51" s="104"/>
      <c r="J51" s="104"/>
      <c r="O51" s="30"/>
    </row>
    <row r="52" spans="5:15" s="31" customFormat="1" x14ac:dyDescent="0.25">
      <c r="F52" s="105"/>
      <c r="G52" s="105"/>
      <c r="H52" s="106"/>
      <c r="I52" s="106"/>
      <c r="J52" s="106"/>
      <c r="O52" s="32"/>
    </row>
    <row r="53" spans="5:15" s="31" customFormat="1" x14ac:dyDescent="0.25">
      <c r="F53" s="105"/>
      <c r="G53" s="105"/>
      <c r="H53" s="107"/>
      <c r="I53" s="107"/>
      <c r="J53" s="107"/>
    </row>
    <row r="54" spans="5:15" s="31" customFormat="1" x14ac:dyDescent="0.25">
      <c r="F54" s="105"/>
      <c r="G54" s="105"/>
      <c r="H54" s="105"/>
      <c r="I54" s="105"/>
      <c r="J54" s="105"/>
    </row>
    <row r="55" spans="5:15" s="31" customFormat="1" x14ac:dyDescent="0.25">
      <c r="F55" s="105"/>
      <c r="G55" s="105"/>
      <c r="H55" s="107"/>
      <c r="I55" s="107"/>
      <c r="J55" s="107"/>
    </row>
    <row r="56" spans="5:15" s="31" customFormat="1" x14ac:dyDescent="0.25">
      <c r="F56" s="105"/>
      <c r="G56" s="105"/>
      <c r="H56" s="105"/>
      <c r="I56" s="105"/>
      <c r="J56" s="105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6" priority="13" operator="greaterThan">
      <formula>$H$49</formula>
    </cfRule>
  </conditionalFormatting>
  <conditionalFormatting sqref="H6:H37">
    <cfRule type="cellIs" dxfId="5" priority="12" operator="greaterThan">
      <formula>$H$49</formula>
    </cfRule>
  </conditionalFormatting>
  <conditionalFormatting sqref="F6:F26">
    <cfRule type="cellIs" dxfId="4" priority="5" operator="greaterThan">
      <formula>$F$48</formula>
    </cfRule>
  </conditionalFormatting>
  <conditionalFormatting sqref="G6:G26">
    <cfRule type="cellIs" dxfId="3" priority="4" operator="greaterThan">
      <formula>$G$48</formula>
    </cfRule>
  </conditionalFormatting>
  <conditionalFormatting sqref="I6:I37">
    <cfRule type="cellIs" dxfId="2" priority="3" operator="greaterThan">
      <formula>$I$48</formula>
    </cfRule>
  </conditionalFormatting>
  <conditionalFormatting sqref="F27:F37">
    <cfRule type="cellIs" dxfId="1" priority="2" operator="greaterThan">
      <formula>$D$48</formula>
    </cfRule>
  </conditionalFormatting>
  <conditionalFormatting sqref="G27:G37">
    <cfRule type="cellIs" dxfId="0" priority="1" operator="greaterThan">
      <formula>$E$48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zoomScale="90" zoomScaleNormal="90" workbookViewId="0">
      <selection activeCell="F41" sqref="F41"/>
    </sheetView>
  </sheetViews>
  <sheetFormatPr defaultRowHeight="15" x14ac:dyDescent="0.25"/>
  <cols>
    <col min="1" max="2" width="9.140625" style="34"/>
    <col min="3" max="3" width="29" style="34" customWidth="1"/>
    <col min="4" max="7" width="33.140625" style="43" customWidth="1"/>
    <col min="8" max="8" width="9.140625" style="34"/>
    <col min="9" max="9" width="13.42578125" style="34" bestFit="1" customWidth="1"/>
    <col min="10" max="10" width="11.5703125" style="34" bestFit="1" customWidth="1"/>
    <col min="11" max="44" width="9.140625" style="34"/>
  </cols>
  <sheetData>
    <row r="1" spans="1:44" ht="15" customHeight="1" x14ac:dyDescent="0.25">
      <c r="B1" s="174" t="s">
        <v>9</v>
      </c>
      <c r="C1" s="174"/>
      <c r="D1" s="174"/>
      <c r="E1" s="174"/>
      <c r="F1" s="174"/>
      <c r="G1" s="174"/>
    </row>
    <row r="2" spans="1:44" ht="15" customHeight="1" x14ac:dyDescent="0.25">
      <c r="B2" s="174"/>
      <c r="C2" s="174"/>
      <c r="D2" s="174"/>
      <c r="E2" s="174"/>
      <c r="F2" s="174"/>
      <c r="G2" s="174"/>
    </row>
    <row r="3" spans="1:44" s="129" customFormat="1" ht="27" customHeight="1" x14ac:dyDescent="0.3">
      <c r="A3" s="128"/>
      <c r="B3" s="175" t="s">
        <v>0</v>
      </c>
      <c r="C3" s="127" t="s">
        <v>42</v>
      </c>
      <c r="D3" s="176" t="s">
        <v>44</v>
      </c>
      <c r="E3" s="176"/>
      <c r="F3" s="176"/>
      <c r="G3" s="176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</row>
    <row r="4" spans="1:44" s="129" customFormat="1" ht="27" customHeight="1" x14ac:dyDescent="0.3">
      <c r="A4" s="128"/>
      <c r="B4" s="175"/>
      <c r="C4" s="127" t="s">
        <v>43</v>
      </c>
      <c r="D4" s="127" t="s">
        <v>41</v>
      </c>
      <c r="E4" s="130" t="s">
        <v>13</v>
      </c>
      <c r="F4" s="127" t="s">
        <v>53</v>
      </c>
      <c r="G4" s="127" t="s">
        <v>10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</row>
    <row r="5" spans="1:44" ht="15.75" x14ac:dyDescent="0.25">
      <c r="B5" s="35">
        <v>43831</v>
      </c>
      <c r="C5" s="110">
        <f>ROUNDUP(D5+E5+G5,0)</f>
        <v>162</v>
      </c>
      <c r="D5" s="36">
        <v>62</v>
      </c>
      <c r="E5" s="37">
        <v>55</v>
      </c>
      <c r="F5" s="37">
        <f>+G5*0.2</f>
        <v>9</v>
      </c>
      <c r="G5" s="37">
        <v>45</v>
      </c>
      <c r="H5" s="38"/>
    </row>
    <row r="6" spans="1:44" ht="15.75" x14ac:dyDescent="0.25">
      <c r="B6" s="35">
        <v>43832</v>
      </c>
      <c r="C6" s="110">
        <f t="shared" ref="C6:C35" si="0">ROUNDUP(D6+E6+G6,0)</f>
        <v>165</v>
      </c>
      <c r="D6" s="36">
        <v>64.099999999998545</v>
      </c>
      <c r="E6" s="37">
        <v>54.700000000004366</v>
      </c>
      <c r="F6" s="37">
        <f t="shared" ref="F6:F35" si="1">+G6*0.2</f>
        <v>9.0600000000005831</v>
      </c>
      <c r="G6" s="37">
        <v>45.30000000000291</v>
      </c>
      <c r="H6" s="38"/>
    </row>
    <row r="7" spans="1:44" ht="15.75" x14ac:dyDescent="0.25">
      <c r="B7" s="35">
        <v>43833</v>
      </c>
      <c r="C7" s="110">
        <f t="shared" si="0"/>
        <v>178</v>
      </c>
      <c r="D7" s="36">
        <v>67.099999999998545</v>
      </c>
      <c r="E7" s="37">
        <v>59.69999999999709</v>
      </c>
      <c r="F7" s="37">
        <f t="shared" si="1"/>
        <v>10.239999999999419</v>
      </c>
      <c r="G7" s="37">
        <v>51.19999999999709</v>
      </c>
      <c r="H7" s="38"/>
    </row>
    <row r="8" spans="1:44" ht="15.75" x14ac:dyDescent="0.25">
      <c r="B8" s="35">
        <v>43834</v>
      </c>
      <c r="C8" s="110">
        <f t="shared" si="0"/>
        <v>152</v>
      </c>
      <c r="D8" s="36">
        <v>34.80000000000291</v>
      </c>
      <c r="E8" s="37">
        <v>61.80000000000291</v>
      </c>
      <c r="F8" s="37">
        <f t="shared" si="1"/>
        <v>10.9</v>
      </c>
      <c r="G8" s="37">
        <v>54.5</v>
      </c>
      <c r="H8" s="38"/>
    </row>
    <row r="9" spans="1:44" ht="15.75" x14ac:dyDescent="0.25">
      <c r="B9" s="35">
        <v>43835</v>
      </c>
      <c r="C9" s="110">
        <f t="shared" si="0"/>
        <v>138</v>
      </c>
      <c r="D9" s="36">
        <v>19.900000000001455</v>
      </c>
      <c r="E9" s="37">
        <v>69.099999999998545</v>
      </c>
      <c r="F9" s="37">
        <f t="shared" si="1"/>
        <v>9.7000000000000011</v>
      </c>
      <c r="G9" s="37">
        <v>48.5</v>
      </c>
      <c r="H9" s="38"/>
    </row>
    <row r="10" spans="1:44" ht="15.75" x14ac:dyDescent="0.25">
      <c r="B10" s="35">
        <v>43836</v>
      </c>
      <c r="C10" s="110">
        <f t="shared" si="0"/>
        <v>155</v>
      </c>
      <c r="D10" s="36">
        <v>5.1999999999970896</v>
      </c>
      <c r="E10" s="37">
        <v>91.400000000001455</v>
      </c>
      <c r="F10" s="37">
        <f t="shared" si="1"/>
        <v>11.480000000001747</v>
      </c>
      <c r="G10" s="37">
        <v>57.400000000008731</v>
      </c>
      <c r="H10" s="38"/>
    </row>
    <row r="11" spans="1:44" ht="15.75" x14ac:dyDescent="0.25">
      <c r="B11" s="35">
        <v>43837</v>
      </c>
      <c r="C11" s="110">
        <f t="shared" si="0"/>
        <v>172</v>
      </c>
      <c r="D11" s="36">
        <v>42.5</v>
      </c>
      <c r="E11" s="37">
        <v>70.899999999997817</v>
      </c>
      <c r="F11" s="37">
        <f t="shared" si="1"/>
        <v>11.600000000000001</v>
      </c>
      <c r="G11" s="37">
        <v>58</v>
      </c>
      <c r="H11" s="38"/>
    </row>
    <row r="12" spans="1:44" ht="15.75" x14ac:dyDescent="0.25">
      <c r="B12" s="35">
        <v>43838</v>
      </c>
      <c r="C12" s="110">
        <f t="shared" si="0"/>
        <v>137</v>
      </c>
      <c r="D12" s="36">
        <v>15.599999999998545</v>
      </c>
      <c r="E12" s="37">
        <v>64.700000000004366</v>
      </c>
      <c r="F12" s="37">
        <f t="shared" si="1"/>
        <v>11.219999999998254</v>
      </c>
      <c r="G12" s="37">
        <v>56.099999999991269</v>
      </c>
      <c r="H12" s="38"/>
    </row>
    <row r="13" spans="1:44" ht="15.75" x14ac:dyDescent="0.25">
      <c r="B13" s="35">
        <v>43839</v>
      </c>
      <c r="C13" s="110">
        <f t="shared" si="0"/>
        <v>156</v>
      </c>
      <c r="D13" s="36">
        <v>53.100000000005821</v>
      </c>
      <c r="E13" s="37">
        <v>47.299999999999272</v>
      </c>
      <c r="F13" s="37">
        <f t="shared" si="1"/>
        <v>11.080000000001746</v>
      </c>
      <c r="G13" s="37">
        <v>55.400000000008731</v>
      </c>
      <c r="H13" s="38"/>
    </row>
    <row r="14" spans="1:44" ht="15.75" x14ac:dyDescent="0.25">
      <c r="B14" s="35">
        <v>43840</v>
      </c>
      <c r="C14" s="110">
        <f t="shared" si="0"/>
        <v>185</v>
      </c>
      <c r="D14" s="36">
        <v>55.5</v>
      </c>
      <c r="E14" s="37">
        <v>74.19999999999709</v>
      </c>
      <c r="F14" s="37">
        <f t="shared" si="1"/>
        <v>10.919999999998254</v>
      </c>
      <c r="G14" s="37">
        <v>54.599999999991269</v>
      </c>
      <c r="H14" s="38"/>
    </row>
    <row r="15" spans="1:44" ht="15.75" x14ac:dyDescent="0.25">
      <c r="B15" s="35">
        <v>43841</v>
      </c>
      <c r="C15" s="110">
        <f t="shared" si="0"/>
        <v>171</v>
      </c>
      <c r="D15" s="36">
        <v>26.799999999995634</v>
      </c>
      <c r="E15" s="37">
        <v>88.200000000000728</v>
      </c>
      <c r="F15" s="37">
        <f t="shared" si="1"/>
        <v>11.100000000000001</v>
      </c>
      <c r="G15" s="37">
        <v>55.5</v>
      </c>
      <c r="H15" s="38"/>
    </row>
    <row r="16" spans="1:44" ht="15.75" x14ac:dyDescent="0.25">
      <c r="B16" s="35">
        <v>43842</v>
      </c>
      <c r="C16" s="110">
        <f t="shared" si="0"/>
        <v>121</v>
      </c>
      <c r="D16" s="36">
        <v>8.4000000000014552</v>
      </c>
      <c r="E16" s="37">
        <v>87.700000000000728</v>
      </c>
      <c r="F16" s="37">
        <f t="shared" si="1"/>
        <v>4.8399999999994181</v>
      </c>
      <c r="G16" s="37">
        <v>24.19999999999709</v>
      </c>
      <c r="H16" s="38"/>
    </row>
    <row r="17" spans="2:8" ht="15.75" x14ac:dyDescent="0.25">
      <c r="B17" s="35">
        <v>43843</v>
      </c>
      <c r="C17" s="110">
        <f t="shared" si="0"/>
        <v>137</v>
      </c>
      <c r="D17" s="36">
        <v>22</v>
      </c>
      <c r="E17" s="37">
        <v>57.299999999996544</v>
      </c>
      <c r="F17" s="37">
        <f t="shared" si="1"/>
        <v>11.520000000001165</v>
      </c>
      <c r="G17" s="37">
        <v>57.600000000005821</v>
      </c>
      <c r="H17" s="38"/>
    </row>
    <row r="18" spans="2:8" ht="15.75" x14ac:dyDescent="0.25">
      <c r="B18" s="35">
        <v>43844</v>
      </c>
      <c r="C18" s="110">
        <f t="shared" si="0"/>
        <v>127</v>
      </c>
      <c r="D18" s="36">
        <v>11</v>
      </c>
      <c r="E18" s="37">
        <v>56.600000000004229</v>
      </c>
      <c r="F18" s="37">
        <f t="shared" si="1"/>
        <v>11.860000000000582</v>
      </c>
      <c r="G18" s="37">
        <v>59.30000000000291</v>
      </c>
      <c r="H18" s="38"/>
    </row>
    <row r="19" spans="2:8" ht="15.75" x14ac:dyDescent="0.25">
      <c r="B19" s="35">
        <v>43845</v>
      </c>
      <c r="C19" s="110">
        <f t="shared" si="0"/>
        <v>178</v>
      </c>
      <c r="D19" s="36">
        <v>21.5</v>
      </c>
      <c r="E19" s="37">
        <v>96.800000000000864</v>
      </c>
      <c r="F19" s="37">
        <f t="shared" si="1"/>
        <v>11.9</v>
      </c>
      <c r="G19" s="37">
        <v>59.5</v>
      </c>
      <c r="H19" s="38"/>
    </row>
    <row r="20" spans="2:8" ht="15.75" x14ac:dyDescent="0.25">
      <c r="B20" s="35">
        <v>43846</v>
      </c>
      <c r="C20" s="110">
        <f t="shared" si="0"/>
        <v>172</v>
      </c>
      <c r="D20" s="36">
        <v>21.69999999999709</v>
      </c>
      <c r="E20" s="37">
        <v>93.199999999995498</v>
      </c>
      <c r="F20" s="37">
        <f t="shared" si="1"/>
        <v>11.339999999999419</v>
      </c>
      <c r="G20" s="37">
        <v>56.69999999999709</v>
      </c>
      <c r="H20" s="38"/>
    </row>
    <row r="21" spans="2:8" ht="15.75" x14ac:dyDescent="0.25">
      <c r="B21" s="35">
        <v>43847</v>
      </c>
      <c r="C21" s="110">
        <f t="shared" si="0"/>
        <v>150</v>
      </c>
      <c r="D21" s="36">
        <v>19.400000000001455</v>
      </c>
      <c r="E21" s="37">
        <v>77.500000000000682</v>
      </c>
      <c r="F21" s="37">
        <f t="shared" si="1"/>
        <v>10.600000000000001</v>
      </c>
      <c r="G21" s="37">
        <v>53</v>
      </c>
      <c r="H21" s="38"/>
    </row>
    <row r="22" spans="2:8" ht="15.75" x14ac:dyDescent="0.25">
      <c r="B22" s="35">
        <v>43848</v>
      </c>
      <c r="C22" s="110">
        <f t="shared" si="0"/>
        <v>109</v>
      </c>
      <c r="D22" s="36">
        <v>21.900000000001455</v>
      </c>
      <c r="E22" s="37">
        <v>35.099999999999454</v>
      </c>
      <c r="F22" s="37">
        <f t="shared" si="1"/>
        <v>10.239999999999419</v>
      </c>
      <c r="G22" s="37">
        <v>51.19999999999709</v>
      </c>
      <c r="H22" s="38"/>
    </row>
    <row r="23" spans="2:8" ht="15.75" x14ac:dyDescent="0.25">
      <c r="B23" s="35">
        <v>43849</v>
      </c>
      <c r="C23" s="110">
        <f t="shared" si="0"/>
        <v>107</v>
      </c>
      <c r="D23" s="36">
        <v>15.19999999999709</v>
      </c>
      <c r="E23" s="37">
        <v>75.600000000002865</v>
      </c>
      <c r="F23" s="37">
        <f t="shared" si="1"/>
        <v>3.1600000000005823</v>
      </c>
      <c r="G23" s="37">
        <v>15.80000000000291</v>
      </c>
      <c r="H23" s="38"/>
    </row>
    <row r="24" spans="2:8" ht="15.75" x14ac:dyDescent="0.25">
      <c r="B24" s="35">
        <v>43850</v>
      </c>
      <c r="C24" s="110">
        <f t="shared" si="0"/>
        <v>224</v>
      </c>
      <c r="D24" s="36">
        <v>57.100000000005821</v>
      </c>
      <c r="E24" s="37">
        <v>90.000000000002956</v>
      </c>
      <c r="F24" s="37">
        <f t="shared" si="1"/>
        <v>15.220000000001164</v>
      </c>
      <c r="G24" s="37">
        <v>76.100000000005821</v>
      </c>
      <c r="H24" s="38"/>
    </row>
    <row r="25" spans="2:8" ht="15.75" x14ac:dyDescent="0.25">
      <c r="B25" s="35">
        <v>43851</v>
      </c>
      <c r="C25" s="110">
        <f t="shared" si="0"/>
        <v>160</v>
      </c>
      <c r="D25" s="56">
        <v>24.099999999998545</v>
      </c>
      <c r="E25" s="37">
        <v>74.999999999996362</v>
      </c>
      <c r="F25" s="37">
        <f t="shared" si="1"/>
        <v>12</v>
      </c>
      <c r="G25" s="37">
        <v>60</v>
      </c>
      <c r="H25" s="38"/>
    </row>
    <row r="26" spans="2:8" ht="15.75" x14ac:dyDescent="0.25">
      <c r="B26" s="35">
        <v>43852</v>
      </c>
      <c r="C26" s="110">
        <f t="shared" si="0"/>
        <v>201</v>
      </c>
      <c r="D26" s="36">
        <v>35.299999999995634</v>
      </c>
      <c r="E26" s="37">
        <v>96.599999999998545</v>
      </c>
      <c r="F26" s="37">
        <f t="shared" si="1"/>
        <v>13.700000000000001</v>
      </c>
      <c r="G26" s="37">
        <v>68.5</v>
      </c>
      <c r="H26" s="38"/>
    </row>
    <row r="27" spans="2:8" ht="15.75" x14ac:dyDescent="0.25">
      <c r="B27" s="35">
        <v>43853</v>
      </c>
      <c r="C27" s="110">
        <f t="shared" si="0"/>
        <v>169</v>
      </c>
      <c r="D27" s="36">
        <v>32.900000000001455</v>
      </c>
      <c r="E27" s="37">
        <v>82.499999999998408</v>
      </c>
      <c r="F27" s="37">
        <f t="shared" si="1"/>
        <v>10.600000000000001</v>
      </c>
      <c r="G27" s="37">
        <v>53</v>
      </c>
      <c r="H27" s="38"/>
    </row>
    <row r="28" spans="2:8" ht="15.75" x14ac:dyDescent="0.25">
      <c r="B28" s="35">
        <v>43854</v>
      </c>
      <c r="C28" s="110">
        <f t="shared" si="0"/>
        <v>164</v>
      </c>
      <c r="D28" s="36">
        <v>43.900000000001455</v>
      </c>
      <c r="E28" s="37">
        <v>82.000000000002274</v>
      </c>
      <c r="F28" s="37">
        <f t="shared" si="1"/>
        <v>7.5799999999988366</v>
      </c>
      <c r="G28" s="37">
        <v>37.899999999994179</v>
      </c>
      <c r="H28" s="38"/>
    </row>
    <row r="29" spans="2:8" ht="15.75" x14ac:dyDescent="0.25">
      <c r="B29" s="35">
        <v>43855</v>
      </c>
      <c r="C29" s="110">
        <f t="shared" si="0"/>
        <v>153</v>
      </c>
      <c r="D29" s="36">
        <v>22.19999999999709</v>
      </c>
      <c r="E29" s="37">
        <v>82</v>
      </c>
      <c r="F29" s="37">
        <f t="shared" si="1"/>
        <v>9.6000000000000014</v>
      </c>
      <c r="G29" s="37">
        <v>48</v>
      </c>
      <c r="H29" s="38"/>
    </row>
    <row r="30" spans="2:8" ht="15.75" x14ac:dyDescent="0.25">
      <c r="B30" s="35">
        <v>43856</v>
      </c>
      <c r="C30" s="110">
        <f t="shared" si="0"/>
        <v>161</v>
      </c>
      <c r="D30" s="36">
        <v>23.30000000000291</v>
      </c>
      <c r="E30" s="37">
        <v>83</v>
      </c>
      <c r="F30" s="37">
        <f t="shared" si="1"/>
        <v>10.760000000000582</v>
      </c>
      <c r="G30" s="37">
        <v>53.80000000000291</v>
      </c>
      <c r="H30" s="38"/>
    </row>
    <row r="31" spans="2:8" ht="15.75" x14ac:dyDescent="0.25">
      <c r="B31" s="35">
        <v>43857</v>
      </c>
      <c r="C31" s="110">
        <f t="shared" si="0"/>
        <v>154</v>
      </c>
      <c r="D31" s="37">
        <v>23.30000000000291</v>
      </c>
      <c r="E31" s="37">
        <v>78.199999999994361</v>
      </c>
      <c r="F31" s="37">
        <f t="shared" si="1"/>
        <v>10.460000000000583</v>
      </c>
      <c r="G31" s="37">
        <v>52.30000000000291</v>
      </c>
      <c r="H31" s="38"/>
    </row>
    <row r="32" spans="2:8" ht="15.75" x14ac:dyDescent="0.25">
      <c r="B32" s="35">
        <v>43858</v>
      </c>
      <c r="C32" s="110">
        <f t="shared" si="0"/>
        <v>179</v>
      </c>
      <c r="D32" s="37">
        <v>23.19999999999709</v>
      </c>
      <c r="E32" s="37">
        <v>90.299999999999955</v>
      </c>
      <c r="F32" s="37">
        <f t="shared" si="1"/>
        <v>13.079999999998837</v>
      </c>
      <c r="G32" s="37">
        <v>65.399999999994179</v>
      </c>
      <c r="H32" s="38"/>
    </row>
    <row r="33" spans="2:11" ht="15.75" x14ac:dyDescent="0.25">
      <c r="B33" s="35">
        <v>43859</v>
      </c>
      <c r="C33" s="110">
        <f t="shared" si="0"/>
        <v>158</v>
      </c>
      <c r="D33" s="37">
        <v>27</v>
      </c>
      <c r="E33" s="37">
        <v>82.80000000000291</v>
      </c>
      <c r="F33" s="37">
        <f t="shared" si="1"/>
        <v>9.5200000000011649</v>
      </c>
      <c r="G33" s="37">
        <v>47.600000000005821</v>
      </c>
      <c r="H33" s="38"/>
    </row>
    <row r="34" spans="2:11" ht="15.75" x14ac:dyDescent="0.25">
      <c r="B34" s="35">
        <v>43860</v>
      </c>
      <c r="C34" s="110">
        <f t="shared" si="0"/>
        <v>150</v>
      </c>
      <c r="D34" s="36">
        <v>26.5</v>
      </c>
      <c r="E34" s="37">
        <v>75.899999999999181</v>
      </c>
      <c r="F34" s="37">
        <f t="shared" si="1"/>
        <v>9.3799999999988355</v>
      </c>
      <c r="G34" s="37">
        <v>46.899999999994179</v>
      </c>
      <c r="H34" s="38"/>
    </row>
    <row r="35" spans="2:11" ht="15.75" x14ac:dyDescent="0.25">
      <c r="B35" s="35">
        <v>43861</v>
      </c>
      <c r="C35" s="110">
        <f t="shared" si="0"/>
        <v>204</v>
      </c>
      <c r="D35" s="37">
        <v>63.19999999999709</v>
      </c>
      <c r="E35" s="37">
        <v>90</v>
      </c>
      <c r="F35" s="37">
        <f t="shared" si="1"/>
        <v>10.139999999999418</v>
      </c>
      <c r="G35" s="37">
        <v>50.69999999999709</v>
      </c>
      <c r="H35" s="38"/>
    </row>
    <row r="36" spans="2:11" x14ac:dyDescent="0.25">
      <c r="B36" s="39"/>
      <c r="C36" s="39"/>
      <c r="D36" s="40"/>
      <c r="E36" s="40"/>
      <c r="F36" s="40"/>
      <c r="G36" s="40"/>
    </row>
    <row r="37" spans="2:11" ht="21" x14ac:dyDescent="0.35">
      <c r="B37" s="41"/>
      <c r="C37" s="111">
        <f>+D37+E37+F37</f>
        <v>3638.5999999999967</v>
      </c>
      <c r="D37" s="42">
        <f>SUM(D5:D35)</f>
        <v>989.69999999999709</v>
      </c>
      <c r="E37" s="42">
        <f>SUM(E5:E35)</f>
        <v>2325.0999999999995</v>
      </c>
      <c r="F37" s="42">
        <f t="shared" ref="F37:G37" si="2">SUM(F5:F35)</f>
        <v>323.80000000000007</v>
      </c>
      <c r="G37" s="42">
        <f t="shared" si="2"/>
        <v>1619</v>
      </c>
      <c r="H37" s="38"/>
      <c r="K37" s="38"/>
    </row>
    <row r="38" spans="2:11" x14ac:dyDescent="0.25">
      <c r="I38" s="38"/>
      <c r="J38" s="44"/>
    </row>
    <row r="39" spans="2:11" x14ac:dyDescent="0.25">
      <c r="I39" s="38"/>
      <c r="J39" s="44"/>
    </row>
    <row r="40" spans="2:11" ht="15.75" thickBot="1" x14ac:dyDescent="0.3"/>
    <row r="41" spans="2:11" ht="21.75" thickBot="1" x14ac:dyDescent="0.4">
      <c r="B41" s="45" t="s">
        <v>45</v>
      </c>
      <c r="C41" s="45"/>
      <c r="D41" s="46"/>
      <c r="E41" s="47"/>
      <c r="F41" s="47"/>
      <c r="G41" s="112">
        <f>+C37+(G37*20%)-G37</f>
        <v>2343.3999999999969</v>
      </c>
      <c r="I41" s="48"/>
      <c r="J41" s="38"/>
    </row>
    <row r="42" spans="2:11" x14ac:dyDescent="0.25">
      <c r="G42" s="113"/>
    </row>
    <row r="43" spans="2:11" x14ac:dyDescent="0.25">
      <c r="G43" s="113"/>
    </row>
    <row r="44" spans="2:11" ht="15.75" x14ac:dyDescent="0.25">
      <c r="B44" s="49" t="s">
        <v>11</v>
      </c>
      <c r="C44" s="49"/>
      <c r="E44" s="43" t="s">
        <v>46</v>
      </c>
      <c r="G44" s="114">
        <v>12500</v>
      </c>
      <c r="I44" s="50"/>
    </row>
    <row r="45" spans="2:11" ht="15.75" x14ac:dyDescent="0.25">
      <c r="B45" s="49"/>
      <c r="C45" s="49"/>
      <c r="G45" s="113"/>
      <c r="I45" s="50"/>
    </row>
    <row r="46" spans="2:11" ht="16.5" thickBot="1" x14ac:dyDescent="0.3">
      <c r="B46" s="49"/>
      <c r="C46" s="49"/>
      <c r="G46" s="113"/>
      <c r="I46" s="50"/>
    </row>
    <row r="47" spans="2:11" ht="27" thickBot="1" x14ac:dyDescent="0.3">
      <c r="B47" s="49" t="s">
        <v>12</v>
      </c>
      <c r="C47" s="49"/>
      <c r="G47" s="115">
        <f>+G41*G44</f>
        <v>29292499.999999963</v>
      </c>
      <c r="I47" s="51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6"/>
  <sheetViews>
    <sheetView workbookViewId="0">
      <selection activeCell="C5" sqref="C5"/>
    </sheetView>
  </sheetViews>
  <sheetFormatPr defaultRowHeight="15" x14ac:dyDescent="0.25"/>
  <cols>
    <col min="1" max="2" width="9.140625" style="34"/>
    <col min="3" max="4" width="34.140625" style="43" customWidth="1"/>
    <col min="5" max="8" width="27.7109375" style="43" customWidth="1"/>
    <col min="9" max="9" width="9.140625" style="34"/>
    <col min="10" max="10" width="13.42578125" style="34" bestFit="1" customWidth="1"/>
    <col min="11" max="11" width="11.5703125" style="34" bestFit="1" customWidth="1"/>
    <col min="12" max="45" width="9.140625" style="34"/>
  </cols>
  <sheetData>
    <row r="1" spans="1:45" ht="15" customHeight="1" x14ac:dyDescent="0.25">
      <c r="B1" s="174" t="s">
        <v>9</v>
      </c>
      <c r="C1" s="174"/>
      <c r="D1" s="174"/>
      <c r="E1" s="174"/>
      <c r="F1" s="174"/>
      <c r="G1" s="174"/>
      <c r="H1" s="174"/>
    </row>
    <row r="2" spans="1:45" ht="15" customHeight="1" x14ac:dyDescent="0.25">
      <c r="B2" s="174"/>
      <c r="C2" s="174"/>
      <c r="D2" s="174"/>
      <c r="E2" s="174"/>
      <c r="F2" s="174"/>
      <c r="G2" s="174"/>
      <c r="H2" s="174"/>
    </row>
    <row r="3" spans="1:45" s="132" customFormat="1" ht="33" customHeight="1" x14ac:dyDescent="0.35">
      <c r="A3" s="131"/>
      <c r="B3" s="177" t="s">
        <v>0</v>
      </c>
      <c r="C3" s="181" t="s">
        <v>40</v>
      </c>
      <c r="D3" s="182"/>
      <c r="E3" s="178" t="s">
        <v>49</v>
      </c>
      <c r="F3" s="179"/>
      <c r="G3" s="179"/>
      <c r="H3" s="180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</row>
    <row r="4" spans="1:45" s="132" customFormat="1" ht="33" customHeight="1" x14ac:dyDescent="0.35">
      <c r="A4" s="131"/>
      <c r="B4" s="177"/>
      <c r="C4" s="133" t="s">
        <v>47</v>
      </c>
      <c r="D4" s="133" t="s">
        <v>50</v>
      </c>
      <c r="E4" s="134" t="s">
        <v>36</v>
      </c>
      <c r="F4" s="134" t="s">
        <v>39</v>
      </c>
      <c r="G4" s="134" t="s">
        <v>37</v>
      </c>
      <c r="H4" s="133" t="s">
        <v>38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</row>
    <row r="5" spans="1:45" ht="15.75" x14ac:dyDescent="0.25">
      <c r="B5" s="35">
        <v>43831</v>
      </c>
      <c r="C5" s="116">
        <v>2.92</v>
      </c>
      <c r="D5" s="116">
        <v>79.81</v>
      </c>
      <c r="E5" s="37"/>
      <c r="F5" s="37"/>
      <c r="G5" s="37"/>
      <c r="H5" s="37"/>
      <c r="I5" s="38"/>
    </row>
    <row r="6" spans="1:45" ht="15.75" x14ac:dyDescent="0.25">
      <c r="B6" s="35">
        <v>43832</v>
      </c>
      <c r="C6" s="116">
        <v>2.86</v>
      </c>
      <c r="D6" s="116">
        <v>77.64</v>
      </c>
      <c r="E6" s="37"/>
      <c r="F6" s="37"/>
      <c r="G6" s="37"/>
      <c r="H6" s="37"/>
      <c r="I6" s="38"/>
    </row>
    <row r="7" spans="1:45" ht="15.75" x14ac:dyDescent="0.25">
      <c r="B7" s="35">
        <v>43833</v>
      </c>
      <c r="C7" s="116">
        <v>3.65</v>
      </c>
      <c r="D7" s="116">
        <v>99.29</v>
      </c>
      <c r="E7" s="37"/>
      <c r="F7" s="37"/>
      <c r="G7" s="37"/>
      <c r="H7" s="37"/>
      <c r="I7" s="38"/>
    </row>
    <row r="8" spans="1:45" ht="15.75" x14ac:dyDescent="0.25">
      <c r="B8" s="35">
        <v>43834</v>
      </c>
      <c r="C8" s="116">
        <v>3.05</v>
      </c>
      <c r="D8" s="116">
        <v>83.75</v>
      </c>
      <c r="E8" s="37"/>
      <c r="F8" s="37"/>
      <c r="G8" s="37"/>
      <c r="H8" s="37"/>
      <c r="I8" s="38"/>
    </row>
    <row r="9" spans="1:45" ht="15.75" x14ac:dyDescent="0.25">
      <c r="B9" s="35">
        <v>43835</v>
      </c>
      <c r="C9" s="116">
        <v>4.58</v>
      </c>
      <c r="D9" s="116">
        <v>125.84</v>
      </c>
      <c r="E9" s="37"/>
      <c r="F9" s="37"/>
      <c r="G9" s="37"/>
      <c r="H9" s="37"/>
      <c r="I9" s="38"/>
    </row>
    <row r="10" spans="1:45" ht="15.75" x14ac:dyDescent="0.25">
      <c r="B10" s="35">
        <v>43836</v>
      </c>
      <c r="C10" s="116">
        <v>4.42</v>
      </c>
      <c r="D10" s="116">
        <v>121.79</v>
      </c>
      <c r="E10" s="37"/>
      <c r="F10" s="37"/>
      <c r="G10" s="37"/>
      <c r="H10" s="37"/>
      <c r="I10" s="38"/>
    </row>
    <row r="11" spans="1:45" ht="15.75" x14ac:dyDescent="0.25">
      <c r="B11" s="35">
        <v>43837</v>
      </c>
      <c r="C11" s="116">
        <v>4.88</v>
      </c>
      <c r="D11" s="116">
        <v>134.66</v>
      </c>
      <c r="E11" s="37"/>
      <c r="F11" s="37"/>
      <c r="G11" s="37"/>
      <c r="H11" s="37"/>
      <c r="I11" s="38"/>
    </row>
    <row r="12" spans="1:45" ht="15.75" x14ac:dyDescent="0.25">
      <c r="B12" s="35">
        <v>43838</v>
      </c>
      <c r="C12" s="116">
        <v>3.39</v>
      </c>
      <c r="D12" s="116">
        <v>93.73</v>
      </c>
      <c r="E12" s="37"/>
      <c r="F12" s="37"/>
      <c r="G12" s="37"/>
      <c r="H12" s="37"/>
      <c r="I12" s="38"/>
    </row>
    <row r="13" spans="1:45" ht="15.75" x14ac:dyDescent="0.25">
      <c r="B13" s="35">
        <v>43839</v>
      </c>
      <c r="C13" s="116">
        <v>3.32</v>
      </c>
      <c r="D13" s="116">
        <v>91.51</v>
      </c>
      <c r="E13" s="37"/>
      <c r="F13" s="37"/>
      <c r="G13" s="37"/>
      <c r="H13" s="37"/>
      <c r="I13" s="38"/>
    </row>
    <row r="14" spans="1:45" ht="15.75" x14ac:dyDescent="0.25">
      <c r="B14" s="35">
        <v>43840</v>
      </c>
      <c r="C14" s="116">
        <v>2.67</v>
      </c>
      <c r="D14" s="116">
        <v>73.7</v>
      </c>
      <c r="E14" s="37"/>
      <c r="F14" s="37"/>
      <c r="G14" s="37"/>
      <c r="H14" s="37"/>
      <c r="I14" s="38"/>
    </row>
    <row r="15" spans="1:45" ht="15.75" x14ac:dyDescent="0.25">
      <c r="B15" s="35">
        <v>43841</v>
      </c>
      <c r="C15" s="116">
        <v>3.26</v>
      </c>
      <c r="D15" s="116">
        <v>89.92</v>
      </c>
      <c r="E15" s="37"/>
      <c r="F15" s="37"/>
      <c r="G15" s="37"/>
      <c r="H15" s="37"/>
      <c r="I15" s="38"/>
    </row>
    <row r="16" spans="1:45" ht="15.75" x14ac:dyDescent="0.25">
      <c r="B16" s="35">
        <v>43842</v>
      </c>
      <c r="C16" s="116">
        <v>4.88</v>
      </c>
      <c r="D16" s="116">
        <v>134.72999999999999</v>
      </c>
      <c r="E16" s="37"/>
      <c r="F16" s="37"/>
      <c r="G16" s="37"/>
      <c r="H16" s="37"/>
      <c r="I16" s="38"/>
    </row>
    <row r="17" spans="2:9" ht="15.75" x14ac:dyDescent="0.25">
      <c r="B17" s="35">
        <v>43843</v>
      </c>
      <c r="C17" s="116">
        <v>5.31</v>
      </c>
      <c r="D17" s="116">
        <v>146.47999999999999</v>
      </c>
      <c r="E17" s="37"/>
      <c r="F17" s="37"/>
      <c r="G17" s="37"/>
      <c r="H17" s="37"/>
      <c r="I17" s="38"/>
    </row>
    <row r="18" spans="2:9" ht="15.75" x14ac:dyDescent="0.25">
      <c r="B18" s="35">
        <v>43844</v>
      </c>
      <c r="C18" s="116">
        <v>3.75</v>
      </c>
      <c r="D18" s="116">
        <v>103.44</v>
      </c>
      <c r="E18" s="37"/>
      <c r="F18" s="37"/>
      <c r="G18" s="37"/>
      <c r="H18" s="37"/>
      <c r="I18" s="38"/>
    </row>
    <row r="19" spans="2:9" ht="15.75" x14ac:dyDescent="0.25">
      <c r="B19" s="35">
        <v>43845</v>
      </c>
      <c r="C19" s="116">
        <v>5.48</v>
      </c>
      <c r="D19" s="116">
        <v>150.55000000000001</v>
      </c>
      <c r="E19" s="37"/>
      <c r="F19" s="37"/>
      <c r="G19" s="37"/>
      <c r="H19" s="37"/>
      <c r="I19" s="38"/>
    </row>
    <row r="20" spans="2:9" ht="15.75" x14ac:dyDescent="0.25">
      <c r="B20" s="35">
        <v>43846</v>
      </c>
      <c r="C20" s="116">
        <v>4.96</v>
      </c>
      <c r="D20" s="116">
        <v>136.28</v>
      </c>
      <c r="E20" s="37"/>
      <c r="F20" s="37"/>
      <c r="G20" s="37"/>
      <c r="H20" s="37"/>
      <c r="I20" s="38"/>
    </row>
    <row r="21" spans="2:9" ht="15.75" x14ac:dyDescent="0.25">
      <c r="B21" s="35">
        <v>43847</v>
      </c>
      <c r="C21" s="116">
        <v>4.1100000000000003</v>
      </c>
      <c r="D21" s="116">
        <v>112.75</v>
      </c>
      <c r="E21" s="37"/>
      <c r="F21" s="37"/>
      <c r="G21" s="37"/>
      <c r="H21" s="37"/>
      <c r="I21" s="38"/>
    </row>
    <row r="22" spans="2:9" ht="15.75" x14ac:dyDescent="0.25">
      <c r="B22" s="35">
        <v>43848</v>
      </c>
      <c r="C22" s="116">
        <v>3.45</v>
      </c>
      <c r="D22" s="116">
        <v>94.89</v>
      </c>
      <c r="E22" s="37"/>
      <c r="F22" s="37"/>
      <c r="G22" s="37"/>
      <c r="H22" s="37"/>
      <c r="I22" s="38"/>
    </row>
    <row r="23" spans="2:9" ht="15.75" x14ac:dyDescent="0.25">
      <c r="B23" s="35">
        <v>43849</v>
      </c>
      <c r="C23" s="116">
        <v>4.4000000000000004</v>
      </c>
      <c r="D23" s="116">
        <v>120.79</v>
      </c>
      <c r="E23" s="37"/>
      <c r="F23" s="37"/>
      <c r="G23" s="37"/>
      <c r="H23" s="37"/>
      <c r="I23" s="38"/>
    </row>
    <row r="24" spans="2:9" ht="15.75" x14ac:dyDescent="0.25">
      <c r="B24" s="35">
        <v>43850</v>
      </c>
      <c r="C24" s="116" t="s">
        <v>48</v>
      </c>
      <c r="D24" s="116">
        <v>136.51</v>
      </c>
      <c r="E24" s="37"/>
      <c r="F24" s="37"/>
      <c r="G24" s="37"/>
      <c r="H24" s="37"/>
      <c r="I24" s="38"/>
    </row>
    <row r="25" spans="2:9" ht="15.75" x14ac:dyDescent="0.25">
      <c r="B25" s="35">
        <v>43851</v>
      </c>
      <c r="C25" s="117">
        <v>5.83</v>
      </c>
      <c r="D25" s="118">
        <v>159.72</v>
      </c>
      <c r="E25" s="37"/>
      <c r="F25" s="37"/>
      <c r="G25" s="37"/>
      <c r="H25" s="37"/>
      <c r="I25" s="38"/>
    </row>
    <row r="26" spans="2:9" ht="15.75" x14ac:dyDescent="0.25">
      <c r="B26" s="35">
        <v>43852</v>
      </c>
      <c r="C26" s="116">
        <v>6.64</v>
      </c>
      <c r="D26" s="116">
        <v>182.34</v>
      </c>
      <c r="E26" s="37"/>
      <c r="F26" s="37"/>
      <c r="G26" s="37"/>
      <c r="H26" s="37"/>
      <c r="I26" s="38"/>
    </row>
    <row r="27" spans="2:9" ht="15.75" x14ac:dyDescent="0.25">
      <c r="B27" s="35">
        <v>43853</v>
      </c>
      <c r="C27" s="116">
        <v>6.48</v>
      </c>
      <c r="D27" s="116">
        <v>178.12</v>
      </c>
      <c r="E27" s="37"/>
      <c r="F27" s="37"/>
      <c r="G27" s="37"/>
      <c r="H27" s="37"/>
      <c r="I27" s="38"/>
    </row>
    <row r="28" spans="2:9" ht="15.75" x14ac:dyDescent="0.25">
      <c r="B28" s="35">
        <v>43854</v>
      </c>
      <c r="C28" s="116">
        <v>4.12</v>
      </c>
      <c r="D28" s="116">
        <v>113.11</v>
      </c>
      <c r="E28" s="37"/>
      <c r="F28" s="37"/>
      <c r="G28" s="37"/>
      <c r="H28" s="37"/>
      <c r="I28" s="38"/>
    </row>
    <row r="29" spans="2:9" ht="15.75" x14ac:dyDescent="0.25">
      <c r="B29" s="35">
        <v>43855</v>
      </c>
      <c r="C29" s="116">
        <v>4.5599999999999996</v>
      </c>
      <c r="D29" s="116">
        <v>125.33</v>
      </c>
      <c r="E29" s="37"/>
      <c r="F29" s="37"/>
      <c r="G29" s="37"/>
      <c r="H29" s="37"/>
      <c r="I29" s="38"/>
    </row>
    <row r="30" spans="2:9" ht="15.75" x14ac:dyDescent="0.25">
      <c r="B30" s="35">
        <v>43856</v>
      </c>
      <c r="C30" s="116">
        <v>5.34</v>
      </c>
      <c r="D30" s="116">
        <v>146.74</v>
      </c>
      <c r="E30" s="37"/>
      <c r="F30" s="37"/>
      <c r="G30" s="37"/>
      <c r="H30" s="37"/>
      <c r="I30" s="38"/>
    </row>
    <row r="31" spans="2:9" ht="15.75" x14ac:dyDescent="0.25">
      <c r="B31" s="35">
        <v>43857</v>
      </c>
      <c r="C31" s="119">
        <v>5.17</v>
      </c>
      <c r="D31" s="119">
        <v>142.08000000000001</v>
      </c>
      <c r="E31" s="37"/>
      <c r="F31" s="37"/>
      <c r="G31" s="37"/>
      <c r="H31" s="37"/>
      <c r="I31" s="38"/>
    </row>
    <row r="32" spans="2:9" ht="15.75" x14ac:dyDescent="0.25">
      <c r="B32" s="35">
        <v>43858</v>
      </c>
      <c r="C32" s="119">
        <v>5.55</v>
      </c>
      <c r="D32" s="119">
        <v>152.32</v>
      </c>
      <c r="E32" s="37"/>
      <c r="F32" s="37"/>
      <c r="G32" s="37"/>
      <c r="H32" s="37"/>
      <c r="I32" s="38"/>
    </row>
    <row r="33" spans="2:12" ht="15.75" x14ac:dyDescent="0.25">
      <c r="B33" s="35">
        <v>43859</v>
      </c>
      <c r="C33" s="119">
        <v>4.5999999999999996</v>
      </c>
      <c r="D33" s="119">
        <v>126.43</v>
      </c>
      <c r="E33" s="37"/>
      <c r="F33" s="37"/>
      <c r="G33" s="37"/>
      <c r="H33" s="37"/>
      <c r="I33" s="38"/>
    </row>
    <row r="34" spans="2:12" ht="15.75" x14ac:dyDescent="0.25">
      <c r="B34" s="35">
        <v>43860</v>
      </c>
      <c r="C34" s="116">
        <v>4.1500000000000004</v>
      </c>
      <c r="D34" s="116">
        <v>114.29</v>
      </c>
      <c r="E34" s="37"/>
      <c r="F34" s="37"/>
      <c r="G34" s="37"/>
      <c r="H34" s="37"/>
      <c r="I34" s="38"/>
    </row>
    <row r="35" spans="2:12" ht="15.75" x14ac:dyDescent="0.25">
      <c r="B35" s="35">
        <v>43861</v>
      </c>
      <c r="C35" s="119">
        <v>3.19</v>
      </c>
      <c r="D35" s="119">
        <v>87.77</v>
      </c>
      <c r="E35" s="37"/>
      <c r="F35" s="37"/>
      <c r="G35" s="37"/>
      <c r="H35" s="37"/>
      <c r="I35" s="38"/>
    </row>
    <row r="36" spans="2:12" x14ac:dyDescent="0.25">
      <c r="B36" s="39"/>
      <c r="C36" s="40"/>
      <c r="D36" s="40"/>
      <c r="E36" s="40"/>
      <c r="F36" s="40"/>
      <c r="G36" s="40"/>
      <c r="H36" s="40"/>
    </row>
    <row r="37" spans="2:12" ht="18.75" x14ac:dyDescent="0.3">
      <c r="B37" s="41"/>
      <c r="C37" s="120">
        <f>SUM(C5:C35)</f>
        <v>130.97000000000003</v>
      </c>
      <c r="D37" s="121">
        <f t="shared" ref="D37:H37" si="0">SUM(D5:D35)</f>
        <v>3736.31</v>
      </c>
      <c r="E37" s="121">
        <f t="shared" si="0"/>
        <v>0</v>
      </c>
      <c r="F37" s="121">
        <f t="shared" si="0"/>
        <v>0</v>
      </c>
      <c r="G37" s="121">
        <f t="shared" si="0"/>
        <v>0</v>
      </c>
      <c r="H37" s="121">
        <f t="shared" si="0"/>
        <v>0</v>
      </c>
      <c r="I37" s="38"/>
      <c r="L37" s="38"/>
    </row>
    <row r="38" spans="2:12" x14ac:dyDescent="0.25">
      <c r="H38" s="43">
        <f>H37*80%</f>
        <v>0</v>
      </c>
      <c r="J38" s="38"/>
      <c r="K38" s="44"/>
    </row>
    <row r="40" spans="2:12" ht="15.75" x14ac:dyDescent="0.25">
      <c r="B40" s="45"/>
      <c r="C40" s="46"/>
      <c r="D40" s="46"/>
      <c r="E40" s="47"/>
      <c r="F40" s="47"/>
      <c r="G40" s="47"/>
      <c r="H40" s="47"/>
      <c r="J40" s="48"/>
      <c r="K40" s="38"/>
    </row>
    <row r="43" spans="2:12" ht="21" x14ac:dyDescent="0.35">
      <c r="C43" s="123" t="s">
        <v>11</v>
      </c>
      <c r="D43" s="122" t="s">
        <v>51</v>
      </c>
      <c r="E43" s="124">
        <v>10.199999999999999</v>
      </c>
      <c r="J43" s="50"/>
    </row>
    <row r="44" spans="2:12" ht="21" x14ac:dyDescent="0.35">
      <c r="C44" s="125" t="s">
        <v>52</v>
      </c>
      <c r="D44" s="122" t="s">
        <v>47</v>
      </c>
      <c r="E44" s="124">
        <v>350</v>
      </c>
      <c r="J44" s="51"/>
    </row>
    <row r="45" spans="2:12" ht="21" x14ac:dyDescent="0.35">
      <c r="C45" s="125"/>
      <c r="D45" s="122"/>
      <c r="E45" s="124"/>
    </row>
    <row r="46" spans="2:12" ht="21" x14ac:dyDescent="0.35">
      <c r="C46" s="123" t="s">
        <v>12</v>
      </c>
      <c r="D46" s="122" t="s">
        <v>51</v>
      </c>
      <c r="E46" s="126">
        <f>IF(C37&gt;E44,(C37*E43),(E44*E43))</f>
        <v>3569.9999999999995</v>
      </c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El Khoury</cp:lastModifiedBy>
  <cp:lastPrinted>2020-01-30T09:39:19Z</cp:lastPrinted>
  <dcterms:created xsi:type="dcterms:W3CDTF">2017-12-04T02:44:15Z</dcterms:created>
  <dcterms:modified xsi:type="dcterms:W3CDTF">2021-04-06T12:29:11Z</dcterms:modified>
</cp:coreProperties>
</file>