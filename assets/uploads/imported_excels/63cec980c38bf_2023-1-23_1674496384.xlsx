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9FE97B2F-8FF6-4F02-BDCD-93280D711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2" i="2" l="1"/>
  <c r="BC33" i="2"/>
  <c r="BC32" i="2"/>
  <c r="BH33" i="2"/>
  <c r="BH32" i="2"/>
  <c r="BA33" i="2"/>
  <c r="AY33" i="2"/>
  <c r="AW33" i="2"/>
  <c r="AP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D33" i="2"/>
  <c r="D22" i="2"/>
  <c r="AN21" i="2"/>
  <c r="AS21" i="2"/>
  <c r="AU21" i="2"/>
  <c r="AS12" i="2"/>
  <c r="AY20" i="2"/>
  <c r="AN18" i="2"/>
  <c r="R18" i="2"/>
  <c r="AD16" i="2"/>
  <c r="Z14" i="2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2" i="2"/>
  <c r="AW28" i="2"/>
  <c r="AN27" i="2"/>
  <c r="AW26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A32" i="2"/>
  <c r="AY32" i="2"/>
  <c r="AW32" i="2"/>
  <c r="AP32" i="2"/>
  <c r="AN32" i="2"/>
  <c r="AL32" i="2"/>
  <c r="AJ32" i="2"/>
  <c r="AH32" i="2"/>
  <c r="AF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1" i="2" l="1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  <c r="AU12" i="2" l="1"/>
</calcChain>
</file>

<file path=xl/sharedStrings.xml><?xml version="1.0" encoding="utf-8"?>
<sst xmlns="http://schemas.openxmlformats.org/spreadsheetml/2006/main" count="245" uniqueCount="61">
  <si>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</si>
  <si>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</si>
  <si>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</si>
  <si>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</si>
  <si>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</si>
  <si>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</si>
  <si>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</si>
  <si>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</si>
  <si>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</si>
  <si>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</si>
  <si>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</si>
  <si>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</si>
  <si>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</si>
  <si>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</si>
  <si>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</si>
  <si>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</si>
  <si>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</si>
  <si>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</si>
  <si>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</si>
  <si>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</si>
  <si>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</si>
  <si>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</si>
  <si>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</si>
  <si>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</si>
  <si>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</si>
  <si>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</si>
  <si>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</si>
  <si>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</si>
  <si>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</si>
  <si>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</si>
  <si>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</si>
  <si>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</si>
  <si>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</si>
  <si>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</si>
  <si>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</si>
  <si>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</si>
  <si>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</si>
  <si>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</si>
  <si>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</si>
  <si>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</si>
  <si>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</si>
  <si>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</si>
  <si>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</si>
  <si>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</si>
  <si>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</si>
  <si>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</si>
  <si>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Cold Water  m</t>
    </r>
    <r>
      <rPr>
        <b/>
        <vertAlign val="superscript"/>
        <sz val="11"/>
        <color rgb="FF000000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</si>
  <si>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Hot Water m</t>
    </r>
    <r>
      <rPr>
        <b/>
        <vertAlign val="superscript"/>
        <sz val="11"/>
        <color rgb="FF000000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</si>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</sst>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5" fontId="2" fillId="2" borderId="18" xfId="0" applyNumberFormat="1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abSelected="1" workbookViewId="0">
      <selection activeCell="D5" sqref="D5"/>
    </sheetView>
  </sheetViews>
  <sheetFormatPr defaultColWidth="11.5546875" defaultRowHeight="14.4" x14ac:dyDescent="0.3"/>
  <cols>
    <col min="1" max="1" width="18.109375" style="16" customWidth="1"/>
    <col min="2" max="3" width="11.5546875" style="10"/>
    <col min="4" max="4" width="13.44140625" style="10" customWidth="1"/>
    <col min="5" max="5" width="12.5546875" style="7" customWidth="1"/>
    <col min="6" max="6" width="12.5546875" style="15" customWidth="1"/>
    <col min="7" max="7" width="11.5546875" style="7"/>
    <col min="8" max="8" width="11.5546875" style="15"/>
    <col min="9" max="24" width="11.5546875" style="7"/>
  </cols>
  <sheetData>
    <row r="1" spans="1:24" s="16" customFormat="1" ht="43.2" x14ac:dyDescent="0.3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6" t="s">
        <v>12</v>
      </c>
      <c r="B2" s="10">
        <v>1</v>
      </c>
      <c r="C2" s="10">
        <v>12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 x14ac:dyDescent="0.3">
      <c r="A3" s="16" t="s">
        <v>12</v>
      </c>
      <c r="B3" s="10">
        <f>B2+1</f>
        <v>2</v>
      </c>
      <c r="C3" s="10">
        <v>12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 x14ac:dyDescent="0.3">
      <c r="A4" s="16" t="s">
        <v>12</v>
      </c>
      <c r="B4" s="10">
        <f t="shared" ref="B4:B31" si="0">B3+1</f>
        <v>3</v>
      </c>
      <c r="C4" s="10">
        <v>12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 x14ac:dyDescent="0.3">
      <c r="A5" s="16" t="s">
        <v>12</v>
      </c>
      <c r="B5" s="10">
        <f t="shared" si="0"/>
        <v>4</v>
      </c>
      <c r="C5" s="10">
        <v>12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 x14ac:dyDescent="0.3">
      <c r="A6" s="16" t="s">
        <v>12</v>
      </c>
      <c r="B6" s="10">
        <f t="shared" si="0"/>
        <v>5</v>
      </c>
      <c r="C6" s="10">
        <v>12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 x14ac:dyDescent="0.3">
      <c r="A7" s="16" t="s">
        <v>12</v>
      </c>
      <c r="B7" s="10">
        <f t="shared" si="0"/>
        <v>6</v>
      </c>
      <c r="C7" s="10">
        <v>12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 x14ac:dyDescent="0.3">
      <c r="A8" s="16" t="s">
        <v>12</v>
      </c>
      <c r="B8" s="10">
        <f t="shared" si="0"/>
        <v>7</v>
      </c>
      <c r="C8" s="10">
        <v>12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 x14ac:dyDescent="0.3">
      <c r="A9" s="16" t="s">
        <v>12</v>
      </c>
      <c r="B9" s="10">
        <f t="shared" si="0"/>
        <v>8</v>
      </c>
      <c r="C9" s="10">
        <v>12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 x14ac:dyDescent="0.3">
      <c r="A10" s="16" t="s">
        <v>12</v>
      </c>
      <c r="B10" s="10">
        <f t="shared" si="0"/>
        <v>9</v>
      </c>
      <c r="C10" s="10">
        <v>12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 x14ac:dyDescent="0.3">
      <c r="A11" s="16" t="s">
        <v>12</v>
      </c>
      <c r="B11" s="10">
        <f t="shared" si="0"/>
        <v>10</v>
      </c>
      <c r="C11" s="10">
        <v>12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 x14ac:dyDescent="0.3">
      <c r="A12" s="16" t="s">
        <v>12</v>
      </c>
      <c r="B12" s="10">
        <f t="shared" si="0"/>
        <v>11</v>
      </c>
      <c r="C12" s="10">
        <v>12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 x14ac:dyDescent="0.3">
      <c r="A13" s="16" t="s">
        <v>12</v>
      </c>
      <c r="B13" s="10">
        <f t="shared" si="0"/>
        <v>12</v>
      </c>
      <c r="C13" s="10">
        <v>12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 x14ac:dyDescent="0.3">
      <c r="A14" s="16" t="s">
        <v>12</v>
      </c>
      <c r="B14" s="10">
        <f t="shared" si="0"/>
        <v>13</v>
      </c>
      <c r="C14" s="10">
        <v>12</v>
      </c>
      <c r="D14" s="10">
        <v>2022</v>
      </c>
      <c r="E14" s="19">
        <f>Submetering!E14+Submetering!F14+Submetering!G14</f>
        <v>16988</v>
      </c>
      <c r="F14" s="15">
        <f>((Submetering!E14+Submetering!F14)*0.11+Submetering!G14*0.0302)/TOTAL!E14</f>
        <v>8.7569755121262069E-2</v>
      </c>
      <c r="G14" s="19">
        <f>Submetering!AC14</f>
        <v>3478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106</v>
      </c>
      <c r="L14" s="19">
        <f>Submetering!AF14</f>
        <v>159</v>
      </c>
    </row>
    <row r="15" spans="1:24" x14ac:dyDescent="0.3">
      <c r="A15" s="16" t="s">
        <v>12</v>
      </c>
      <c r="B15" s="10">
        <f t="shared" si="0"/>
        <v>14</v>
      </c>
      <c r="C15" s="10">
        <v>12</v>
      </c>
      <c r="D15" s="10">
        <v>2022</v>
      </c>
      <c r="E15" s="19">
        <f>Submetering!E15+Submetering!F15+Submetering!G15</f>
        <v>14039</v>
      </c>
      <c r="F15" s="15">
        <f>((Submetering!E15+Submetering!F15)*0.11+Submetering!G15*0.0302)/TOTAL!E15</f>
        <v>8.7485020300591201E-2</v>
      </c>
      <c r="G15" s="19">
        <f>Submetering!AC15</f>
        <v>2916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98</v>
      </c>
      <c r="L15" s="19">
        <f>Submetering!AF15</f>
        <v>153</v>
      </c>
    </row>
    <row r="16" spans="1:24" x14ac:dyDescent="0.3">
      <c r="A16" s="16" t="s">
        <v>12</v>
      </c>
      <c r="B16" s="10">
        <f t="shared" si="0"/>
        <v>15</v>
      </c>
      <c r="C16" s="10">
        <v>12</v>
      </c>
      <c r="D16" s="10">
        <v>2022</v>
      </c>
      <c r="E16" s="19">
        <f>Submetering!E16+Submetering!F16+Submetering!G16</f>
        <v>16569</v>
      </c>
      <c r="F16" s="15">
        <f>((Submetering!E16+Submetering!F16)*0.11+Submetering!G16*0.0302)/TOTAL!E16</f>
        <v>8.685804816223068E-2</v>
      </c>
      <c r="G16" s="19">
        <f>Submetering!AC16</f>
        <v>3544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125</v>
      </c>
      <c r="L16" s="19">
        <f>Submetering!AF16</f>
        <v>195</v>
      </c>
    </row>
    <row r="17" spans="1:12" x14ac:dyDescent="0.3">
      <c r="A17" s="16" t="s">
        <v>12</v>
      </c>
      <c r="B17" s="10">
        <f t="shared" si="0"/>
        <v>16</v>
      </c>
      <c r="C17" s="10">
        <v>12</v>
      </c>
      <c r="D17" s="10">
        <v>2022</v>
      </c>
      <c r="E17" s="19">
        <f>Submetering!E17+Submetering!F17+Submetering!G17</f>
        <v>15900</v>
      </c>
      <c r="F17" s="15">
        <f>((Submetering!E17+Submetering!F17)*0.11+Submetering!G17*0.0302)/TOTAL!E17</f>
        <v>9.0597056603773596E-2</v>
      </c>
      <c r="G17" s="19">
        <f>Submetering!AC17</f>
        <v>3465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126</v>
      </c>
      <c r="L17" s="19">
        <f>Submetering!AF17</f>
        <v>199</v>
      </c>
    </row>
    <row r="18" spans="1:12" x14ac:dyDescent="0.3">
      <c r="A18" s="16" t="s">
        <v>12</v>
      </c>
      <c r="B18" s="10">
        <f t="shared" si="0"/>
        <v>17</v>
      </c>
      <c r="C18" s="10">
        <v>12</v>
      </c>
      <c r="D18" s="10">
        <v>2022</v>
      </c>
      <c r="E18" s="19">
        <f>Submetering!E18+Submetering!F18+Submetering!G18</f>
        <v>14949</v>
      </c>
      <c r="F18" s="15">
        <f>((Submetering!E18+Submetering!F18)*0.11+Submetering!G18*0.0302)/TOTAL!E18</f>
        <v>8.4366205097330921E-2</v>
      </c>
      <c r="G18" s="19">
        <f>Submetering!AC18</f>
        <v>2738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126</v>
      </c>
      <c r="L18" s="19">
        <f>Submetering!AF18</f>
        <v>205</v>
      </c>
    </row>
    <row r="19" spans="1:12" x14ac:dyDescent="0.3">
      <c r="A19" s="16" t="s">
        <v>12</v>
      </c>
      <c r="B19" s="10">
        <f t="shared" si="0"/>
        <v>18</v>
      </c>
      <c r="C19" s="10">
        <v>12</v>
      </c>
      <c r="D19" s="10">
        <v>2022</v>
      </c>
      <c r="E19" s="19">
        <f>Submetering!E19+Submetering!F19+Submetering!G19</f>
        <v>16381</v>
      </c>
      <c r="F19" s="15">
        <f>((Submetering!E19+Submetering!F19)*0.11+Submetering!G19*0.0302)/TOTAL!E19</f>
        <v>8.7776228557475119E-2</v>
      </c>
      <c r="G19" s="19">
        <f>Submetering!AC19</f>
        <v>3117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119</v>
      </c>
      <c r="L19" s="19">
        <f>Submetering!AF19</f>
        <v>191</v>
      </c>
    </row>
    <row r="20" spans="1:12" x14ac:dyDescent="0.3">
      <c r="A20" s="16" t="s">
        <v>12</v>
      </c>
      <c r="B20" s="10">
        <f t="shared" si="0"/>
        <v>19</v>
      </c>
      <c r="C20" s="10">
        <v>12</v>
      </c>
      <c r="D20" s="10">
        <v>2022</v>
      </c>
      <c r="E20" s="19">
        <f>Submetering!E20+Submetering!F20+Submetering!G20</f>
        <v>15962</v>
      </c>
      <c r="F20" s="15">
        <f>((Submetering!E20+Submetering!F20)*0.11+Submetering!G20*0.0302)/TOTAL!E20</f>
        <v>8.8377709560205478E-2</v>
      </c>
      <c r="G20" s="19">
        <f>Submetering!AC20</f>
        <v>2298</v>
      </c>
      <c r="H20" s="15">
        <v>0.25512900304306657</v>
      </c>
      <c r="I20" s="19">
        <f>Submetering!Y20+Submetering!Z20</f>
        <v>2216</v>
      </c>
      <c r="J20" s="15">
        <v>2.3196172978505634</v>
      </c>
      <c r="K20" s="19">
        <f>Submetering!AE20</f>
        <v>116</v>
      </c>
      <c r="L20" s="19">
        <f>Submetering!AF20</f>
        <v>185</v>
      </c>
    </row>
    <row r="21" spans="1:12" x14ac:dyDescent="0.3">
      <c r="A21" s="16" t="s">
        <v>12</v>
      </c>
      <c r="B21" s="10">
        <f t="shared" si="0"/>
        <v>20</v>
      </c>
      <c r="C21" s="10">
        <v>12</v>
      </c>
      <c r="D21" s="10">
        <v>2022</v>
      </c>
      <c r="E21" s="19">
        <f>Submetering!E21+Submetering!F21+Submetering!G21</f>
        <v>16050</v>
      </c>
      <c r="F21" s="15">
        <f>((Submetering!E21+Submetering!F21)*0.11+Submetering!G21*0.0302)/TOTAL!E21</f>
        <v>9.2926280373831771E-2</v>
      </c>
      <c r="G21" s="19">
        <f>Submetering!AC21</f>
        <v>2294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114</v>
      </c>
      <c r="L21" s="19">
        <f>Submetering!AF21</f>
        <v>185</v>
      </c>
    </row>
    <row r="22" spans="1:12" x14ac:dyDescent="0.3">
      <c r="A22" s="16" t="s">
        <v>12</v>
      </c>
      <c r="B22" s="10">
        <f t="shared" si="0"/>
        <v>21</v>
      </c>
      <c r="C22" s="10">
        <v>12</v>
      </c>
      <c r="D22" s="10">
        <v>2022</v>
      </c>
      <c r="E22" s="19">
        <f>Submetering!E22+Submetering!F22+Submetering!G22</f>
        <v>16114</v>
      </c>
      <c r="F22" s="15">
        <f>((Submetering!E22+Submetering!F22)*0.11+Submetering!G22*0.0302)/TOTAL!E22</f>
        <v>8.8150825369244137E-2</v>
      </c>
      <c r="G22" s="19">
        <f>Submetering!AC22</f>
        <v>2476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115</v>
      </c>
      <c r="L22" s="19">
        <f>Submetering!AF22</f>
        <v>188</v>
      </c>
    </row>
    <row r="23" spans="1:12" x14ac:dyDescent="0.3">
      <c r="A23" s="16" t="s">
        <v>12</v>
      </c>
      <c r="B23" s="10">
        <f t="shared" si="0"/>
        <v>22</v>
      </c>
      <c r="C23" s="10">
        <v>12</v>
      </c>
      <c r="D23" s="10">
        <v>2022</v>
      </c>
      <c r="E23" s="19">
        <f>Submetering!E23+Submetering!F23+Submetering!G23</f>
        <v>16152</v>
      </c>
      <c r="F23" s="15">
        <f>((Submetering!E23+Submetering!F23)*0.11+Submetering!G23*0.0302)/TOTAL!E23</f>
        <v>8.804413075780089E-2</v>
      </c>
      <c r="G23" s="19">
        <f>Submetering!AC23</f>
        <v>2532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107</v>
      </c>
      <c r="L23" s="19">
        <f>Submetering!AF23</f>
        <v>177</v>
      </c>
    </row>
    <row r="24" spans="1:12" x14ac:dyDescent="0.3">
      <c r="A24" s="16" t="s">
        <v>12</v>
      </c>
      <c r="B24" s="10">
        <f t="shared" si="0"/>
        <v>23</v>
      </c>
      <c r="C24" s="10">
        <v>12</v>
      </c>
      <c r="D24" s="10">
        <v>2022</v>
      </c>
      <c r="E24" s="19">
        <f>Submetering!E24+Submetering!F24+Submetering!G24</f>
        <v>12535</v>
      </c>
      <c r="F24" s="15">
        <f>((Submetering!E24+Submetering!F24)*0.11+Submetering!G24*0.0302)/TOTAL!E24</f>
        <v>0.10999999999999999</v>
      </c>
      <c r="G24" s="19">
        <f>Submetering!AC24</f>
        <v>2322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102</v>
      </c>
      <c r="L24" s="19">
        <f>Submetering!AF24</f>
        <v>170</v>
      </c>
    </row>
    <row r="25" spans="1:12" x14ac:dyDescent="0.3">
      <c r="A25" s="16" t="s">
        <v>12</v>
      </c>
      <c r="B25" s="10">
        <f t="shared" si="0"/>
        <v>24</v>
      </c>
      <c r="C25" s="10">
        <v>12</v>
      </c>
      <c r="D25" s="10">
        <v>2022</v>
      </c>
      <c r="E25" s="19">
        <f>Submetering!E25+Submetering!F25+Submetering!G25</f>
        <v>34407</v>
      </c>
      <c r="F25" s="15">
        <f>((Submetering!E25+Submetering!F25)*0.11+Submetering!G25*0.0302)/TOTAL!E25</f>
        <v>6.2855680530124691E-2</v>
      </c>
      <c r="G25" s="19">
        <f>Submetering!AC25</f>
        <v>1514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116</v>
      </c>
      <c r="L25" s="19">
        <f>Submetering!AF25</f>
        <v>195</v>
      </c>
    </row>
    <row r="26" spans="1:12" x14ac:dyDescent="0.3">
      <c r="A26" s="16" t="s">
        <v>12</v>
      </c>
      <c r="B26" s="10">
        <f>B25+1</f>
        <v>25</v>
      </c>
      <c r="C26" s="10">
        <v>12</v>
      </c>
      <c r="D26" s="10">
        <v>2022</v>
      </c>
      <c r="E26" s="19">
        <f>Submetering!E26+Submetering!F26+Submetering!G26</f>
        <v>15658</v>
      </c>
      <c r="F26" s="15">
        <f>((Submetering!E26+Submetering!F26)*0.11+Submetering!G26*0.0302)/TOTAL!E26</f>
        <v>0.11</v>
      </c>
      <c r="G26" s="19">
        <f>Submetering!AC26</f>
        <v>1634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109</v>
      </c>
      <c r="L26" s="19">
        <f>Submetering!AF26</f>
        <v>181</v>
      </c>
    </row>
    <row r="27" spans="1:12" x14ac:dyDescent="0.3">
      <c r="A27" s="16" t="s">
        <v>12</v>
      </c>
      <c r="B27" s="10">
        <f t="shared" si="0"/>
        <v>26</v>
      </c>
      <c r="C27" s="10">
        <v>12</v>
      </c>
      <c r="D27" s="10">
        <v>2022</v>
      </c>
      <c r="E27" s="19">
        <f>Submetering!E27+Submetering!F27+Submetering!G27</f>
        <v>15193</v>
      </c>
      <c r="F27" s="15">
        <f>((Submetering!E27+Submetering!F27)*0.11+Submetering!G27*0.0302)/TOTAL!E27</f>
        <v>9.7294398736260126E-2</v>
      </c>
      <c r="G27" s="19">
        <f>Submetering!AC27</f>
        <v>2186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117</v>
      </c>
      <c r="L27" s="19">
        <f>Submetering!AF27</f>
        <v>195</v>
      </c>
    </row>
    <row r="28" spans="1:12" x14ac:dyDescent="0.3">
      <c r="A28" s="16" t="s">
        <v>12</v>
      </c>
      <c r="B28" s="10">
        <f t="shared" si="0"/>
        <v>27</v>
      </c>
      <c r="C28" s="10">
        <v>12</v>
      </c>
      <c r="D28" s="10">
        <v>2022</v>
      </c>
      <c r="E28" s="19">
        <f>Submetering!E28+Submetering!F28+Submetering!G28</f>
        <v>19261</v>
      </c>
      <c r="F28" s="15">
        <f>((Submetering!E28+Submetering!F28)*0.11+Submetering!G28*0.0302)/TOTAL!E28</f>
        <v>9.7889756502777633E-2</v>
      </c>
      <c r="G28" s="19">
        <f>Submetering!AC28</f>
        <v>2588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128</v>
      </c>
      <c r="L28" s="19">
        <f>Submetering!AF28</f>
        <v>215</v>
      </c>
    </row>
    <row r="29" spans="1:12" x14ac:dyDescent="0.3">
      <c r="A29" s="16" t="s">
        <v>12</v>
      </c>
      <c r="B29" s="10">
        <f t="shared" si="0"/>
        <v>28</v>
      </c>
      <c r="C29" s="10">
        <v>12</v>
      </c>
      <c r="D29" s="10">
        <v>2022</v>
      </c>
      <c r="E29" s="19">
        <f>Submetering!E29+Submetering!F29+Submetering!G29</f>
        <v>12228</v>
      </c>
      <c r="F29" s="15">
        <f>((Submetering!E29+Submetering!F29)*0.11+Submetering!G29*0.0302)/TOTAL!E29</f>
        <v>9.2719136408243363E-2</v>
      </c>
      <c r="G29" s="19">
        <f>Submetering!AC29</f>
        <v>1675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130</v>
      </c>
      <c r="L29" s="19">
        <f>Submetering!AF29</f>
        <v>228</v>
      </c>
    </row>
    <row r="30" spans="1:12" x14ac:dyDescent="0.3">
      <c r="A30" s="16" t="s">
        <v>12</v>
      </c>
      <c r="B30" s="10">
        <f t="shared" si="0"/>
        <v>29</v>
      </c>
      <c r="C30" s="10">
        <v>12</v>
      </c>
      <c r="D30" s="10">
        <v>2022</v>
      </c>
      <c r="E30" s="19">
        <f>Submetering!E30+Submetering!F30+Submetering!G30</f>
        <v>15303</v>
      </c>
      <c r="F30" s="15">
        <f>((Submetering!E30+Submetering!F30)*0.11+Submetering!G30*0.0302)/TOTAL!E30</f>
        <v>9.0596236032150557E-2</v>
      </c>
      <c r="G30" s="19">
        <f>Submetering!AC30</f>
        <v>2209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118</v>
      </c>
      <c r="L30" s="19">
        <f>Submetering!AF30</f>
        <v>211</v>
      </c>
    </row>
    <row r="31" spans="1:12" x14ac:dyDescent="0.3">
      <c r="A31" s="16" t="s">
        <v>12</v>
      </c>
      <c r="B31" s="10">
        <f t="shared" si="0"/>
        <v>30</v>
      </c>
      <c r="C31" s="10">
        <v>12</v>
      </c>
      <c r="D31" s="10">
        <v>2022</v>
      </c>
      <c r="E31" s="19">
        <f>Submetering!E31+Submetering!F31+Submetering!G31</f>
        <v>15981</v>
      </c>
      <c r="F31" s="15">
        <f>((Submetering!E31+Submetering!F31)*0.11+Submetering!G31*0.0302)/TOTAL!E31</f>
        <v>9.0855190538764799E-2</v>
      </c>
      <c r="G31" s="19">
        <f>Submetering!AC31</f>
        <v>2189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123</v>
      </c>
      <c r="L31" s="19">
        <f>Submetering!AF31</f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2" sqref="A32"/>
    </sheetView>
  </sheetViews>
  <sheetFormatPr defaultColWidth="11.5546875" defaultRowHeight="14.4" x14ac:dyDescent="0.3"/>
  <cols>
    <col min="1" max="1" width="25.88671875" style="16" customWidth="1"/>
    <col min="2" max="3" width="11.5546875" style="7" customWidth="1"/>
    <col min="4" max="4" width="13.44140625" style="7" customWidth="1"/>
    <col min="5" max="6" width="12.5546875" style="19" customWidth="1"/>
    <col min="7" max="7" width="7.109375" style="19" customWidth="1"/>
    <col min="8" max="8" width="9.33203125" style="19" customWidth="1"/>
    <col min="9" max="9" width="12.5546875" style="19" customWidth="1"/>
    <col min="10" max="10" width="14.44140625" style="19" customWidth="1"/>
    <col min="11" max="12" width="12.5546875" style="19" customWidth="1"/>
    <col min="13" max="13" width="8.88671875" style="19" customWidth="1"/>
    <col min="14" max="14" width="14.88671875" style="19" customWidth="1"/>
    <col min="15" max="15" width="15.44140625" style="19" customWidth="1"/>
    <col min="16" max="16" width="10.5546875" style="19" customWidth="1"/>
    <col min="17" max="17" width="9" style="19" customWidth="1"/>
    <col min="18" max="18" width="20" style="19" customWidth="1"/>
    <col min="19" max="19" width="12.5546875" style="19" customWidth="1"/>
    <col min="20" max="20" width="14" style="19" customWidth="1"/>
    <col min="21" max="21" width="18" style="19" customWidth="1"/>
    <col min="22" max="22" width="17.109375" style="19" customWidth="1"/>
    <col min="23" max="23" width="10.88671875" style="19" customWidth="1"/>
    <col min="24" max="29" width="12.5546875" style="19" customWidth="1"/>
    <col min="30" max="30" width="11.5546875" style="19"/>
    <col min="31" max="31" width="11.5546875" style="7"/>
    <col min="32" max="32" width="11.5546875" style="19"/>
  </cols>
  <sheetData>
    <row r="1" spans="1:32" s="16" customFormat="1" ht="30.6" x14ac:dyDescent="0.3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x14ac:dyDescent="0.3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 x14ac:dyDescent="0.3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 x14ac:dyDescent="0.3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 x14ac:dyDescent="0.3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 x14ac:dyDescent="0.3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 x14ac:dyDescent="0.3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 x14ac:dyDescent="0.3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 x14ac:dyDescent="0.3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 x14ac:dyDescent="0.3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 x14ac:dyDescent="0.3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 x14ac:dyDescent="0.3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 x14ac:dyDescent="0.3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 x14ac:dyDescent="0.3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7403</v>
      </c>
      <c r="F14" s="19">
        <v>4810</v>
      </c>
      <c r="G14" s="19">
        <v>4775</v>
      </c>
      <c r="H14" s="19">
        <v>596</v>
      </c>
      <c r="I14" s="19">
        <v>486</v>
      </c>
      <c r="J14" s="19">
        <v>1537</v>
      </c>
      <c r="K14" s="19">
        <v>0</v>
      </c>
      <c r="L14" s="19">
        <v>402</v>
      </c>
      <c r="M14" s="19">
        <v>3</v>
      </c>
      <c r="N14" s="19">
        <v>880</v>
      </c>
      <c r="O14" s="19">
        <v>382</v>
      </c>
      <c r="P14" s="19">
        <v>1075</v>
      </c>
      <c r="Q14" s="19">
        <v>2</v>
      </c>
      <c r="R14" s="19">
        <v>1296</v>
      </c>
      <c r="S14" s="19">
        <v>2038</v>
      </c>
      <c r="T14" s="19">
        <v>318</v>
      </c>
      <c r="U14" s="19">
        <v>73</v>
      </c>
      <c r="V14" s="19">
        <v>260</v>
      </c>
      <c r="W14" s="19">
        <v>634</v>
      </c>
      <c r="X14" s="19">
        <v>670</v>
      </c>
      <c r="Y14" s="19">
        <v>0</v>
      </c>
      <c r="Z14" s="19">
        <v>0</v>
      </c>
      <c r="AA14" s="19">
        <v>18</v>
      </c>
      <c r="AB14" s="19">
        <v>2</v>
      </c>
      <c r="AC14" s="19">
        <v>3478</v>
      </c>
      <c r="AD14" s="19">
        <v>1433</v>
      </c>
      <c r="AE14" s="19">
        <v>106</v>
      </c>
      <c r="AF14" s="19">
        <v>159</v>
      </c>
    </row>
    <row r="15" spans="1:32" x14ac:dyDescent="0.3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6195</v>
      </c>
      <c r="F15" s="19">
        <v>3883</v>
      </c>
      <c r="G15" s="19">
        <v>3961</v>
      </c>
      <c r="H15" s="19">
        <v>555</v>
      </c>
      <c r="I15" s="19">
        <v>381</v>
      </c>
      <c r="J15" s="19">
        <v>1267</v>
      </c>
      <c r="K15" s="19">
        <v>0</v>
      </c>
      <c r="L15" s="19">
        <v>339</v>
      </c>
      <c r="M15" s="19">
        <v>4</v>
      </c>
      <c r="N15" s="19">
        <v>800</v>
      </c>
      <c r="O15" s="19">
        <v>321</v>
      </c>
      <c r="P15" s="19">
        <v>880</v>
      </c>
      <c r="Q15" s="19">
        <v>2</v>
      </c>
      <c r="R15" s="19">
        <v>1078</v>
      </c>
      <c r="S15" s="19">
        <v>1613</v>
      </c>
      <c r="T15" s="19">
        <v>263</v>
      </c>
      <c r="U15" s="19">
        <v>39</v>
      </c>
      <c r="V15" s="19">
        <v>212</v>
      </c>
      <c r="W15" s="19">
        <v>530</v>
      </c>
      <c r="X15" s="19">
        <v>524</v>
      </c>
      <c r="Y15" s="19">
        <v>0</v>
      </c>
      <c r="Z15" s="19">
        <v>0</v>
      </c>
      <c r="AA15" s="19">
        <v>11</v>
      </c>
      <c r="AB15" s="19">
        <v>1</v>
      </c>
      <c r="AC15" s="19">
        <v>2916</v>
      </c>
      <c r="AD15" s="19">
        <v>1186</v>
      </c>
      <c r="AE15" s="19">
        <v>98</v>
      </c>
      <c r="AF15" s="19">
        <v>153</v>
      </c>
    </row>
    <row r="16" spans="1:32" x14ac:dyDescent="0.3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7185</v>
      </c>
      <c r="F16" s="19">
        <v>4579</v>
      </c>
      <c r="G16" s="19">
        <v>4805</v>
      </c>
      <c r="H16" s="19">
        <v>575</v>
      </c>
      <c r="I16" s="19">
        <v>464</v>
      </c>
      <c r="J16" s="19">
        <v>1448</v>
      </c>
      <c r="K16" s="19">
        <v>0</v>
      </c>
      <c r="L16" s="19">
        <v>405</v>
      </c>
      <c r="M16" s="19">
        <v>3</v>
      </c>
      <c r="N16" s="19">
        <v>945</v>
      </c>
      <c r="O16" s="19">
        <v>388</v>
      </c>
      <c r="P16" s="19">
        <v>1076</v>
      </c>
      <c r="Q16" s="19">
        <v>3</v>
      </c>
      <c r="R16" s="19">
        <v>1309</v>
      </c>
      <c r="S16" s="19">
        <v>1960</v>
      </c>
      <c r="T16" s="19">
        <v>321</v>
      </c>
      <c r="U16" s="19">
        <v>48</v>
      </c>
      <c r="V16" s="19">
        <v>250</v>
      </c>
      <c r="W16" s="19">
        <v>688</v>
      </c>
      <c r="X16" s="19">
        <v>597</v>
      </c>
      <c r="Y16" s="19">
        <v>0</v>
      </c>
      <c r="Z16" s="19">
        <v>0</v>
      </c>
      <c r="AA16" s="19">
        <v>14</v>
      </c>
      <c r="AB16" s="19">
        <v>2</v>
      </c>
      <c r="AC16" s="19">
        <v>3544</v>
      </c>
      <c r="AD16" s="19">
        <v>1438</v>
      </c>
      <c r="AE16" s="19">
        <v>125</v>
      </c>
      <c r="AF16" s="19">
        <v>195</v>
      </c>
    </row>
    <row r="17" spans="1:32" x14ac:dyDescent="0.3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7327</v>
      </c>
      <c r="F17" s="19">
        <v>4707</v>
      </c>
      <c r="G17" s="19">
        <v>3866</v>
      </c>
      <c r="H17" s="19">
        <v>566</v>
      </c>
      <c r="I17" s="19">
        <v>481</v>
      </c>
      <c r="J17" s="19">
        <v>1560</v>
      </c>
      <c r="K17" s="19">
        <v>0</v>
      </c>
      <c r="L17" s="19">
        <v>401</v>
      </c>
      <c r="M17" s="19">
        <v>8</v>
      </c>
      <c r="N17" s="19">
        <v>899</v>
      </c>
      <c r="O17" s="19">
        <v>328</v>
      </c>
      <c r="P17" s="19">
        <v>974</v>
      </c>
      <c r="Q17" s="19">
        <v>3</v>
      </c>
      <c r="R17" s="19">
        <v>1291</v>
      </c>
      <c r="S17" s="19">
        <v>1990</v>
      </c>
      <c r="T17" s="19">
        <v>327</v>
      </c>
      <c r="U17" s="19">
        <v>48</v>
      </c>
      <c r="V17" s="19">
        <v>261</v>
      </c>
      <c r="W17" s="19">
        <v>691</v>
      </c>
      <c r="X17" s="19">
        <v>651</v>
      </c>
      <c r="Y17" s="19">
        <v>0</v>
      </c>
      <c r="Z17" s="19">
        <v>0</v>
      </c>
      <c r="AA17" s="19">
        <v>16</v>
      </c>
      <c r="AB17" s="19">
        <v>2</v>
      </c>
      <c r="AC17" s="19">
        <v>3465</v>
      </c>
      <c r="AD17" s="19">
        <v>1447</v>
      </c>
      <c r="AE17" s="19">
        <v>126</v>
      </c>
      <c r="AF17" s="19">
        <v>199</v>
      </c>
    </row>
    <row r="18" spans="1:32" x14ac:dyDescent="0.3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6282</v>
      </c>
      <c r="F18" s="19">
        <v>3865</v>
      </c>
      <c r="G18" s="19">
        <v>4802</v>
      </c>
      <c r="H18" s="19">
        <v>542</v>
      </c>
      <c r="I18" s="19">
        <v>1372</v>
      </c>
      <c r="J18" s="19">
        <v>1396</v>
      </c>
      <c r="K18" s="19">
        <v>0</v>
      </c>
      <c r="L18" s="19">
        <v>339</v>
      </c>
      <c r="M18" s="19">
        <v>5</v>
      </c>
      <c r="N18" s="19">
        <v>770</v>
      </c>
      <c r="O18" s="19">
        <v>261</v>
      </c>
      <c r="P18" s="19">
        <v>995</v>
      </c>
      <c r="Q18" s="19">
        <v>2</v>
      </c>
      <c r="R18" s="19">
        <v>1051</v>
      </c>
      <c r="S18" s="19">
        <v>1558</v>
      </c>
      <c r="T18" s="19">
        <v>255</v>
      </c>
      <c r="U18" s="19">
        <v>38</v>
      </c>
      <c r="V18" s="19">
        <v>206</v>
      </c>
      <c r="W18" s="19">
        <v>509</v>
      </c>
      <c r="X18" s="19">
        <v>779</v>
      </c>
      <c r="Y18" s="19">
        <v>0</v>
      </c>
      <c r="Z18" s="19">
        <v>0</v>
      </c>
      <c r="AA18" s="19">
        <v>16</v>
      </c>
      <c r="AB18" s="19">
        <v>2</v>
      </c>
      <c r="AC18" s="19">
        <v>2738</v>
      </c>
      <c r="AD18" s="19">
        <v>1135</v>
      </c>
      <c r="AE18" s="19">
        <v>126</v>
      </c>
      <c r="AF18" s="19">
        <v>205</v>
      </c>
    </row>
    <row r="19" spans="1:32" x14ac:dyDescent="0.3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7352</v>
      </c>
      <c r="F19" s="19">
        <v>4467</v>
      </c>
      <c r="G19" s="19">
        <v>4562</v>
      </c>
      <c r="H19" s="19">
        <v>576</v>
      </c>
      <c r="I19" s="19">
        <v>571</v>
      </c>
      <c r="J19" s="19">
        <v>1504</v>
      </c>
      <c r="K19" s="19">
        <v>0</v>
      </c>
      <c r="L19" s="19">
        <v>384</v>
      </c>
      <c r="M19" s="19">
        <v>6</v>
      </c>
      <c r="N19" s="19">
        <v>934</v>
      </c>
      <c r="O19" s="19">
        <v>361</v>
      </c>
      <c r="P19" s="19">
        <v>1200</v>
      </c>
      <c r="Q19" s="19">
        <v>2</v>
      </c>
      <c r="R19" s="19">
        <v>1242</v>
      </c>
      <c r="S19" s="19">
        <v>1872</v>
      </c>
      <c r="T19" s="19">
        <v>304</v>
      </c>
      <c r="U19" s="19">
        <v>46</v>
      </c>
      <c r="V19" s="19">
        <v>252</v>
      </c>
      <c r="W19" s="19">
        <v>652</v>
      </c>
      <c r="X19" s="19">
        <v>482</v>
      </c>
      <c r="Y19" s="19">
        <v>0</v>
      </c>
      <c r="Z19" s="19">
        <v>0</v>
      </c>
      <c r="AA19" s="19">
        <v>23</v>
      </c>
      <c r="AB19" s="19">
        <v>7</v>
      </c>
      <c r="AC19" s="19">
        <v>3117</v>
      </c>
      <c r="AD19" s="19">
        <v>1370</v>
      </c>
      <c r="AE19" s="19">
        <v>119</v>
      </c>
      <c r="AF19" s="19">
        <v>191</v>
      </c>
    </row>
    <row r="20" spans="1:32" x14ac:dyDescent="0.3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7404</v>
      </c>
      <c r="F20" s="19">
        <v>4233</v>
      </c>
      <c r="G20" s="19">
        <v>4325</v>
      </c>
      <c r="H20" s="19">
        <v>542</v>
      </c>
      <c r="I20" s="19">
        <v>474</v>
      </c>
      <c r="J20" s="19">
        <v>1437</v>
      </c>
      <c r="K20" s="19">
        <v>0</v>
      </c>
      <c r="L20" s="19">
        <v>375</v>
      </c>
      <c r="M20" s="19">
        <v>50</v>
      </c>
      <c r="N20" s="19">
        <v>927</v>
      </c>
      <c r="O20" s="19">
        <v>294</v>
      </c>
      <c r="P20" s="19">
        <v>1446</v>
      </c>
      <c r="Q20" s="19">
        <v>3</v>
      </c>
      <c r="R20" s="19">
        <v>1164</v>
      </c>
      <c r="S20" s="19">
        <v>1748</v>
      </c>
      <c r="T20" s="19">
        <v>281</v>
      </c>
      <c r="U20" s="19">
        <v>42</v>
      </c>
      <c r="V20" s="19">
        <v>231</v>
      </c>
      <c r="W20" s="19">
        <v>622</v>
      </c>
      <c r="X20" s="19">
        <v>605</v>
      </c>
      <c r="Y20" s="19">
        <v>2176</v>
      </c>
      <c r="Z20" s="19">
        <v>40</v>
      </c>
      <c r="AA20" s="19">
        <v>13</v>
      </c>
      <c r="AB20" s="19">
        <v>2</v>
      </c>
      <c r="AC20" s="19">
        <v>2298</v>
      </c>
      <c r="AD20" s="19">
        <v>1322</v>
      </c>
      <c r="AE20" s="19">
        <v>116</v>
      </c>
      <c r="AF20" s="19">
        <v>185</v>
      </c>
    </row>
    <row r="21" spans="1:32" x14ac:dyDescent="0.3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7556</v>
      </c>
      <c r="F21" s="19">
        <v>5060</v>
      </c>
      <c r="G21" s="19">
        <v>3434</v>
      </c>
      <c r="H21" s="19">
        <v>596</v>
      </c>
      <c r="I21" s="19">
        <v>476</v>
      </c>
      <c r="J21" s="19">
        <v>1324</v>
      </c>
      <c r="K21" s="19">
        <v>0</v>
      </c>
      <c r="L21" s="19">
        <v>376</v>
      </c>
      <c r="M21" s="19">
        <v>18</v>
      </c>
      <c r="N21" s="19">
        <v>938</v>
      </c>
      <c r="O21" s="19">
        <v>351</v>
      </c>
      <c r="P21" s="19">
        <v>1640</v>
      </c>
      <c r="Q21" s="19">
        <v>2</v>
      </c>
      <c r="R21" s="19">
        <v>1179</v>
      </c>
      <c r="S21" s="19">
        <v>1782</v>
      </c>
      <c r="T21" s="19">
        <v>285</v>
      </c>
      <c r="U21" s="19">
        <v>44</v>
      </c>
      <c r="V21" s="19">
        <v>239</v>
      </c>
      <c r="W21" s="19">
        <v>628</v>
      </c>
      <c r="X21" s="19">
        <v>554</v>
      </c>
      <c r="Y21" s="19">
        <v>0</v>
      </c>
      <c r="Z21" s="19">
        <v>0</v>
      </c>
      <c r="AA21" s="19">
        <v>13</v>
      </c>
      <c r="AB21" s="19">
        <v>2</v>
      </c>
      <c r="AC21" s="19">
        <v>2294</v>
      </c>
      <c r="AD21" s="19">
        <v>1061</v>
      </c>
      <c r="AE21" s="19">
        <v>114</v>
      </c>
      <c r="AF21" s="19">
        <v>185</v>
      </c>
    </row>
    <row r="22" spans="1:32" x14ac:dyDescent="0.3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7467</v>
      </c>
      <c r="F22" s="19">
        <v>4235</v>
      </c>
      <c r="G22" s="19">
        <v>4412</v>
      </c>
      <c r="H22" s="19">
        <v>587</v>
      </c>
      <c r="I22" s="19">
        <v>476</v>
      </c>
      <c r="J22" s="19">
        <v>1283</v>
      </c>
      <c r="K22" s="19">
        <v>0</v>
      </c>
      <c r="L22" s="19">
        <v>381</v>
      </c>
      <c r="M22" s="19">
        <v>15</v>
      </c>
      <c r="N22" s="19">
        <v>914</v>
      </c>
      <c r="O22" s="19">
        <v>338</v>
      </c>
      <c r="P22" s="19">
        <v>1669</v>
      </c>
      <c r="Q22" s="19">
        <v>2</v>
      </c>
      <c r="R22" s="19">
        <v>1188</v>
      </c>
      <c r="S22" s="19">
        <v>1774</v>
      </c>
      <c r="T22" s="19">
        <v>289</v>
      </c>
      <c r="U22" s="19">
        <v>43</v>
      </c>
      <c r="V22" s="19">
        <v>240</v>
      </c>
      <c r="W22" s="19">
        <v>597</v>
      </c>
      <c r="X22" s="19">
        <v>648</v>
      </c>
      <c r="Y22" s="19">
        <v>0</v>
      </c>
      <c r="Z22" s="19">
        <v>0</v>
      </c>
      <c r="AA22" s="19">
        <v>15</v>
      </c>
      <c r="AB22" s="19">
        <v>2</v>
      </c>
      <c r="AC22" s="19">
        <v>2476</v>
      </c>
      <c r="AD22" s="19">
        <v>1367</v>
      </c>
      <c r="AE22" s="19">
        <v>115</v>
      </c>
      <c r="AF22" s="19">
        <v>188</v>
      </c>
    </row>
    <row r="23" spans="1:32" x14ac:dyDescent="0.3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7546</v>
      </c>
      <c r="F23" s="19">
        <v>4162</v>
      </c>
      <c r="G23" s="19">
        <v>4444</v>
      </c>
      <c r="H23" s="19">
        <v>563</v>
      </c>
      <c r="I23" s="19">
        <v>473</v>
      </c>
      <c r="J23" s="19">
        <v>1413</v>
      </c>
      <c r="K23" s="19">
        <v>0</v>
      </c>
      <c r="L23" s="19">
        <v>375</v>
      </c>
      <c r="M23" s="19">
        <v>19</v>
      </c>
      <c r="N23" s="19">
        <v>949</v>
      </c>
      <c r="O23" s="19">
        <v>306</v>
      </c>
      <c r="P23" s="19">
        <v>1647</v>
      </c>
      <c r="Q23" s="19">
        <v>3</v>
      </c>
      <c r="R23" s="19">
        <v>1186</v>
      </c>
      <c r="S23" s="19">
        <v>1803</v>
      </c>
      <c r="T23" s="19">
        <v>288</v>
      </c>
      <c r="U23" s="19">
        <v>44</v>
      </c>
      <c r="V23" s="19">
        <v>248</v>
      </c>
      <c r="W23" s="19">
        <v>578</v>
      </c>
      <c r="X23" s="19">
        <v>589</v>
      </c>
      <c r="Y23" s="19">
        <v>0</v>
      </c>
      <c r="Z23" s="19">
        <v>0</v>
      </c>
      <c r="AA23" s="19">
        <v>14</v>
      </c>
      <c r="AB23" s="19">
        <v>1</v>
      </c>
      <c r="AC23" s="19">
        <v>2532</v>
      </c>
      <c r="AD23" s="19">
        <v>1375</v>
      </c>
      <c r="AE23" s="19">
        <v>107</v>
      </c>
      <c r="AF23" s="19">
        <v>177</v>
      </c>
    </row>
    <row r="24" spans="1:32" x14ac:dyDescent="0.3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7255</v>
      </c>
      <c r="F24" s="19">
        <v>5280</v>
      </c>
      <c r="G24" s="19">
        <v>0</v>
      </c>
      <c r="H24" s="19">
        <v>592</v>
      </c>
      <c r="I24" s="19">
        <v>481</v>
      </c>
      <c r="J24" s="19">
        <v>1385</v>
      </c>
      <c r="K24" s="19">
        <v>0</v>
      </c>
      <c r="L24" s="19">
        <v>359</v>
      </c>
      <c r="M24" s="19">
        <v>139</v>
      </c>
      <c r="N24" s="19">
        <v>939</v>
      </c>
      <c r="O24" s="19">
        <v>262</v>
      </c>
      <c r="P24" s="19">
        <v>1280</v>
      </c>
      <c r="Q24" s="19">
        <v>2</v>
      </c>
      <c r="R24" s="19">
        <v>1193</v>
      </c>
      <c r="S24" s="19">
        <v>1821</v>
      </c>
      <c r="T24" s="19">
        <v>289</v>
      </c>
      <c r="U24" s="19">
        <v>44</v>
      </c>
      <c r="V24" s="19">
        <v>232</v>
      </c>
      <c r="W24" s="19">
        <v>606</v>
      </c>
      <c r="X24" s="19">
        <v>597</v>
      </c>
      <c r="Y24" s="19">
        <v>0</v>
      </c>
      <c r="Z24" s="19">
        <v>0</v>
      </c>
      <c r="AA24" s="19">
        <v>0</v>
      </c>
      <c r="AB24" s="19">
        <v>0</v>
      </c>
      <c r="AC24" s="19">
        <v>2322</v>
      </c>
      <c r="AD24" s="19">
        <v>0</v>
      </c>
      <c r="AE24" s="19">
        <v>102</v>
      </c>
      <c r="AF24" s="19">
        <v>170</v>
      </c>
    </row>
    <row r="25" spans="1:32" x14ac:dyDescent="0.3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6521</v>
      </c>
      <c r="F25" s="19">
        <v>7559</v>
      </c>
      <c r="G25" s="19">
        <v>20327</v>
      </c>
      <c r="H25" s="19">
        <v>519</v>
      </c>
      <c r="I25" s="19">
        <v>513</v>
      </c>
      <c r="J25" s="19">
        <v>1345</v>
      </c>
      <c r="K25" s="19">
        <v>0</v>
      </c>
      <c r="L25" s="19">
        <v>6355</v>
      </c>
      <c r="M25" s="19">
        <v>55</v>
      </c>
      <c r="N25" s="19">
        <v>836</v>
      </c>
      <c r="O25" s="19">
        <v>214</v>
      </c>
      <c r="P25" s="19">
        <v>1135</v>
      </c>
      <c r="Q25" s="19">
        <v>3</v>
      </c>
      <c r="R25" s="19">
        <v>1132</v>
      </c>
      <c r="S25" s="19">
        <v>1717</v>
      </c>
      <c r="T25" s="19">
        <v>275</v>
      </c>
      <c r="U25" s="19">
        <v>41</v>
      </c>
      <c r="V25" s="19">
        <v>220</v>
      </c>
      <c r="W25" s="19">
        <v>568</v>
      </c>
      <c r="X25" s="19">
        <v>629</v>
      </c>
      <c r="Y25" s="19">
        <v>0</v>
      </c>
      <c r="Z25" s="19">
        <v>0</v>
      </c>
      <c r="AA25" s="19">
        <v>85</v>
      </c>
      <c r="AB25" s="19">
        <v>11</v>
      </c>
      <c r="AC25" s="19">
        <v>1514</v>
      </c>
      <c r="AD25" s="19">
        <v>6278</v>
      </c>
      <c r="AE25" s="19">
        <v>116</v>
      </c>
      <c r="AF25" s="19">
        <v>195</v>
      </c>
    </row>
    <row r="26" spans="1:32" x14ac:dyDescent="0.3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7306</v>
      </c>
      <c r="F26" s="19">
        <v>8352</v>
      </c>
      <c r="G26" s="19">
        <v>0</v>
      </c>
      <c r="H26" s="19">
        <v>565</v>
      </c>
      <c r="I26" s="19">
        <v>366</v>
      </c>
      <c r="J26" s="19">
        <v>1560</v>
      </c>
      <c r="K26" s="19">
        <v>0</v>
      </c>
      <c r="L26" s="19">
        <v>313</v>
      </c>
      <c r="M26" s="19">
        <v>19</v>
      </c>
      <c r="N26" s="19">
        <v>863</v>
      </c>
      <c r="O26" s="19">
        <v>226</v>
      </c>
      <c r="P26" s="19">
        <v>1499</v>
      </c>
      <c r="Q26" s="19">
        <v>2</v>
      </c>
      <c r="R26" s="19">
        <v>1191</v>
      </c>
      <c r="S26" s="19">
        <v>1812</v>
      </c>
      <c r="T26" s="19">
        <v>289</v>
      </c>
      <c r="U26" s="19">
        <v>44</v>
      </c>
      <c r="V26" s="19">
        <v>235</v>
      </c>
      <c r="W26" s="19">
        <v>392068</v>
      </c>
      <c r="X26" s="19">
        <v>77263</v>
      </c>
      <c r="Y26" s="19">
        <v>0</v>
      </c>
      <c r="Z26" s="19">
        <v>0</v>
      </c>
      <c r="AA26" s="19">
        <v>16</v>
      </c>
      <c r="AB26" s="19">
        <v>2</v>
      </c>
      <c r="AC26" s="19">
        <v>1634</v>
      </c>
      <c r="AD26" s="19">
        <v>0</v>
      </c>
      <c r="AE26" s="19">
        <v>109</v>
      </c>
      <c r="AF26" s="19">
        <v>181</v>
      </c>
    </row>
    <row r="27" spans="1:32" x14ac:dyDescent="0.3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6874</v>
      </c>
      <c r="F27" s="19">
        <v>5900</v>
      </c>
      <c r="G27" s="19">
        <v>2419</v>
      </c>
      <c r="H27" s="19">
        <v>588</v>
      </c>
      <c r="I27" s="19">
        <v>429</v>
      </c>
      <c r="J27" s="19">
        <v>1532</v>
      </c>
      <c r="K27" s="19">
        <v>0</v>
      </c>
      <c r="L27" s="19">
        <v>0</v>
      </c>
      <c r="M27" s="19">
        <v>19</v>
      </c>
      <c r="N27" s="19">
        <v>831</v>
      </c>
      <c r="O27" s="19">
        <v>205</v>
      </c>
      <c r="P27" s="19">
        <v>1193</v>
      </c>
      <c r="Q27" s="19">
        <v>3</v>
      </c>
      <c r="R27" s="19">
        <v>1174</v>
      </c>
      <c r="S27" s="19">
        <v>1768</v>
      </c>
      <c r="T27" s="19">
        <v>284</v>
      </c>
      <c r="U27" s="19">
        <v>43</v>
      </c>
      <c r="V27" s="19">
        <v>227</v>
      </c>
      <c r="W27" s="19">
        <v>470</v>
      </c>
      <c r="X27" s="19">
        <v>0</v>
      </c>
      <c r="Y27" s="19">
        <v>0</v>
      </c>
      <c r="Z27" s="19">
        <v>0</v>
      </c>
      <c r="AA27" s="19">
        <v>15</v>
      </c>
      <c r="AB27" s="19">
        <v>1</v>
      </c>
      <c r="AC27" s="19">
        <v>2186</v>
      </c>
      <c r="AD27" s="19">
        <v>738</v>
      </c>
      <c r="AE27" s="19">
        <v>117</v>
      </c>
      <c r="AF27" s="19">
        <v>195</v>
      </c>
    </row>
    <row r="28" spans="1:32" x14ac:dyDescent="0.3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8573</v>
      </c>
      <c r="F28" s="19">
        <v>7765</v>
      </c>
      <c r="G28" s="19">
        <v>2923</v>
      </c>
      <c r="H28" s="19">
        <v>605</v>
      </c>
      <c r="I28" s="19">
        <v>574</v>
      </c>
      <c r="J28" s="19">
        <v>1768</v>
      </c>
      <c r="K28" s="19">
        <v>0</v>
      </c>
      <c r="L28" s="19">
        <v>443</v>
      </c>
      <c r="M28" s="19">
        <v>25</v>
      </c>
      <c r="N28" s="19">
        <v>1107</v>
      </c>
      <c r="O28" s="19">
        <v>309</v>
      </c>
      <c r="P28" s="19">
        <v>1706</v>
      </c>
      <c r="Q28" s="19">
        <v>3</v>
      </c>
      <c r="R28" s="19">
        <v>1528</v>
      </c>
      <c r="S28" s="19">
        <v>2322</v>
      </c>
      <c r="T28" s="19">
        <v>372</v>
      </c>
      <c r="U28" s="19">
        <v>56</v>
      </c>
      <c r="V28" s="19">
        <v>286</v>
      </c>
      <c r="W28" s="19">
        <v>0</v>
      </c>
      <c r="X28" s="19">
        <v>662</v>
      </c>
      <c r="Y28" s="19">
        <v>0</v>
      </c>
      <c r="Z28" s="19">
        <v>0</v>
      </c>
      <c r="AA28" s="19">
        <v>15</v>
      </c>
      <c r="AB28" s="19">
        <v>2</v>
      </c>
      <c r="AC28" s="19">
        <v>2588</v>
      </c>
      <c r="AD28" s="19">
        <v>882</v>
      </c>
      <c r="AE28" s="19">
        <v>128</v>
      </c>
      <c r="AF28" s="19">
        <v>215</v>
      </c>
    </row>
    <row r="29" spans="1:32" x14ac:dyDescent="0.3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5520</v>
      </c>
      <c r="F29" s="19">
        <v>4060</v>
      </c>
      <c r="G29" s="19">
        <v>2648</v>
      </c>
      <c r="H29" s="19">
        <v>537</v>
      </c>
      <c r="I29" s="19">
        <v>355</v>
      </c>
      <c r="J29" s="19">
        <v>1122</v>
      </c>
      <c r="K29" s="19">
        <v>0</v>
      </c>
      <c r="L29" s="19">
        <v>291</v>
      </c>
      <c r="M29" s="19">
        <v>15</v>
      </c>
      <c r="N29" s="19">
        <v>446</v>
      </c>
      <c r="O29" s="19">
        <v>225</v>
      </c>
      <c r="P29" s="19">
        <v>1004</v>
      </c>
      <c r="Q29" s="19">
        <v>1</v>
      </c>
      <c r="R29" s="19">
        <v>898</v>
      </c>
      <c r="S29" s="19">
        <v>1364</v>
      </c>
      <c r="T29" s="19">
        <v>215</v>
      </c>
      <c r="U29" s="19">
        <v>33</v>
      </c>
      <c r="V29" s="19">
        <v>184</v>
      </c>
      <c r="W29" s="19">
        <v>5805</v>
      </c>
      <c r="X29" s="19">
        <v>613</v>
      </c>
      <c r="Y29" s="19">
        <v>0</v>
      </c>
      <c r="Z29" s="19">
        <v>0</v>
      </c>
      <c r="AA29" s="19">
        <v>15</v>
      </c>
      <c r="AB29" s="19">
        <v>2</v>
      </c>
      <c r="AC29" s="19">
        <v>1675</v>
      </c>
      <c r="AD29" s="19">
        <v>842</v>
      </c>
      <c r="AE29" s="19">
        <v>130</v>
      </c>
      <c r="AF29" s="19">
        <v>228</v>
      </c>
    </row>
    <row r="30" spans="1:32" x14ac:dyDescent="0.3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6821</v>
      </c>
      <c r="F30" s="19">
        <v>4761</v>
      </c>
      <c r="G30" s="19">
        <v>3721</v>
      </c>
      <c r="H30" s="19">
        <v>570</v>
      </c>
      <c r="I30" s="19">
        <v>450</v>
      </c>
      <c r="J30" s="19">
        <v>1392</v>
      </c>
      <c r="K30" s="19">
        <v>0</v>
      </c>
      <c r="L30" s="19">
        <v>341</v>
      </c>
      <c r="M30" s="19">
        <v>19</v>
      </c>
      <c r="N30" s="19">
        <v>842</v>
      </c>
      <c r="O30" s="19">
        <v>294</v>
      </c>
      <c r="P30" s="19">
        <v>1157</v>
      </c>
      <c r="Q30" s="19">
        <v>3</v>
      </c>
      <c r="R30" s="19">
        <v>1150</v>
      </c>
      <c r="S30" s="19">
        <v>1746</v>
      </c>
      <c r="T30" s="19">
        <v>278</v>
      </c>
      <c r="U30" s="19">
        <v>42</v>
      </c>
      <c r="V30" s="19">
        <v>230</v>
      </c>
      <c r="W30" s="19">
        <v>0</v>
      </c>
      <c r="X30" s="19">
        <v>672</v>
      </c>
      <c r="Y30" s="19">
        <v>0</v>
      </c>
      <c r="Z30" s="19">
        <v>0</v>
      </c>
      <c r="AA30" s="19">
        <v>17</v>
      </c>
      <c r="AB30" s="19">
        <v>1</v>
      </c>
      <c r="AC30" s="19">
        <v>2209</v>
      </c>
      <c r="AD30" s="19">
        <v>1190</v>
      </c>
      <c r="AE30" s="19">
        <v>118</v>
      </c>
      <c r="AF30" s="19">
        <v>211</v>
      </c>
    </row>
    <row r="31" spans="1:32" x14ac:dyDescent="0.3">
      <c r="A31" s="16" t="s">
        <v>12</v>
      </c>
      <c r="B31" s="7">
        <v>30</v>
      </c>
      <c r="C31" s="7">
        <v>12</v>
      </c>
      <c r="D31" s="7">
        <v>2022</v>
      </c>
      <c r="E31" s="19">
        <v>7239</v>
      </c>
      <c r="F31" s="19">
        <v>4908</v>
      </c>
      <c r="G31" s="19">
        <v>3834</v>
      </c>
      <c r="H31" s="19">
        <v>582</v>
      </c>
      <c r="I31" s="19">
        <v>470</v>
      </c>
      <c r="J31" s="19">
        <v>1454</v>
      </c>
      <c r="K31" s="19">
        <v>0</v>
      </c>
      <c r="L31" s="19">
        <v>350</v>
      </c>
      <c r="M31" s="19">
        <v>20</v>
      </c>
      <c r="N31" s="19">
        <v>877</v>
      </c>
      <c r="O31" s="19">
        <v>310</v>
      </c>
      <c r="P31" s="19">
        <v>1404</v>
      </c>
      <c r="Q31" s="19">
        <v>2</v>
      </c>
      <c r="R31" s="19">
        <v>1173</v>
      </c>
      <c r="S31" s="19">
        <v>1803</v>
      </c>
      <c r="T31" s="19">
        <v>284</v>
      </c>
      <c r="U31" s="19">
        <v>43</v>
      </c>
      <c r="V31" s="19">
        <v>237</v>
      </c>
      <c r="W31" s="19">
        <v>601</v>
      </c>
      <c r="X31" s="19">
        <v>682</v>
      </c>
      <c r="Y31" s="19">
        <v>0</v>
      </c>
      <c r="Z31" s="19">
        <v>0</v>
      </c>
      <c r="AA31" s="19">
        <v>19</v>
      </c>
      <c r="AB31" s="19">
        <v>3</v>
      </c>
      <c r="AC31" s="19">
        <v>2189</v>
      </c>
      <c r="AD31" s="19">
        <v>1226</v>
      </c>
      <c r="AE31" s="19">
        <v>123</v>
      </c>
      <c r="AF31" s="19">
        <v>214</v>
      </c>
    </row>
    <row r="32" spans="1:32" x14ac:dyDescent="0.3">
      <c r="A32" s="16" t="s">
        <v>12</v>
      </c>
      <c r="B32" s="7">
        <v>31</v>
      </c>
      <c r="C32" s="7">
        <v>12</v>
      </c>
      <c r="D32" s="7">
        <v>2022</v>
      </c>
      <c r="E32" s="19">
        <v>7369</v>
      </c>
      <c r="F32" s="19">
        <v>4848</v>
      </c>
      <c r="G32" s="19">
        <v>3843</v>
      </c>
      <c r="H32" s="19">
        <v>473</v>
      </c>
      <c r="I32" s="19">
        <v>467</v>
      </c>
      <c r="J32" s="19">
        <v>1486</v>
      </c>
      <c r="K32" s="19">
        <v>0</v>
      </c>
      <c r="L32" s="19">
        <v>350</v>
      </c>
      <c r="M32" s="19">
        <v>20</v>
      </c>
      <c r="N32" s="19">
        <v>870</v>
      </c>
      <c r="O32" s="19">
        <v>312</v>
      </c>
      <c r="P32" s="19">
        <v>1518</v>
      </c>
      <c r="Q32" s="19">
        <v>3</v>
      </c>
      <c r="R32" s="19">
        <v>1184</v>
      </c>
      <c r="S32" s="19">
        <v>1810</v>
      </c>
      <c r="T32" s="19">
        <v>285</v>
      </c>
      <c r="U32" s="19">
        <v>43</v>
      </c>
      <c r="V32" s="19">
        <v>233</v>
      </c>
      <c r="W32" s="19">
        <v>583</v>
      </c>
      <c r="X32" s="19">
        <v>0</v>
      </c>
      <c r="Y32" s="19">
        <v>0</v>
      </c>
      <c r="Z32" s="19">
        <v>0</v>
      </c>
      <c r="AA32" s="19">
        <v>15</v>
      </c>
      <c r="AB32" s="19">
        <v>1</v>
      </c>
      <c r="AC32" s="19">
        <v>1950</v>
      </c>
      <c r="AD32" s="19">
        <v>1227</v>
      </c>
      <c r="AE32" s="19">
        <v>120</v>
      </c>
      <c r="AF32" s="19">
        <v>204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opLeftCell="AE1" zoomScale="70" zoomScaleNormal="70" workbookViewId="0">
      <pane ySplit="1" topLeftCell="A2" activePane="bottomLeft" state="frozen"/>
      <selection pane="bottomLeft" activeCell="F33" sqref="F33"/>
    </sheetView>
  </sheetViews>
  <sheetFormatPr defaultRowHeight="14.4" x14ac:dyDescent="0.3"/>
  <cols>
    <col min="1" max="1" width="14" customWidth="1"/>
    <col min="2" max="2" width="2" customWidth="1"/>
    <col min="3" max="3" width="11.88671875" style="7" customWidth="1"/>
    <col min="4" max="4" width="13.5546875" style="13" customWidth="1"/>
    <col min="5" max="5" width="13.6640625" customWidth="1"/>
    <col min="6" max="6" width="13.88671875" style="15" customWidth="1"/>
    <col min="7" max="8" width="14.6640625" style="7" customWidth="1"/>
    <col min="9" max="9" width="13.44140625" customWidth="1"/>
    <col min="10" max="10" width="13.44140625" style="7" customWidth="1"/>
    <col min="11" max="11" width="13.44140625" customWidth="1"/>
    <col min="12" max="12" width="13.44140625" style="7" customWidth="1"/>
    <col min="13" max="13" width="13.44140625" customWidth="1"/>
    <col min="14" max="16" width="13.44140625" style="10" customWidth="1"/>
    <col min="17" max="17" width="13.44140625" customWidth="1"/>
    <col min="18" max="18" width="13.44140625" style="10" customWidth="1"/>
    <col min="19" max="19" width="13.44140625" customWidth="1"/>
    <col min="20" max="20" width="13.44140625" style="10" customWidth="1"/>
    <col min="21" max="21" width="13.44140625" customWidth="1"/>
    <col min="22" max="22" width="13.44140625" style="10" customWidth="1"/>
    <col min="23" max="23" width="13.44140625" customWidth="1"/>
    <col min="24" max="24" width="13.44140625" style="10" customWidth="1"/>
    <col min="25" max="25" width="13.44140625" customWidth="1"/>
    <col min="26" max="26" width="13.44140625" style="10" customWidth="1"/>
    <col min="27" max="27" width="13.44140625" customWidth="1"/>
    <col min="28" max="28" width="13.44140625" style="10" customWidth="1"/>
    <col min="29" max="29" width="13.44140625" customWidth="1"/>
    <col min="30" max="30" width="20.109375" style="10" customWidth="1"/>
    <col min="31" max="31" width="13.44140625" customWidth="1"/>
    <col min="32" max="32" width="13.44140625" style="10" customWidth="1"/>
    <col min="33" max="33" width="13.44140625" customWidth="1"/>
    <col min="34" max="34" width="13.44140625" style="10" customWidth="1"/>
    <col min="35" max="35" width="19.6640625" customWidth="1"/>
    <col min="36" max="36" width="16.44140625" style="10" customWidth="1"/>
    <col min="37" max="37" width="13.44140625" customWidth="1"/>
    <col min="38" max="38" width="16" style="10" customWidth="1"/>
    <col min="39" max="39" width="13.44140625" style="7" customWidth="1"/>
    <col min="40" max="40" width="13.44140625" style="10" customWidth="1"/>
    <col min="41" max="41" width="13.44140625" style="7" customWidth="1"/>
    <col min="42" max="42" width="13.44140625" style="10" customWidth="1"/>
    <col min="43" max="43" width="2.109375" style="10" customWidth="1"/>
    <col min="44" max="44" width="12" style="7" customWidth="1"/>
    <col min="45" max="45" width="14.109375" customWidth="1"/>
    <col min="46" max="46" width="11.44140625" customWidth="1"/>
    <col min="47" max="47" width="13.88671875" customWidth="1"/>
    <col min="48" max="48" width="12.6640625" style="7" customWidth="1"/>
    <col min="49" max="49" width="12.5546875" customWidth="1"/>
    <col min="50" max="50" width="10.44140625" style="7" customWidth="1"/>
    <col min="51" max="51" width="13.6640625" customWidth="1"/>
    <col min="52" max="52" width="13.6640625" style="7" customWidth="1"/>
    <col min="53" max="53" width="13" style="7" customWidth="1"/>
    <col min="54" max="54" width="13.6640625" style="7" customWidth="1"/>
    <col min="55" max="55" width="13" style="7" customWidth="1"/>
    <col min="56" max="57" width="13" style="19" customWidth="1"/>
  </cols>
  <sheetData>
    <row r="1" spans="1:60" ht="35.25" customHeight="1" x14ac:dyDescent="0.5">
      <c r="A1" s="18" t="s">
        <v>39</v>
      </c>
      <c r="B1" s="33"/>
      <c r="C1" s="50" t="s">
        <v>13</v>
      </c>
      <c r="D1" s="51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3" t="s">
        <v>43</v>
      </c>
      <c r="X1" s="43"/>
      <c r="Y1" s="43" t="s">
        <v>24</v>
      </c>
      <c r="Z1" s="43"/>
      <c r="AA1" s="43" t="s">
        <v>25</v>
      </c>
      <c r="AB1" s="43"/>
      <c r="AC1" s="43" t="s">
        <v>26</v>
      </c>
      <c r="AD1" s="43"/>
      <c r="AE1" s="43" t="s">
        <v>27</v>
      </c>
      <c r="AF1" s="43"/>
      <c r="AG1" s="43" t="s">
        <v>28</v>
      </c>
      <c r="AH1" s="43"/>
      <c r="AI1" s="43" t="s">
        <v>29</v>
      </c>
      <c r="AJ1" s="43"/>
      <c r="AK1" s="43" t="s">
        <v>30</v>
      </c>
      <c r="AL1" s="43"/>
      <c r="AM1" s="43" t="s">
        <v>31</v>
      </c>
      <c r="AN1" s="43"/>
      <c r="AO1" s="43" t="s">
        <v>32</v>
      </c>
      <c r="AP1" s="43"/>
      <c r="AQ1" s="41"/>
      <c r="AR1" s="48" t="s">
        <v>44</v>
      </c>
      <c r="AS1" s="49"/>
      <c r="AT1" s="47" t="s">
        <v>45</v>
      </c>
      <c r="AU1" s="47"/>
      <c r="AV1" s="46" t="s">
        <v>46</v>
      </c>
      <c r="AW1" s="47"/>
      <c r="AX1" s="46" t="s">
        <v>47</v>
      </c>
      <c r="AY1" s="47"/>
      <c r="AZ1" s="44" t="s">
        <v>48</v>
      </c>
      <c r="BA1" s="45"/>
      <c r="BB1" s="44" t="s">
        <v>38</v>
      </c>
      <c r="BC1" s="45"/>
      <c r="BD1" s="11"/>
      <c r="BE1" s="11"/>
    </row>
    <row r="2" spans="1:60" ht="44.25" customHeight="1" x14ac:dyDescent="0.5">
      <c r="A2" s="1" t="s">
        <v>49</v>
      </c>
      <c r="B2" s="3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1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 x14ac:dyDescent="0.5">
      <c r="A3" s="8">
        <v>44896</v>
      </c>
      <c r="B3" s="3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1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 x14ac:dyDescent="0.5">
      <c r="A4" s="8">
        <v>44897</v>
      </c>
      <c r="B4" s="34"/>
      <c r="C4" s="26">
        <v>31871637</v>
      </c>
      <c r="D4" s="9">
        <f>IF((C4-C3&lt;0), "0",C4-C3)</f>
        <v>6783</v>
      </c>
      <c r="E4" s="26">
        <v>32343846</v>
      </c>
      <c r="F4" s="29">
        <f>IF((E5-E4&lt;0), "0",E5-E4)</f>
        <v>4504</v>
      </c>
      <c r="G4" s="26">
        <v>13638395</v>
      </c>
      <c r="H4" s="29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1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</v>
      </c>
      <c r="BC4" s="9">
        <f>IF((BB4-BB3&lt;0), "",BB4-BB3)</f>
        <v>1328</v>
      </c>
      <c r="BD4" s="26">
        <v>151</v>
      </c>
      <c r="BE4" s="26">
        <v>248</v>
      </c>
      <c r="BH4">
        <f t="shared" ref="BH4:BH31" si="0">193*(BF4/100)</f>
        <v>0</v>
      </c>
    </row>
    <row r="5" spans="1:60" ht="45" customHeight="1" x14ac:dyDescent="0.5">
      <c r="A5" s="8">
        <v>44898</v>
      </c>
      <c r="B5" s="3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2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</v>
      </c>
      <c r="BC5" s="9">
        <f>IF((BB5-BB4&lt;0), "",BB5-BB4)</f>
        <v>1371</v>
      </c>
      <c r="BD5" s="26">
        <v>145</v>
      </c>
      <c r="BE5" s="26">
        <v>214</v>
      </c>
      <c r="BH5">
        <f t="shared" si="0"/>
        <v>0</v>
      </c>
    </row>
    <row r="6" spans="1:60" ht="42.75" customHeight="1" x14ac:dyDescent="0.5">
      <c r="A6" s="8">
        <v>44899</v>
      </c>
      <c r="B6" s="3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1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</v>
      </c>
      <c r="BC6" s="9">
        <f t="shared" ref="BC6:BC33" si="13">IF((BB6-BB5&lt;0), "",BB6-BB5)</f>
        <v>1119</v>
      </c>
      <c r="BD6" s="26">
        <v>147</v>
      </c>
      <c r="BE6" s="26">
        <v>202</v>
      </c>
      <c r="BH6">
        <f t="shared" si="0"/>
        <v>0</v>
      </c>
    </row>
    <row r="7" spans="1:60" ht="45" customHeight="1" x14ac:dyDescent="0.5">
      <c r="A7" s="8">
        <v>44900</v>
      </c>
      <c r="B7" s="3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1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</v>
      </c>
      <c r="BC7" s="9">
        <f t="shared" si="13"/>
        <v>1349</v>
      </c>
      <c r="BD7" s="26">
        <v>140</v>
      </c>
      <c r="BE7" s="26">
        <v>186</v>
      </c>
      <c r="BH7">
        <f t="shared" si="0"/>
        <v>0</v>
      </c>
    </row>
    <row r="8" spans="1:60" ht="45" customHeight="1" x14ac:dyDescent="0.5">
      <c r="A8" s="8">
        <v>44901</v>
      </c>
      <c r="B8" s="3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1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</v>
      </c>
      <c r="BC8" s="9">
        <f t="shared" si="13"/>
        <v>1313</v>
      </c>
      <c r="BD8" s="26">
        <v>142</v>
      </c>
      <c r="BE8" s="26">
        <v>189</v>
      </c>
      <c r="BH8">
        <f t="shared" si="0"/>
        <v>0</v>
      </c>
    </row>
    <row r="9" spans="1:60" ht="45" customHeight="1" x14ac:dyDescent="0.5">
      <c r="A9" s="8">
        <v>44902</v>
      </c>
      <c r="B9" s="3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1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</v>
      </c>
      <c r="BC9" s="9">
        <f t="shared" si="13"/>
        <v>1357</v>
      </c>
      <c r="BD9" s="26">
        <v>132</v>
      </c>
      <c r="BE9" s="26">
        <v>211</v>
      </c>
      <c r="BH9">
        <f t="shared" si="0"/>
        <v>0</v>
      </c>
    </row>
    <row r="10" spans="1:60" ht="45" customHeight="1" x14ac:dyDescent="0.5">
      <c r="A10" s="8">
        <v>44903</v>
      </c>
      <c r="B10" s="3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1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</v>
      </c>
      <c r="BC10" s="9">
        <f t="shared" si="13"/>
        <v>1329</v>
      </c>
      <c r="BD10" s="26">
        <v>138</v>
      </c>
      <c r="BE10" s="26">
        <v>218</v>
      </c>
      <c r="BH10">
        <f t="shared" si="0"/>
        <v>0</v>
      </c>
    </row>
    <row r="11" spans="1:60" ht="45" customHeight="1" x14ac:dyDescent="0.5">
      <c r="A11" s="8">
        <v>44904</v>
      </c>
      <c r="B11" s="3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1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</v>
      </c>
      <c r="BC11" s="9">
        <f t="shared" si="13"/>
        <v>1341</v>
      </c>
      <c r="BD11" s="26">
        <v>143</v>
      </c>
      <c r="BE11" s="26">
        <v>231</v>
      </c>
      <c r="BH11">
        <f t="shared" si="0"/>
        <v>0</v>
      </c>
    </row>
    <row r="12" spans="1:60" ht="45" customHeight="1" x14ac:dyDescent="0.5">
      <c r="A12" s="8">
        <v>44905</v>
      </c>
      <c r="B12" s="3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1"/>
      <c r="AR12" s="17" t="s">
        <v>60</v>
      </c>
      <c r="AS12" s="9" t="e">
        <f>IF((AR12-AR3&lt;0), "",AR12-ARS3)</f>
        <v>#VALUE!</v>
      </c>
      <c r="AT12" s="17" t="s">
        <v>60</v>
      </c>
      <c r="AU12" s="9">
        <f ca="1">IF((AU12-AU3&lt;0), "",AU12-AU3)</f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</v>
      </c>
      <c r="BC12" s="9">
        <f t="shared" si="13"/>
        <v>1234</v>
      </c>
      <c r="BD12" s="26">
        <v>138</v>
      </c>
      <c r="BE12" s="26">
        <v>219</v>
      </c>
      <c r="BH12">
        <f t="shared" si="0"/>
        <v>0</v>
      </c>
    </row>
    <row r="13" spans="1:60" ht="45" customHeight="1" x14ac:dyDescent="0.5">
      <c r="A13" s="8">
        <v>44906</v>
      </c>
      <c r="B13" s="3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1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</v>
      </c>
      <c r="BC13" s="9">
        <f t="shared" si="13"/>
        <v>1564</v>
      </c>
      <c r="BD13" s="26">
        <v>128</v>
      </c>
      <c r="BE13" s="26">
        <v>196</v>
      </c>
      <c r="BH13">
        <f t="shared" si="0"/>
        <v>0</v>
      </c>
    </row>
    <row r="14" spans="1:60" ht="45" customHeight="1" x14ac:dyDescent="0.5">
      <c r="A14" s="8">
        <v>44907</v>
      </c>
      <c r="B14" s="34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41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</v>
      </c>
      <c r="BC14" s="9">
        <f t="shared" si="13"/>
        <v>897</v>
      </c>
      <c r="BD14" s="26">
        <v>125</v>
      </c>
      <c r="BE14" s="26">
        <v>180</v>
      </c>
      <c r="BH14">
        <f t="shared" si="0"/>
        <v>0</v>
      </c>
    </row>
    <row r="15" spans="1:60" ht="45" customHeight="1" x14ac:dyDescent="0.5">
      <c r="A15" s="8">
        <v>44908</v>
      </c>
      <c r="B15" s="34"/>
      <c r="C15" s="26">
        <v>31945162</v>
      </c>
      <c r="D15" s="9">
        <f t="shared" si="6"/>
        <v>7403</v>
      </c>
      <c r="E15" s="26">
        <v>32391408</v>
      </c>
      <c r="F15" s="9">
        <f t="shared" si="7"/>
        <v>4810</v>
      </c>
      <c r="G15" s="26">
        <v>13685775</v>
      </c>
      <c r="H15" s="9">
        <f t="shared" si="1"/>
        <v>4775</v>
      </c>
      <c r="I15" s="26">
        <v>1918078</v>
      </c>
      <c r="J15" s="9">
        <f t="shared" si="8"/>
        <v>596</v>
      </c>
      <c r="K15" s="26">
        <v>3923650</v>
      </c>
      <c r="L15" s="9">
        <f t="shared" si="8"/>
        <v>486</v>
      </c>
      <c r="M15" s="26">
        <v>5114815</v>
      </c>
      <c r="N15" s="9">
        <f t="shared" ref="N15" si="45">IF((M15-M14&lt;0), "0",M15-M14)</f>
        <v>1537</v>
      </c>
      <c r="O15" s="26">
        <v>2656899</v>
      </c>
      <c r="P15" s="9">
        <f t="shared" ref="P15" si="46">IF((O15-O14&lt;0), "0",O15-O14)</f>
        <v>0</v>
      </c>
      <c r="Q15" s="26">
        <v>1566588</v>
      </c>
      <c r="R15" s="9">
        <f t="shared" ref="R15" si="47">IF((Q15-Q14&lt;0), "0",Q15-Q14)</f>
        <v>402</v>
      </c>
      <c r="S15" s="26">
        <v>572319</v>
      </c>
      <c r="T15" s="9">
        <f t="shared" ref="T15" si="48">IF((S15-S14&lt;0), "0",S15-S14)</f>
        <v>3</v>
      </c>
      <c r="U15" s="26">
        <v>4893718</v>
      </c>
      <c r="V15" s="9">
        <f t="shared" si="2"/>
        <v>880</v>
      </c>
      <c r="W15" s="26">
        <v>1113937</v>
      </c>
      <c r="X15" s="9">
        <f t="shared" si="2"/>
        <v>382</v>
      </c>
      <c r="Y15" s="26">
        <v>5061158</v>
      </c>
      <c r="Z15" s="9">
        <f t="shared" si="2"/>
        <v>1075</v>
      </c>
      <c r="AA15" s="26">
        <v>2271821</v>
      </c>
      <c r="AB15" s="9">
        <f t="shared" si="2"/>
        <v>2</v>
      </c>
      <c r="AC15" s="26">
        <v>6362519</v>
      </c>
      <c r="AD15" s="9">
        <f t="shared" si="2"/>
        <v>1296</v>
      </c>
      <c r="AE15" s="26">
        <v>9160286</v>
      </c>
      <c r="AF15" s="9">
        <f t="shared" si="2"/>
        <v>2038</v>
      </c>
      <c r="AG15" s="26">
        <v>1523868</v>
      </c>
      <c r="AH15" s="9">
        <f t="shared" si="2"/>
        <v>318</v>
      </c>
      <c r="AI15" s="26">
        <v>286594</v>
      </c>
      <c r="AJ15" s="9">
        <f t="shared" si="2"/>
        <v>73</v>
      </c>
      <c r="AK15" s="26">
        <v>1197798</v>
      </c>
      <c r="AL15" s="9">
        <f t="shared" si="2"/>
        <v>260</v>
      </c>
      <c r="AM15" s="26">
        <v>2272763</v>
      </c>
      <c r="AN15" s="9">
        <f t="shared" si="2"/>
        <v>634</v>
      </c>
      <c r="AO15" s="26">
        <v>2196076</v>
      </c>
      <c r="AP15" s="9">
        <f t="shared" si="2"/>
        <v>670</v>
      </c>
      <c r="AQ15" s="41"/>
      <c r="AR15" s="17" t="s">
        <v>60</v>
      </c>
      <c r="AS15" s="9">
        <v>0</v>
      </c>
      <c r="AT15" s="17" t="s">
        <v>60</v>
      </c>
      <c r="AU15" s="9">
        <v>0</v>
      </c>
      <c r="AV15" s="26">
        <v>97522</v>
      </c>
      <c r="AW15" s="9">
        <f t="shared" si="3"/>
        <v>18</v>
      </c>
      <c r="AX15" s="26">
        <v>1497</v>
      </c>
      <c r="AY15" s="9">
        <f t="shared" si="4"/>
        <v>2</v>
      </c>
      <c r="AZ15" s="26">
        <v>8337640</v>
      </c>
      <c r="BA15" s="9">
        <f t="shared" si="5"/>
        <v>3478</v>
      </c>
      <c r="BB15" s="26">
        <v>1964434</v>
      </c>
      <c r="BC15" s="9">
        <f t="shared" si="13"/>
        <v>1433</v>
      </c>
      <c r="BD15" s="26">
        <v>106</v>
      </c>
      <c r="BE15" s="26">
        <v>159</v>
      </c>
      <c r="BH15">
        <f t="shared" si="0"/>
        <v>0</v>
      </c>
    </row>
    <row r="16" spans="1:60" ht="45" customHeight="1" x14ac:dyDescent="0.5">
      <c r="A16" s="8">
        <v>44909</v>
      </c>
      <c r="B16" s="34"/>
      <c r="C16" s="26">
        <v>31951357</v>
      </c>
      <c r="D16" s="9">
        <f t="shared" si="6"/>
        <v>6195</v>
      </c>
      <c r="E16" s="26">
        <v>32395291</v>
      </c>
      <c r="F16" s="9">
        <f t="shared" si="7"/>
        <v>3883</v>
      </c>
      <c r="G16" s="26">
        <v>13689736</v>
      </c>
      <c r="H16" s="9">
        <f t="shared" si="1"/>
        <v>3961</v>
      </c>
      <c r="I16" s="26">
        <v>1918633</v>
      </c>
      <c r="J16" s="9">
        <f t="shared" si="8"/>
        <v>555</v>
      </c>
      <c r="K16" s="26">
        <v>3924031</v>
      </c>
      <c r="L16" s="9">
        <f t="shared" si="8"/>
        <v>381</v>
      </c>
      <c r="M16" s="26">
        <v>5116082</v>
      </c>
      <c r="N16" s="9">
        <f t="shared" ref="N16" si="49">IF((M16-M15&lt;0), "0",M16-M15)</f>
        <v>1267</v>
      </c>
      <c r="O16" s="26">
        <v>2656899</v>
      </c>
      <c r="P16" s="9">
        <f t="shared" ref="P16" si="50">IF((O16-O15&lt;0), "0",O16-O15)</f>
        <v>0</v>
      </c>
      <c r="Q16" s="26">
        <v>1566927</v>
      </c>
      <c r="R16" s="9">
        <f t="shared" ref="R16" si="51">IF((Q16-Q15&lt;0), "0",Q16-Q15)</f>
        <v>339</v>
      </c>
      <c r="S16" s="26">
        <v>572323</v>
      </c>
      <c r="T16" s="9">
        <f t="shared" ref="T16" si="52">IF((S16-S15&lt;0), "0",S16-S15)</f>
        <v>4</v>
      </c>
      <c r="U16" s="26">
        <v>4894518</v>
      </c>
      <c r="V16" s="9">
        <f t="shared" ref="V16:AP31" si="53">IF((U16-U15&lt;0), "",U16-U15)</f>
        <v>800</v>
      </c>
      <c r="W16" s="26">
        <v>1114258</v>
      </c>
      <c r="X16" s="9">
        <f t="shared" si="53"/>
        <v>321</v>
      </c>
      <c r="Y16" s="26">
        <v>5062038</v>
      </c>
      <c r="Z16" s="9">
        <f t="shared" si="53"/>
        <v>880</v>
      </c>
      <c r="AA16" s="26">
        <v>2271823</v>
      </c>
      <c r="AB16" s="9">
        <f t="shared" si="53"/>
        <v>2</v>
      </c>
      <c r="AC16" s="26">
        <v>6363597</v>
      </c>
      <c r="AD16" s="9">
        <f t="shared" si="53"/>
        <v>1078</v>
      </c>
      <c r="AE16" s="26">
        <v>9161899</v>
      </c>
      <c r="AF16" s="9">
        <f t="shared" si="53"/>
        <v>1613</v>
      </c>
      <c r="AG16" s="26">
        <v>1524131</v>
      </c>
      <c r="AH16" s="9">
        <f t="shared" si="53"/>
        <v>263</v>
      </c>
      <c r="AI16" s="26">
        <v>286633</v>
      </c>
      <c r="AJ16" s="9">
        <f t="shared" si="53"/>
        <v>39</v>
      </c>
      <c r="AK16" s="26">
        <v>1198010</v>
      </c>
      <c r="AL16" s="9">
        <f t="shared" si="53"/>
        <v>212</v>
      </c>
      <c r="AM16" s="26">
        <v>2273293</v>
      </c>
      <c r="AN16" s="9">
        <f t="shared" si="53"/>
        <v>530</v>
      </c>
      <c r="AO16" s="26">
        <v>2196600</v>
      </c>
      <c r="AP16" s="9">
        <f t="shared" si="53"/>
        <v>524</v>
      </c>
      <c r="AQ16" s="41"/>
      <c r="AR16" s="17" t="s">
        <v>60</v>
      </c>
      <c r="AS16" s="9">
        <v>0</v>
      </c>
      <c r="AT16" s="17" t="s">
        <v>60</v>
      </c>
      <c r="AU16" s="9">
        <v>0</v>
      </c>
      <c r="AV16" s="26">
        <v>97533</v>
      </c>
      <c r="AW16" s="9">
        <f t="shared" si="3"/>
        <v>11</v>
      </c>
      <c r="AX16" s="26">
        <v>1498</v>
      </c>
      <c r="AY16" s="9">
        <f>IF((AX16-AX15&lt;0), "",AX16-AX15)</f>
        <v>1</v>
      </c>
      <c r="AZ16" s="26">
        <v>8340556</v>
      </c>
      <c r="BA16" s="9">
        <f t="shared" si="5"/>
        <v>2916</v>
      </c>
      <c r="BB16" s="26">
        <v>1965620</v>
      </c>
      <c r="BC16" s="9">
        <f t="shared" si="13"/>
        <v>1186</v>
      </c>
      <c r="BD16" s="26">
        <v>98</v>
      </c>
      <c r="BE16" s="26">
        <v>153</v>
      </c>
      <c r="BH16">
        <f t="shared" si="0"/>
        <v>0</v>
      </c>
    </row>
    <row r="17" spans="1:60" ht="45" customHeight="1" x14ac:dyDescent="0.5">
      <c r="A17" s="8">
        <v>44910</v>
      </c>
      <c r="B17" s="34"/>
      <c r="C17" s="26">
        <v>31958542</v>
      </c>
      <c r="D17" s="9">
        <f>IF((C17-C16&lt;0), "0",C17-C16)</f>
        <v>7185</v>
      </c>
      <c r="E17" s="26">
        <v>32399870</v>
      </c>
      <c r="F17" s="9">
        <f t="shared" si="7"/>
        <v>4579</v>
      </c>
      <c r="G17" s="26">
        <v>13694541</v>
      </c>
      <c r="H17" s="9">
        <f t="shared" si="1"/>
        <v>4805</v>
      </c>
      <c r="I17" s="26">
        <v>1919208</v>
      </c>
      <c r="J17" s="9">
        <f t="shared" si="8"/>
        <v>575</v>
      </c>
      <c r="K17" s="26">
        <v>3924495</v>
      </c>
      <c r="L17" s="9">
        <f t="shared" si="8"/>
        <v>464</v>
      </c>
      <c r="M17" s="26">
        <v>5117530</v>
      </c>
      <c r="N17" s="9">
        <f t="shared" ref="N17" si="54">IF((M17-M16&lt;0), "0",M17-M16)</f>
        <v>1448</v>
      </c>
      <c r="O17" s="26">
        <v>2656899</v>
      </c>
      <c r="P17" s="9">
        <f t="shared" ref="P17" si="55">IF((O17-O16&lt;0), "0",O17-O16)</f>
        <v>0</v>
      </c>
      <c r="Q17" s="26">
        <v>1567332</v>
      </c>
      <c r="R17" s="9">
        <f t="shared" ref="R17" si="56">IF((Q17-Q16&lt;0), "0",Q17-Q16)</f>
        <v>405</v>
      </c>
      <c r="S17" s="26">
        <v>572326</v>
      </c>
      <c r="T17" s="9">
        <f t="shared" ref="T17" si="57">IF((S17-S16&lt;0), "0",S17-S16)</f>
        <v>3</v>
      </c>
      <c r="U17" s="26">
        <v>4895463</v>
      </c>
      <c r="V17" s="9">
        <f t="shared" si="53"/>
        <v>945</v>
      </c>
      <c r="W17" s="26">
        <v>1114646</v>
      </c>
      <c r="X17" s="9">
        <f t="shared" si="53"/>
        <v>388</v>
      </c>
      <c r="Y17" s="26">
        <v>5063114</v>
      </c>
      <c r="Z17" s="9">
        <f t="shared" si="53"/>
        <v>1076</v>
      </c>
      <c r="AA17" s="26">
        <v>2271826</v>
      </c>
      <c r="AB17" s="9">
        <f t="shared" si="53"/>
        <v>3</v>
      </c>
      <c r="AC17" s="26">
        <v>6364906</v>
      </c>
      <c r="AD17" s="9">
        <f t="shared" si="53"/>
        <v>1309</v>
      </c>
      <c r="AE17" s="26">
        <v>9163859</v>
      </c>
      <c r="AF17" s="9">
        <f t="shared" si="53"/>
        <v>1960</v>
      </c>
      <c r="AG17" s="26">
        <v>1524452</v>
      </c>
      <c r="AH17" s="9">
        <f t="shared" si="53"/>
        <v>321</v>
      </c>
      <c r="AI17" s="26">
        <v>286681</v>
      </c>
      <c r="AJ17" s="9">
        <f t="shared" si="53"/>
        <v>48</v>
      </c>
      <c r="AK17" s="26">
        <v>1198260</v>
      </c>
      <c r="AL17" s="9">
        <f t="shared" si="53"/>
        <v>250</v>
      </c>
      <c r="AM17" s="26">
        <v>2273981</v>
      </c>
      <c r="AN17" s="9">
        <f t="shared" si="53"/>
        <v>688</v>
      </c>
      <c r="AO17" s="26">
        <v>2197197</v>
      </c>
      <c r="AP17" s="9">
        <f t="shared" si="53"/>
        <v>597</v>
      </c>
      <c r="AQ17" s="41"/>
      <c r="AR17" s="17" t="s">
        <v>60</v>
      </c>
      <c r="AS17" s="9">
        <v>0</v>
      </c>
      <c r="AT17" s="17" t="s">
        <v>60</v>
      </c>
      <c r="AU17" s="9">
        <v>0</v>
      </c>
      <c r="AV17" s="26">
        <v>97547</v>
      </c>
      <c r="AW17" s="9">
        <f t="shared" si="3"/>
        <v>14</v>
      </c>
      <c r="AX17" s="26">
        <v>1500</v>
      </c>
      <c r="AY17" s="9">
        <f>IF((AX17-AX16&lt;0), "",AX17-AX16)</f>
        <v>2</v>
      </c>
      <c r="AZ17" s="26">
        <v>8344100</v>
      </c>
      <c r="BA17" s="9">
        <f t="shared" si="5"/>
        <v>3544</v>
      </c>
      <c r="BB17" s="26">
        <v>1967058</v>
      </c>
      <c r="BC17" s="9">
        <f t="shared" si="13"/>
        <v>1438</v>
      </c>
      <c r="BD17" s="26">
        <v>125</v>
      </c>
      <c r="BE17" s="26">
        <v>195</v>
      </c>
      <c r="BH17">
        <f t="shared" si="0"/>
        <v>0</v>
      </c>
    </row>
    <row r="18" spans="1:60" ht="45" customHeight="1" x14ac:dyDescent="0.5">
      <c r="A18" s="8">
        <v>44911</v>
      </c>
      <c r="B18" s="34"/>
      <c r="C18" s="26">
        <v>31965869</v>
      </c>
      <c r="D18" s="9">
        <f>IF((C18-C17&lt;0), "0",C18-C17)</f>
        <v>7327</v>
      </c>
      <c r="E18" s="26">
        <v>32404577</v>
      </c>
      <c r="F18" s="9">
        <f t="shared" si="7"/>
        <v>4707</v>
      </c>
      <c r="G18" s="26">
        <v>13698407</v>
      </c>
      <c r="H18" s="9">
        <f t="shared" si="1"/>
        <v>3866</v>
      </c>
      <c r="I18" s="26">
        <v>1919774</v>
      </c>
      <c r="J18" s="9">
        <f t="shared" si="8"/>
        <v>566</v>
      </c>
      <c r="K18" s="26">
        <v>3924976</v>
      </c>
      <c r="L18" s="9">
        <f t="shared" si="8"/>
        <v>481</v>
      </c>
      <c r="M18" s="26">
        <v>5119090</v>
      </c>
      <c r="N18" s="9">
        <f t="shared" ref="N18" si="58">IF((M18-M17&lt;0), "0",M18-M17)</f>
        <v>1560</v>
      </c>
      <c r="O18" s="26">
        <v>2656899</v>
      </c>
      <c r="P18" s="9">
        <f t="shared" ref="P18" si="59">IF((O18-O17&lt;0), "0",O18-O17)</f>
        <v>0</v>
      </c>
      <c r="Q18" s="26">
        <v>1567733</v>
      </c>
      <c r="R18" s="9">
        <f>IF((Q18-Q17&lt;0), "0",Q18-Q17)</f>
        <v>401</v>
      </c>
      <c r="S18" s="26">
        <v>572334</v>
      </c>
      <c r="T18" s="9">
        <f t="shared" ref="T18" si="60">IF((S18-S17&lt;0), "0",S18-S17)</f>
        <v>8</v>
      </c>
      <c r="U18" s="26">
        <v>4896362</v>
      </c>
      <c r="V18" s="9">
        <f t="shared" si="53"/>
        <v>899</v>
      </c>
      <c r="W18" s="26">
        <v>1114974</v>
      </c>
      <c r="X18" s="9">
        <f t="shared" si="53"/>
        <v>328</v>
      </c>
      <c r="Y18" s="26">
        <v>5064088</v>
      </c>
      <c r="Z18" s="9">
        <f t="shared" si="53"/>
        <v>974</v>
      </c>
      <c r="AA18" s="26">
        <v>2271829</v>
      </c>
      <c r="AB18" s="9">
        <f t="shared" si="53"/>
        <v>3</v>
      </c>
      <c r="AC18" s="26">
        <v>6366197</v>
      </c>
      <c r="AD18" s="9">
        <f t="shared" si="53"/>
        <v>1291</v>
      </c>
      <c r="AE18" s="26">
        <v>9165849</v>
      </c>
      <c r="AF18" s="9">
        <f t="shared" si="53"/>
        <v>1990</v>
      </c>
      <c r="AG18" s="26">
        <v>1524779</v>
      </c>
      <c r="AH18" s="9">
        <f t="shared" si="53"/>
        <v>327</v>
      </c>
      <c r="AI18" s="26">
        <v>286729</v>
      </c>
      <c r="AJ18" s="9">
        <f t="shared" si="53"/>
        <v>48</v>
      </c>
      <c r="AK18" s="26">
        <v>1198521</v>
      </c>
      <c r="AL18" s="9">
        <f t="shared" si="53"/>
        <v>261</v>
      </c>
      <c r="AM18" s="26">
        <v>2274672</v>
      </c>
      <c r="AN18" s="9">
        <f>IF((AM18-AM17&lt;0), "",AM18-AM17)</f>
        <v>691</v>
      </c>
      <c r="AO18" s="26">
        <v>2197848</v>
      </c>
      <c r="AP18" s="9">
        <f t="shared" si="53"/>
        <v>651</v>
      </c>
      <c r="AQ18" s="41"/>
      <c r="AR18" s="17" t="s">
        <v>60</v>
      </c>
      <c r="AS18" s="9">
        <v>0</v>
      </c>
      <c r="AT18" s="17" t="s">
        <v>60</v>
      </c>
      <c r="AU18" s="9">
        <v>0</v>
      </c>
      <c r="AV18" s="26">
        <v>97563</v>
      </c>
      <c r="AW18" s="9">
        <f t="shared" si="3"/>
        <v>16</v>
      </c>
      <c r="AX18" s="26">
        <v>1502</v>
      </c>
      <c r="AY18" s="9">
        <f t="shared" si="4"/>
        <v>2</v>
      </c>
      <c r="AZ18" s="26">
        <v>8347565</v>
      </c>
      <c r="BA18" s="9">
        <f t="shared" si="5"/>
        <v>3465</v>
      </c>
      <c r="BB18" s="26">
        <v>1968505</v>
      </c>
      <c r="BC18" s="9">
        <f t="shared" si="13"/>
        <v>1447</v>
      </c>
      <c r="BD18" s="26">
        <v>128</v>
      </c>
      <c r="BE18" s="26">
        <v>199</v>
      </c>
      <c r="BH18">
        <f t="shared" si="0"/>
        <v>0</v>
      </c>
    </row>
    <row r="19" spans="1:60" ht="45" customHeight="1" x14ac:dyDescent="0.5">
      <c r="A19" s="8">
        <v>44912</v>
      </c>
      <c r="B19" s="34"/>
      <c r="C19" s="26">
        <v>31972151</v>
      </c>
      <c r="D19" s="9">
        <f t="shared" si="6"/>
        <v>6282</v>
      </c>
      <c r="E19" s="26">
        <v>32408442</v>
      </c>
      <c r="F19" s="9">
        <f t="shared" si="7"/>
        <v>3865</v>
      </c>
      <c r="G19" s="26">
        <v>13703209</v>
      </c>
      <c r="H19" s="9">
        <f t="shared" si="1"/>
        <v>4802</v>
      </c>
      <c r="I19" s="26">
        <v>1920316</v>
      </c>
      <c r="J19" s="9">
        <f t="shared" si="8"/>
        <v>542</v>
      </c>
      <c r="K19" s="26">
        <v>3926348</v>
      </c>
      <c r="L19" s="9">
        <f t="shared" si="8"/>
        <v>1372</v>
      </c>
      <c r="M19" s="26">
        <v>5120486</v>
      </c>
      <c r="N19" s="9">
        <f t="shared" ref="N19" si="61">IF((M19-M18&lt;0), "0",M19-M18)</f>
        <v>1396</v>
      </c>
      <c r="O19" s="26">
        <v>2656899</v>
      </c>
      <c r="P19" s="9">
        <f t="shared" ref="P19" si="62">IF((O19-O18&lt;0), "0",O19-O18)</f>
        <v>0</v>
      </c>
      <c r="Q19" s="26">
        <v>1568072</v>
      </c>
      <c r="R19" s="9">
        <f t="shared" ref="R19" si="63">IF((Q19-Q18&lt;0), "0",Q19-Q18)</f>
        <v>339</v>
      </c>
      <c r="S19" s="26">
        <v>572339</v>
      </c>
      <c r="T19" s="9">
        <f t="shared" ref="T19" si="64">IF((S19-S18&lt;0), "0",S19-S18)</f>
        <v>5</v>
      </c>
      <c r="U19" s="26">
        <v>4897132</v>
      </c>
      <c r="V19" s="9">
        <f t="shared" si="53"/>
        <v>770</v>
      </c>
      <c r="W19" s="26">
        <v>1115235</v>
      </c>
      <c r="X19" s="9">
        <f t="shared" si="53"/>
        <v>261</v>
      </c>
      <c r="Y19" s="26">
        <v>5065083</v>
      </c>
      <c r="Z19" s="9">
        <f t="shared" si="53"/>
        <v>995</v>
      </c>
      <c r="AA19" s="26">
        <v>2271831</v>
      </c>
      <c r="AB19" s="9">
        <f t="shared" si="53"/>
        <v>2</v>
      </c>
      <c r="AC19" s="26">
        <v>6367248</v>
      </c>
      <c r="AD19" s="9">
        <f t="shared" si="53"/>
        <v>1051</v>
      </c>
      <c r="AE19" s="26">
        <v>9167407</v>
      </c>
      <c r="AF19" s="9">
        <f t="shared" si="53"/>
        <v>1558</v>
      </c>
      <c r="AG19" s="26">
        <v>1525034</v>
      </c>
      <c r="AH19" s="9">
        <f t="shared" si="53"/>
        <v>255</v>
      </c>
      <c r="AI19" s="26">
        <v>286767</v>
      </c>
      <c r="AJ19" s="9">
        <f t="shared" si="53"/>
        <v>38</v>
      </c>
      <c r="AK19" s="26">
        <v>1198727</v>
      </c>
      <c r="AL19" s="9">
        <f t="shared" si="53"/>
        <v>206</v>
      </c>
      <c r="AM19" s="26">
        <v>2275181</v>
      </c>
      <c r="AN19" s="9">
        <f t="shared" si="53"/>
        <v>509</v>
      </c>
      <c r="AO19" s="26">
        <v>2198627</v>
      </c>
      <c r="AP19" s="9">
        <f t="shared" si="53"/>
        <v>779</v>
      </c>
      <c r="AQ19" s="41"/>
      <c r="AR19" s="17" t="s">
        <v>60</v>
      </c>
      <c r="AS19" s="9">
        <v>0</v>
      </c>
      <c r="AT19" s="17" t="s">
        <v>60</v>
      </c>
      <c r="AU19" s="9">
        <v>0</v>
      </c>
      <c r="AV19" s="26">
        <v>97579</v>
      </c>
      <c r="AW19" s="9">
        <f t="shared" si="3"/>
        <v>16</v>
      </c>
      <c r="AX19" s="26">
        <v>1504</v>
      </c>
      <c r="AY19" s="9">
        <f t="shared" si="4"/>
        <v>2</v>
      </c>
      <c r="AZ19" s="26">
        <v>8350303</v>
      </c>
      <c r="BA19" s="9">
        <f t="shared" si="5"/>
        <v>2738</v>
      </c>
      <c r="BB19" s="26">
        <v>1969640</v>
      </c>
      <c r="BC19" s="9">
        <f t="shared" si="13"/>
        <v>1135</v>
      </c>
      <c r="BD19" s="26">
        <v>126</v>
      </c>
      <c r="BE19" s="26">
        <v>205</v>
      </c>
      <c r="BH19">
        <f t="shared" si="0"/>
        <v>0</v>
      </c>
    </row>
    <row r="20" spans="1:60" ht="45" customHeight="1" x14ac:dyDescent="0.5">
      <c r="A20" s="8">
        <v>44913</v>
      </c>
      <c r="B20" s="34"/>
      <c r="C20" s="26">
        <v>31979503</v>
      </c>
      <c r="D20" s="9">
        <f t="shared" si="6"/>
        <v>7352</v>
      </c>
      <c r="E20" s="26">
        <v>32412909</v>
      </c>
      <c r="F20" s="9">
        <f t="shared" si="7"/>
        <v>4467</v>
      </c>
      <c r="G20" s="26">
        <v>13707771</v>
      </c>
      <c r="H20" s="9">
        <f t="shared" si="1"/>
        <v>4562</v>
      </c>
      <c r="I20" s="26">
        <v>1920892</v>
      </c>
      <c r="J20" s="9">
        <f t="shared" si="8"/>
        <v>576</v>
      </c>
      <c r="K20" s="26">
        <v>3925777</v>
      </c>
      <c r="L20" s="9" t="str">
        <f t="shared" si="8"/>
        <v>0</v>
      </c>
      <c r="M20" s="26">
        <v>5121990</v>
      </c>
      <c r="N20" s="9">
        <f t="shared" ref="N20" si="65">IF((M20-M19&lt;0), "0",M20-M19)</f>
        <v>1504</v>
      </c>
      <c r="O20" s="26">
        <v>2271833</v>
      </c>
      <c r="P20" s="9" t="str">
        <f t="shared" ref="P20" si="66">IF((O20-O19&lt;0), "0",O20-O19)</f>
        <v>0</v>
      </c>
      <c r="Q20" s="26">
        <v>1568456</v>
      </c>
      <c r="R20" s="9">
        <f t="shared" ref="R20" si="67">IF((Q20-Q19&lt;0), "0",Q20-Q19)</f>
        <v>384</v>
      </c>
      <c r="S20" s="26">
        <v>572345</v>
      </c>
      <c r="T20" s="9">
        <f t="shared" ref="T20" si="68">IF((S20-S19&lt;0), "0",S20-S19)</f>
        <v>6</v>
      </c>
      <c r="U20" s="26">
        <v>4898066</v>
      </c>
      <c r="V20" s="9">
        <f t="shared" si="53"/>
        <v>934</v>
      </c>
      <c r="W20" s="26">
        <v>1115596</v>
      </c>
      <c r="X20" s="9">
        <f t="shared" si="53"/>
        <v>361</v>
      </c>
      <c r="Y20" s="26">
        <v>5066283</v>
      </c>
      <c r="Z20" s="9">
        <f t="shared" si="53"/>
        <v>1200</v>
      </c>
      <c r="AA20" s="26">
        <v>2271833</v>
      </c>
      <c r="AB20" s="9">
        <f t="shared" si="53"/>
        <v>2</v>
      </c>
      <c r="AC20" s="26">
        <v>6368490</v>
      </c>
      <c r="AD20" s="9">
        <f t="shared" si="53"/>
        <v>1242</v>
      </c>
      <c r="AE20" s="26">
        <v>9169279</v>
      </c>
      <c r="AF20" s="9">
        <f t="shared" si="53"/>
        <v>1872</v>
      </c>
      <c r="AG20" s="26">
        <v>1525338</v>
      </c>
      <c r="AH20" s="9">
        <f t="shared" si="53"/>
        <v>304</v>
      </c>
      <c r="AI20" s="26">
        <v>286813</v>
      </c>
      <c r="AJ20" s="9">
        <f t="shared" si="53"/>
        <v>46</v>
      </c>
      <c r="AK20" s="26">
        <v>1198979</v>
      </c>
      <c r="AL20" s="9">
        <f t="shared" si="53"/>
        <v>252</v>
      </c>
      <c r="AM20" s="26">
        <v>2275833</v>
      </c>
      <c r="AN20" s="9">
        <f t="shared" si="53"/>
        <v>652</v>
      </c>
      <c r="AO20" s="26">
        <v>2199109</v>
      </c>
      <c r="AP20" s="9">
        <f t="shared" si="53"/>
        <v>482</v>
      </c>
      <c r="AQ20" s="41"/>
      <c r="AR20" s="17" t="s">
        <v>60</v>
      </c>
      <c r="AS20" s="9">
        <v>0</v>
      </c>
      <c r="AT20" s="17" t="s">
        <v>60</v>
      </c>
      <c r="AU20" s="9">
        <v>0</v>
      </c>
      <c r="AV20" s="26">
        <v>97602</v>
      </c>
      <c r="AW20" s="9">
        <f t="shared" si="3"/>
        <v>23</v>
      </c>
      <c r="AX20" s="26">
        <v>1511</v>
      </c>
      <c r="AY20" s="9">
        <f t="shared" si="4"/>
        <v>7</v>
      </c>
      <c r="AZ20" s="26">
        <v>8353420</v>
      </c>
      <c r="BA20" s="9">
        <f t="shared" si="5"/>
        <v>3117</v>
      </c>
      <c r="BB20" s="26">
        <v>1971010</v>
      </c>
      <c r="BC20" s="9">
        <f t="shared" si="13"/>
        <v>1370</v>
      </c>
      <c r="BD20" s="26">
        <v>119</v>
      </c>
      <c r="BE20" s="26">
        <v>191</v>
      </c>
      <c r="BH20">
        <f t="shared" si="0"/>
        <v>0</v>
      </c>
    </row>
    <row r="21" spans="1:60" ht="45" customHeight="1" x14ac:dyDescent="0.5">
      <c r="A21" s="8">
        <v>44914</v>
      </c>
      <c r="B21" s="34"/>
      <c r="C21" s="26">
        <v>31986907</v>
      </c>
      <c r="D21" s="9">
        <f t="shared" si="6"/>
        <v>7404</v>
      </c>
      <c r="E21" s="26">
        <v>32417142</v>
      </c>
      <c r="F21" s="9">
        <f t="shared" si="7"/>
        <v>4233</v>
      </c>
      <c r="G21" s="26">
        <v>13712096</v>
      </c>
      <c r="H21" s="9">
        <f t="shared" si="1"/>
        <v>4325</v>
      </c>
      <c r="I21" s="26">
        <v>1921434</v>
      </c>
      <c r="J21" s="9">
        <f t="shared" si="8"/>
        <v>542</v>
      </c>
      <c r="K21" s="26">
        <v>3926251</v>
      </c>
      <c r="L21" s="9">
        <f t="shared" si="8"/>
        <v>474</v>
      </c>
      <c r="M21" s="26">
        <v>5123427</v>
      </c>
      <c r="N21" s="9">
        <f t="shared" ref="N21" si="69">IF((M21-M20&lt;0), "0",M21-M20)</f>
        <v>1437</v>
      </c>
      <c r="O21" s="26">
        <v>2271833</v>
      </c>
      <c r="P21" s="9">
        <f t="shared" ref="P21" si="70">IF((O21-O20&lt;0), "0",O21-O20)</f>
        <v>0</v>
      </c>
      <c r="Q21" s="26">
        <v>1568831</v>
      </c>
      <c r="R21" s="9">
        <f t="shared" ref="R21" si="71">IF((Q21-Q20&lt;0), "0",Q21-Q20)</f>
        <v>375</v>
      </c>
      <c r="S21" s="26">
        <v>572395</v>
      </c>
      <c r="T21" s="9">
        <f t="shared" ref="T21" si="72">IF((S21-S20&lt;0), "0",S21-S20)</f>
        <v>50</v>
      </c>
      <c r="U21" s="26">
        <v>4898993</v>
      </c>
      <c r="V21" s="9">
        <f t="shared" si="53"/>
        <v>927</v>
      </c>
      <c r="W21" s="26">
        <v>1115890</v>
      </c>
      <c r="X21" s="9">
        <f t="shared" si="53"/>
        <v>294</v>
      </c>
      <c r="Y21" s="26">
        <v>5067729</v>
      </c>
      <c r="Z21" s="9">
        <f t="shared" si="53"/>
        <v>1446</v>
      </c>
      <c r="AA21" s="26">
        <v>2271836</v>
      </c>
      <c r="AB21" s="9">
        <f t="shared" si="53"/>
        <v>3</v>
      </c>
      <c r="AC21" s="26">
        <v>6369654</v>
      </c>
      <c r="AD21" s="9">
        <f t="shared" si="53"/>
        <v>1164</v>
      </c>
      <c r="AE21" s="26">
        <v>9171027</v>
      </c>
      <c r="AF21" s="9">
        <f t="shared" si="53"/>
        <v>1748</v>
      </c>
      <c r="AG21" s="26">
        <v>1525619</v>
      </c>
      <c r="AH21" s="9">
        <f t="shared" si="53"/>
        <v>281</v>
      </c>
      <c r="AI21" s="26">
        <v>286855</v>
      </c>
      <c r="AJ21" s="9">
        <f t="shared" si="53"/>
        <v>42</v>
      </c>
      <c r="AK21" s="26">
        <v>1199210</v>
      </c>
      <c r="AL21" s="9">
        <f t="shared" si="53"/>
        <v>231</v>
      </c>
      <c r="AM21" s="26">
        <v>2276455</v>
      </c>
      <c r="AN21" s="9">
        <f t="shared" si="53"/>
        <v>622</v>
      </c>
      <c r="AO21" s="26">
        <v>2199714</v>
      </c>
      <c r="AP21" s="9">
        <f t="shared" si="53"/>
        <v>605</v>
      </c>
      <c r="AQ21" s="41"/>
      <c r="AR21" s="17">
        <v>291911</v>
      </c>
      <c r="AS21" s="9">
        <f>IF((AR21-AR3&lt;0), "",AR21-AR3)</f>
        <v>2176</v>
      </c>
      <c r="AT21" s="17">
        <v>275324</v>
      </c>
      <c r="AU21" s="9">
        <f>IF((AT21-AT3&lt;0), "",AT21-AT3)</f>
        <v>40</v>
      </c>
      <c r="AV21" s="26">
        <v>97615</v>
      </c>
      <c r="AW21" s="9">
        <f t="shared" si="3"/>
        <v>13</v>
      </c>
      <c r="AX21" s="26">
        <v>1513</v>
      </c>
      <c r="AY21" s="9">
        <f t="shared" si="4"/>
        <v>2</v>
      </c>
      <c r="AZ21" s="26">
        <v>8355718</v>
      </c>
      <c r="BA21" s="9">
        <f t="shared" si="5"/>
        <v>2298</v>
      </c>
      <c r="BB21" s="26">
        <v>1972332</v>
      </c>
      <c r="BC21" s="9">
        <f t="shared" si="13"/>
        <v>1322</v>
      </c>
      <c r="BD21" s="26">
        <v>116</v>
      </c>
      <c r="BE21" s="26">
        <v>185</v>
      </c>
      <c r="BH21">
        <f t="shared" si="0"/>
        <v>0</v>
      </c>
    </row>
    <row r="22" spans="1:60" ht="45" customHeight="1" x14ac:dyDescent="0.5">
      <c r="A22" s="8">
        <v>44915</v>
      </c>
      <c r="B22" s="34"/>
      <c r="C22" s="26">
        <v>31994463</v>
      </c>
      <c r="D22" s="9">
        <f t="shared" si="6"/>
        <v>7556</v>
      </c>
      <c r="E22" s="26">
        <v>32422202</v>
      </c>
      <c r="F22" s="9">
        <f t="shared" si="7"/>
        <v>5060</v>
      </c>
      <c r="G22" s="26">
        <v>13715530</v>
      </c>
      <c r="H22" s="9">
        <f t="shared" si="1"/>
        <v>3434</v>
      </c>
      <c r="I22" s="26">
        <v>1922030</v>
      </c>
      <c r="J22" s="9">
        <f t="shared" si="8"/>
        <v>596</v>
      </c>
      <c r="K22" s="26">
        <v>3926727</v>
      </c>
      <c r="L22" s="9">
        <f t="shared" si="8"/>
        <v>476</v>
      </c>
      <c r="M22" s="26">
        <v>5124751</v>
      </c>
      <c r="N22" s="9">
        <f t="shared" ref="N22" si="73">IF((M22-M21&lt;0), "0",M22-M21)</f>
        <v>1324</v>
      </c>
      <c r="O22" s="26">
        <v>2271833</v>
      </c>
      <c r="P22" s="9">
        <f t="shared" ref="P22" si="74">IF((O22-O21&lt;0), "0",O22-O21)</f>
        <v>0</v>
      </c>
      <c r="Q22" s="26">
        <v>1569207</v>
      </c>
      <c r="R22" s="9">
        <f t="shared" ref="R22" si="75">IF((Q22-Q21&lt;0), "0",Q22-Q21)</f>
        <v>376</v>
      </c>
      <c r="S22" s="26">
        <v>572413</v>
      </c>
      <c r="T22" s="9">
        <f t="shared" ref="T22" si="76">IF((S22-S21&lt;0), "0",S22-S21)</f>
        <v>18</v>
      </c>
      <c r="U22" s="26">
        <v>4899931</v>
      </c>
      <c r="V22" s="9">
        <f t="shared" si="53"/>
        <v>938</v>
      </c>
      <c r="W22" s="26">
        <v>1116241</v>
      </c>
      <c r="X22" s="9">
        <f t="shared" si="53"/>
        <v>351</v>
      </c>
      <c r="Y22" s="26">
        <v>5069369</v>
      </c>
      <c r="Z22" s="9">
        <f t="shared" si="53"/>
        <v>1640</v>
      </c>
      <c r="AA22" s="26">
        <v>2271838</v>
      </c>
      <c r="AB22" s="9">
        <f t="shared" si="53"/>
        <v>2</v>
      </c>
      <c r="AC22" s="26">
        <v>6370833</v>
      </c>
      <c r="AD22" s="9">
        <f t="shared" si="53"/>
        <v>1179</v>
      </c>
      <c r="AE22" s="26">
        <v>9172809</v>
      </c>
      <c r="AF22" s="9">
        <f t="shared" si="53"/>
        <v>1782</v>
      </c>
      <c r="AG22" s="26">
        <v>1525904</v>
      </c>
      <c r="AH22" s="9">
        <f t="shared" si="53"/>
        <v>285</v>
      </c>
      <c r="AI22" s="26">
        <v>286899</v>
      </c>
      <c r="AJ22" s="9">
        <f t="shared" si="53"/>
        <v>44</v>
      </c>
      <c r="AK22" s="26">
        <v>1199449</v>
      </c>
      <c r="AL22" s="9">
        <f t="shared" si="53"/>
        <v>239</v>
      </c>
      <c r="AM22" s="26">
        <v>2277083</v>
      </c>
      <c r="AN22" s="9">
        <f t="shared" si="53"/>
        <v>628</v>
      </c>
      <c r="AO22" s="26">
        <v>2200268</v>
      </c>
      <c r="AP22" s="9">
        <f t="shared" si="53"/>
        <v>554</v>
      </c>
      <c r="AQ22" s="41"/>
      <c r="AR22" s="17" t="s">
        <v>60</v>
      </c>
      <c r="AS22" s="9">
        <v>0</v>
      </c>
      <c r="AT22" s="17" t="s">
        <v>60</v>
      </c>
      <c r="AU22" s="9">
        <v>0</v>
      </c>
      <c r="AV22" s="26">
        <v>97628</v>
      </c>
      <c r="AW22" s="9">
        <f>IF((AV22-AV21&lt;0), "",AV22-AV21)</f>
        <v>13</v>
      </c>
      <c r="AX22" s="26">
        <v>1515</v>
      </c>
      <c r="AY22" s="9">
        <f t="shared" si="4"/>
        <v>2</v>
      </c>
      <c r="AZ22" s="26">
        <v>8358012</v>
      </c>
      <c r="BA22" s="9">
        <f t="shared" si="5"/>
        <v>2294</v>
      </c>
      <c r="BB22" s="26">
        <v>1973393</v>
      </c>
      <c r="BC22" s="9">
        <f t="shared" si="13"/>
        <v>1061</v>
      </c>
      <c r="BD22" s="26">
        <v>114</v>
      </c>
      <c r="BE22" s="26">
        <v>185</v>
      </c>
      <c r="BH22">
        <f t="shared" si="0"/>
        <v>0</v>
      </c>
    </row>
    <row r="23" spans="1:60" ht="45" customHeight="1" x14ac:dyDescent="0.5">
      <c r="A23" s="8">
        <v>44916</v>
      </c>
      <c r="B23" s="34"/>
      <c r="C23" s="26">
        <v>32001930</v>
      </c>
      <c r="D23" s="9">
        <f t="shared" si="6"/>
        <v>7467</v>
      </c>
      <c r="E23" s="26">
        <v>32426437</v>
      </c>
      <c r="F23" s="9">
        <f t="shared" si="7"/>
        <v>4235</v>
      </c>
      <c r="G23" s="26">
        <v>13719942</v>
      </c>
      <c r="H23" s="9">
        <f t="shared" si="1"/>
        <v>4412</v>
      </c>
      <c r="I23" s="26">
        <v>1922617</v>
      </c>
      <c r="J23" s="9">
        <f t="shared" si="8"/>
        <v>587</v>
      </c>
      <c r="K23" s="26">
        <v>3927203</v>
      </c>
      <c r="L23" s="9">
        <f t="shared" si="8"/>
        <v>476</v>
      </c>
      <c r="M23" s="26">
        <v>5126034</v>
      </c>
      <c r="N23" s="9">
        <f t="shared" ref="N23" si="77">IF((M23-M22&lt;0), "0",M23-M22)</f>
        <v>1283</v>
      </c>
      <c r="O23" s="26">
        <v>2271833</v>
      </c>
      <c r="P23" s="9">
        <f t="shared" ref="P23" si="78">IF((O23-O22&lt;0), "0",O23-O22)</f>
        <v>0</v>
      </c>
      <c r="Q23" s="26">
        <v>1569588</v>
      </c>
      <c r="R23" s="9">
        <f t="shared" ref="R23" si="79">IF((Q23-Q22&lt;0), "0",Q23-Q22)</f>
        <v>381</v>
      </c>
      <c r="S23" s="26">
        <v>572428</v>
      </c>
      <c r="T23" s="9">
        <f t="shared" ref="T23" si="80">IF((S23-S22&lt;0), "0",S23-S22)</f>
        <v>15</v>
      </c>
      <c r="U23" s="26">
        <v>4900845</v>
      </c>
      <c r="V23" s="9">
        <f t="shared" si="53"/>
        <v>914</v>
      </c>
      <c r="W23" s="26">
        <v>1116579</v>
      </c>
      <c r="X23" s="9">
        <f t="shared" si="53"/>
        <v>338</v>
      </c>
      <c r="Y23" s="26">
        <v>5071038</v>
      </c>
      <c r="Z23" s="9">
        <f t="shared" si="53"/>
        <v>1669</v>
      </c>
      <c r="AA23" s="26">
        <v>2271840</v>
      </c>
      <c r="AB23" s="9">
        <f t="shared" si="53"/>
        <v>2</v>
      </c>
      <c r="AC23" s="26">
        <v>6372021</v>
      </c>
      <c r="AD23" s="9">
        <f t="shared" si="53"/>
        <v>1188</v>
      </c>
      <c r="AE23" s="26">
        <v>9174583</v>
      </c>
      <c r="AF23" s="9">
        <f t="shared" si="53"/>
        <v>1774</v>
      </c>
      <c r="AG23" s="26">
        <v>1526193</v>
      </c>
      <c r="AH23" s="9">
        <f t="shared" si="53"/>
        <v>289</v>
      </c>
      <c r="AI23" s="26">
        <v>286942</v>
      </c>
      <c r="AJ23" s="9">
        <f t="shared" si="53"/>
        <v>43</v>
      </c>
      <c r="AK23" s="26">
        <v>1199689</v>
      </c>
      <c r="AL23" s="9">
        <f t="shared" si="53"/>
        <v>240</v>
      </c>
      <c r="AM23" s="26">
        <v>2277680</v>
      </c>
      <c r="AN23" s="9">
        <f t="shared" si="53"/>
        <v>597</v>
      </c>
      <c r="AO23" s="26">
        <v>2200916</v>
      </c>
      <c r="AP23" s="9">
        <f t="shared" si="53"/>
        <v>648</v>
      </c>
      <c r="AQ23" s="41"/>
      <c r="AR23" s="17" t="s">
        <v>60</v>
      </c>
      <c r="AS23" s="9">
        <v>0</v>
      </c>
      <c r="AT23" s="17" t="s">
        <v>60</v>
      </c>
      <c r="AU23" s="9">
        <v>0</v>
      </c>
      <c r="AV23" s="26">
        <v>97643</v>
      </c>
      <c r="AW23" s="9">
        <f t="shared" si="3"/>
        <v>15</v>
      </c>
      <c r="AX23" s="26">
        <v>1517</v>
      </c>
      <c r="AY23" s="9">
        <f t="shared" si="4"/>
        <v>2</v>
      </c>
      <c r="AZ23" s="26">
        <v>8360488</v>
      </c>
      <c r="BA23" s="9">
        <f t="shared" si="5"/>
        <v>2476</v>
      </c>
      <c r="BB23" s="26">
        <v>1974760</v>
      </c>
      <c r="BC23" s="9">
        <f t="shared" si="13"/>
        <v>1367</v>
      </c>
      <c r="BD23" s="26">
        <v>115</v>
      </c>
      <c r="BE23" s="26">
        <v>188</v>
      </c>
      <c r="BH23">
        <f t="shared" si="0"/>
        <v>0</v>
      </c>
    </row>
    <row r="24" spans="1:60" ht="45" customHeight="1" x14ac:dyDescent="0.5">
      <c r="A24" s="8">
        <v>44917</v>
      </c>
      <c r="B24" s="34"/>
      <c r="C24" s="26">
        <v>32009476</v>
      </c>
      <c r="D24" s="9">
        <f t="shared" si="6"/>
        <v>7546</v>
      </c>
      <c r="E24" s="26">
        <v>32430599</v>
      </c>
      <c r="F24" s="9">
        <f t="shared" si="7"/>
        <v>4162</v>
      </c>
      <c r="G24" s="26">
        <v>13724386</v>
      </c>
      <c r="H24" s="9">
        <f t="shared" si="1"/>
        <v>4444</v>
      </c>
      <c r="I24" s="26">
        <v>1923180</v>
      </c>
      <c r="J24" s="9">
        <f t="shared" si="8"/>
        <v>563</v>
      </c>
      <c r="K24" s="26">
        <v>3927676</v>
      </c>
      <c r="L24" s="9">
        <f t="shared" si="8"/>
        <v>473</v>
      </c>
      <c r="M24" s="26">
        <v>5127447</v>
      </c>
      <c r="N24" s="9">
        <f t="shared" ref="N24" si="81">IF((M24-M23&lt;0), "0",M24-M23)</f>
        <v>1413</v>
      </c>
      <c r="O24" s="26">
        <v>2271833</v>
      </c>
      <c r="P24" s="9">
        <f t="shared" ref="P24" si="82">IF((O24-O23&lt;0), "0",O24-O23)</f>
        <v>0</v>
      </c>
      <c r="Q24" s="26">
        <v>1569963</v>
      </c>
      <c r="R24" s="9">
        <f t="shared" ref="R24" si="83">IF((Q24-Q23&lt;0), "0",Q24-Q23)</f>
        <v>375</v>
      </c>
      <c r="S24" s="26">
        <v>572447</v>
      </c>
      <c r="T24" s="9">
        <f t="shared" ref="T24" si="84">IF((S24-S23&lt;0), "0",S24-S23)</f>
        <v>19</v>
      </c>
      <c r="U24" s="26">
        <v>4901794</v>
      </c>
      <c r="V24" s="9">
        <f t="shared" si="53"/>
        <v>949</v>
      </c>
      <c r="W24" s="26">
        <v>1116885</v>
      </c>
      <c r="X24" s="9">
        <f t="shared" si="53"/>
        <v>306</v>
      </c>
      <c r="Y24" s="26">
        <v>5072685</v>
      </c>
      <c r="Z24" s="9">
        <f t="shared" si="53"/>
        <v>1647</v>
      </c>
      <c r="AA24" s="26">
        <v>2271843</v>
      </c>
      <c r="AB24" s="9">
        <f t="shared" si="53"/>
        <v>3</v>
      </c>
      <c r="AC24" s="26">
        <v>6373207</v>
      </c>
      <c r="AD24" s="9">
        <f t="shared" si="53"/>
        <v>1186</v>
      </c>
      <c r="AE24" s="26">
        <v>9176386</v>
      </c>
      <c r="AF24" s="9">
        <f t="shared" si="53"/>
        <v>1803</v>
      </c>
      <c r="AG24" s="26">
        <v>1526481</v>
      </c>
      <c r="AH24" s="9">
        <f t="shared" si="53"/>
        <v>288</v>
      </c>
      <c r="AI24" s="26">
        <v>286986</v>
      </c>
      <c r="AJ24" s="9">
        <f t="shared" si="53"/>
        <v>44</v>
      </c>
      <c r="AK24" s="26">
        <v>1199937</v>
      </c>
      <c r="AL24" s="9">
        <f t="shared" si="53"/>
        <v>248</v>
      </c>
      <c r="AM24" s="26">
        <v>2278258</v>
      </c>
      <c r="AN24" s="9">
        <f t="shared" si="53"/>
        <v>578</v>
      </c>
      <c r="AO24" s="26">
        <v>2201505</v>
      </c>
      <c r="AP24" s="9">
        <f t="shared" si="53"/>
        <v>589</v>
      </c>
      <c r="AQ24" s="41"/>
      <c r="AR24" s="17" t="s">
        <v>60</v>
      </c>
      <c r="AS24" s="9">
        <v>0</v>
      </c>
      <c r="AT24" s="17" t="s">
        <v>60</v>
      </c>
      <c r="AU24" s="9">
        <v>0</v>
      </c>
      <c r="AV24" s="26">
        <v>97657</v>
      </c>
      <c r="AW24" s="9">
        <f t="shared" si="3"/>
        <v>14</v>
      </c>
      <c r="AX24" s="26">
        <v>1518</v>
      </c>
      <c r="AY24" s="9">
        <f t="shared" si="4"/>
        <v>1</v>
      </c>
      <c r="AZ24" s="26">
        <v>8363020</v>
      </c>
      <c r="BA24" s="9">
        <f t="shared" si="5"/>
        <v>2532</v>
      </c>
      <c r="BB24" s="26">
        <v>1976135</v>
      </c>
      <c r="BC24" s="9">
        <f t="shared" si="13"/>
        <v>1375</v>
      </c>
      <c r="BD24" s="26">
        <v>107</v>
      </c>
      <c r="BE24" s="26">
        <v>177</v>
      </c>
      <c r="BH24">
        <f t="shared" si="0"/>
        <v>0</v>
      </c>
    </row>
    <row r="25" spans="1:60" ht="45" customHeight="1" x14ac:dyDescent="0.5">
      <c r="A25" s="8">
        <v>44918</v>
      </c>
      <c r="B25" s="34"/>
      <c r="C25" s="26">
        <v>32016731</v>
      </c>
      <c r="D25" s="9">
        <f t="shared" si="6"/>
        <v>7255</v>
      </c>
      <c r="E25" s="26">
        <v>32435879</v>
      </c>
      <c r="F25" s="9">
        <f t="shared" si="7"/>
        <v>5280</v>
      </c>
      <c r="G25" s="26">
        <v>13707771</v>
      </c>
      <c r="H25" s="9" t="str">
        <f t="shared" si="1"/>
        <v>0</v>
      </c>
      <c r="I25" s="26">
        <v>1923772</v>
      </c>
      <c r="J25" s="9">
        <f t="shared" si="8"/>
        <v>592</v>
      </c>
      <c r="K25" s="26">
        <v>3928157</v>
      </c>
      <c r="L25" s="9">
        <f t="shared" si="8"/>
        <v>481</v>
      </c>
      <c r="M25" s="26">
        <v>5128832</v>
      </c>
      <c r="N25" s="9">
        <f t="shared" ref="N25" si="85">IF((M25-M24&lt;0), "0",M25-M24)</f>
        <v>1385</v>
      </c>
      <c r="O25" s="26">
        <v>2271833</v>
      </c>
      <c r="P25" s="9">
        <f t="shared" ref="P25" si="86">IF((O25-O24&lt;0), "0",O25-O24)</f>
        <v>0</v>
      </c>
      <c r="Q25" s="26">
        <v>1570322</v>
      </c>
      <c r="R25" s="9">
        <f t="shared" ref="R25" si="87">IF((Q25-Q24&lt;0), "0",Q25-Q24)</f>
        <v>359</v>
      </c>
      <c r="S25" s="26">
        <v>572586</v>
      </c>
      <c r="T25" s="9">
        <f t="shared" ref="T25" si="88">IF((S25-S24&lt;0), "0",S25-S24)</f>
        <v>139</v>
      </c>
      <c r="U25" s="26">
        <v>4902733</v>
      </c>
      <c r="V25" s="9">
        <f t="shared" si="53"/>
        <v>939</v>
      </c>
      <c r="W25" s="26">
        <v>1117147</v>
      </c>
      <c r="X25" s="9">
        <f t="shared" si="53"/>
        <v>262</v>
      </c>
      <c r="Y25" s="26">
        <v>5073965</v>
      </c>
      <c r="Z25" s="9">
        <f t="shared" si="53"/>
        <v>1280</v>
      </c>
      <c r="AA25" s="26">
        <v>2271845</v>
      </c>
      <c r="AB25" s="9">
        <f t="shared" si="53"/>
        <v>2</v>
      </c>
      <c r="AC25" s="26">
        <v>6374400</v>
      </c>
      <c r="AD25" s="9">
        <f t="shared" si="53"/>
        <v>1193</v>
      </c>
      <c r="AE25" s="26">
        <v>9178207</v>
      </c>
      <c r="AF25" s="9">
        <f t="shared" si="53"/>
        <v>1821</v>
      </c>
      <c r="AG25" s="26">
        <v>1526770</v>
      </c>
      <c r="AH25" s="9">
        <f t="shared" si="53"/>
        <v>289</v>
      </c>
      <c r="AI25" s="26">
        <v>287030</v>
      </c>
      <c r="AJ25" s="9">
        <f t="shared" si="53"/>
        <v>44</v>
      </c>
      <c r="AK25" s="26">
        <v>1200169</v>
      </c>
      <c r="AL25" s="9">
        <f t="shared" si="53"/>
        <v>232</v>
      </c>
      <c r="AM25" s="26">
        <v>2278864</v>
      </c>
      <c r="AN25" s="9">
        <f t="shared" si="53"/>
        <v>606</v>
      </c>
      <c r="AO25" s="26">
        <v>2202102</v>
      </c>
      <c r="AP25" s="9">
        <f t="shared" si="53"/>
        <v>597</v>
      </c>
      <c r="AQ25" s="41"/>
      <c r="AR25" s="17" t="s">
        <v>60</v>
      </c>
      <c r="AS25" s="9">
        <v>0</v>
      </c>
      <c r="AT25" s="17" t="s">
        <v>60</v>
      </c>
      <c r="AU25" s="9">
        <v>0</v>
      </c>
      <c r="AV25" s="26">
        <v>97602</v>
      </c>
      <c r="AW25" s="9" t="str">
        <f t="shared" si="3"/>
        <v/>
      </c>
      <c r="AX25" s="26">
        <v>1511</v>
      </c>
      <c r="AY25" s="9" t="str">
        <f t="shared" si="4"/>
        <v/>
      </c>
      <c r="AZ25" s="26">
        <v>8365342</v>
      </c>
      <c r="BA25" s="9">
        <f t="shared" si="5"/>
        <v>2322</v>
      </c>
      <c r="BB25" s="26">
        <v>1971010</v>
      </c>
      <c r="BC25" s="9" t="str">
        <f t="shared" si="13"/>
        <v/>
      </c>
      <c r="BD25" s="26">
        <v>102</v>
      </c>
      <c r="BE25" s="26">
        <v>170</v>
      </c>
      <c r="BH25">
        <f t="shared" si="0"/>
        <v>0</v>
      </c>
    </row>
    <row r="26" spans="1:60" ht="45" customHeight="1" x14ac:dyDescent="0.5">
      <c r="A26" s="8">
        <v>44919</v>
      </c>
      <c r="B26" s="34"/>
      <c r="C26" s="26">
        <v>32023252</v>
      </c>
      <c r="D26" s="9">
        <f>IF((C26-C25&lt;0), "0",C26-C25)</f>
        <v>6521</v>
      </c>
      <c r="E26" s="26">
        <v>32443438</v>
      </c>
      <c r="F26" s="9">
        <f>IF((E26-E25&lt;0), "0",E26-E25)</f>
        <v>7559</v>
      </c>
      <c r="G26" s="26">
        <v>13728098</v>
      </c>
      <c r="H26" s="9">
        <f>IF((G26-G25&lt;0), "0",G26-G25)</f>
        <v>20327</v>
      </c>
      <c r="I26" s="26">
        <v>1924291</v>
      </c>
      <c r="J26" s="9">
        <f t="shared" si="8"/>
        <v>519</v>
      </c>
      <c r="K26" s="26">
        <v>3928688</v>
      </c>
      <c r="L26" s="9">
        <f>IF((K26-K25&lt;0), "0",K26-K25)</f>
        <v>531</v>
      </c>
      <c r="M26" s="26">
        <v>5130177</v>
      </c>
      <c r="N26" s="9">
        <f t="shared" ref="N26" si="89">IF((M26-M25&lt;0), "0",M26-M25)</f>
        <v>1345</v>
      </c>
      <c r="O26" s="26">
        <v>2271833</v>
      </c>
      <c r="P26" s="9">
        <f t="shared" ref="P26" si="90">IF((O26-O25&lt;0), "0",O26-O25)</f>
        <v>0</v>
      </c>
      <c r="Q26" s="26">
        <v>1576677</v>
      </c>
      <c r="R26" s="9">
        <f t="shared" ref="R26" si="91">IF((Q26-Q25&lt;0), "0",Q26-Q25)</f>
        <v>6355</v>
      </c>
      <c r="S26" s="26">
        <v>572641</v>
      </c>
      <c r="T26" s="9">
        <f t="shared" ref="T26" si="92">IF((S26-S25&lt;0), "0",S26-S25)</f>
        <v>55</v>
      </c>
      <c r="U26" s="26">
        <v>4903569</v>
      </c>
      <c r="V26" s="9">
        <f t="shared" si="53"/>
        <v>836</v>
      </c>
      <c r="W26" s="26">
        <v>1117361</v>
      </c>
      <c r="X26" s="9">
        <f t="shared" si="53"/>
        <v>214</v>
      </c>
      <c r="Y26" s="26">
        <v>5075100</v>
      </c>
      <c r="Z26" s="9">
        <f t="shared" si="53"/>
        <v>1135</v>
      </c>
      <c r="AA26" s="26">
        <v>2271848</v>
      </c>
      <c r="AB26" s="9">
        <f t="shared" si="53"/>
        <v>3</v>
      </c>
      <c r="AC26" s="26">
        <v>6375532</v>
      </c>
      <c r="AD26" s="30">
        <f t="shared" si="53"/>
        <v>1132</v>
      </c>
      <c r="AE26" s="26">
        <v>9179924</v>
      </c>
      <c r="AF26" s="32">
        <f t="shared" si="53"/>
        <v>1717</v>
      </c>
      <c r="AG26" s="26">
        <v>1527045</v>
      </c>
      <c r="AH26" s="31">
        <f t="shared" si="53"/>
        <v>275</v>
      </c>
      <c r="AI26" s="26">
        <v>287071</v>
      </c>
      <c r="AJ26" s="9">
        <f t="shared" si="53"/>
        <v>41</v>
      </c>
      <c r="AK26" s="26">
        <v>1200389</v>
      </c>
      <c r="AL26" s="9">
        <f t="shared" si="53"/>
        <v>220</v>
      </c>
      <c r="AM26" s="26">
        <v>2279432</v>
      </c>
      <c r="AN26" s="9">
        <f t="shared" si="53"/>
        <v>568</v>
      </c>
      <c r="AO26" s="26">
        <v>2202731</v>
      </c>
      <c r="AP26" s="9">
        <f t="shared" si="53"/>
        <v>629</v>
      </c>
      <c r="AQ26" s="41"/>
      <c r="AR26" s="17" t="s">
        <v>60</v>
      </c>
      <c r="AS26" s="9">
        <v>0</v>
      </c>
      <c r="AT26" s="17" t="s">
        <v>60</v>
      </c>
      <c r="AU26" s="9">
        <v>0</v>
      </c>
      <c r="AV26" s="26">
        <v>97687</v>
      </c>
      <c r="AW26" s="9">
        <f t="shared" si="3"/>
        <v>85</v>
      </c>
      <c r="AX26" s="26">
        <v>1522</v>
      </c>
      <c r="AY26" s="9">
        <f t="shared" si="4"/>
        <v>11</v>
      </c>
      <c r="AZ26" s="26">
        <v>8366856</v>
      </c>
      <c r="BA26" s="9">
        <f t="shared" si="5"/>
        <v>1514</v>
      </c>
      <c r="BB26" s="26">
        <v>1977288</v>
      </c>
      <c r="BC26" s="9">
        <f t="shared" si="13"/>
        <v>6278</v>
      </c>
      <c r="BD26" s="26">
        <v>116</v>
      </c>
      <c r="BE26" s="26">
        <v>195</v>
      </c>
      <c r="BH26">
        <f t="shared" si="0"/>
        <v>0</v>
      </c>
    </row>
    <row r="27" spans="1:60" ht="45" customHeight="1" x14ac:dyDescent="0.5">
      <c r="A27" s="8">
        <v>44920</v>
      </c>
      <c r="B27" s="34"/>
      <c r="C27" s="26">
        <v>32030558</v>
      </c>
      <c r="D27" s="9">
        <f>IF((C27-C26&lt;0), "0",C27-C26)</f>
        <v>7306</v>
      </c>
      <c r="E27" s="26">
        <v>32451790</v>
      </c>
      <c r="F27" s="9">
        <f>IF((E27-E26&lt;0), "0",E27-E26)</f>
        <v>8352</v>
      </c>
      <c r="G27" s="26">
        <v>13728098</v>
      </c>
      <c r="H27" s="9">
        <f t="shared" si="1"/>
        <v>0</v>
      </c>
      <c r="I27" s="26">
        <v>1924856</v>
      </c>
      <c r="J27" s="9">
        <f t="shared" si="8"/>
        <v>565</v>
      </c>
      <c r="K27" s="26">
        <v>3929054</v>
      </c>
      <c r="L27" s="9">
        <f t="shared" si="8"/>
        <v>366</v>
      </c>
      <c r="M27" s="26">
        <v>5131737</v>
      </c>
      <c r="N27" s="9">
        <f t="shared" ref="N27" si="93">IF((M27-M26&lt;0), "0",M27-M26)</f>
        <v>1560</v>
      </c>
      <c r="O27" s="26">
        <v>2271833</v>
      </c>
      <c r="P27" s="9">
        <f t="shared" ref="P27" si="94">IF((O27-O26&lt;0), "0",O27-O26)</f>
        <v>0</v>
      </c>
      <c r="Q27" s="26">
        <v>1576990</v>
      </c>
      <c r="R27" s="9">
        <f t="shared" ref="R27" si="95">IF((Q27-Q26&lt;0), "0",Q27-Q26)</f>
        <v>313</v>
      </c>
      <c r="S27" s="26">
        <v>572660</v>
      </c>
      <c r="T27" s="9">
        <f t="shared" ref="T27" si="96">IF((S27-S26&lt;0), "0",S27-S26)</f>
        <v>19</v>
      </c>
      <c r="U27" s="26">
        <v>4904432</v>
      </c>
      <c r="V27" s="9">
        <f t="shared" si="53"/>
        <v>863</v>
      </c>
      <c r="W27" s="26">
        <v>1117587</v>
      </c>
      <c r="X27" s="9">
        <f t="shared" si="53"/>
        <v>226</v>
      </c>
      <c r="Y27" s="26">
        <v>5076599</v>
      </c>
      <c r="Z27" s="9">
        <f t="shared" si="53"/>
        <v>1499</v>
      </c>
      <c r="AA27" s="26">
        <v>2271850</v>
      </c>
      <c r="AB27" s="9">
        <f t="shared" si="53"/>
        <v>2</v>
      </c>
      <c r="AC27" s="26">
        <v>6376723</v>
      </c>
      <c r="AD27" s="30">
        <f t="shared" si="53"/>
        <v>1191</v>
      </c>
      <c r="AE27" s="26">
        <v>9181736</v>
      </c>
      <c r="AF27" s="32">
        <f t="shared" si="53"/>
        <v>1812</v>
      </c>
      <c r="AG27" s="26">
        <v>1527334</v>
      </c>
      <c r="AH27" s="31">
        <f t="shared" si="53"/>
        <v>289</v>
      </c>
      <c r="AI27" s="26">
        <v>287115</v>
      </c>
      <c r="AJ27" s="9">
        <f t="shared" si="53"/>
        <v>44</v>
      </c>
      <c r="AK27" s="26">
        <v>1200624</v>
      </c>
      <c r="AL27" s="9">
        <f t="shared" si="53"/>
        <v>235</v>
      </c>
      <c r="AM27" s="26">
        <v>2671500</v>
      </c>
      <c r="AN27" s="9">
        <f t="shared" si="53"/>
        <v>392068</v>
      </c>
      <c r="AO27" s="26">
        <v>2279994</v>
      </c>
      <c r="AP27" s="9">
        <f t="shared" si="53"/>
        <v>77263</v>
      </c>
      <c r="AQ27" s="41"/>
      <c r="AR27" s="17" t="s">
        <v>60</v>
      </c>
      <c r="AS27" s="9">
        <v>0</v>
      </c>
      <c r="AT27" s="17" t="s">
        <v>60</v>
      </c>
      <c r="AU27" s="9">
        <v>0</v>
      </c>
      <c r="AV27" s="26">
        <v>97703</v>
      </c>
      <c r="AW27" s="9">
        <f t="shared" si="3"/>
        <v>16</v>
      </c>
      <c r="AX27" s="26">
        <v>1524</v>
      </c>
      <c r="AY27" s="9">
        <f t="shared" si="4"/>
        <v>2</v>
      </c>
      <c r="AZ27" s="26">
        <v>8368490</v>
      </c>
      <c r="BA27" s="9">
        <f t="shared" si="5"/>
        <v>1634</v>
      </c>
      <c r="BB27" s="26">
        <v>1977288</v>
      </c>
      <c r="BC27" s="9">
        <f t="shared" si="13"/>
        <v>0</v>
      </c>
      <c r="BD27" s="26">
        <v>109</v>
      </c>
      <c r="BE27" s="26">
        <v>181</v>
      </c>
      <c r="BH27">
        <f t="shared" si="0"/>
        <v>0</v>
      </c>
    </row>
    <row r="28" spans="1:60" ht="45" customHeight="1" x14ac:dyDescent="0.5">
      <c r="A28" s="8">
        <v>44921</v>
      </c>
      <c r="B28" s="34"/>
      <c r="C28" s="26">
        <v>32037432</v>
      </c>
      <c r="D28" s="9">
        <f t="shared" si="6"/>
        <v>6874</v>
      </c>
      <c r="E28" s="26">
        <v>32457690</v>
      </c>
      <c r="F28" s="9">
        <f t="shared" si="7"/>
        <v>5900</v>
      </c>
      <c r="G28" s="26">
        <v>13730517</v>
      </c>
      <c r="H28" s="9">
        <f t="shared" si="1"/>
        <v>2419</v>
      </c>
      <c r="I28" s="26">
        <v>1925444</v>
      </c>
      <c r="J28" s="9">
        <f t="shared" si="8"/>
        <v>588</v>
      </c>
      <c r="K28" s="26">
        <v>3929483</v>
      </c>
      <c r="L28" s="9">
        <f t="shared" si="8"/>
        <v>429</v>
      </c>
      <c r="M28" s="26">
        <v>5133269</v>
      </c>
      <c r="N28" s="9">
        <f t="shared" ref="N28" si="97">IF((M28-M27&lt;0), "0",M28-M27)</f>
        <v>1532</v>
      </c>
      <c r="O28" s="26">
        <v>2271833</v>
      </c>
      <c r="P28" s="9">
        <f t="shared" ref="P28" si="98">IF((O28-O27&lt;0), "0",O28-O27)</f>
        <v>0</v>
      </c>
      <c r="Q28" s="26">
        <v>1571336</v>
      </c>
      <c r="R28" s="9" t="str">
        <f t="shared" ref="R28" si="99">IF((Q28-Q27&lt;0), "0",Q28-Q27)</f>
        <v>0</v>
      </c>
      <c r="S28" s="26">
        <v>572679</v>
      </c>
      <c r="T28" s="9">
        <f t="shared" ref="T28" si="100">IF((S28-S27&lt;0), "0",S28-S27)</f>
        <v>19</v>
      </c>
      <c r="U28" s="26">
        <v>4905263</v>
      </c>
      <c r="V28" s="9">
        <f t="shared" si="53"/>
        <v>831</v>
      </c>
      <c r="W28" s="26">
        <v>1117792</v>
      </c>
      <c r="X28" s="9">
        <f t="shared" si="53"/>
        <v>205</v>
      </c>
      <c r="Y28" s="26">
        <v>5077792</v>
      </c>
      <c r="Z28" s="9">
        <f t="shared" si="53"/>
        <v>1193</v>
      </c>
      <c r="AA28" s="26">
        <v>2271853</v>
      </c>
      <c r="AB28" s="9">
        <f t="shared" si="53"/>
        <v>3</v>
      </c>
      <c r="AC28" s="26">
        <v>6377897</v>
      </c>
      <c r="AD28" s="30">
        <f t="shared" si="53"/>
        <v>1174</v>
      </c>
      <c r="AE28" s="26">
        <v>9183504</v>
      </c>
      <c r="AF28" s="32">
        <f t="shared" si="53"/>
        <v>1768</v>
      </c>
      <c r="AG28" s="26">
        <v>1527618</v>
      </c>
      <c r="AH28" s="31">
        <f t="shared" si="53"/>
        <v>284</v>
      </c>
      <c r="AI28" s="26">
        <v>287158</v>
      </c>
      <c r="AJ28" s="9">
        <f t="shared" si="53"/>
        <v>43</v>
      </c>
      <c r="AK28" s="26">
        <v>1200851</v>
      </c>
      <c r="AL28" s="9">
        <f t="shared" si="53"/>
        <v>227</v>
      </c>
      <c r="AM28" s="26">
        <v>2671970</v>
      </c>
      <c r="AN28" s="9">
        <f t="shared" si="53"/>
        <v>470</v>
      </c>
      <c r="AO28" s="26">
        <v>2204011</v>
      </c>
      <c r="AP28" s="9" t="str">
        <f t="shared" si="53"/>
        <v/>
      </c>
      <c r="AQ28" s="41"/>
      <c r="AR28" s="17" t="s">
        <v>60</v>
      </c>
      <c r="AS28" s="9">
        <v>0</v>
      </c>
      <c r="AT28" s="17" t="s">
        <v>60</v>
      </c>
      <c r="AU28" s="9">
        <v>0</v>
      </c>
      <c r="AV28" s="26">
        <v>97718</v>
      </c>
      <c r="AW28" s="9">
        <f t="shared" si="3"/>
        <v>15</v>
      </c>
      <c r="AX28" s="26">
        <v>1525</v>
      </c>
      <c r="AY28" s="9">
        <f t="shared" si="4"/>
        <v>1</v>
      </c>
      <c r="AZ28" s="26">
        <v>8370676</v>
      </c>
      <c r="BA28" s="9">
        <f t="shared" si="5"/>
        <v>2186</v>
      </c>
      <c r="BB28" s="26">
        <v>1978026</v>
      </c>
      <c r="BC28" s="9">
        <f t="shared" si="13"/>
        <v>738</v>
      </c>
      <c r="BD28" s="26">
        <v>117</v>
      </c>
      <c r="BE28" s="26">
        <v>195</v>
      </c>
      <c r="BH28">
        <f t="shared" si="0"/>
        <v>0</v>
      </c>
    </row>
    <row r="29" spans="1:60" ht="45" customHeight="1" x14ac:dyDescent="0.5">
      <c r="A29" s="8">
        <v>56</v>
      </c>
      <c r="B29" s="34"/>
      <c r="C29" s="26">
        <v>32046005</v>
      </c>
      <c r="D29" s="9">
        <f t="shared" si="6"/>
        <v>8573</v>
      </c>
      <c r="E29" s="26">
        <v>32465455</v>
      </c>
      <c r="F29" s="9">
        <f t="shared" si="7"/>
        <v>7765</v>
      </c>
      <c r="G29" s="26">
        <v>13733440</v>
      </c>
      <c r="H29" s="9">
        <f t="shared" si="1"/>
        <v>2923</v>
      </c>
      <c r="I29" s="26">
        <v>1926049</v>
      </c>
      <c r="J29" s="9">
        <f t="shared" si="8"/>
        <v>605</v>
      </c>
      <c r="K29" s="26">
        <v>3930057</v>
      </c>
      <c r="L29" s="9">
        <f t="shared" si="8"/>
        <v>574</v>
      </c>
      <c r="M29" s="26">
        <v>5135037</v>
      </c>
      <c r="N29" s="9">
        <f t="shared" ref="N29" si="101">IF((M29-M28&lt;0), "0",M29-M28)</f>
        <v>1768</v>
      </c>
      <c r="O29" s="26">
        <v>2271833</v>
      </c>
      <c r="P29" s="9">
        <f t="shared" ref="P29" si="102">IF((O29-O28&lt;0), "0",O29-O28)</f>
        <v>0</v>
      </c>
      <c r="Q29" s="26">
        <v>1571779</v>
      </c>
      <c r="R29" s="9">
        <f t="shared" ref="R29" si="103">IF((Q29-Q28&lt;0), "0",Q29-Q28)</f>
        <v>443</v>
      </c>
      <c r="S29" s="26">
        <v>572704</v>
      </c>
      <c r="T29" s="9">
        <f t="shared" ref="T29" si="104">IF((S29-S28&lt;0), "0",S29-S28)</f>
        <v>25</v>
      </c>
      <c r="U29" s="26">
        <v>4906370</v>
      </c>
      <c r="V29" s="9">
        <f t="shared" si="53"/>
        <v>1107</v>
      </c>
      <c r="W29" s="26">
        <v>1118101</v>
      </c>
      <c r="X29" s="9">
        <f t="shared" si="53"/>
        <v>309</v>
      </c>
      <c r="Y29" s="26">
        <v>5079498</v>
      </c>
      <c r="Z29" s="9">
        <f t="shared" si="53"/>
        <v>1706</v>
      </c>
      <c r="AA29" s="26">
        <v>2271856</v>
      </c>
      <c r="AB29" s="9">
        <f t="shared" si="53"/>
        <v>3</v>
      </c>
      <c r="AC29" s="26">
        <v>6379425</v>
      </c>
      <c r="AD29" s="30">
        <f t="shared" si="53"/>
        <v>1528</v>
      </c>
      <c r="AE29" s="26">
        <v>9185826</v>
      </c>
      <c r="AF29" s="32">
        <f t="shared" si="53"/>
        <v>2322</v>
      </c>
      <c r="AG29" s="26">
        <v>1527990</v>
      </c>
      <c r="AH29" s="31">
        <f t="shared" si="53"/>
        <v>372</v>
      </c>
      <c r="AI29" s="26">
        <v>287214</v>
      </c>
      <c r="AJ29" s="9">
        <f t="shared" si="53"/>
        <v>56</v>
      </c>
      <c r="AK29" s="26">
        <v>1201137</v>
      </c>
      <c r="AL29" s="9">
        <f t="shared" si="53"/>
        <v>286</v>
      </c>
      <c r="AM29" s="26">
        <v>2281325</v>
      </c>
      <c r="AN29" s="9" t="str">
        <f t="shared" si="53"/>
        <v/>
      </c>
      <c r="AO29" s="26">
        <v>2204673</v>
      </c>
      <c r="AP29" s="9">
        <f t="shared" si="53"/>
        <v>662</v>
      </c>
      <c r="AQ29" s="42"/>
      <c r="AR29" s="17" t="s">
        <v>60</v>
      </c>
      <c r="AS29" s="9">
        <v>0</v>
      </c>
      <c r="AT29" s="17" t="s">
        <v>60</v>
      </c>
      <c r="AU29" s="9">
        <v>0</v>
      </c>
      <c r="AV29" s="26">
        <v>97733</v>
      </c>
      <c r="AW29" s="9">
        <f t="shared" si="3"/>
        <v>15</v>
      </c>
      <c r="AX29" s="26">
        <v>1527</v>
      </c>
      <c r="AY29" s="9">
        <f t="shared" si="4"/>
        <v>2</v>
      </c>
      <c r="AZ29" s="26">
        <v>8373264</v>
      </c>
      <c r="BA29" s="9">
        <f>IF((AZ29-AZ28&lt;0), "",AZ29-AZ28)</f>
        <v>2588</v>
      </c>
      <c r="BB29" s="26">
        <v>1978908</v>
      </c>
      <c r="BC29" s="9">
        <f t="shared" si="13"/>
        <v>882</v>
      </c>
      <c r="BD29" s="26">
        <v>128</v>
      </c>
      <c r="BE29" s="26">
        <v>215</v>
      </c>
      <c r="BH29">
        <f t="shared" si="0"/>
        <v>0</v>
      </c>
    </row>
    <row r="30" spans="1:60" ht="45" customHeight="1" x14ac:dyDescent="0.5">
      <c r="A30" s="8">
        <v>44923</v>
      </c>
      <c r="B30" s="34"/>
      <c r="C30" s="26">
        <v>32051525</v>
      </c>
      <c r="D30" s="9">
        <f t="shared" si="6"/>
        <v>5520</v>
      </c>
      <c r="E30" s="26">
        <v>32469515</v>
      </c>
      <c r="F30" s="9">
        <f t="shared" si="7"/>
        <v>4060</v>
      </c>
      <c r="G30" s="26">
        <v>13736088</v>
      </c>
      <c r="H30" s="9">
        <f t="shared" si="1"/>
        <v>2648</v>
      </c>
      <c r="I30" s="26">
        <v>1926586</v>
      </c>
      <c r="J30" s="9">
        <f t="shared" si="8"/>
        <v>537</v>
      </c>
      <c r="K30" s="26">
        <v>3930412</v>
      </c>
      <c r="L30" s="9">
        <f t="shared" si="8"/>
        <v>355</v>
      </c>
      <c r="M30" s="26">
        <v>5136159</v>
      </c>
      <c r="N30" s="9">
        <f t="shared" ref="N30" si="105">IF((M30-M29&lt;0), "0",M30-M29)</f>
        <v>1122</v>
      </c>
      <c r="O30" s="26">
        <v>2271833</v>
      </c>
      <c r="P30" s="9">
        <f t="shared" ref="P30" si="106">IF((O30-O29&lt;0), "0",O30-O29)</f>
        <v>0</v>
      </c>
      <c r="Q30" s="26">
        <v>1572070</v>
      </c>
      <c r="R30" s="9">
        <f t="shared" ref="R30" si="107">IF((Q30-Q29&lt;0), "0",Q30-Q29)</f>
        <v>291</v>
      </c>
      <c r="S30" s="26">
        <v>572719</v>
      </c>
      <c r="T30" s="9">
        <f t="shared" ref="T30" si="108">IF((S30-S29&lt;0), "0",S30-S29)</f>
        <v>15</v>
      </c>
      <c r="U30" s="26">
        <v>4906816</v>
      </c>
      <c r="V30" s="9">
        <f t="shared" si="53"/>
        <v>446</v>
      </c>
      <c r="W30" s="26">
        <v>1118326</v>
      </c>
      <c r="X30" s="9">
        <f t="shared" si="53"/>
        <v>225</v>
      </c>
      <c r="Y30" s="26">
        <v>5080502</v>
      </c>
      <c r="Z30" s="9">
        <f t="shared" si="53"/>
        <v>1004</v>
      </c>
      <c r="AA30" s="26">
        <v>2271857</v>
      </c>
      <c r="AB30" s="9">
        <f t="shared" si="53"/>
        <v>1</v>
      </c>
      <c r="AC30" s="26">
        <v>6380323</v>
      </c>
      <c r="AD30" s="30">
        <f t="shared" si="53"/>
        <v>898</v>
      </c>
      <c r="AE30" s="26">
        <v>9187190</v>
      </c>
      <c r="AF30" s="32">
        <f t="shared" si="53"/>
        <v>1364</v>
      </c>
      <c r="AG30" s="26">
        <v>1528205</v>
      </c>
      <c r="AH30" s="31">
        <f t="shared" si="53"/>
        <v>215</v>
      </c>
      <c r="AI30" s="26">
        <v>287247</v>
      </c>
      <c r="AJ30" s="9">
        <f t="shared" si="53"/>
        <v>33</v>
      </c>
      <c r="AK30" s="26">
        <v>1201321</v>
      </c>
      <c r="AL30" s="9">
        <f t="shared" si="53"/>
        <v>184</v>
      </c>
      <c r="AM30" s="26">
        <v>2287130</v>
      </c>
      <c r="AN30" s="9">
        <f t="shared" si="53"/>
        <v>5805</v>
      </c>
      <c r="AO30" s="26">
        <v>2205286</v>
      </c>
      <c r="AP30" s="9">
        <f t="shared" si="53"/>
        <v>613</v>
      </c>
      <c r="AQ30" s="42"/>
      <c r="AR30" s="17" t="s">
        <v>60</v>
      </c>
      <c r="AS30" s="9">
        <v>0</v>
      </c>
      <c r="AT30" s="17" t="s">
        <v>60</v>
      </c>
      <c r="AU30" s="9">
        <v>0</v>
      </c>
      <c r="AV30" s="26">
        <v>97748</v>
      </c>
      <c r="AW30" s="9">
        <f t="shared" si="3"/>
        <v>15</v>
      </c>
      <c r="AX30" s="26">
        <v>1529</v>
      </c>
      <c r="AY30" s="9">
        <f t="shared" si="4"/>
        <v>2</v>
      </c>
      <c r="AZ30" s="26">
        <v>8374939</v>
      </c>
      <c r="BA30" s="9">
        <f>IF((AZ30-AZ29&lt;0), "",AZ30-AZ29)</f>
        <v>1675</v>
      </c>
      <c r="BB30" s="26">
        <v>1979750</v>
      </c>
      <c r="BC30" s="9">
        <f>IF((BB30-BB29&lt;0), "",BB30-BB29)</f>
        <v>842</v>
      </c>
      <c r="BD30" s="26">
        <v>130</v>
      </c>
      <c r="BE30" s="26">
        <v>228</v>
      </c>
      <c r="BH30">
        <f t="shared" si="0"/>
        <v>0</v>
      </c>
    </row>
    <row r="31" spans="1:60" ht="45" customHeight="1" x14ac:dyDescent="0.5">
      <c r="A31" s="8">
        <v>44924</v>
      </c>
      <c r="B31" s="35"/>
      <c r="C31" s="26">
        <v>32058346</v>
      </c>
      <c r="D31" s="9">
        <f t="shared" si="6"/>
        <v>6821</v>
      </c>
      <c r="E31" s="26">
        <v>32474276</v>
      </c>
      <c r="F31" s="9">
        <v>287418</v>
      </c>
      <c r="G31" s="26">
        <v>13739809</v>
      </c>
      <c r="H31" s="9">
        <f t="shared" si="1"/>
        <v>3721</v>
      </c>
      <c r="I31" s="26">
        <v>1927156</v>
      </c>
      <c r="J31" s="9">
        <f t="shared" si="8"/>
        <v>570</v>
      </c>
      <c r="K31" s="26">
        <v>3930862</v>
      </c>
      <c r="L31" s="9">
        <f t="shared" si="8"/>
        <v>450</v>
      </c>
      <c r="M31" s="26">
        <v>5137551</v>
      </c>
      <c r="N31" s="9">
        <f t="shared" ref="N31" si="109">IF((M31-M30&lt;0), "0",M31-M30)</f>
        <v>1392</v>
      </c>
      <c r="O31" s="26">
        <v>2271833</v>
      </c>
      <c r="P31" s="9">
        <f t="shared" ref="P31" si="110">IF((O31-O30&lt;0), "0",O31-O30)</f>
        <v>0</v>
      </c>
      <c r="Q31" s="26">
        <v>1572411</v>
      </c>
      <c r="R31" s="9">
        <f t="shared" ref="R31" si="111">IF((Q31-Q30&lt;0), "0",Q31-Q30)</f>
        <v>341</v>
      </c>
      <c r="S31" s="26">
        <v>572738</v>
      </c>
      <c r="T31" s="9">
        <f t="shared" ref="T31" si="112">IF((S31-S30&lt;0), "0",S31-S30)</f>
        <v>19</v>
      </c>
      <c r="U31" s="26">
        <v>4907658</v>
      </c>
      <c r="V31" s="27">
        <f t="shared" si="53"/>
        <v>842</v>
      </c>
      <c r="W31" s="26">
        <v>1118620</v>
      </c>
      <c r="X31" s="27">
        <f t="shared" si="53"/>
        <v>294</v>
      </c>
      <c r="Y31" s="26">
        <v>5081659</v>
      </c>
      <c r="Z31" s="27">
        <f t="shared" si="53"/>
        <v>1157</v>
      </c>
      <c r="AA31" s="26">
        <v>2271860</v>
      </c>
      <c r="AB31" s="27">
        <f t="shared" si="53"/>
        <v>3</v>
      </c>
      <c r="AC31" s="26">
        <v>6381473</v>
      </c>
      <c r="AD31" s="27">
        <f t="shared" si="53"/>
        <v>1150</v>
      </c>
      <c r="AE31" s="26">
        <v>9188936</v>
      </c>
      <c r="AF31" s="27">
        <f>IF((AE31-AE30&lt;0), "",AE31-AE30)</f>
        <v>1746</v>
      </c>
      <c r="AG31" s="26">
        <v>1528483</v>
      </c>
      <c r="AH31" s="27">
        <f t="shared" si="53"/>
        <v>278</v>
      </c>
      <c r="AI31" s="26">
        <v>287289</v>
      </c>
      <c r="AJ31" s="27">
        <f t="shared" si="53"/>
        <v>42</v>
      </c>
      <c r="AK31" s="26">
        <v>1201551</v>
      </c>
      <c r="AL31" s="27">
        <f t="shared" si="53"/>
        <v>230</v>
      </c>
      <c r="AM31" s="26">
        <v>2282275</v>
      </c>
      <c r="AN31" s="27" t="str">
        <f t="shared" si="53"/>
        <v/>
      </c>
      <c r="AO31" s="26">
        <v>2205958</v>
      </c>
      <c r="AP31" s="9">
        <f t="shared" si="53"/>
        <v>672</v>
      </c>
      <c r="AQ31" s="42"/>
      <c r="AR31" s="17" t="s">
        <v>60</v>
      </c>
      <c r="AS31" s="9">
        <v>0</v>
      </c>
      <c r="AT31" s="17" t="s">
        <v>60</v>
      </c>
      <c r="AU31" s="9">
        <v>0</v>
      </c>
      <c r="AV31" s="26">
        <v>97765</v>
      </c>
      <c r="AW31" s="27">
        <f t="shared" si="3"/>
        <v>17</v>
      </c>
      <c r="AX31" s="26">
        <v>1530</v>
      </c>
      <c r="AY31" s="27">
        <f t="shared" si="4"/>
        <v>1</v>
      </c>
      <c r="AZ31" s="26">
        <v>8377148</v>
      </c>
      <c r="BA31" s="27">
        <f t="shared" si="5"/>
        <v>2209</v>
      </c>
      <c r="BB31" s="26">
        <v>1980940</v>
      </c>
      <c r="BC31" s="27">
        <f t="shared" si="13"/>
        <v>1190</v>
      </c>
      <c r="BD31" s="26">
        <v>118</v>
      </c>
      <c r="BE31" s="26">
        <v>211</v>
      </c>
      <c r="BH31">
        <f t="shared" si="0"/>
        <v>0</v>
      </c>
    </row>
    <row r="32" spans="1:60" ht="34.5" customHeight="1" x14ac:dyDescent="0.5">
      <c r="A32" s="8">
        <v>44925</v>
      </c>
      <c r="B32" s="34"/>
      <c r="C32" s="26">
        <v>32065585</v>
      </c>
      <c r="D32" s="9">
        <f>IF((C32-C31&lt;0), "0",C32-C31)</f>
        <v>7239</v>
      </c>
      <c r="E32" s="26">
        <v>32479184</v>
      </c>
      <c r="F32" s="9">
        <f>IF((E32-E31&lt;0), "0",E32-E31)</f>
        <v>4908</v>
      </c>
      <c r="G32" s="26">
        <v>13743643</v>
      </c>
      <c r="H32" s="9">
        <f>IF((G32-G31&lt;0), "0",G32-G31)</f>
        <v>3834</v>
      </c>
      <c r="I32" s="26">
        <v>1927738</v>
      </c>
      <c r="J32" s="9">
        <f>IF((I32-I31&lt;0), "0",I32-I31)</f>
        <v>582</v>
      </c>
      <c r="K32" s="26">
        <v>3931332</v>
      </c>
      <c r="L32" s="9">
        <f>IF((K32-K31&lt;0), "0",K32-K31)</f>
        <v>470</v>
      </c>
      <c r="M32" s="26">
        <v>5139005</v>
      </c>
      <c r="N32" s="9">
        <f>IF((M32-M31&lt;0), "0",M32-M31)</f>
        <v>1454</v>
      </c>
      <c r="O32" s="26">
        <v>2271833</v>
      </c>
      <c r="P32" s="9">
        <f>IF((O32-O31&lt;0), "0",O32-O31)</f>
        <v>0</v>
      </c>
      <c r="Q32" s="26">
        <v>1572761</v>
      </c>
      <c r="R32" s="9">
        <f>IF((Q32-Q31&lt;0), "0",Q32-Q31)</f>
        <v>350</v>
      </c>
      <c r="S32" s="26">
        <v>572758</v>
      </c>
      <c r="T32" s="9">
        <f>IF((S32-S31&lt;0), "0",S32-S31)</f>
        <v>20</v>
      </c>
      <c r="U32" s="26">
        <v>4908535</v>
      </c>
      <c r="V32" s="27">
        <f>IF((U32-U31&lt;0), "0",U32-U31)</f>
        <v>877</v>
      </c>
      <c r="W32" s="26">
        <v>1118930</v>
      </c>
      <c r="X32" s="27">
        <f>IF((W32-W31&lt;0), "0",W32-W31)</f>
        <v>310</v>
      </c>
      <c r="Y32" s="26">
        <v>5083063</v>
      </c>
      <c r="Z32" s="27">
        <f>IF((Y32-Y31&lt;0), "0",Y32-Y31)</f>
        <v>1404</v>
      </c>
      <c r="AA32" s="26">
        <v>2271862</v>
      </c>
      <c r="AB32" s="27">
        <f>IF((AA32-AA31&lt;0), "0",AA32-AA31)</f>
        <v>2</v>
      </c>
      <c r="AC32" s="26">
        <v>6382646</v>
      </c>
      <c r="AD32" s="27">
        <f>IF((AC32-AC31&lt;0), "0",AC32-AC31)</f>
        <v>1173</v>
      </c>
      <c r="AE32" s="26">
        <v>9190739</v>
      </c>
      <c r="AF32" s="27">
        <f>IF((AE32-AE31&lt;0), "0",AE32-AE31)</f>
        <v>1803</v>
      </c>
      <c r="AG32" s="26">
        <v>1528767</v>
      </c>
      <c r="AH32" s="27">
        <f>IF((AG32-AG31&lt;0), "0",AG32-AG31)</f>
        <v>284</v>
      </c>
      <c r="AI32" s="26">
        <v>287332</v>
      </c>
      <c r="AJ32" s="27">
        <f>IF((AI32-AI31&lt;0), "0",AI32-AI31)</f>
        <v>43</v>
      </c>
      <c r="AK32" s="26">
        <v>1201788</v>
      </c>
      <c r="AL32" s="27">
        <f>IF((AK32-AK31&lt;0), "0",AK32-AK31)</f>
        <v>237</v>
      </c>
      <c r="AM32" s="26">
        <v>2282876</v>
      </c>
      <c r="AN32" s="27">
        <f>IF((AM32-AM31&lt;0), "0",AM32-AM31)</f>
        <v>601</v>
      </c>
      <c r="AO32" s="26">
        <v>2206640</v>
      </c>
      <c r="AP32" s="9">
        <f>IF((AO32-AO31&lt;0), "0",AO32-AO31)</f>
        <v>682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6">
        <v>97784</v>
      </c>
      <c r="AW32" s="27">
        <f>IF((AV32-AV31&lt;0), "0",AV32-AV31)</f>
        <v>19</v>
      </c>
      <c r="AX32" s="26">
        <v>1533</v>
      </c>
      <c r="AY32" s="27">
        <f>IF((AX32-AX31&lt;0), "0",AX32-AX31)</f>
        <v>3</v>
      </c>
      <c r="AZ32" s="26">
        <v>8379337</v>
      </c>
      <c r="BA32" s="27">
        <f>IF((AZ32-AZ31&lt;0), "0",AZ32-AZ31)</f>
        <v>2189</v>
      </c>
      <c r="BB32" s="26">
        <v>1982166</v>
      </c>
      <c r="BC32" s="27">
        <f t="shared" si="13"/>
        <v>1226</v>
      </c>
      <c r="BD32" s="26">
        <v>123</v>
      </c>
      <c r="BE32" s="26">
        <v>214</v>
      </c>
      <c r="BH32">
        <f>193*(BF32/100)</f>
        <v>0</v>
      </c>
    </row>
    <row r="33" spans="1:60" ht="38.25" customHeight="1" x14ac:dyDescent="0.5">
      <c r="A33" s="36">
        <v>44926</v>
      </c>
      <c r="B33" s="37"/>
      <c r="C33" s="38">
        <v>32072954</v>
      </c>
      <c r="D33" s="39">
        <f>IF((C33-C32&lt;0), "0",C33-C32)</f>
        <v>7369</v>
      </c>
      <c r="E33" s="38">
        <v>32484032</v>
      </c>
      <c r="F33" s="39">
        <f>IF((E33-E32&lt;0), "0",E33-E32)</f>
        <v>4848</v>
      </c>
      <c r="G33" s="38">
        <v>13747486</v>
      </c>
      <c r="H33" s="39">
        <f>IF((G33-G32&lt;0), "0",G33-G32)</f>
        <v>3843</v>
      </c>
      <c r="I33" s="38">
        <v>1928211</v>
      </c>
      <c r="J33" s="39">
        <f>IF((I33-I32&lt;0), "0",I33-I32)</f>
        <v>473</v>
      </c>
      <c r="K33" s="38">
        <v>3931799</v>
      </c>
      <c r="L33" s="39">
        <f>IF((K33-K32&lt;0), "0",K33-K32)</f>
        <v>467</v>
      </c>
      <c r="M33" s="38">
        <v>5140491</v>
      </c>
      <c r="N33" s="39">
        <f>IF((M33-M32&lt;0), "0",M33-M32)</f>
        <v>1486</v>
      </c>
      <c r="O33" s="38">
        <v>2271833</v>
      </c>
      <c r="P33" s="39">
        <f>IF((O33-O32&lt;0), "0",O33-O32)</f>
        <v>0</v>
      </c>
      <c r="Q33" s="38">
        <v>1573111</v>
      </c>
      <c r="R33" s="39">
        <f>IF((Q33-Q32&lt;0), "0",Q33-Q32)</f>
        <v>350</v>
      </c>
      <c r="S33" s="38">
        <v>572778</v>
      </c>
      <c r="T33" s="39">
        <f>IF((S33-S32&lt;0), "0",S33-S32)</f>
        <v>20</v>
      </c>
      <c r="U33" s="38">
        <v>4909405</v>
      </c>
      <c r="V33" s="39">
        <f>IF((U33-U32&lt;0), "0",U33-U32)</f>
        <v>870</v>
      </c>
      <c r="W33" s="38">
        <v>1119242</v>
      </c>
      <c r="X33" s="39">
        <f>IF((W33-W32&lt;0), "0",W33-W32)</f>
        <v>312</v>
      </c>
      <c r="Y33" s="38">
        <v>5084581</v>
      </c>
      <c r="Z33" s="39">
        <f>IF((Y33-Y32&lt;0), "0",Y33-Y32)</f>
        <v>1518</v>
      </c>
      <c r="AA33" s="38">
        <v>2271865</v>
      </c>
      <c r="AB33" s="39">
        <f>IF((AA33-AA32&lt;0), "0",AA33-AA32)</f>
        <v>3</v>
      </c>
      <c r="AC33" s="38">
        <v>6383830</v>
      </c>
      <c r="AD33" s="39">
        <f>IF((AC33-AC32&lt;0), "0",AC33-AC32)</f>
        <v>1184</v>
      </c>
      <c r="AE33" s="38">
        <v>9192549</v>
      </c>
      <c r="AF33" s="39">
        <f>IF((AE33-AE32&lt;0), "0",AE33-AE32)</f>
        <v>1810</v>
      </c>
      <c r="AG33" s="38">
        <v>1529052</v>
      </c>
      <c r="AH33" s="39">
        <f>IF((AG33-AG32&lt;0), "0",AG33-AG32)</f>
        <v>285</v>
      </c>
      <c r="AI33" s="38">
        <v>287375</v>
      </c>
      <c r="AJ33" s="39">
        <f>IF((AI33-AI32&lt;0), "0",AI33-AI32)</f>
        <v>43</v>
      </c>
      <c r="AK33" s="38">
        <v>1202021</v>
      </c>
      <c r="AL33" s="39">
        <f>IF((AK33-AK32&lt;0), "0",AK33-AK32)</f>
        <v>233</v>
      </c>
      <c r="AM33" s="38">
        <v>2283459</v>
      </c>
      <c r="AN33" s="39">
        <f>IF((AM33-AM32&lt;0), "0",AM33-AM32)</f>
        <v>583</v>
      </c>
      <c r="AO33" s="38">
        <v>0</v>
      </c>
      <c r="AP33" s="39" t="str">
        <f>IF((AO33-AO32&lt;0), "0",AO33-AO32)</f>
        <v>0</v>
      </c>
      <c r="AQ33" s="40"/>
      <c r="AR33" s="38" t="s">
        <v>60</v>
      </c>
      <c r="AS33" s="39">
        <v>0</v>
      </c>
      <c r="AT33" s="38" t="s">
        <v>60</v>
      </c>
      <c r="AU33" s="39">
        <v>0</v>
      </c>
      <c r="AV33" s="38">
        <v>97799</v>
      </c>
      <c r="AW33" s="39">
        <f>IF((AV33-AV32&lt;0), "0",AV33-AV32)</f>
        <v>15</v>
      </c>
      <c r="AX33" s="38">
        <v>1534</v>
      </c>
      <c r="AY33" s="39">
        <f>IF((AX33-AX32&lt;0), "0",AX33-AX32)</f>
        <v>1</v>
      </c>
      <c r="AZ33" s="38">
        <v>8381287</v>
      </c>
      <c r="BA33" s="39">
        <f>IF((AZ33-AZ32&lt;0), "0",AZ33-AZ32)</f>
        <v>1950</v>
      </c>
      <c r="BB33" s="38">
        <v>1983393</v>
      </c>
      <c r="BC33" s="39">
        <f t="shared" si="13"/>
        <v>1227</v>
      </c>
      <c r="BD33" s="38">
        <v>120</v>
      </c>
      <c r="BE33" s="38">
        <v>204</v>
      </c>
      <c r="BH33">
        <f>193*(BF33/100)</f>
        <v>0</v>
      </c>
    </row>
    <row r="34" spans="1:60" x14ac:dyDescent="0.3">
      <c r="BE34"/>
    </row>
  </sheetData>
  <mergeCells count="27">
    <mergeCell ref="C1:D1"/>
    <mergeCell ref="Y1:Z1"/>
    <mergeCell ref="O1:P1"/>
    <mergeCell ref="W1:X1"/>
    <mergeCell ref="E1:F1"/>
    <mergeCell ref="U1:V1"/>
    <mergeCell ref="G1:H1"/>
    <mergeCell ref="BB1:BC1"/>
    <mergeCell ref="AV1:AW1"/>
    <mergeCell ref="AZ1:BA1"/>
    <mergeCell ref="AX1:AY1"/>
    <mergeCell ref="AR1:AS1"/>
    <mergeCell ref="AT1:AU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BE560-F8EF-4F74-811A-7A3685544D9A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3.xml><?xml version="1.0" encoding="utf-8"?>
<ds:datastoreItem xmlns:ds="http://schemas.openxmlformats.org/officeDocument/2006/customXml" ds:itemID="{819C71C7-7AF2-4A52-B8E3-E30B0EB4C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2023-01-23T17:52:54Z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